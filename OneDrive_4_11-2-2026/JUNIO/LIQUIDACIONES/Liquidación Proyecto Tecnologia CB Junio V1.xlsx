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hidePivotFieldList="1"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FACTURACION/2025/JUNIO/"/>
    </mc:Choice>
  </mc:AlternateContent>
  <xr:revisionPtr revIDLastSave="1840" documentId="13_ncr:1_{8A38B4BC-F766-4F7A-B12B-566466AF142C}" xr6:coauthVersionLast="47" xr6:coauthVersionMax="47" xr10:uidLastSave="{73C7642D-9C7A-4AAE-9748-4E2FF99642C4}"/>
  <bookViews>
    <workbookView xWindow="28680" yWindow="-120" windowWidth="29040" windowHeight="15720" tabRatio="896" xr2:uid="{00000000-000D-0000-FFFF-FFFF00000000}"/>
  </bookViews>
  <sheets>
    <sheet name="RESUMEN" sheetId="14" r:id="rId1"/>
    <sheet name="BASE LIQUIDACION" sheetId="23" r:id="rId2"/>
    <sheet name="Tablas dinámicas" sheetId="203" r:id="rId3"/>
    <sheet name="ADECUACIONES" sheetId="200" r:id="rId4"/>
    <sheet name="TIPOLOGIAS" sheetId="202" state="hidden" r:id="rId5"/>
    <sheet name="INCIDENTES" sheetId="199" r:id="rId6"/>
    <sheet name="OC" sheetId="198" r:id="rId7"/>
    <sheet name="CENTRO DE COSTOS" sheetId="201"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xlnm._FilterDatabase" localSheetId="3" hidden="1">ADECUACIONES!$A$1:$AM$44</definedName>
    <definedName name="_xlnm._FilterDatabase" localSheetId="7" hidden="1">'CENTRO DE COSTOS'!$A$1:$D$23</definedName>
    <definedName name="_xlnm._FilterDatabase" localSheetId="5" hidden="1">INCIDENTES!$A$1:$AM$187</definedName>
    <definedName name="_xlnm._FilterDatabase" localSheetId="6" hidden="1">OC!$A$1:$AH$7</definedName>
    <definedName name="A">#REF!</definedName>
    <definedName name="ACTIVIDAD" localSheetId="7">[1]Hoja2!$P$2:$P$30</definedName>
    <definedName name="Actividad">[2]Formulas!$H$2:$H$5000</definedName>
    <definedName name="arearesponsable">'[3]Listas desplegables'!$BB$2:$BB$100</definedName>
    <definedName name="Clientes" localSheetId="7">[4]Clientes!$A$2:$A$100</definedName>
    <definedName name="Clientes">[2]Clientes!$A$2:$A$100</definedName>
    <definedName name="COORDINADOR">[1]Hoja2!$D$2:$D$30</definedName>
    <definedName name="Coordinadores" localSheetId="7">[5]Coordinadores!$A$2:$A$1000</definedName>
    <definedName name="Coordinadores">[2]Coordinadores!$A$2:$A$1000</definedName>
    <definedName name="DOCUMENTADOR">[1]Hoja2!$A$2:$A$30</definedName>
    <definedName name="ES">[1]Hoja2!$K$2:$K$30</definedName>
    <definedName name="ESS">[1]Hoja2!$K$2:$K$30</definedName>
    <definedName name="Estado" localSheetId="7">[4]Formulas!$K$2:$K$5000</definedName>
    <definedName name="Estado">[2]Formulas!$K$2:$K$5000</definedName>
    <definedName name="ESTADOACTIVIDAD">[1]Hoja2!$M$2:$M$30</definedName>
    <definedName name="ESTADOS">'[6]Listas desplegables'!$B$1:$D$1</definedName>
    <definedName name="ESTADOSCIERRES">'[7]lista desplegable'!$CX$1:$DA$1</definedName>
    <definedName name="Facturacion">'[8]Listas desplegables'!$AO$1:$AR$1</definedName>
    <definedName name="FACTURACIÓN">'[6]Listas desplegables'!$Y$1:$AB$1</definedName>
    <definedName name="falla">#REF!</definedName>
    <definedName name="Fallas">'[9]Listas desplegables'!$F$2:$L$2</definedName>
    <definedName name="Grupo_Falla">'[10]Listas Desplegables'!$CH$2:$CH$5</definedName>
    <definedName name="inconservmanager">'[11]Listas desplegables'!$BC$2:$BC$100</definedName>
    <definedName name="INCUMPLIMIENTO">'[3]Listas desplegables'!$AK$1:$AN$1</definedName>
    <definedName name="LISTA">[12]Dptos!$A$1139:$A$1171</definedName>
    <definedName name="LISTA2">#REF!</definedName>
    <definedName name="LOLO">[13]Coordinadores!$A$2:$A$1000</definedName>
    <definedName name="solicitudes" localSheetId="7">'[8]Listas desplegables'!$U$1:$AF$1</definedName>
    <definedName name="solicitudes">'[14]Listas desplegables'!$AF$1:$AQ$1</definedName>
    <definedName name="Tecnicos" localSheetId="7">[4]Tecnicos!$A$2:$A$1000</definedName>
    <definedName name="Tecnicos">[2]Tecnicos!$A$2:$A$1000</definedName>
    <definedName name="Version">[2]Formulas!$I$2:$I$3</definedName>
  </definedNames>
  <calcPr calcId="191028"/>
  <pivotCaches>
    <pivotCache cacheId="901" r:id="rId23"/>
    <pivotCache cacheId="902" r:id="rId24"/>
    <pivotCache cacheId="903" r:id="rId25"/>
    <pivotCache cacheId="904" r:id="rId2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47" i="200" l="1"/>
  <c r="AL44" i="200"/>
  <c r="AM44" i="200"/>
  <c r="AL45" i="200"/>
  <c r="AM45" i="200"/>
  <c r="AL46" i="200"/>
  <c r="AM46" i="200"/>
  <c r="AD44" i="200"/>
  <c r="AE44" i="200"/>
  <c r="AD45" i="200"/>
  <c r="AE45" i="200"/>
  <c r="AD46" i="200"/>
  <c r="AE46" i="200"/>
  <c r="B44" i="200"/>
  <c r="C44" i="200"/>
  <c r="B45" i="200"/>
  <c r="C45" i="200"/>
  <c r="B46" i="200"/>
  <c r="C46" i="200"/>
  <c r="I6" i="14"/>
  <c r="J6" i="14" s="1"/>
  <c r="AD27" i="200"/>
  <c r="AE27" i="200"/>
  <c r="AD28" i="200"/>
  <c r="AE28" i="200"/>
  <c r="AD29" i="200"/>
  <c r="AE29" i="200"/>
  <c r="AD30" i="200"/>
  <c r="AE30" i="200"/>
  <c r="AD31" i="200"/>
  <c r="AE31" i="200"/>
  <c r="AD32" i="200"/>
  <c r="AE32" i="200"/>
  <c r="AD33" i="200"/>
  <c r="AE33" i="200"/>
  <c r="AD34" i="200"/>
  <c r="AE34" i="200"/>
  <c r="AD35" i="200"/>
  <c r="AE35" i="200"/>
  <c r="AD36" i="200"/>
  <c r="AE36" i="200"/>
  <c r="AD37" i="200"/>
  <c r="AE37" i="200"/>
  <c r="AD38" i="200"/>
  <c r="AE38" i="200"/>
  <c r="AD39" i="200"/>
  <c r="AE39" i="200"/>
  <c r="AD40" i="200"/>
  <c r="AE40" i="200"/>
  <c r="AD41" i="200"/>
  <c r="AE41" i="200"/>
  <c r="AD42" i="200"/>
  <c r="AE42" i="200"/>
  <c r="AD43" i="200"/>
  <c r="AE43" i="200"/>
  <c r="B27" i="200"/>
  <c r="C27" i="200"/>
  <c r="B28" i="200"/>
  <c r="C28" i="200"/>
  <c r="B29" i="200"/>
  <c r="C29" i="200"/>
  <c r="B30" i="200"/>
  <c r="C30" i="200"/>
  <c r="B31" i="200"/>
  <c r="C31" i="200"/>
  <c r="B32" i="200"/>
  <c r="C32" i="200"/>
  <c r="B33" i="200"/>
  <c r="C33" i="200"/>
  <c r="B34" i="200"/>
  <c r="C34" i="200"/>
  <c r="B35" i="200"/>
  <c r="C35" i="200"/>
  <c r="B36" i="200"/>
  <c r="C36" i="200"/>
  <c r="B37" i="200"/>
  <c r="C37" i="200"/>
  <c r="B38" i="200"/>
  <c r="C38" i="200"/>
  <c r="B39" i="200"/>
  <c r="C39" i="200"/>
  <c r="B40" i="200"/>
  <c r="C40" i="200"/>
  <c r="B41" i="200"/>
  <c r="C41" i="200"/>
  <c r="B42" i="200"/>
  <c r="C42" i="200"/>
  <c r="B43" i="200"/>
  <c r="C43" i="200"/>
  <c r="B25" i="200"/>
  <c r="C25" i="200"/>
  <c r="B26" i="200"/>
  <c r="C26" i="200"/>
  <c r="AD25" i="200"/>
  <c r="AE25" i="200"/>
  <c r="AD26" i="200"/>
  <c r="AE26" i="200"/>
  <c r="AD23" i="200"/>
  <c r="AE23" i="200"/>
  <c r="AD24" i="200"/>
  <c r="AE24" i="200"/>
  <c r="B23" i="200"/>
  <c r="C23" i="200"/>
  <c r="B24" i="200"/>
  <c r="C24" i="200"/>
  <c r="E8" i="203"/>
  <c r="F8" i="203"/>
  <c r="E9" i="203"/>
  <c r="F9" i="203"/>
  <c r="E10" i="203"/>
  <c r="F10" i="203"/>
  <c r="AB3" i="198"/>
  <c r="AB4" i="198"/>
  <c r="AB5" i="198"/>
  <c r="AB6" i="198"/>
  <c r="AB2" i="198"/>
  <c r="AA3" i="198"/>
  <c r="AA4" i="198"/>
  <c r="AA5" i="198"/>
  <c r="AA6" i="198"/>
  <c r="AA2" i="198"/>
  <c r="B186" i="199"/>
  <c r="C186" i="199"/>
  <c r="AF134" i="199"/>
  <c r="AG134" i="199"/>
  <c r="AF135" i="199"/>
  <c r="AG135" i="199"/>
  <c r="AF136" i="199"/>
  <c r="AG136" i="199"/>
  <c r="AF137" i="199"/>
  <c r="AG137" i="199"/>
  <c r="AF138" i="199"/>
  <c r="AG138" i="199"/>
  <c r="AF139" i="199"/>
  <c r="AG139" i="199"/>
  <c r="AF140" i="199"/>
  <c r="AG140" i="199"/>
  <c r="AF141" i="199"/>
  <c r="AG141" i="199"/>
  <c r="AF142" i="199"/>
  <c r="AG142" i="199"/>
  <c r="AF143" i="199"/>
  <c r="AG143" i="199"/>
  <c r="AF144" i="199"/>
  <c r="AG144" i="199"/>
  <c r="AF145" i="199"/>
  <c r="AG145" i="199"/>
  <c r="AF146" i="199"/>
  <c r="AG146" i="199"/>
  <c r="AF147" i="199"/>
  <c r="AG147" i="199"/>
  <c r="AF148" i="199"/>
  <c r="AG148" i="199"/>
  <c r="AF149" i="199"/>
  <c r="AG149" i="199"/>
  <c r="AF150" i="199"/>
  <c r="AG150" i="199"/>
  <c r="AF151" i="199"/>
  <c r="AG151" i="199"/>
  <c r="AF152" i="199"/>
  <c r="AG152" i="199"/>
  <c r="AF153" i="199"/>
  <c r="AG153" i="199"/>
  <c r="AF154" i="199"/>
  <c r="AG154" i="199"/>
  <c r="AF155" i="199"/>
  <c r="AG155" i="199"/>
  <c r="AF156" i="199"/>
  <c r="AG156" i="199"/>
  <c r="AF157" i="199"/>
  <c r="AG157" i="199"/>
  <c r="AF158" i="199"/>
  <c r="AG158" i="199"/>
  <c r="AF159" i="199"/>
  <c r="AG159" i="199"/>
  <c r="AF160" i="199"/>
  <c r="AG160" i="199"/>
  <c r="AF161" i="199"/>
  <c r="AG161" i="199"/>
  <c r="AF162" i="199"/>
  <c r="AG162" i="199"/>
  <c r="AF163" i="199"/>
  <c r="AG163" i="199"/>
  <c r="AF164" i="199"/>
  <c r="AG164" i="199"/>
  <c r="AF165" i="199"/>
  <c r="AG165" i="199"/>
  <c r="AF166" i="199"/>
  <c r="AG166" i="199"/>
  <c r="AF167" i="199"/>
  <c r="AG167" i="199"/>
  <c r="AF168" i="199"/>
  <c r="AG168" i="199"/>
  <c r="AF169" i="199"/>
  <c r="AG169" i="199"/>
  <c r="AF170" i="199"/>
  <c r="AG170" i="199"/>
  <c r="AF171" i="199"/>
  <c r="AG171" i="199"/>
  <c r="AF172" i="199"/>
  <c r="AG172" i="199"/>
  <c r="AF173" i="199"/>
  <c r="AG173" i="199"/>
  <c r="AF174" i="199"/>
  <c r="AG174" i="199"/>
  <c r="AF175" i="199"/>
  <c r="AG175" i="199"/>
  <c r="AF176" i="199"/>
  <c r="AG176" i="199"/>
  <c r="AF177" i="199"/>
  <c r="AG177" i="199"/>
  <c r="AF178" i="199"/>
  <c r="AG178" i="199"/>
  <c r="AF179" i="199"/>
  <c r="AG179" i="199"/>
  <c r="AF180" i="199"/>
  <c r="AG180" i="199"/>
  <c r="AF181" i="199"/>
  <c r="AG181" i="199"/>
  <c r="AF182" i="199"/>
  <c r="AG182" i="199"/>
  <c r="AF183" i="199"/>
  <c r="AG183" i="199"/>
  <c r="AF184" i="199"/>
  <c r="AG184" i="199"/>
  <c r="AF185" i="199"/>
  <c r="AG185" i="199"/>
  <c r="AF186" i="199"/>
  <c r="AG186" i="199"/>
  <c r="AF14" i="199"/>
  <c r="AG14" i="199"/>
  <c r="AF15" i="199"/>
  <c r="AG15" i="199"/>
  <c r="AF16" i="199"/>
  <c r="AG16" i="199"/>
  <c r="AF17" i="199"/>
  <c r="AG17" i="199"/>
  <c r="AF18" i="199"/>
  <c r="AG18" i="199"/>
  <c r="AF19" i="199"/>
  <c r="AG19" i="199"/>
  <c r="AF20" i="199"/>
  <c r="AG20" i="199"/>
  <c r="AF21" i="199"/>
  <c r="AG21" i="199"/>
  <c r="AF22" i="199"/>
  <c r="AG22" i="199"/>
  <c r="AF23" i="199"/>
  <c r="AG23" i="199"/>
  <c r="AF24" i="199"/>
  <c r="AG24" i="199"/>
  <c r="AF25" i="199"/>
  <c r="AG25" i="199"/>
  <c r="AF26" i="199"/>
  <c r="AG26" i="199"/>
  <c r="AF27" i="199"/>
  <c r="AG27" i="199"/>
  <c r="AF28" i="199"/>
  <c r="AG28" i="199"/>
  <c r="AF29" i="199"/>
  <c r="AG29" i="199"/>
  <c r="AF30" i="199"/>
  <c r="AG30" i="199"/>
  <c r="AF31" i="199"/>
  <c r="AG31" i="199"/>
  <c r="AF32" i="199"/>
  <c r="AG32" i="199"/>
  <c r="AF33" i="199"/>
  <c r="AG33" i="199"/>
  <c r="AF34" i="199"/>
  <c r="AG34" i="199"/>
  <c r="AF35" i="199"/>
  <c r="AG35" i="199"/>
  <c r="AF36" i="199"/>
  <c r="AG36" i="199"/>
  <c r="AF37" i="199"/>
  <c r="AG37" i="199"/>
  <c r="AF38" i="199"/>
  <c r="AG38" i="199"/>
  <c r="AF39" i="199"/>
  <c r="AG39" i="199"/>
  <c r="AF40" i="199"/>
  <c r="AG40" i="199"/>
  <c r="AF41" i="199"/>
  <c r="AG41" i="199"/>
  <c r="AF42" i="199"/>
  <c r="AG42" i="199"/>
  <c r="AF43" i="199"/>
  <c r="AG43" i="199"/>
  <c r="AF44" i="199"/>
  <c r="AG44" i="199"/>
  <c r="AF45" i="199"/>
  <c r="AG45" i="199"/>
  <c r="AF46" i="199"/>
  <c r="AG46" i="199"/>
  <c r="AF47" i="199"/>
  <c r="AG47" i="199"/>
  <c r="AF48" i="199"/>
  <c r="AG48" i="199"/>
  <c r="AF49" i="199"/>
  <c r="AG49" i="199"/>
  <c r="AF50" i="199"/>
  <c r="AG50" i="199"/>
  <c r="AF51" i="199"/>
  <c r="AG51" i="199"/>
  <c r="AF52" i="199"/>
  <c r="AG52" i="199"/>
  <c r="AF53" i="199"/>
  <c r="AG53" i="199"/>
  <c r="AF54" i="199"/>
  <c r="AG54" i="199"/>
  <c r="AF55" i="199"/>
  <c r="AG55" i="199"/>
  <c r="AF56" i="199"/>
  <c r="AG56" i="199"/>
  <c r="AF57" i="199"/>
  <c r="AG57" i="199"/>
  <c r="AF58" i="199"/>
  <c r="AG58" i="199"/>
  <c r="AF59" i="199"/>
  <c r="AG59" i="199"/>
  <c r="AF60" i="199"/>
  <c r="AG60" i="199"/>
  <c r="AF61" i="199"/>
  <c r="AG61" i="199"/>
  <c r="AF62" i="199"/>
  <c r="AG62" i="199"/>
  <c r="AF63" i="199"/>
  <c r="AG63" i="199"/>
  <c r="AF64" i="199"/>
  <c r="AG64" i="199"/>
  <c r="AF65" i="199"/>
  <c r="AG65" i="199"/>
  <c r="AF66" i="199"/>
  <c r="AG66" i="199"/>
  <c r="AF67" i="199"/>
  <c r="AG67" i="199"/>
  <c r="AF68" i="199"/>
  <c r="AG68" i="199"/>
  <c r="AF69" i="199"/>
  <c r="AG69" i="199"/>
  <c r="AF70" i="199"/>
  <c r="AG70" i="199"/>
  <c r="AF71" i="199"/>
  <c r="AG71" i="199"/>
  <c r="AF72" i="199"/>
  <c r="AG72" i="199"/>
  <c r="AF73" i="199"/>
  <c r="AG73" i="199"/>
  <c r="AF74" i="199"/>
  <c r="AG74" i="199"/>
  <c r="AF75" i="199"/>
  <c r="AG75" i="199"/>
  <c r="AF76" i="199"/>
  <c r="AG76" i="199"/>
  <c r="AF77" i="199"/>
  <c r="AG77" i="199"/>
  <c r="AF78" i="199"/>
  <c r="AG78" i="199"/>
  <c r="AF79" i="199"/>
  <c r="AG79" i="199"/>
  <c r="AF80" i="199"/>
  <c r="AG80" i="199"/>
  <c r="AF81" i="199"/>
  <c r="AG81" i="199"/>
  <c r="AF82" i="199"/>
  <c r="AG82" i="199"/>
  <c r="AF83" i="199"/>
  <c r="AG83" i="199"/>
  <c r="AF84" i="199"/>
  <c r="AG84" i="199"/>
  <c r="AF85" i="199"/>
  <c r="AG85" i="199"/>
  <c r="AF86" i="199"/>
  <c r="AG86" i="199"/>
  <c r="AF87" i="199"/>
  <c r="AG87" i="199"/>
  <c r="AF88" i="199"/>
  <c r="AG88" i="199"/>
  <c r="AF89" i="199"/>
  <c r="AG89" i="199"/>
  <c r="AF90" i="199"/>
  <c r="AG90" i="199"/>
  <c r="AF91" i="199"/>
  <c r="AG91" i="199"/>
  <c r="AF92" i="199"/>
  <c r="AG92" i="199"/>
  <c r="AF93" i="199"/>
  <c r="AG93" i="199"/>
  <c r="AF94" i="199"/>
  <c r="AG94" i="199"/>
  <c r="AF95" i="199"/>
  <c r="AG95" i="199"/>
  <c r="AF96" i="199"/>
  <c r="AG96" i="199"/>
  <c r="AF97" i="199"/>
  <c r="AG97" i="199"/>
  <c r="AF98" i="199"/>
  <c r="AG98" i="199"/>
  <c r="AF99" i="199"/>
  <c r="AG99" i="199"/>
  <c r="AF100" i="199"/>
  <c r="AG100" i="199"/>
  <c r="AF101" i="199"/>
  <c r="AG101" i="199"/>
  <c r="AF102" i="199"/>
  <c r="AG102" i="199"/>
  <c r="AF103" i="199"/>
  <c r="AG103" i="199"/>
  <c r="AF104" i="199"/>
  <c r="AG104" i="199"/>
  <c r="AF105" i="199"/>
  <c r="AG105" i="199"/>
  <c r="AF106" i="199"/>
  <c r="AG106" i="199"/>
  <c r="AF107" i="199"/>
  <c r="AG107" i="199"/>
  <c r="AF108" i="199"/>
  <c r="AG108" i="199"/>
  <c r="AF109" i="199"/>
  <c r="AG109" i="199"/>
  <c r="AF110" i="199"/>
  <c r="AG110" i="199"/>
  <c r="AF111" i="199"/>
  <c r="AG111" i="199"/>
  <c r="AF112" i="199"/>
  <c r="AG112" i="199"/>
  <c r="AF113" i="199"/>
  <c r="AG113" i="199"/>
  <c r="AF114" i="199"/>
  <c r="AG114" i="199"/>
  <c r="AF115" i="199"/>
  <c r="AG115" i="199"/>
  <c r="AF116" i="199"/>
  <c r="AG116" i="199"/>
  <c r="AF117" i="199"/>
  <c r="AG117" i="199"/>
  <c r="AF118" i="199"/>
  <c r="AG118" i="199"/>
  <c r="AF119" i="199"/>
  <c r="AG119" i="199"/>
  <c r="AF120" i="199"/>
  <c r="AG120" i="199"/>
  <c r="AF121" i="199"/>
  <c r="AG121" i="199"/>
  <c r="AF122" i="199"/>
  <c r="AG122" i="199"/>
  <c r="AF123" i="199"/>
  <c r="AG123" i="199"/>
  <c r="AF124" i="199"/>
  <c r="AG124" i="199"/>
  <c r="AF125" i="199"/>
  <c r="AG125" i="199"/>
  <c r="AF126" i="199"/>
  <c r="AG126" i="199"/>
  <c r="AF127" i="199"/>
  <c r="AG127" i="199"/>
  <c r="AF128" i="199"/>
  <c r="AG128" i="199"/>
  <c r="AF129" i="199"/>
  <c r="AG129" i="199"/>
  <c r="AF130" i="199"/>
  <c r="AG130" i="199"/>
  <c r="AF131" i="199"/>
  <c r="AG131" i="199"/>
  <c r="AF132" i="199"/>
  <c r="AG132" i="199"/>
  <c r="AF133" i="199"/>
  <c r="AG133" i="199"/>
  <c r="AF11" i="199"/>
  <c r="AG11" i="199"/>
  <c r="AF12" i="199"/>
  <c r="AG12" i="199"/>
  <c r="AF13" i="199"/>
  <c r="AG13" i="199"/>
  <c r="AF3" i="199"/>
  <c r="AG3" i="199"/>
  <c r="AF4" i="199"/>
  <c r="AG4" i="199"/>
  <c r="AF5" i="199"/>
  <c r="AG5" i="199"/>
  <c r="AF6" i="199"/>
  <c r="AG6" i="199"/>
  <c r="AF7" i="199"/>
  <c r="AG7" i="199"/>
  <c r="AF8" i="199"/>
  <c r="AG8" i="199"/>
  <c r="AF9" i="199"/>
  <c r="AG9" i="199"/>
  <c r="AF10" i="199"/>
  <c r="AG10" i="199"/>
  <c r="AG2" i="199"/>
  <c r="AF2" i="199"/>
  <c r="AE19" i="200"/>
  <c r="AE20" i="200"/>
  <c r="AE21" i="200"/>
  <c r="AE22" i="200"/>
  <c r="AD19" i="200"/>
  <c r="AD20" i="200"/>
  <c r="AD21" i="200"/>
  <c r="AD22" i="200"/>
  <c r="B19" i="200"/>
  <c r="C19" i="200"/>
  <c r="B20" i="200"/>
  <c r="C20" i="200"/>
  <c r="B21" i="200"/>
  <c r="C21" i="200"/>
  <c r="B22" i="200"/>
  <c r="C22" i="200"/>
  <c r="AE3" i="200"/>
  <c r="AE4" i="200"/>
  <c r="AE5" i="200"/>
  <c r="AE6" i="200"/>
  <c r="AE7" i="200"/>
  <c r="AE8" i="200"/>
  <c r="AE9" i="200"/>
  <c r="AE10" i="200"/>
  <c r="AE11" i="200"/>
  <c r="AE12" i="200"/>
  <c r="AE13" i="200"/>
  <c r="AE14" i="200"/>
  <c r="AE15" i="200"/>
  <c r="AE16" i="200"/>
  <c r="AE17" i="200"/>
  <c r="AE18" i="200"/>
  <c r="AE2" i="200"/>
  <c r="AD14" i="200"/>
  <c r="AD15" i="200"/>
  <c r="AD16" i="200"/>
  <c r="AD17" i="200"/>
  <c r="AD18" i="200"/>
  <c r="AD11" i="200"/>
  <c r="AD12" i="200"/>
  <c r="AD13" i="200"/>
  <c r="AD7" i="200"/>
  <c r="AD8" i="200"/>
  <c r="AD9" i="200"/>
  <c r="AD10" i="200"/>
  <c r="AD3" i="200"/>
  <c r="AD4" i="200"/>
  <c r="AD5" i="200"/>
  <c r="AD6" i="200"/>
  <c r="AD2" i="200"/>
  <c r="I5" i="14"/>
  <c r="I7" i="14"/>
  <c r="J7" i="14" s="1"/>
  <c r="B15" i="23"/>
  <c r="B14" i="23"/>
  <c r="B13" i="23"/>
  <c r="B12" i="23"/>
  <c r="B11" i="23"/>
  <c r="B10" i="23"/>
  <c r="D7" i="23"/>
  <c r="D6" i="23"/>
  <c r="D5" i="23"/>
  <c r="D4" i="23"/>
  <c r="D3" i="23"/>
  <c r="C7" i="23"/>
  <c r="C6" i="23"/>
  <c r="C5" i="23"/>
  <c r="C4" i="23"/>
  <c r="C3" i="23"/>
  <c r="B3" i="199"/>
  <c r="C3" i="199"/>
  <c r="B4" i="199"/>
  <c r="C4" i="199"/>
  <c r="B5" i="199"/>
  <c r="C5" i="199"/>
  <c r="B6" i="199"/>
  <c r="C6" i="199"/>
  <c r="B7" i="199"/>
  <c r="C7" i="199"/>
  <c r="B8" i="199"/>
  <c r="C8" i="199"/>
  <c r="B9" i="199"/>
  <c r="C9" i="199"/>
  <c r="B10" i="199"/>
  <c r="C10" i="199"/>
  <c r="B11" i="199"/>
  <c r="C11" i="199"/>
  <c r="B12" i="199"/>
  <c r="C12" i="199"/>
  <c r="B13" i="199"/>
  <c r="C13" i="199"/>
  <c r="B14" i="199"/>
  <c r="C14" i="199"/>
  <c r="B15" i="199"/>
  <c r="C15" i="199"/>
  <c r="B16" i="199"/>
  <c r="C16" i="199"/>
  <c r="B17" i="199"/>
  <c r="C17" i="199"/>
  <c r="B18" i="199"/>
  <c r="C18" i="199"/>
  <c r="B19" i="199"/>
  <c r="C19" i="199"/>
  <c r="B20" i="199"/>
  <c r="C20" i="199"/>
  <c r="B21" i="199"/>
  <c r="C21" i="199"/>
  <c r="B22" i="199"/>
  <c r="C22" i="199"/>
  <c r="B23" i="199"/>
  <c r="C23" i="199"/>
  <c r="B24" i="199"/>
  <c r="C24" i="199"/>
  <c r="B25" i="199"/>
  <c r="C25" i="199"/>
  <c r="B26" i="199"/>
  <c r="C26" i="199"/>
  <c r="B27" i="199"/>
  <c r="C27" i="199"/>
  <c r="B28" i="199"/>
  <c r="C28" i="199"/>
  <c r="B29" i="199"/>
  <c r="C29" i="199"/>
  <c r="B30" i="199"/>
  <c r="C30" i="199"/>
  <c r="B31" i="199"/>
  <c r="C31" i="199"/>
  <c r="B32" i="199"/>
  <c r="C32" i="199"/>
  <c r="B33" i="199"/>
  <c r="C33" i="199"/>
  <c r="B34" i="199"/>
  <c r="C34" i="199"/>
  <c r="B35" i="199"/>
  <c r="C35" i="199"/>
  <c r="B36" i="199"/>
  <c r="C36" i="199"/>
  <c r="B37" i="199"/>
  <c r="C37" i="199"/>
  <c r="B38" i="199"/>
  <c r="C38" i="199"/>
  <c r="B39" i="199"/>
  <c r="C39" i="199"/>
  <c r="B40" i="199"/>
  <c r="C40" i="199"/>
  <c r="B41" i="199"/>
  <c r="C41" i="199"/>
  <c r="B42" i="199"/>
  <c r="C42" i="199"/>
  <c r="B43" i="199"/>
  <c r="C43" i="199"/>
  <c r="B44" i="199"/>
  <c r="C44" i="199"/>
  <c r="B45" i="199"/>
  <c r="C45" i="199"/>
  <c r="B46" i="199"/>
  <c r="C46" i="199"/>
  <c r="B47" i="199"/>
  <c r="C47" i="199"/>
  <c r="B48" i="199"/>
  <c r="C48" i="199"/>
  <c r="B49" i="199"/>
  <c r="C49" i="199"/>
  <c r="B50" i="199"/>
  <c r="C50" i="199"/>
  <c r="B51" i="199"/>
  <c r="C51" i="199"/>
  <c r="B52" i="199"/>
  <c r="C52" i="199"/>
  <c r="B53" i="199"/>
  <c r="C53" i="199"/>
  <c r="B54" i="199"/>
  <c r="C54" i="199"/>
  <c r="B55" i="199"/>
  <c r="C55" i="199"/>
  <c r="B56" i="199"/>
  <c r="C56" i="199"/>
  <c r="B57" i="199"/>
  <c r="C57" i="199"/>
  <c r="B58" i="199"/>
  <c r="C58" i="199"/>
  <c r="B59" i="199"/>
  <c r="C59" i="199"/>
  <c r="B60" i="199"/>
  <c r="C60" i="199"/>
  <c r="B61" i="199"/>
  <c r="C61" i="199"/>
  <c r="B62" i="199"/>
  <c r="C62" i="199"/>
  <c r="B63" i="199"/>
  <c r="C63" i="199"/>
  <c r="B64" i="199"/>
  <c r="C64" i="199"/>
  <c r="B65" i="199"/>
  <c r="C65" i="199"/>
  <c r="B66" i="199"/>
  <c r="C66" i="199"/>
  <c r="B67" i="199"/>
  <c r="C67" i="199"/>
  <c r="B68" i="199"/>
  <c r="C68" i="199"/>
  <c r="B69" i="199"/>
  <c r="C69" i="199"/>
  <c r="B70" i="199"/>
  <c r="C70" i="199"/>
  <c r="B71" i="199"/>
  <c r="C71" i="199"/>
  <c r="B72" i="199"/>
  <c r="C72" i="199"/>
  <c r="B73" i="199"/>
  <c r="C73" i="199"/>
  <c r="B74" i="199"/>
  <c r="C74" i="199"/>
  <c r="B75" i="199"/>
  <c r="C75" i="199"/>
  <c r="B76" i="199"/>
  <c r="C76" i="199"/>
  <c r="B77" i="199"/>
  <c r="C77" i="199"/>
  <c r="B78" i="199"/>
  <c r="C78" i="199"/>
  <c r="B79" i="199"/>
  <c r="C79" i="199"/>
  <c r="B80" i="199"/>
  <c r="C80" i="199"/>
  <c r="B81" i="199"/>
  <c r="C81" i="199"/>
  <c r="B82" i="199"/>
  <c r="C82" i="199"/>
  <c r="B83" i="199"/>
  <c r="C83" i="199"/>
  <c r="B84" i="199"/>
  <c r="C84" i="199"/>
  <c r="B85" i="199"/>
  <c r="C85" i="199"/>
  <c r="B86" i="199"/>
  <c r="C86" i="199"/>
  <c r="B87" i="199"/>
  <c r="C87" i="199"/>
  <c r="B88" i="199"/>
  <c r="C88" i="199"/>
  <c r="B89" i="199"/>
  <c r="C89" i="199"/>
  <c r="B90" i="199"/>
  <c r="C90" i="199"/>
  <c r="B91" i="199"/>
  <c r="C91" i="199"/>
  <c r="B92" i="199"/>
  <c r="C92" i="199"/>
  <c r="B93" i="199"/>
  <c r="C93" i="199"/>
  <c r="B94" i="199"/>
  <c r="C94" i="199"/>
  <c r="B95" i="199"/>
  <c r="C95" i="199"/>
  <c r="B96" i="199"/>
  <c r="C96" i="199"/>
  <c r="B97" i="199"/>
  <c r="C97" i="199"/>
  <c r="B98" i="199"/>
  <c r="C98" i="199"/>
  <c r="B99" i="199"/>
  <c r="C99" i="199"/>
  <c r="B100" i="199"/>
  <c r="C100" i="199"/>
  <c r="B101" i="199"/>
  <c r="C101" i="199"/>
  <c r="B102" i="199"/>
  <c r="C102" i="199"/>
  <c r="B103" i="199"/>
  <c r="C103" i="199"/>
  <c r="B104" i="199"/>
  <c r="C104" i="199"/>
  <c r="B105" i="199"/>
  <c r="C105" i="199"/>
  <c r="B106" i="199"/>
  <c r="C106" i="199"/>
  <c r="B107" i="199"/>
  <c r="C107" i="199"/>
  <c r="B108" i="199"/>
  <c r="C108" i="199"/>
  <c r="B109" i="199"/>
  <c r="C109" i="199"/>
  <c r="B110" i="199"/>
  <c r="C110" i="199"/>
  <c r="B111" i="199"/>
  <c r="C111" i="199"/>
  <c r="B112" i="199"/>
  <c r="C112" i="199"/>
  <c r="B113" i="199"/>
  <c r="C113" i="199"/>
  <c r="B114" i="199"/>
  <c r="C114" i="199"/>
  <c r="B115" i="199"/>
  <c r="C115" i="199"/>
  <c r="B116" i="199"/>
  <c r="C116" i="199"/>
  <c r="B117" i="199"/>
  <c r="C117" i="199"/>
  <c r="B118" i="199"/>
  <c r="C118" i="199"/>
  <c r="B119" i="199"/>
  <c r="C119" i="199"/>
  <c r="B120" i="199"/>
  <c r="C120" i="199"/>
  <c r="B121" i="199"/>
  <c r="C121" i="199"/>
  <c r="B122" i="199"/>
  <c r="C122" i="199"/>
  <c r="B123" i="199"/>
  <c r="C123" i="199"/>
  <c r="B124" i="199"/>
  <c r="C124" i="199"/>
  <c r="B125" i="199"/>
  <c r="C125" i="199"/>
  <c r="B126" i="199"/>
  <c r="C126" i="199"/>
  <c r="B127" i="199"/>
  <c r="C127" i="199"/>
  <c r="B128" i="199"/>
  <c r="C128" i="199"/>
  <c r="B129" i="199"/>
  <c r="C129" i="199"/>
  <c r="B130" i="199"/>
  <c r="C130" i="199"/>
  <c r="B131" i="199"/>
  <c r="C131" i="199"/>
  <c r="B132" i="199"/>
  <c r="C132" i="199"/>
  <c r="B133" i="199"/>
  <c r="C133" i="199"/>
  <c r="B134" i="199"/>
  <c r="C134" i="199"/>
  <c r="B135" i="199"/>
  <c r="C135" i="199"/>
  <c r="B136" i="199"/>
  <c r="C136" i="199"/>
  <c r="B137" i="199"/>
  <c r="C137" i="199"/>
  <c r="B138" i="199"/>
  <c r="C138" i="199"/>
  <c r="B139" i="199"/>
  <c r="C139" i="199"/>
  <c r="B140" i="199"/>
  <c r="C140" i="199"/>
  <c r="B141" i="199"/>
  <c r="C141" i="199"/>
  <c r="B142" i="199"/>
  <c r="C142" i="199"/>
  <c r="B143" i="199"/>
  <c r="C143" i="199"/>
  <c r="B144" i="199"/>
  <c r="C144" i="199"/>
  <c r="B145" i="199"/>
  <c r="C145" i="199"/>
  <c r="B146" i="199"/>
  <c r="C146" i="199"/>
  <c r="B147" i="199"/>
  <c r="C147" i="199"/>
  <c r="B148" i="199"/>
  <c r="C148" i="199"/>
  <c r="B149" i="199"/>
  <c r="C149" i="199"/>
  <c r="B150" i="199"/>
  <c r="C150" i="199"/>
  <c r="B151" i="199"/>
  <c r="C151" i="199"/>
  <c r="B152" i="199"/>
  <c r="C152" i="199"/>
  <c r="B153" i="199"/>
  <c r="C153" i="199"/>
  <c r="B154" i="199"/>
  <c r="C154" i="199"/>
  <c r="B155" i="199"/>
  <c r="C155" i="199"/>
  <c r="B156" i="199"/>
  <c r="C156" i="199"/>
  <c r="B157" i="199"/>
  <c r="C157" i="199"/>
  <c r="B158" i="199"/>
  <c r="C158" i="199"/>
  <c r="B159" i="199"/>
  <c r="C159" i="199"/>
  <c r="B160" i="199"/>
  <c r="C160" i="199"/>
  <c r="B161" i="199"/>
  <c r="C161" i="199"/>
  <c r="B162" i="199"/>
  <c r="C162" i="199"/>
  <c r="B163" i="199"/>
  <c r="C163" i="199"/>
  <c r="B164" i="199"/>
  <c r="C164" i="199"/>
  <c r="B165" i="199"/>
  <c r="C165" i="199"/>
  <c r="B166" i="199"/>
  <c r="C166" i="199"/>
  <c r="B167" i="199"/>
  <c r="C167" i="199"/>
  <c r="B168" i="199"/>
  <c r="C168" i="199"/>
  <c r="B169" i="199"/>
  <c r="C169" i="199"/>
  <c r="B170" i="199"/>
  <c r="C170" i="199"/>
  <c r="B171" i="199"/>
  <c r="C171" i="199"/>
  <c r="B172" i="199"/>
  <c r="C172" i="199"/>
  <c r="B173" i="199"/>
  <c r="C173" i="199"/>
  <c r="B174" i="199"/>
  <c r="C174" i="199"/>
  <c r="B175" i="199"/>
  <c r="C175" i="199"/>
  <c r="B176" i="199"/>
  <c r="C176" i="199"/>
  <c r="B177" i="199"/>
  <c r="C177" i="199"/>
  <c r="B178" i="199"/>
  <c r="C178" i="199"/>
  <c r="B179" i="199"/>
  <c r="C179" i="199"/>
  <c r="B180" i="199"/>
  <c r="C180" i="199"/>
  <c r="B181" i="199"/>
  <c r="C181" i="199"/>
  <c r="B182" i="199"/>
  <c r="C182" i="199"/>
  <c r="B183" i="199"/>
  <c r="C183" i="199"/>
  <c r="B184" i="199"/>
  <c r="C184" i="199"/>
  <c r="B185" i="199"/>
  <c r="C185" i="199"/>
  <c r="B17" i="200"/>
  <c r="C17" i="200"/>
  <c r="B18" i="200"/>
  <c r="C18" i="200"/>
  <c r="B3" i="200"/>
  <c r="C3" i="200"/>
  <c r="B4" i="200"/>
  <c r="C4" i="200"/>
  <c r="B5" i="200"/>
  <c r="C5" i="200"/>
  <c r="B6" i="200"/>
  <c r="C6" i="200"/>
  <c r="B7" i="200"/>
  <c r="C7" i="200"/>
  <c r="B8" i="200"/>
  <c r="C8" i="200"/>
  <c r="B9" i="200"/>
  <c r="C9" i="200"/>
  <c r="B10" i="200"/>
  <c r="C10" i="200"/>
  <c r="B11" i="200"/>
  <c r="C11" i="200"/>
  <c r="B12" i="200"/>
  <c r="C12" i="200"/>
  <c r="B13" i="200"/>
  <c r="C13" i="200"/>
  <c r="B14" i="200"/>
  <c r="C14" i="200"/>
  <c r="B15" i="200"/>
  <c r="C15" i="200"/>
  <c r="B16" i="200"/>
  <c r="C16" i="200"/>
  <c r="F35" i="203"/>
  <c r="E35" i="203"/>
  <c r="F34" i="203"/>
  <c r="E34" i="203"/>
  <c r="F33" i="203"/>
  <c r="E33" i="203"/>
  <c r="F32" i="203"/>
  <c r="E32" i="203"/>
  <c r="F31" i="203"/>
  <c r="E31" i="203"/>
  <c r="F23" i="203"/>
  <c r="E23" i="203"/>
  <c r="F22" i="203"/>
  <c r="E22" i="203"/>
  <c r="F21" i="203"/>
  <c r="E21" i="203"/>
  <c r="F20" i="203"/>
  <c r="E20" i="203"/>
  <c r="F19" i="203"/>
  <c r="E19" i="203"/>
  <c r="F18" i="203"/>
  <c r="E18" i="203"/>
  <c r="F17" i="203"/>
  <c r="E17" i="203"/>
  <c r="F5" i="203"/>
  <c r="F6" i="203"/>
  <c r="F7" i="203"/>
  <c r="F4" i="203"/>
  <c r="E5" i="203"/>
  <c r="E6" i="203"/>
  <c r="E7" i="203"/>
  <c r="E4" i="203"/>
  <c r="AG4" i="198"/>
  <c r="AH4" i="198" s="1"/>
  <c r="B3" i="198"/>
  <c r="C3" i="198"/>
  <c r="B4" i="198"/>
  <c r="C4" i="198"/>
  <c r="B5" i="198"/>
  <c r="C5" i="198"/>
  <c r="B6" i="198"/>
  <c r="C6" i="198"/>
  <c r="I9" i="14"/>
  <c r="J9" i="14" s="1"/>
  <c r="AG6" i="198" l="1"/>
  <c r="AH6" i="198" s="1"/>
  <c r="AG5" i="198"/>
  <c r="AH5" i="198" s="1"/>
  <c r="AL24" i="200"/>
  <c r="AM24" i="200" s="1"/>
  <c r="AL23" i="200"/>
  <c r="AM23" i="200" s="1"/>
  <c r="AL26" i="200"/>
  <c r="AM26" i="200" s="1"/>
  <c r="AL25" i="200"/>
  <c r="AM25" i="200" s="1"/>
  <c r="AL43" i="200"/>
  <c r="AM43" i="200" s="1"/>
  <c r="AL42" i="200"/>
  <c r="AM42" i="200" s="1"/>
  <c r="AL41" i="200"/>
  <c r="AM41" i="200" s="1"/>
  <c r="AL40" i="200"/>
  <c r="AM40" i="200" s="1"/>
  <c r="AL39" i="200"/>
  <c r="AM39" i="200" s="1"/>
  <c r="AL38" i="200"/>
  <c r="AM38" i="200" s="1"/>
  <c r="AL37" i="200"/>
  <c r="AM37" i="200" s="1"/>
  <c r="AL36" i="200"/>
  <c r="AM36" i="200" s="1"/>
  <c r="AL35" i="200"/>
  <c r="AM35" i="200" s="1"/>
  <c r="AL34" i="200"/>
  <c r="AM34" i="200" s="1"/>
  <c r="AL33" i="200"/>
  <c r="AM33" i="200" s="1"/>
  <c r="AL32" i="200"/>
  <c r="AM32" i="200" s="1"/>
  <c r="AL31" i="200"/>
  <c r="AM31" i="200" s="1"/>
  <c r="AL30" i="200"/>
  <c r="AM30" i="200" s="1"/>
  <c r="AL29" i="200"/>
  <c r="AM29" i="200" s="1"/>
  <c r="AL28" i="200"/>
  <c r="AM28" i="200" s="1"/>
  <c r="AL27" i="200"/>
  <c r="AM27" i="200" s="1"/>
  <c r="H12" i="14"/>
  <c r="AL186" i="199"/>
  <c r="AM186" i="199" s="1"/>
  <c r="AL6" i="200"/>
  <c r="AM6" i="200" s="1"/>
  <c r="AL5" i="200"/>
  <c r="AM5" i="200" s="1"/>
  <c r="AL4" i="200"/>
  <c r="AM4" i="200" s="1"/>
  <c r="AL3" i="200"/>
  <c r="AM3" i="200" s="1"/>
  <c r="AL10" i="200"/>
  <c r="AM10" i="200" s="1"/>
  <c r="AL9" i="200"/>
  <c r="AM9" i="200" s="1"/>
  <c r="AL8" i="200"/>
  <c r="AM8" i="200" s="1"/>
  <c r="AL7" i="200"/>
  <c r="AM7" i="200" s="1"/>
  <c r="AL13" i="200"/>
  <c r="AM13" i="200" s="1"/>
  <c r="AL12" i="200"/>
  <c r="AM12" i="200" s="1"/>
  <c r="AL11" i="200"/>
  <c r="AM11" i="200" s="1"/>
  <c r="AL18" i="200"/>
  <c r="AM18" i="200" s="1"/>
  <c r="AL17" i="200"/>
  <c r="AM17" i="200" s="1"/>
  <c r="AL16" i="200"/>
  <c r="AM16" i="200" s="1"/>
  <c r="AL15" i="200"/>
  <c r="AM15" i="200" s="1"/>
  <c r="AL14" i="200"/>
  <c r="AM14" i="200" s="1"/>
  <c r="AL22" i="200"/>
  <c r="AM22" i="200" s="1"/>
  <c r="AL21" i="200"/>
  <c r="AM21" i="200" s="1"/>
  <c r="AL20" i="200"/>
  <c r="AM20" i="200" s="1"/>
  <c r="AL19" i="200"/>
  <c r="AM19" i="200" s="1"/>
  <c r="AG3" i="198"/>
  <c r="AH3" i="198" s="1"/>
  <c r="AL3" i="199"/>
  <c r="AM3" i="199" s="1"/>
  <c r="AL4" i="199"/>
  <c r="AM4" i="199" s="1"/>
  <c r="AL6" i="199"/>
  <c r="AM6" i="199" s="1"/>
  <c r="AL11" i="199"/>
  <c r="AM11" i="199" s="1"/>
  <c r="AL12" i="199"/>
  <c r="AM12" i="199" s="1"/>
  <c r="AL13" i="199"/>
  <c r="AM13" i="199" s="1"/>
  <c r="AL14" i="199"/>
  <c r="AM14" i="199" s="1"/>
  <c r="AL15" i="199"/>
  <c r="AM15" i="199" s="1"/>
  <c r="AL16" i="199"/>
  <c r="AM16" i="199" s="1"/>
  <c r="AL17" i="199"/>
  <c r="AM17" i="199" s="1"/>
  <c r="AL18" i="199"/>
  <c r="AM18" i="199" s="1"/>
  <c r="AL19" i="199"/>
  <c r="AM19" i="199" s="1"/>
  <c r="AL24" i="199"/>
  <c r="AM24" i="199" s="1"/>
  <c r="AL25" i="199"/>
  <c r="AM25" i="199" s="1"/>
  <c r="AL27" i="199"/>
  <c r="AM27" i="199" s="1"/>
  <c r="AL29" i="199"/>
  <c r="AM29" i="199" s="1"/>
  <c r="AL30" i="199"/>
  <c r="AM30" i="199" s="1"/>
  <c r="AL31" i="199"/>
  <c r="AM31" i="199" s="1"/>
  <c r="AL32" i="199"/>
  <c r="AM32" i="199" s="1"/>
  <c r="AL34" i="199"/>
  <c r="AM34" i="199" s="1"/>
  <c r="AL35" i="199"/>
  <c r="AM35" i="199" s="1"/>
  <c r="AL36" i="199"/>
  <c r="AM36" i="199" s="1"/>
  <c r="AL37" i="199"/>
  <c r="AM37" i="199" s="1"/>
  <c r="AL39" i="199"/>
  <c r="AM39" i="199" s="1"/>
  <c r="AL40" i="199"/>
  <c r="AM40" i="199" s="1"/>
  <c r="AL43" i="199"/>
  <c r="AM43" i="199" s="1"/>
  <c r="AL45" i="199"/>
  <c r="AM45" i="199" s="1"/>
  <c r="AL49" i="199"/>
  <c r="AM49" i="199" s="1"/>
  <c r="AL52" i="199"/>
  <c r="AM52" i="199" s="1"/>
  <c r="AL56" i="199"/>
  <c r="AM56" i="199" s="1"/>
  <c r="AL58" i="199"/>
  <c r="AM58" i="199" s="1"/>
  <c r="AL59" i="199"/>
  <c r="AM59" i="199" s="1"/>
  <c r="AL61" i="199"/>
  <c r="AM61" i="199" s="1"/>
  <c r="AL65" i="199"/>
  <c r="AM65" i="199" s="1"/>
  <c r="AL69" i="199"/>
  <c r="AM69" i="199" s="1"/>
  <c r="AL70" i="199"/>
  <c r="AM70" i="199" s="1"/>
  <c r="AL73" i="199"/>
  <c r="AM73" i="199" s="1"/>
  <c r="AL74" i="199"/>
  <c r="AM74" i="199" s="1"/>
  <c r="AL76" i="199"/>
  <c r="AM76" i="199" s="1"/>
  <c r="AL78" i="199"/>
  <c r="AM78" i="199" s="1"/>
  <c r="AL84" i="199"/>
  <c r="AM84" i="199" s="1"/>
  <c r="AL85" i="199"/>
  <c r="AM85" i="199" s="1"/>
  <c r="AL87" i="199"/>
  <c r="AM87" i="199" s="1"/>
  <c r="AL88" i="199"/>
  <c r="AM88" i="199" s="1"/>
  <c r="AL89" i="199"/>
  <c r="AM89" i="199" s="1"/>
  <c r="AL90" i="199"/>
  <c r="AM90" i="199" s="1"/>
  <c r="AL92" i="199"/>
  <c r="AM92" i="199" s="1"/>
  <c r="AL93" i="199"/>
  <c r="AM93" i="199" s="1"/>
  <c r="AL95" i="199"/>
  <c r="AM95" i="199" s="1"/>
  <c r="AL96" i="199"/>
  <c r="AM96" i="199" s="1"/>
  <c r="AL98" i="199"/>
  <c r="AM98" i="199" s="1"/>
  <c r="AL100" i="199"/>
  <c r="AM100" i="199" s="1"/>
  <c r="AL102" i="199"/>
  <c r="AM102" i="199" s="1"/>
  <c r="AL105" i="199"/>
  <c r="AM105" i="199" s="1"/>
  <c r="AL108" i="199"/>
  <c r="AM108" i="199" s="1"/>
  <c r="AL109" i="199"/>
  <c r="AM109" i="199" s="1"/>
  <c r="AL110" i="199"/>
  <c r="AM110" i="199" s="1"/>
  <c r="AL112" i="199"/>
  <c r="AM112" i="199" s="1"/>
  <c r="AL114" i="199"/>
  <c r="AM114" i="199" s="1"/>
  <c r="AL115" i="199"/>
  <c r="AM115" i="199" s="1"/>
  <c r="AL117" i="199"/>
  <c r="AM117" i="199" s="1"/>
  <c r="AL118" i="199"/>
  <c r="AM118" i="199" s="1"/>
  <c r="AL119" i="199"/>
  <c r="AM119" i="199" s="1"/>
  <c r="AL122" i="199"/>
  <c r="AM122" i="199" s="1"/>
  <c r="AL124" i="199"/>
  <c r="AM124" i="199" s="1"/>
  <c r="AL126" i="199"/>
  <c r="AM126" i="199" s="1"/>
  <c r="AL129" i="199"/>
  <c r="AM129" i="199" s="1"/>
  <c r="AL130" i="199"/>
  <c r="AM130" i="199" s="1"/>
  <c r="AL132" i="199"/>
  <c r="AM132" i="199" s="1"/>
  <c r="AL136" i="199"/>
  <c r="AM136" i="199" s="1"/>
  <c r="AL137" i="199"/>
  <c r="AM137" i="199" s="1"/>
  <c r="AL141" i="199"/>
  <c r="AM141" i="199" s="1"/>
  <c r="AL149" i="199"/>
  <c r="AM149" i="199" s="1"/>
  <c r="AL150" i="199"/>
  <c r="AM150" i="199" s="1"/>
  <c r="AL151" i="199"/>
  <c r="AM151" i="199" s="1"/>
  <c r="AL153" i="199"/>
  <c r="AM153" i="199" s="1"/>
  <c r="AL156" i="199"/>
  <c r="AM156" i="199" s="1"/>
  <c r="AL161" i="199"/>
  <c r="AM161" i="199" s="1"/>
  <c r="AL167" i="199"/>
  <c r="AM167" i="199" s="1"/>
  <c r="AL168" i="199"/>
  <c r="AM168" i="199" s="1"/>
  <c r="AL169" i="199"/>
  <c r="AM169" i="199" s="1"/>
  <c r="AL173" i="199"/>
  <c r="AM173" i="199" s="1"/>
  <c r="AL181" i="199"/>
  <c r="AM181" i="199" s="1"/>
  <c r="AL185" i="199"/>
  <c r="AM185" i="199" s="1"/>
  <c r="AL5" i="199"/>
  <c r="AM5" i="199" s="1"/>
  <c r="AL7" i="199"/>
  <c r="AM7" i="199" s="1"/>
  <c r="AL22" i="199"/>
  <c r="AM22" i="199" s="1"/>
  <c r="AL33" i="199"/>
  <c r="AM33" i="199" s="1"/>
  <c r="AL53" i="199"/>
  <c r="AM53" i="199" s="1"/>
  <c r="AL57" i="199"/>
  <c r="AM57" i="199" s="1"/>
  <c r="AL63" i="199"/>
  <c r="AM63" i="199" s="1"/>
  <c r="AL79" i="199"/>
  <c r="AM79" i="199" s="1"/>
  <c r="AL80" i="199"/>
  <c r="AM80" i="199" s="1"/>
  <c r="AL97" i="199"/>
  <c r="AM97" i="199" s="1"/>
  <c r="AL127" i="199"/>
  <c r="AM127" i="199" s="1"/>
  <c r="AL128" i="199"/>
  <c r="AM128" i="199" s="1"/>
  <c r="AL134" i="199"/>
  <c r="AM134" i="199" s="1"/>
  <c r="AL138" i="199"/>
  <c r="AM138" i="199" s="1"/>
  <c r="AL140" i="199"/>
  <c r="AM140" i="199" s="1"/>
  <c r="AL144" i="199"/>
  <c r="AM144" i="199" s="1"/>
  <c r="AL145" i="199"/>
  <c r="AM145" i="199" s="1"/>
  <c r="AL146" i="199"/>
  <c r="AM146" i="199" s="1"/>
  <c r="AL164" i="199"/>
  <c r="AM164" i="199" s="1"/>
  <c r="AL179" i="199"/>
  <c r="AM179" i="199" s="1"/>
  <c r="AL8" i="199"/>
  <c r="AM8" i="199" s="1"/>
  <c r="AL152" i="199"/>
  <c r="AM152" i="199" s="1"/>
  <c r="AL171" i="199"/>
  <c r="AM171" i="199" s="1"/>
  <c r="AL72" i="199"/>
  <c r="AM72" i="199" s="1"/>
  <c r="AL75" i="199"/>
  <c r="AM75" i="199" s="1"/>
  <c r="AL111" i="199"/>
  <c r="AM111" i="199" s="1"/>
  <c r="AL135" i="199"/>
  <c r="AM135" i="199" s="1"/>
  <c r="AL143" i="199"/>
  <c r="AM143" i="199" s="1"/>
  <c r="AL9" i="199"/>
  <c r="AM9" i="199" s="1"/>
  <c r="AL10" i="199"/>
  <c r="AM10" i="199" s="1"/>
  <c r="AL20" i="199"/>
  <c r="AM20" i="199" s="1"/>
  <c r="AL21" i="199"/>
  <c r="AM21" i="199"/>
  <c r="AL23" i="199"/>
  <c r="AM23" i="199"/>
  <c r="AL26" i="199"/>
  <c r="AM26" i="199"/>
  <c r="AL28" i="199"/>
  <c r="AM28" i="199" s="1"/>
  <c r="AL38" i="199"/>
  <c r="AM38" i="199" s="1"/>
  <c r="AL41" i="199"/>
  <c r="AM41" i="199" s="1"/>
  <c r="AL42" i="199"/>
  <c r="AM42" i="199" s="1"/>
  <c r="AL44" i="199"/>
  <c r="AM44" i="199" s="1"/>
  <c r="AL46" i="199"/>
  <c r="AM46" i="199" s="1"/>
  <c r="AL47" i="199"/>
  <c r="AM47" i="199" s="1"/>
  <c r="AL48" i="199"/>
  <c r="AM48" i="199" s="1"/>
  <c r="AL50" i="199"/>
  <c r="AM50" i="199"/>
  <c r="AL51" i="199"/>
  <c r="AM51" i="199"/>
  <c r="AL54" i="199"/>
  <c r="AM54" i="199" s="1"/>
  <c r="AL55" i="199"/>
  <c r="AM55" i="199"/>
  <c r="AL60" i="199"/>
  <c r="AM60" i="199" s="1"/>
  <c r="AL62" i="199"/>
  <c r="AM62" i="199" s="1"/>
  <c r="AL64" i="199"/>
  <c r="AM64" i="199" s="1"/>
  <c r="AL66" i="199"/>
  <c r="AM66" i="199" s="1"/>
  <c r="AL67" i="199"/>
  <c r="AM67" i="199"/>
  <c r="AL68" i="199"/>
  <c r="AM68" i="199" s="1"/>
  <c r="AL71" i="199"/>
  <c r="AM71" i="199" s="1"/>
  <c r="AL77" i="199"/>
  <c r="AM77" i="199" s="1"/>
  <c r="AL81" i="199"/>
  <c r="AM81" i="199" s="1"/>
  <c r="AL82" i="199"/>
  <c r="AM82" i="199" s="1"/>
  <c r="AL83" i="199"/>
  <c r="AM83" i="199" s="1"/>
  <c r="AL86" i="199"/>
  <c r="AM86" i="199" s="1"/>
  <c r="AL91" i="199"/>
  <c r="AM91" i="199" s="1"/>
  <c r="AL94" i="199"/>
  <c r="AM94" i="199" s="1"/>
  <c r="AL99" i="199"/>
  <c r="AM99" i="199"/>
  <c r="AL101" i="199"/>
  <c r="AM101" i="199"/>
  <c r="AL103" i="199"/>
  <c r="AM103" i="199" s="1"/>
  <c r="AL104" i="199"/>
  <c r="AM104" i="199" s="1"/>
  <c r="AL106" i="199"/>
  <c r="AM106" i="199" s="1"/>
  <c r="AL107" i="199"/>
  <c r="AM107" i="199" s="1"/>
  <c r="AL113" i="199"/>
  <c r="AM113" i="199" s="1"/>
  <c r="AL116" i="199"/>
  <c r="AM116" i="199"/>
  <c r="AL120" i="199"/>
  <c r="AM120" i="199" s="1"/>
  <c r="AL121" i="199"/>
  <c r="AM121" i="199" s="1"/>
  <c r="AL123" i="199"/>
  <c r="AM123" i="199" s="1"/>
  <c r="AL125" i="199"/>
  <c r="AM125" i="199"/>
  <c r="AL131" i="199"/>
  <c r="AM131" i="199" s="1"/>
  <c r="AL133" i="199"/>
  <c r="AM133" i="199" s="1"/>
  <c r="AL139" i="199"/>
  <c r="AM139" i="199"/>
  <c r="AL142" i="199"/>
  <c r="AM142" i="199" s="1"/>
  <c r="AL147" i="199"/>
  <c r="AM147" i="199"/>
  <c r="AL148" i="199"/>
  <c r="AM148" i="199" s="1"/>
  <c r="AL154" i="199"/>
  <c r="AM154" i="199" s="1"/>
  <c r="AL155" i="199"/>
  <c r="AM155" i="199"/>
  <c r="AL157" i="199"/>
  <c r="AM157" i="199" s="1"/>
  <c r="AL158" i="199"/>
  <c r="AM158" i="199" s="1"/>
  <c r="AL159" i="199"/>
  <c r="AM159" i="199" s="1"/>
  <c r="AL160" i="199"/>
  <c r="AM160" i="199" s="1"/>
  <c r="AL162" i="199"/>
  <c r="AM162" i="199" s="1"/>
  <c r="AL163" i="199"/>
  <c r="AM163" i="199"/>
  <c r="AL165" i="199"/>
  <c r="AM165" i="199" s="1"/>
  <c r="AL166" i="199"/>
  <c r="AM166" i="199" s="1"/>
  <c r="AL170" i="199"/>
  <c r="AM170" i="199" s="1"/>
  <c r="AL172" i="199"/>
  <c r="AM172" i="199" s="1"/>
  <c r="AL174" i="199"/>
  <c r="AM174" i="199" s="1"/>
  <c r="AL175" i="199"/>
  <c r="AM175" i="199" s="1"/>
  <c r="AL176" i="199"/>
  <c r="AM176" i="199" s="1"/>
  <c r="AL177" i="199"/>
  <c r="AM177" i="199" s="1"/>
  <c r="AL178" i="199"/>
  <c r="AM178" i="199" s="1"/>
  <c r="AL180" i="199"/>
  <c r="AM180" i="199" s="1"/>
  <c r="AL182" i="199"/>
  <c r="AM182" i="199" s="1"/>
  <c r="AL183" i="199"/>
  <c r="AM183" i="199"/>
  <c r="AL184" i="199"/>
  <c r="AM184" i="199" s="1"/>
  <c r="J5" i="14"/>
  <c r="AL2" i="200"/>
  <c r="AM2" i="200" s="1"/>
  <c r="I11" i="14" l="1"/>
  <c r="J11" i="14" s="1"/>
  <c r="I10" i="14"/>
  <c r="J10" i="14" s="1"/>
  <c r="AG2" i="198" l="1"/>
  <c r="AH2" i="198" s="1"/>
  <c r="C2" i="198"/>
  <c r="B2" i="198"/>
  <c r="AL2" i="199"/>
  <c r="AM2" i="199" s="1"/>
  <c r="AM187" i="199" s="1"/>
  <c r="C2" i="199"/>
  <c r="B2" i="199"/>
  <c r="AH7" i="198" l="1"/>
  <c r="D8" i="14" s="1"/>
  <c r="D7" i="14"/>
  <c r="C2" i="200"/>
  <c r="B2" i="200"/>
  <c r="D6" i="14" l="1"/>
  <c r="B8" i="14" l="1"/>
  <c r="B7" i="14" l="1"/>
  <c r="B6" i="14" l="1"/>
  <c r="F2" i="14" l="1"/>
  <c r="I8" i="14"/>
  <c r="I12" i="14" s="1"/>
  <c r="J8" i="14" l="1"/>
  <c r="J12" i="14" s="1"/>
  <c r="D9" i="14" l="1"/>
  <c r="D10" i="14" s="1"/>
  <c r="D11" i="14" l="1"/>
  <c r="D12" i="14" s="1"/>
</calcChain>
</file>

<file path=xl/sharedStrings.xml><?xml version="1.0" encoding="utf-8"?>
<sst xmlns="http://schemas.openxmlformats.org/spreadsheetml/2006/main" count="10165" uniqueCount="2301">
  <si>
    <t>LÍNEA COMUNICACIONES S.A.S</t>
  </si>
  <si>
    <t>FACTURACIÓN CORRESPONSALES BANCARIOS TIQUIETES AEREOS</t>
  </si>
  <si>
    <t>FACTURACIÓN PROYECTO CB BANCOLOMBIA</t>
  </si>
  <si>
    <t>CONCEPTOS</t>
  </si>
  <si>
    <t>TRAYECTOS</t>
  </si>
  <si>
    <t>TOTAL</t>
  </si>
  <si>
    <t xml:space="preserve">% Administración </t>
  </si>
  <si>
    <t>CANTIDAD</t>
  </si>
  <si>
    <t>VALOR UNITARIO</t>
  </si>
  <si>
    <t>VALOR TOTAL</t>
  </si>
  <si>
    <t>INCIDENTE 2242568</t>
  </si>
  <si>
    <t>MEDELLIN- ISTMINA-MEDELLIN</t>
  </si>
  <si>
    <t>Adecuaciones CB</t>
  </si>
  <si>
    <t>INCIDENTE 2268184</t>
  </si>
  <si>
    <t>MEDELLIN-QUIBDO-MEDELLIN</t>
  </si>
  <si>
    <t>Incidentes</t>
  </si>
  <si>
    <t>Ordenes de Cambio</t>
  </si>
  <si>
    <t>Tiquetes</t>
  </si>
  <si>
    <t>SUBTOTAL</t>
  </si>
  <si>
    <t>Iva</t>
  </si>
  <si>
    <t>TARIFAS 2025</t>
  </si>
  <si>
    <t>Incremento 2025</t>
  </si>
  <si>
    <t xml:space="preserve">Tipificación </t>
  </si>
  <si>
    <t>Descripción</t>
  </si>
  <si>
    <t>Dia actividad Exitosa</t>
  </si>
  <si>
    <t>Dia actividad Fallida</t>
  </si>
  <si>
    <t>Tipo I</t>
  </si>
  <si>
    <t>Metropolitano</t>
  </si>
  <si>
    <t>Tipo II</t>
  </si>
  <si>
    <t>Hasta 3 horas</t>
  </si>
  <si>
    <t>Tipo III</t>
  </si>
  <si>
    <t>De 3 a 5 horas</t>
  </si>
  <si>
    <t>Tipo IV</t>
  </si>
  <si>
    <t>Más de 5 horas</t>
  </si>
  <si>
    <t>Destino aereo</t>
  </si>
  <si>
    <t>No incluye valor del Tiquete</t>
  </si>
  <si>
    <t>*Donde se requiera transporte aéreo o fluvial se factura adicional a tarifa TIPO IV el valor del tiquete + el 12% de admon.</t>
  </si>
  <si>
    <t>Gestión Telefónica</t>
  </si>
  <si>
    <t>Mts Acometida electrica</t>
  </si>
  <si>
    <t>Mts Acometida datos</t>
  </si>
  <si>
    <t>switche</t>
  </si>
  <si>
    <t>Router</t>
  </si>
  <si>
    <t>Envio operador Logistico</t>
  </si>
  <si>
    <t>ADECUACIONES</t>
  </si>
  <si>
    <t>NOMBRE CC</t>
  </si>
  <si>
    <t>Suma de VALOR</t>
  </si>
  <si>
    <t>Suma de VALOR2</t>
  </si>
  <si>
    <t>COORDINADOR</t>
  </si>
  <si>
    <t>CENTRO DE COSTOS LÍNEACOM</t>
  </si>
  <si>
    <t>%</t>
  </si>
  <si>
    <t>$</t>
  </si>
  <si>
    <t>VALOR</t>
  </si>
  <si>
    <t>Redeban Centro ( Bogotá)</t>
  </si>
  <si>
    <t>DIEGO FERNANDO HENAO CARDONA</t>
  </si>
  <si>
    <t>0004-0002</t>
  </si>
  <si>
    <t>Redeban Costa (Barranqullla)</t>
  </si>
  <si>
    <t>0004-0003</t>
  </si>
  <si>
    <t>Redeban Eje Cafetero (Pereira)</t>
  </si>
  <si>
    <t>JOSE MAURICIO HERNANDEZ ROJAS</t>
  </si>
  <si>
    <t>0004-0001</t>
  </si>
  <si>
    <t>Redeban Noroccidente (Medellín)</t>
  </si>
  <si>
    <t>JUAN SEBASTIÁN RÍOS CASTRILLÓN</t>
  </si>
  <si>
    <t>0004-0005</t>
  </si>
  <si>
    <t>Redeban Oriente (Otros)</t>
  </si>
  <si>
    <t>KEVIN ALEXIS CORZO BUSTOS</t>
  </si>
  <si>
    <t>0004-0007</t>
  </si>
  <si>
    <t>Redeban Santander</t>
  </si>
  <si>
    <t>MIGUEL JULIÁN HERNÁNDEZ GUARÍN</t>
  </si>
  <si>
    <t>0004-0008</t>
  </si>
  <si>
    <t>Redeban Suroccidente (Cali)</t>
  </si>
  <si>
    <t>WILLIAM ASDRUBAL ROZO ROZO</t>
  </si>
  <si>
    <t>0004-0004</t>
  </si>
  <si>
    <t>Total general</t>
  </si>
  <si>
    <t>INCIDENTES</t>
  </si>
  <si>
    <t>OC</t>
  </si>
  <si>
    <t>CIUDAD</t>
  </si>
  <si>
    <t>CÓDIGO DANE</t>
  </si>
  <si>
    <t>TA</t>
  </si>
  <si>
    <t>FO</t>
  </si>
  <si>
    <t>FECHA LISTA</t>
  </si>
  <si>
    <t>FECHA LIMITE</t>
  </si>
  <si>
    <t>FECHA SOLICITUD DE LA ACTIVIDAD</t>
  </si>
  <si>
    <t>FECHA INICIO DE LA ACTIVIDAD</t>
  </si>
  <si>
    <t>FECHA ULTIMA ACTUALIZACION</t>
  </si>
  <si>
    <t>DEPARTAMENTO</t>
  </si>
  <si>
    <t>NOMBRE PUNTO</t>
  </si>
  <si>
    <t>CÓDIGO PUNTO</t>
  </si>
  <si>
    <t>TIPO DE APERTURA</t>
  </si>
  <si>
    <t>ACTIVIDAD</t>
  </si>
  <si>
    <t>RED</t>
  </si>
  <si>
    <t>FORMATO</t>
  </si>
  <si>
    <t>CADENA</t>
  </si>
  <si>
    <t>ESTADO</t>
  </si>
  <si>
    <t>OBSERVACIONES CLIENTE</t>
  </si>
  <si>
    <t xml:space="preserve">NOMBRE DEL TECNICO </t>
  </si>
  <si>
    <t>TERMINALES</t>
  </si>
  <si>
    <t>PLACA DATAFONOS INSTALADOS</t>
  </si>
  <si>
    <t>PLACA DATAFONOS RETIRADOS</t>
  </si>
  <si>
    <t>PLACA LECTOR INSTALADO</t>
  </si>
  <si>
    <t xml:space="preserve"> PLACA LECTOR RETIRADO</t>
  </si>
  <si>
    <t>CANTIDAD ROLLOS ENTREGADOS</t>
  </si>
  <si>
    <t>TIPIFICACION</t>
  </si>
  <si>
    <t>TIPO DE TRAYECTO</t>
  </si>
  <si>
    <t>FORMA DE ATENCIÓN</t>
  </si>
  <si>
    <t>ACOMETIDA DATOS
(metros)</t>
  </si>
  <si>
    <t>ACOMETIDA ELECTRICA (metros)</t>
  </si>
  <si>
    <t>SWITCH</t>
  </si>
  <si>
    <t>ROUTER</t>
  </si>
  <si>
    <t>VISITAS</t>
  </si>
  <si>
    <t>VALOR DIAS ACTIVIDAD FACTURABLES</t>
  </si>
  <si>
    <t>VALOR FACTURABLE A BANCOLMBIA TECNOLOGIA</t>
  </si>
  <si>
    <t>MEDELLIN</t>
  </si>
  <si>
    <t>TA-25-680473</t>
  </si>
  <si>
    <t>FO-25-1006417</t>
  </si>
  <si>
    <t>CHOCO</t>
  </si>
  <si>
    <t>ISTMINA</t>
  </si>
  <si>
    <t>BARRIO CUBIS SEC MESETA ALTA ISTMINA CHOCO ISTMINA</t>
  </si>
  <si>
    <t>CB CRECIMIENTO - NUEVO</t>
  </si>
  <si>
    <t>APERTURA</t>
  </si>
  <si>
    <t>REDEBAN</t>
  </si>
  <si>
    <t>UNO A UNO</t>
  </si>
  <si>
    <t>EJECUTADO</t>
  </si>
  <si>
    <t>28-05 SE REALIZA LLAMADA AL CLIENTE, SE HABLA CON LA SRA JOAN AVENDAÑO DAZA SE VALIDA DIRECCIÓN OK, CANAL OK, DISPONIBILIDAD TOTAL, LLAMAR EL DÍA LA INSTALACIÓN PARA CONFIRMAR VISITA, AVISO EXTERIOR ALTURA APROX 2 METROS; TOMACORRIENTE CERCANO: SI; TIENE CABINA DE SEGURIDAD: SI 04-06 SE REALIZA INSTALACIÓN DE CORRESPONSAL, SE INSTALAN EQUIPOS CON PRUEBAS EXITOSAS, SE CAPACITA Y SE EVALÚA AL CLIENTE, SE INSTALA PUBLICIDAD COMPLETA, CB QUEDA OPERATIVO. USUARIO SOMOS BANCOLOMBIA ACTIVO. SE INSTALAN 10 MT DE CABLE UTP</t>
  </si>
  <si>
    <t>ROBLEDO DIAZ ANDRES FELIPE</t>
  </si>
  <si>
    <t>LMUZZ997</t>
  </si>
  <si>
    <t>N/A</t>
  </si>
  <si>
    <t>40 ROLLOS</t>
  </si>
  <si>
    <t>VISITA _TECNICA</t>
  </si>
  <si>
    <t>APARTADO</t>
  </si>
  <si>
    <t>TA-25-695256</t>
  </si>
  <si>
    <t>FO-25-1029598</t>
  </si>
  <si>
    <t>ANTIOQUIA</t>
  </si>
  <si>
    <t>TURBO</t>
  </si>
  <si>
    <t>BARRIO CGT NUEVA COLONIA TURBO ANTIOQUIA TURBO</t>
  </si>
  <si>
    <t>CB CRECIMIENTO - OTRAS LISTAS</t>
  </si>
  <si>
    <t>31-05 SE REALIZA LLAMADA AL CLIENTE, SE HABLA CON EL SR MAURICIO RIVERA ARIAS, SE VALIDA DIRECCIÓN OK, CANAL OK, DISPONIBILIDAD TOTAL, LLAMAR EL DÍA LA INSTALACIÓN PARA CONFIRMAR VISITA, AVISO EXTERIOR ALTURA APROX  DONDE EL TECNICO LO VEA CONVENIENTE  METROS; TOMACORRIENTE CERCANO: SI; TIENE CABINA DE SEGURIDAD:NO// MODEM  SE ENCUEN TRA A 10 METROS DE DISTANCIA  05-06 SE REALIZA LLAMADA A USUARIO PARA CONFIRMAR LA INSTALACIÓN DEL CORRESPONSAL,  USUARIO INFORMA DE NO PODER ATENDER POR NOVEDAD MEDICA DE LA ESPOSA, USUARIO PIDE POR FAVOR PROGRAMAR PARA LA PRÓXIMA SEMANA OK 11-06 SE REALIZA INSTALACIÓN DE CORRESPONSAL, SE INSTALAN EQUIPOS CON PRUEBAS EXITOSAS, SE CAPACITA Y SE EVALÚA AL CLIENTE, SE INSTALA PUBLICIDAD COMPLETA, CB QUEDA OPERATIVO. USUARIO SOMOS BANCOLOMBIA ACTIVO. SE INSTALAN 10 MT DE CABLE UTP</t>
  </si>
  <si>
    <t>JULIO TUBERQUIA JOSE SEBASTIAN</t>
  </si>
  <si>
    <t>10XZZ921</t>
  </si>
  <si>
    <t>CALI</t>
  </si>
  <si>
    <t>TA-25-721875</t>
  </si>
  <si>
    <t>FO-25-1062664</t>
  </si>
  <si>
    <t>VALLE DEL CAUCA</t>
  </si>
  <si>
    <t>GUACARI</t>
  </si>
  <si>
    <t>BARRIO EL FARO GUACARI  GUACARI</t>
  </si>
  <si>
    <t>9-06-2025 SE REALIZA LLAMADA AL CLIENTE, SE HABLA CON EL SR JORGE LUIS PEÑA CORTES SE VALIDA DIRECCIÓN OK, CANAL OK, DISPONIBILIDAD TOTAL, LLAMAR EL DÍA 10/6/2025 SE REALIZA INSTALACIÓN DE CORRESPONSAL, SE INSTALAN EQUIPOS CON PRUEBAS EXITOSAS, SE CAPACITA Y SE EVALÚA AL CLIENTE, SE INSTALA PUBLICIDAD COMPLETA, CB QUEDA OPERATIVO. USUARIO SOMOS BANCOLOMBIA ACTIVO. SE INSTALAN 17 MT DE CABLE UTP</t>
  </si>
  <si>
    <t>TORRES GARCIA JENDRY JOSE</t>
  </si>
  <si>
    <t>F1XZZ006</t>
  </si>
  <si>
    <t>TUNJA</t>
  </si>
  <si>
    <t>TA-25-721906</t>
  </si>
  <si>
    <t>FO-25-1062920</t>
  </si>
  <si>
    <t>BOYACA</t>
  </si>
  <si>
    <t>CHIQUINQUIRA</t>
  </si>
  <si>
    <t>BARRIO LA POLA CHIQUINQUIRA 2</t>
  </si>
  <si>
    <t>07-06 SE REALIZA LLAMADA AL CLIENTE, SE HABLA CON LA SRA KAROL MAITE GONZÁLEZ PORRAS  SE VALIDA DIRECCIÓN OK, CANAL OK, DISPONIBILIDAD TOTAL, LLAMAR EL DÍA LA INSTALACIÓN PARA CONFIRMAR VISITA, AVISO EXTERIOR ALTURA APROX 2.70 METROS; TOMACORRIENTE CERCANO: SI; TIENE CABINA DE SEGURIDAD: SI - EL MODEM ESTA A 8 MT  - COMUNICACIÓN POR WPP 10/6/2025 SE REALIZA INSTALACIÓN DE CORRESPONSAL, SE INSTALAN EQUIPOS CON PRUEBAS EXITOSAS, SE CAPACITA Y SE EVALÚA AL CLIENTE, SE INSTALA PUBLICIDAD COMPLETA, CB QUEDA OPERATIVO. USUARIO SOMOS BANCOLOMBIA ACTIVO. SE INSTALAN 15 MT DE CABLE UTP</t>
  </si>
  <si>
    <t>SOLER HOYOS CRISTIAN LEONARDO</t>
  </si>
  <si>
    <t>F1XZZ029</t>
  </si>
  <si>
    <t>TA-25-721931</t>
  </si>
  <si>
    <t>FO-25-1062997</t>
  </si>
  <si>
    <t>DAGUA</t>
  </si>
  <si>
    <t>BARRIO PRIMERO DE MAYO  DAGUA  DAGUA</t>
  </si>
  <si>
    <t>9-06-2025 SE REALIZA LLAMADA AL CLIENTE, SE HABLA CON LA SRA KIMBERLY MARTINEZ TORRES SE VALIDA DIRECCIÓN OK, CANAL OK, DISPONIBILIDAD TOTAL, LLAMAR EL DÍA LA INSTALACIÓN PARA CONFIRMAR VISITA, AVISO EXTERIOR ALTURA APROX 1,70 METROS; TOMACORRIENTE CERCANO: SI; TIENE CABINA DE SEGURIDAD: SI // CONTACTO REALIZADO POR LA APP 10-06 SE REALIZA INSTALACIÓN DE CORRESPONSAL, SE INSTALAN EQUIPOS CON PRUEBAS EXITOSAS, SE CAPACITA Y SE EVALÚA AL CLIENTE, SE INSTALA PUBLICIDAD COMPLETA, CB QUEDA OPERATIVO. USUARIO SOMOS BANCOLOMBIA ACTIVO. SE INSTALAN 10 MT DE CABLE UTP</t>
  </si>
  <si>
    <t>BOLAÑOS TABORDA JORGE ENRIQUE</t>
  </si>
  <si>
    <t>F1XZZ043</t>
  </si>
  <si>
    <t>BOGOTA</t>
  </si>
  <si>
    <t>TA-25-721993</t>
  </si>
  <si>
    <t>FO-25-1063185</t>
  </si>
  <si>
    <t>CUNDINAMARCA</t>
  </si>
  <si>
    <t>BARRIO LAS MARGARITAS BOGOTA  4</t>
  </si>
  <si>
    <t>07-06 SE REALIZA LLAMADA AL CLIENTE, SE HABLA CON LA SR LEONARDO SORIANO GALEANO SE VALIDA DIRECCIÓN OK, CANAL OK, DISPONIBILIDAD TOTAL, LLAMAR EL DÍA LA INSTALACIÓN PARA CONFIRMAR VISITA, AVISO EXTERIOR ALTURA: NO INDICA ALTURA; TOMACORRIENTE CERCANO: SI; TIENE CABINA DE SEGURIDAD: NO - EL MODEM ESTA A 10 MT  11/6/2025 SE REALIZA INSTALACIÓN DE CORRESPONSAL, SE INSTALAN EQUIPOS CON PRUEBAS EXITOSAS, SE CAPACITA Y SE EVALÚA AL CLIENTE, SE INSTALA PUBLICIDAD COMPLETA, CB QUEDA OPERATIVO. USUARIO SOMOS BANCOLOMBIA ACTIVO. SE INSTALAN 18 MT DE CABLE UTP</t>
  </si>
  <si>
    <t>GOMEZ VEGA DAVID SNEYDER</t>
  </si>
  <si>
    <t>F1XZZ090</t>
  </si>
  <si>
    <t>1238697-241587317561324755886660</t>
  </si>
  <si>
    <t>BUCARAMANGA</t>
  </si>
  <si>
    <t>TA-25-736405</t>
  </si>
  <si>
    <t>FO-25-1073947</t>
  </si>
  <si>
    <t>SANTANDER</t>
  </si>
  <si>
    <t>BARRIO CENTRO BUCARAMANGA BUCARAMANGA</t>
  </si>
  <si>
    <t>10-06 SE REALIZA LLAMADA AL CLIENTE, SE HABLA CON LA SR OMAR CARRILLO QUIÑONESSE VALIDA DIRECCIÓN OK, CANAL OK, DISPONIBILIDAD TOTAL, LLAMAR EL DÍA LA INSTALACIÓN PARA CONFIRMAR VISITA, AVISO EXTERIOR ALTURA APROX 2 METROS; TOMACORRIENTE CERCANO: SI; TIENE CABINA DE SEGURIDAD: NO  - COMUNICACION POR WPP 12/6/2025SE REALIZA INSTALACIÓN DE CORRESPONSAL, SE INSTALAN EQUIPOS CON PRUEBAS EXITOSAS, SE CAPACITA Y SE EVALÚA AL CLIENTE, SE INSTALA PUBLICIDAD COMPLETA, CB QUEDA OPERATIVO. USUARIO SOMOS BANCOLOMBIA ACTIVO. SE INSTALAN 10 MT DE CABLE UTP</t>
  </si>
  <si>
    <t>GONZALEZ ESTUPIÑAN YEISON WALTER ANTONIO</t>
  </si>
  <si>
    <t>FAUZZ210</t>
  </si>
  <si>
    <t>TA-25-736409</t>
  </si>
  <si>
    <t>FO-25-1073958</t>
  </si>
  <si>
    <t>GUADALAJARA DE BUGA</t>
  </si>
  <si>
    <t>BARRIO CENTRO GUADALAJARA DE BUGA GUADALAJARA DE BUGA</t>
  </si>
  <si>
    <t>11-06 SE REALIZA LLAMADA AL CLIENTE, SE HABLA CON EL SR JAVIER MAURICIO PLAZA VARGAS, SE VALIDA DIRECCIÓN OK, CANAL OK, DISPONIBILIDAD TOTAL, LLAMAR EL DÍA LA INSTALACIÓN PARA CONFIRMAR VISITA, AVISO EXTERIOR ALTURA APROX  3 METROS; TOMACORRIENTE CERCANO: SI; TIENE CABINA DE SEGURIDAD: NO- MODEM A 4 METROS 12-06 SE REALIZA INSTALACIÓN DE CORRESPONSAL, SE INSTALAN EQUIPOS CON PRUEBAS EXITOSAS, SE CAPACITA Y SE EVALÚA AL CLIENTE, SE INSTALA PUBLICIDAD COMPLETA, CB QUEDA OPERATIVO. USUARIO SOMOS BANCOLOMBIA ACTIVO. SE INSTALAN 20 MT DE CABLE UTP</t>
  </si>
  <si>
    <t>MONTERO MUESES GIAN CARLO</t>
  </si>
  <si>
    <t>FAUZZ213</t>
  </si>
  <si>
    <t>940518-241597317561324755900749</t>
  </si>
  <si>
    <t>TA-25-755918</t>
  </si>
  <si>
    <t>FO-25-1085436</t>
  </si>
  <si>
    <t>GIRON</t>
  </si>
  <si>
    <t>BARRIO VEREDA CHOCOITA SECTOR TRES ESQUINAS GIRON</t>
  </si>
  <si>
    <t>13-06 SE REALIZA LLAMADA AL CLIENTE, SE HABLA CON LA SR LIBARDO GOMEZ GOMEZ  SE VALIDA DIRECCIÓN OK, CANAL OK, DISPONIBILIDAD TOTAL, LLAMAR EL DÍA LA INSTALACIÓN PARA CONFIRMAR VISITA, AVISO EXTERIOR ALTURA APROX 3 METROS; TOMACORRIENTE CERCANO: SI; TIENE CABINA DE SEGURIDAD: NO - COMUNICACIÓN POR WPP - EL MODEM ESTA A 5 MT // SE DEBEN COMUNICAR POR WPP YA QUE LA SEÑAL ES MALA  16/6/2025 SE REALIZA INSTALACIÓN DE CORRESPONSAL, SE INSTALAN EQUIPOS CON PRUEBAS EXITOSAS, SE CAPACITA Y SE EVALÚA AL CLIENTE, SE INSTALA PUBLICIDAD COMPLETA, CB QUEDA OPERATIVO. USUARIO SOMOS BANCOLOMBIA ACTIVO. SE INSTALAN 12 MT DE CABLE UTP</t>
  </si>
  <si>
    <t>SANTOS GONZALEZ JOHAN FABIAN</t>
  </si>
  <si>
    <t>FAWZZ662</t>
  </si>
  <si>
    <t>PEREIRA</t>
  </si>
  <si>
    <t>TA-25-790519</t>
  </si>
  <si>
    <t>FO-25-1106940</t>
  </si>
  <si>
    <t>RISARALDA</t>
  </si>
  <si>
    <t>BARRIO BETULIA BAJA PEREIRA</t>
  </si>
  <si>
    <t>17-06 SE REALIZA LLAMADA AL CLIENTE, SE HABLA CON LA SRA NATHALI RIVERA MARTINEZ SE VALIDA DIRECCIÓN OK, CANAL OK, DISPONIBILIDAD TOTAL, LLAMAR EL DÍA LA INSTALACIÓN PARA CONFIRMAR VISITA, AVISO EXTERIOR ALTURA APROX 2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 SE INSTALAN 10 MT DE CABLE UTP</t>
  </si>
  <si>
    <t>ARROYAVE CANO MANUEL GUILLERMO</t>
  </si>
  <si>
    <t>SAVZZ109</t>
  </si>
  <si>
    <t>1071586-241597317561324755899579</t>
  </si>
  <si>
    <t>TA-25-790557</t>
  </si>
  <si>
    <t>FO-25-1107050</t>
  </si>
  <si>
    <t>BARRIO LAS MERCEDES BUCARAMANGA</t>
  </si>
  <si>
    <t>17-06 SE REALIZA LLAMADA AL CLIENTE, SE HABLA CON LA SRA FRANCEDID ESTEPA SE VALIDA DIRECCIÓN OK, CANAL OK, DISPONIBILIDAD TOTAL, LLAMAR EL DÍA LA INSTALACIÓN PARA CONFIRMAR VISITA, AVISO EXTERIOR ALTURA APROX 3 METROS; TOMACORRIENTE CERCANO: SI; TIENE CABINA DE SEGURIDAD: SI  - COMUNICACIÓN POR WPP 19/6/2025 SE REALIZA INSTALACIÓN DE CORRESPONSAL, SE INSTALAN EQUIPOS CON PRUEBAS EXITOSAS, SE CAPACITA Y SE EVALÚA AL CLIENTE, SE INSTALA PUBLICIDAD COMPLETA, CB QUEDA OPERATIVO. USUARIO SOMOS BANCOLOMBIA ACTIVO. SE INSTALAN 10 MT DE CABLE UTP</t>
  </si>
  <si>
    <t>SAVZZ135</t>
  </si>
  <si>
    <t>TA-25-790574</t>
  </si>
  <si>
    <t>FO-25-1107071</t>
  </si>
  <si>
    <t>MOSQUERA</t>
  </si>
  <si>
    <t>BARRIO EL POBLADO MOSQUERA  5</t>
  </si>
  <si>
    <t>18-06 SE REALIZA LLAMADA AL CLIENTE, SE HABLA CON LA SRA NORMA KRISTYNNA MONTEALEGRE QUINTANA SE VALIDA DIRECCIÓN OK, CANAL OK, DISPONIBILIDAD TOTAL, LLAMAR EL DÍA LA INSTALACIÓN PARA CONFIRMAR VISITA, AVISO EXTERIOR ALTURA APROX 2 METROS; TOMACORRIENTE CERCANO: SI; TIENE CABINA DE SEGURIDAD: NO - COMUNICACION POR WPP - EL MODEM ESTA A 8 MT  20/6/2025 SE REALIZA INSTALACIÓN DE CORRESPONSAL, SE INSTALAN EQUIPOS CON PRUEBAS EXITOSAS, SE CAPACITA Y SE EVALÚA AL CLIENTE, SE INSTALA PUBLICIDAD COMPLETA, CB QUEDA OPERATIVO. USUARIO SOMOS BANCOLOMBIA ACTIVO. SE INSTALAN 13 MT DE CABLE UTP</t>
  </si>
  <si>
    <t>VEGA MANRIQUE JONATAN MAURICIO</t>
  </si>
  <si>
    <t>SAVZZ140</t>
  </si>
  <si>
    <t>1238706-243637317561365457309488</t>
  </si>
  <si>
    <t>TA-25-799030</t>
  </si>
  <si>
    <t>FO-25-1128521</t>
  </si>
  <si>
    <t>OIBA</t>
  </si>
  <si>
    <t>BARRIO POIMA OIBA OIBA</t>
  </si>
  <si>
    <t>21-06 SE REALIZA LLAMADA AL CLIENTE, SE HABLA CON LA SRA SANDRA MILENA PABON SILVA, SE VALIDA DIRECCIÓN OK, CANAL OK, DISPONIBILIDAD TOTAL, LLAMAR EL DÍA LA INSTALACIÓN PARA CONFIRMAR VISITA, AVISO EXTERIOR ALTURA APROX  1,50 METROS; TOMACORRIENTE CERCANO: SI; TIENE CABINA DE SEGURIDAD: NO// TOMACORRIENTE A 6 METROS  25/6/2025 SE REALIZA INSTALACIÓN DE CORRESPONSAL, SE INSTALAN EQUIPOS CON PRUEBAS EXITOSAS, SE CAPACITA Y SE EVALÚA AL CLIENTE, SE INSTALA PUBLICIDAD COMPLETA, CB QUEDA OPERATIVO. USUARIO SOMOS BANCOLOMBIA ACTIVO. SE INSTALAN 10 MT DE CABLE UTP</t>
  </si>
  <si>
    <t>GELVEZ MOGOLLON JOSE ELISEO</t>
  </si>
  <si>
    <t>SAXZZ451</t>
  </si>
  <si>
    <t>TA-25-799038</t>
  </si>
  <si>
    <t>FO-25-1128558</t>
  </si>
  <si>
    <t>RIONEGRO</t>
  </si>
  <si>
    <t>BARRIO CENTRO RIONEGRO 3</t>
  </si>
  <si>
    <t>24-06-2025 SE REALIZA LLAMADA AL CLIENTE, SE HABLA CON LA SRA LIZY ANDREA JAIMES OLAVE  SE VALIDA DIRECCIÓN OK, CANAL OK, DISPONIBILIDAD TOTAL, LLAMAR EL DÍA LA INSTALACIÓN PARA CONFIRMAR VISITA, AVISO EXTERIOR ALTURA APROX CLIENTE NO TIENE CONOCIMIENTO DE MEDIDAS; TOMACORRIENTE CERCANO: SI; TIENE CABINA DE SEGURIDAD: SI // CONTACTO REALIZADO POR LA APP // CLIENTE INDICA QUE SI NO CONTESTA POR LLAMADA, S ECOMUNIQUEN POR WHATSAPP QUE ES MAS FIJO 25/6/2025 SE REALIZA INSTALACIÓN DE CORRESPONSAL, SE INSTALAN EQUIPOS CON PRUEBAS EXITOSAS, SE CAPACITA Y SE EVALÚA AL CLIENTE, SE INSTALA PUBLICIDAD COMPLETA, CB QUEDA OPERATIVO. USUARIO SOMOS BANCOLOMBIA ACTIVO. SE INSTALAN 10  MT DE CABLE UTP</t>
  </si>
  <si>
    <t>SAXZZ458</t>
  </si>
  <si>
    <t>TA-25-799125</t>
  </si>
  <si>
    <t>FO-25-1128655</t>
  </si>
  <si>
    <t>BARRIO TUNJUELITO TUNJA 1</t>
  </si>
  <si>
    <t>24-06-2025 SE REALIZA LLAMADA AL CLIENTE, SE HABLA CON LA SRA DIANA ESPERANZA GONZÁLEZ IBAÑEZ  SE VALIDA DIRECCIÓN OK, CANAL OK, DISPONIBILIDAD TOTAL, LLAMAR EL DÍA LA INSTALACIÓN PARA CONFIRMAR VISITA, AVISO EXTERIOR ALTURA APROX 1,80 METROS; TOMACORRIENTE CERCANO: SI; TIENE CABINA DE SEGURIDAD: NO // CONTACTO REALIZADO POR LA APP 25/6/2025 SE REALIZA INSTALACIÓN DE CORRESPONSAL, SE INSTALAN EQUIPOS CON PRUEBAS EXITOSAS, SE CAPACITA Y SE EVALÚA AL CLIENTE, SE INSTALA PUBLICIDAD COMPLETA, CB QUEDA OPERATIVO. USUARIO SOMOS BANCOLOMBIA ACTIVO. SE INSTALAN 6 MT DE CABLE UTP</t>
  </si>
  <si>
    <t>SAXZZ466</t>
  </si>
  <si>
    <t>903638-243637317561365457310152</t>
  </si>
  <si>
    <t>TA-25-799143</t>
  </si>
  <si>
    <t>FO-25-1128724</t>
  </si>
  <si>
    <t>BARRIO COMUNEROS I CALI 2</t>
  </si>
  <si>
    <t>24-06-2025 SE REALIZA LLAMADA AL CLIENTE, SE HABLA CON LA ESPOSA DE SR CARLOS JAVIER LEFFA ZAMBRANO  SE VALIDA DIRECCIÓN OK, CANAL OK, DISPONIBILIDAD TOTAL, LLAMAR EL DÍA LA INSTALACIÓN PARA CONFIRMAR VISITA, AVISO EXTERIOR ALTURA APROX CLIENTE NO TIENE CONOCIMIENTO DE MEDIDAS; TOMACORRIENTE CERCANO: SI; TIENE CABINA DE SEGURIDAD: SI // CONTACTO REALIZADO POR WHATSAPP 25/6/2025 SE REALIZA INSTALACIÓN DE CORRESPONSAL, SE INSTALAN EQUIPOS CON PRUEBAS EXITOSAS, SE CAPACITA Y SE EVALÚA AL CLIENTE, SE INSTALA PUBLICIDAD COMPLETA, CB QUEDA OPERATIVO. USUARIO SOMOS BANCOLOMBIA ACTIVO. SE INSTALA 6 MT DE CABLE UTP</t>
  </si>
  <si>
    <t>SAXZZ479</t>
  </si>
  <si>
    <t>TA-25-799158</t>
  </si>
  <si>
    <t>FO-25-1128788</t>
  </si>
  <si>
    <t>BARRIO CENTRO PEREIRA  48</t>
  </si>
  <si>
    <t>24-06 SE REALIZA LLAMADA AL CLIENTE, SE HABLA CON LA SRA YULI ANDREA BECERRA YA QUE  SR CARLOS ANDRES ARIZA GONZALEZ  NO SE ENCUENTRA  SE VALIDA DIRECCIÓN  OK, DISPONIBILIDAD TOTAL, LLAMAR EL DÍA LA INSTALACIÓN PARA CONFIRMAR VISITA, AVISO EXTERIOR ALTURA APROX 2.00  METROS; TOMA CORRIENTE CERCANO: SI; TIENE CABINA DE SEGURIDAD:   NO  , USUARIO   INDICA  QUE SE EL MODEN SE ENCUENTRA  10  METROS 26/6/2025 SE REALIZA INSTALACIÓN DE CORRESPONSAL, SE INSTALAN EQUIPOS CON PRUEBAS EXITOSAS, SE CAPACITA Y SE EVALÚA AL CLIENTE, SE INSTALA PUBLICIDAD COMPLETA, CB QUEDA OPERATIVO. USUARIO SOMOS BANCOLOMBIA ACTIVO. SE INSTALAN 15 MT DE CABLE UTP</t>
  </si>
  <si>
    <t>FRANCO CAÑAVERAL YAMID RAUL</t>
  </si>
  <si>
    <t>SAXZZ492</t>
  </si>
  <si>
    <t>1076556-241587317561324755887228</t>
  </si>
  <si>
    <t>TA-25-799214</t>
  </si>
  <si>
    <t>FO-25-1128965</t>
  </si>
  <si>
    <t>SANTO DOMINGO</t>
  </si>
  <si>
    <t>BARRIO CENTRO SANTO DOMINGO</t>
  </si>
  <si>
    <t>21-06 SE REALIZA LLAMADA AL CLIENTE, SE HABLA CON LA SR SANTIAGO RESTREPO CASTRILLON  SE VALIDA DIRECCIÓN OK, CANAL OK, DISPONIBILIDAD TOTAL, LLAMAR EL DÍA LA INSTALACIÓN PARA CONFIRMAR VISITA, AVISO EXTERIOR ALTURA APROX 3 METROS; TOMACORRIENTE CERCANO: SI; TIENE CABINA DE SEGURIDAD: NO - COMUNICACIÓN POR WPP 26/6/2025 ESCALAMOS NOVEDAD DE INSTALACIÓN. EN DIRECCIÓN TENEMOS LT LA MAQUINA VRD PORCESITO, PERO DOCUMENTO DE CÁMARA DE COMERCIO QUE NOS FACILITA USUARIO TIENE DIRECCIÓN CON NOMENCLATURA COMPLETA CALLE 39 64ª 35 INTERIOR 701 EN MEDELLIN. USUARIO INFORMA QUE ESA DIRECCIÓN ES DE LA OFICINA PRINCIPAL EN MEDELLIN. TAMBIÉN NOS FACILITA UNA FOTO DE UNA FACTURA DE UN PROVEEDOR DONDE SALE LA MISMA DIRECCIÓN EN MEDELLIN, PERO ABAJO SI DICE PORSECITO. 26/6/2025 SEGÚN LO CONVERSADO, SE EVIDENCIÓ QUE EN LA SEGUNDA HOJA DEL CERTIFICADO DE CÁMARA DE COMERCIO SE ENCUENTRA REGISTRADA LA DIRECCIÓN CORRECTA. POR LO TANTO, SE DEBE PROCEDER CON LA IMPLEMENTACIÓN DEL CB 3007080054. 26/6/2025 SE REALIZA INSTALACIÓN DE CORRESPONSAL, SE INSTALAN EQUIPOS CON PRUEBAS EXITOSAS, SE CAPACITA Y SE EVALÚA AL CLIENTE, SE INSTALA PUBLICIDAD COMPLETA, CB QUEDA OPERATIVO. USUARIO SOMOS BANCOLOMBIA ACTIVO. SE INSTALANN 12 MT DE CABLE UTP</t>
  </si>
  <si>
    <t>ZAPATA LOPEZ EDWARD ASDRUBAL</t>
  </si>
  <si>
    <t>SAXZZ525</t>
  </si>
  <si>
    <t>1238897-243627317561365457299638</t>
  </si>
  <si>
    <t>TA-25-799289</t>
  </si>
  <si>
    <t>FO-25-1129202</t>
  </si>
  <si>
    <t>BARRIO BELEN MEDELLIN 15</t>
  </si>
  <si>
    <t>21-06 SE REALIZA LLAMADA AL CLIENTE, SE HABLA CON LA SR MARTIN ALONSO HERNANDEZ LARREA SE VALIDA DIRECCIÓN OK, CANAL OK, DISPONIBILIDAD TOTAL, LLAMAR EL DÍA LA INSTALACIÓN PARA CONFIRMAR VISITA, AVISO EXTERIOR ALTURA APROX 3 METROS; TOMACORRIENTE CERCANO: SI; TIENE CABINA DE SEGURIDAD: NO - EL MODEM ESTA A 5 MT  26/6/2025 SE REALIZA INSTALACIÓN DE CORRESPONSAL, SE INSTALAN EQUIPOS CON PRUEBAS EXITOSAS, SE CAPACITA Y SE EVALÚA AL CLIENTE, SE INSTALA PUBLICIDAD COMPLETA, CB QUEDA OPERATIVO. USUARIO SOMOS BANCOLOMBIA ACTIVO. SE INSTALAN 7 MT DE CABLE UTP</t>
  </si>
  <si>
    <t>ALVAREZ ARENAS VICTOR HUGO</t>
  </si>
  <si>
    <t>SAXZZ563</t>
  </si>
  <si>
    <t>1238899-243627317561365457298717</t>
  </si>
  <si>
    <t>TA-25-799293</t>
  </si>
  <si>
    <t>FO-25-1129213</t>
  </si>
  <si>
    <t>BARRIO SAN DIEGO BOGOTA</t>
  </si>
  <si>
    <t>21-06 SE REALIZA LLAMADA AL CLIENTE, SE HABLA CON LA SR AARON EULICES AGUILERA JUNCA SE VALIDA DIRECCIÓN OK, CANAL OK, DISPONIBILIDAD TOTAL, LLAMAR EL DÍA LA INSTALACIÓN PARA CONFIRMAR VISITA, AVISO EXTERIOR ALTURA: NO INDICA ALTURA; TOMACORRIENTE CERCANO: SI; TIENE CABINA DE SEGURIDAD: NO - COMUNICACIÓN POR WPP / EL MODEM ESTA A 6 MT 25/6/2025 NOTA; ESTANDO EN SITIO EL COMERCIO INFORMA NO TENER PERMISO DE INSTALAR LA PUBLICIDAD EN LA PARTE EXTERIOR DEL LOCAL, PIDE SEA INSTALADO EN EL VIDRIO POR LA PARTE INTERNA SIN EL MARCO. DE ACUERDO A LA AUTORIZACIÓN VÍA WHATSAPP, SE INSTALA SEGÚN SOLICITUD DEL COMERCIO. SE REALIZA INSTALACIÓN DE CORRESPONSAL, SE INSTALAN EQUIPOS CON PRUEBAS EXITOSAS, SE CAPACITA Y SE EVALÚA AL CLIENTE, SE INSTALA PUBLICIDAD COMPLETA, CB QUEDA OPERATIVO. USUARIO SOMOS BANCOLOMBIA ACTIVO. SE INSTALAN 6 MT DE CABLE UTP</t>
  </si>
  <si>
    <t>SAXZZ565</t>
  </si>
  <si>
    <t>528124-241587317561324755886735</t>
  </si>
  <si>
    <t>TA-25-799295</t>
  </si>
  <si>
    <t>FO-25-1129221</t>
  </si>
  <si>
    <t>BARRIO BELMONTE PEREIRA 6</t>
  </si>
  <si>
    <t>24-06 SE REALIZA LLAMADA AL CLIENTE, SE HABLA CON LA SR ORLANDO ZAPATA OROZCO SE VALIDA DIRECCIÓN OK, CANAL OK, DISPONIBILIDAD TOTAL, LLAMAR EL DÍA LA INSTALACIÓN PARA CONFIRMAR VISITA, AVISO EXTERIOR ALTURA: NO INDICA ALTURA; TOMACORRIENTE CERCANO: SI; TIENE CABINA DE SEGURIDAD: NO - EL MODEM ESTA A 10 MT  25/6/2025 SE REALIZA INSTALACIÓN DE CORRESPONSAL, SE INSTALAN EQUIPOS CON PRUEBAS EXITOSAS, SE CAPACITA Y SE EVALÚA AL CLIENTE, SE INSTALA PUBLICIDAD COMPLETA, CB QUEDA OPERATIVO. USUARIO SOMOS BANCOLOMBIA ACTIVO</t>
  </si>
  <si>
    <t>SAXZZ567</t>
  </si>
  <si>
    <t>1217682-241597317561324755901244</t>
  </si>
  <si>
    <t>CUCUTA</t>
  </si>
  <si>
    <t>TA-25-721901</t>
  </si>
  <si>
    <t>FO-25-1062900</t>
  </si>
  <si>
    <t>NORTE DE SANTANDER</t>
  </si>
  <si>
    <t>OCAÑA</t>
  </si>
  <si>
    <t>BARRIO EDIFICIO MIRADORES DE LA COLINA OCAÑA</t>
  </si>
  <si>
    <t>07-06 SE REALIZA LLAMADA AL CLIENTE, SE HABLA CON LA S JULIO CESAR JAIME SEPÚLVEDA SE VALIDA DIRECCIÓN OK, CANAL OK, DISPONIBILIDAD TOTAL, LLAMAR EL DÍA LA INSTALACIÓN PARA CONFIRMAR VISITA, AVISO EXTERIOR ALTURA APROX 2.50 METROS; TOMACORRIENTE CERCANO: SI; TIENE CABINA DE SEGURIDAD: NO, EL MODEM ESTA A 6 MT - COMUNICACIÓN POR WPP 10-06 SE REALIZA INSTALACIÓN DE CORRESPONSAL, SE INSTALAN EQUIPOS CON PRUEBAS EXITOSAS, SE CAPACITA Y SE EVALÚA AL CLIENTE, SE INSTALA PUBLICIDAD COMPLETA, CB QUEDA OPERATIVO. USUARIO SOMOS BANCOLOMBIA ACTIVO. SE INSTALA SWITCH 224B0A0009381</t>
  </si>
  <si>
    <t>F1XZZ025</t>
  </si>
  <si>
    <t>TA-25-799178</t>
  </si>
  <si>
    <t>FO-25-1128861</t>
  </si>
  <si>
    <t>CAUCA</t>
  </si>
  <si>
    <t>SANTANDER DE QUILICHAO</t>
  </si>
  <si>
    <t>BARRIO CENTENARIO SANTANDER DE QUILICHAO 5</t>
  </si>
  <si>
    <t>24-06 SE REALIZA LLAMADA AL CLIENTE, SE HABLA CON LA SRA JUAN JOSE DELGADO ARIAS SE VALIDA DIRECCIÓN OK, CANAL OK, DISPONIBILIDAD TOTAL, LLAMAR EL DÍA LA INSTALACIÓN PARA CONFIRMAR VISITA, AVISO EXTERIOR ALTURA APROX 3 METROS; TOMACORRIENTE CERCANO: SI; TIENE CABINA DE SEGURIDAD: NO - COMUNICACIÓN POR WPP / EL MODEM NO TIENE PUERTO DISPONIBLES LLEVAR SWITCH 26/6/2025 SE REALIZA INSTALACIÓN DE CORRESPONSAL, SE INSTALAN EQUIPOS CON PRUEBAS EXITOSAS, SE CAPACITA Y SE EVALÚA AL CLIENTE, SE INSTALA PUBLICIDAD COMPLETA, CB QUEDA OPERATIVO. USUARIO SOMOS BANCOLOMBIA ACTIVO. SE INSTALA WITCH QS013CC000233</t>
  </si>
  <si>
    <t>SAXZZ504</t>
  </si>
  <si>
    <t>1233700-243637317561365457309861</t>
  </si>
  <si>
    <t>TA-25-755896</t>
  </si>
  <si>
    <t>FO-25-1085382</t>
  </si>
  <si>
    <t>SAN PABLO DE BORBUR</t>
  </si>
  <si>
    <t>BARRIO CHACARO SAN PABLO DE BORBUR</t>
  </si>
  <si>
    <t>13-06 SE REALIZA LLAMADA AL CLIENTE, SE HABLA CON LA SRA HEIDY TATIANA OSORIO RUEDA SE VALIDA DIRECCIÓN OK, CANAL OK, DISPONIBILIDAD TOTAL, LLAMAR EL DÍA LA INSTALACIÓN PARA CONFIRMAR VISITA, AVISO EXTERIOR ALTURA APROX CLEINTE NO TIENE CONOCIMIENTO DE MEDIDAS; TOMACORRIENTE CERCANO: SI; TIENE CABINA DE SEGURIDAD: NO // CONTACTO REALIZADO POR LA APP 16-06 ME ENCUENTRO EN RUTA HACIA LA ZONA DE CHIQUINQUIRÁ POR TEMAS DE TRASPORTE YA QUE NO ES MUY SEGUIDO NO SE LOGRARIA LLEGAR AL SITIO DE LA INSTALACION , EN COMUNICACIÓN CON EL CLIENTE LA SEÑORA TATIANA OSORIO AL NÚMERO CELULAR 3046464134 SE LE INDICA QUE SE ATENDERA ACTIVIDAD EL DÍA DE MAÑANA 17 JUNIO DEL 2025 EN TRANSCURSO DE DIA , CLIENTE CONFORME 17/6/2025 SE REALIZA INSTALACIÓN DE CORRESPONSAL, SE INSTALAN EQUIPOS CON PRUEBAS EXITOSAS, SE CAPACITA Y SE EVALÚA AL CLIENTE, SE INSTALA PUBLICIDAD COMPLETA, CB QUEDA OPERATIVO. USUARIO SOMOS BANCOLOMBIA ACTIVO. SE INTALO ROUTER E0682016411002194</t>
  </si>
  <si>
    <t>ALVARADO MORENO CRISTHIAN</t>
  </si>
  <si>
    <t>FAWZZ650</t>
  </si>
  <si>
    <t>NEIVA</t>
  </si>
  <si>
    <t>TA-25-755897</t>
  </si>
  <si>
    <t>FO-25-1085384</t>
  </si>
  <si>
    <t>CAQUETA</t>
  </si>
  <si>
    <t>FLORENCIA</t>
  </si>
  <si>
    <t>BARRIO COOPERATIVA FLORENCIA 1</t>
  </si>
  <si>
    <t>13-06 SE REALIZA LLAMADA AL CLIENTE, SE HABLA CON EL SR OINER RUIZ ALVAREZ  SE VALIDA DIRECCIÓN OK, CANAL OK, DISPONIBILIDAD TOTAL, LLAMAR EL DÍA LA INSTALACIÓN PARA CONFIRMAR VISITA, AVISO EXTERIOR ALTURA APROX 2 METROS; TOMACORRIENTE CERCANO: SI; TIENE CABINA DE SEGURIDAD: NO // CONTACTO REALIZADO POR LA APP 16-06 EN COMUNICACIÓN CON EL CLIENTE EL SEÑOR OINER RUIZ, AL NÚMERO 3115485300, INDICA QUE NOS PUEDE RECIBIR A PARTIR DE MAÑANA MARTES 17 DE JUNIO , EN EL TRANSCURSO DEL DIA.  17-06 SE REALIZA INSTALACIÓN DE CORRESPONSAL, SE INSTALAN EQUIPOS CON PRUEBAS EXITOSAS, SE CAPACITA Y SE EVALÚA AL CLIENTE, SE INSTALA PUBLICIDAD COMPLETA, CB QUEDA OPERATIVO. USUARIO SOMOS BANCOLOMBIA ACTIVO</t>
  </si>
  <si>
    <t>DEVIA REINOSO JUAN CARLOS</t>
  </si>
  <si>
    <t>FAWZZ651</t>
  </si>
  <si>
    <t>TA-25-684764</t>
  </si>
  <si>
    <t>FO-25-1033867</t>
  </si>
  <si>
    <t>SOGAMOSO</t>
  </si>
  <si>
    <t>BARRIO LA PRADERA SOGAMOSO  3</t>
  </si>
  <si>
    <t>30-05-2025 SE REALIZA LLAMADA AL CLIENTE, SE HABLA CON LA SRA LADIS ESPERANZA SOSA AMAROI SE VALIDA DIRECCIÓN OK, CANAL OK, DISPONIBILIDAD TOTAL, LLAMAR EL DÍA LA INSTALACIÓN PARA CONFIRMAR VISITA, AVISO EXTERIOR ALTURA APROX 3 METROS; TOMACORRIENTE CERCANO: SI; TIENE CABINA DE SEGURIDAD: NO // CONTACTO REALIZADO POR LA APP 3/6/2025 SE VISITA COMERCIO ,LA  INSTALACIÓN EL DIA DE HOY ES FALLIDA COMERCIO SIN COMUNICACION  RED DE INTERNET ,EL USUARIO INDICA QUE SE COMUNICARA CON EL PROVEDOR DEL INTERNET PARA QUE HABILITE LA  RED DE COMUNICACIÓN EN EL COMERCIO A INSTALAR , SE REPROGRAMA VISITA PARA EL DIA JUEVES 05 DE JUNIO DEL 2025 INDICA QUE PARA ESE DIA TENDRIA LISTO EL PUNTO DE INTERNET 5/6/2025 SE REALIZA INSTALACIÓN DE CORRESPONSAL, SE INSTALAN EQUIPOS CON PRUEBAS EXITOSAS, SE CAPACITA Y SE EVALÚA AL CLIENTE, SE INSTALA PUBLICIDAD COMPLETA, CB QUEDA OPERATIVO. USUARIO SOMOS BANCOLOMBIA ACTIVO</t>
  </si>
  <si>
    <t>SXUZZ181</t>
  </si>
  <si>
    <t>TA-25-684795</t>
  </si>
  <si>
    <t>FO-25-1050326</t>
  </si>
  <si>
    <t>BARBOSA</t>
  </si>
  <si>
    <t>BARRIO BARBOSA AUTOPISTA BARBOSA</t>
  </si>
  <si>
    <t xml:space="preserve">30-05 SE REALIZA LLAMADA AL CLIENTE, SE HABLA CON LA SRA LIZETH MARIANA GALINDO ORTIZ, SE VALIDA DIRECCIÓN OK, CANAL OK, DISPONIBILIDAD TOTAL, LLAMAR EL DÍA LA INSTALACIÓN PARA CONFIRMAR VISITA, AVISO EXTERIOR ALTURA APROX DONDE EL TECNICO LO VEA CONVENIENTE   METROS; TOMACORRIENTE CERCANO: SI; TIENE CABINA DE SEGURIDAD: NO 4/6/2025 LLEGAMOS A SITIO ENCONTRANDO OTRO PUNTO CERCANO A 30 METROS CODIGO 49691 PTM BARBOSA DROGUERÍA SE ESCALA CASO POR CERCANÍA DE 2 PUNTOS UNO DE AGREGADOR Y OTRO UNO A UNO. 05-06 ENTIDAD APRUEBA INSTALACIÓN 9/6/2025 SE REALIZA INSTALACIÓN DE CORRESPONSAL, SE INSTALAN EQUIPOS CON PRUEBAS EXITOSAS, SE CAPACITA Y SE EVALÚA AL CLIENTE, SE INSTALA PUBLICIDAD COMPLETA, CB QUEDA OPERATIVO. PLATAFORMA SOMOS BANCOLOMBIA CON CORREO ERRÓNEO, SE CAPACITA CON USUARIO DE PRUEBA </t>
  </si>
  <si>
    <t>BADEL ACUÑA LUIS ALBERTO</t>
  </si>
  <si>
    <t>SXUZZ149</t>
  </si>
  <si>
    <t>BARRANQUILLA</t>
  </si>
  <si>
    <t>TA-25-684828</t>
  </si>
  <si>
    <t>FO-25-1035630</t>
  </si>
  <si>
    <t>ATLANTICO</t>
  </si>
  <si>
    <t>BARRIO LA VICTORIA BARRANQUILLA  2</t>
  </si>
  <si>
    <t>30-05 SE REALIZA LLAMADA AL CLIENTE, SE HABLA CON LA SR LUIS GUILLERMO SERJE RAPELLO VALIDA DIRECCIÓN  OK, DISPONIBILIDAD TOTAL, LLAMAR EL DÍA LA INSTALACIÓN PARA CONFIRMAR VISITA, AVISO EXTERIOR ALTURA APROX 2.00  METROS; TOMACORRIENTE CERCANO: SI; TIENE CABINA DE SEGURIDAD:  USUARIO TIENE REJA   03-06 SE LOGRA COMUNICACION VÍA WASHAP AL NÚMERO 3008485338, Y ME CONTESTA LA SEÑORA MARIANELA CANTILLO, CON QUIÉN SE ACUERDA LLEGAR TIPO 11 AM PARA ATENDERME, SE LLAMA A SITIO, PERO NO CONTESTAN WASHAP, NO LE ENTRAN MENSAJES NI LLAMADAS , ES UN CONJUNTO CERRADO, PERO ME DICE EL VIGILANTE QUE ESTÁ A LA VUELTA ,SE DA LA VUELTA A LA MANZANA PERO NO SE LOGRA VER EL LOCAL, ME VOY A OTRO SITIO HACER OTRA ACTIVIDAD, Y AHORA EN LAS HORAS DE LA TARDE REGRESO, ESTÁ VEZ SI ME CONTESTAN LOS MENSAJES INDICANDOME QUE DÉBIDO AL PARO EN FUNDACIÓN, NO PUDO REGRESAR, QUE POR FAVOR REAGENDE LA VISITA PARA MAÑANA 4 DE JUNIO 4/6/2025 SE REALIZA INSTALACIÓN DE CORRESPONSAL, SE INSTALAN EQUIPOS CON PRUEBAS EXITOSAS, SE CAPACITA Y SE EVALÚA AL CLIENTE, SE INSTALA PUBLICIDAD COMPLETA, CB QUEDA OPERATIVO. USUARIO SOMOS BANCOLOMBIA ACTIVO</t>
  </si>
  <si>
    <t>DE AVILA SIADES ALBERTO ENRIQUE</t>
  </si>
  <si>
    <t>SXUZZ123</t>
  </si>
  <si>
    <t>TA-25-716040</t>
  </si>
  <si>
    <t>FO-25-1047078</t>
  </si>
  <si>
    <t>PTM BOGOTA MC RAM</t>
  </si>
  <si>
    <t>CB CRECIMIENTO ALIANZA - NUEVO</t>
  </si>
  <si>
    <t>AGREGADOR</t>
  </si>
  <si>
    <t>COMCARD - PTM</t>
  </si>
  <si>
    <t>EJECUTADO/CANCELADO</t>
  </si>
  <si>
    <t>05-06 PROGRAMACIÓN REALIZADA POR LA ALIANZA  6/6/2025 NO ES POSIBLE REALIZAR APERTURA YA QUE EL CLIENTE MANEJA MÁS CORRESPONSALES EN EL PUNTO</t>
  </si>
  <si>
    <t>SOTO LONDOÑO FREDY ALEXANDER</t>
  </si>
  <si>
    <t>V1YZZ430</t>
  </si>
  <si>
    <t>PASTO</t>
  </si>
  <si>
    <t>TA-25-716049</t>
  </si>
  <si>
    <t>FO-25-1047093</t>
  </si>
  <si>
    <t>NARIÑO</t>
  </si>
  <si>
    <t>PTM PASTO MAS BELLA PELUQUERIA</t>
  </si>
  <si>
    <t>CB CRECIMIENTO ALIANZA - OTRAS LISTAS</t>
  </si>
  <si>
    <t>05-06 PROGRAMACIÓN REALIZADA POR LA ALIANZA 6/6/2025 SE REALIZA VISITA DE APERTURA AL CB PTM CON CÓDIGO 3007078990 PTM PASTO MAS BELLA PELUQUERIA , DIRECCIÓN  CR 32 NO 16 A 07  , COORDENADAS  1.219494, -77.283634, PERO SE ENCUENTRA CERCANÍA CON  CORRESPONSAL UNO A UNO INSTALADO CON CÓDIGO 3007014514 BARRIO LAS AMERICAS V , DIRECCIÓN CR 32 NO 16 A 18,  COORDENADAS 1.219484, -77.283534, QUEDANDO A MENOS DE 10 MTS DE DISTANCIA UNO DEL OTRO,  SE REALIZA ESCALAMIENTO POR CERCANÍA EN ESPERA DE  COMO PROCEDER. 9/6/2025 ENTIDAD SOLICITA CANCELAR ACTIVIDAD</t>
  </si>
  <si>
    <t>REMICIO AMADO JOHN HEBER</t>
  </si>
  <si>
    <t>FATZZ360</t>
  </si>
  <si>
    <t>TA-25-722197</t>
  </si>
  <si>
    <t>FO-25-1078152</t>
  </si>
  <si>
    <t>LA UNION</t>
  </si>
  <si>
    <t>PTM LA UNION MAS BELLA FAJAS Y</t>
  </si>
  <si>
    <t>09-06 PROGRAMACIÓN REALIZADA POR LA ALIANZA 11/6/2025 SE REALIZA VISITA DE APERTURA AL CB PTM CON CÓDIGO 3007079724 PTM LA UNION MAS BELLA FAJAS , DIRECCIÓN  CL 13 CS 7 -54  , COORDENADAS  1.600294, -77.132148, PERO SE ENCUENTRA CERCANÍA CON  CORRESPONSAL DISTRICOL INSTALADO CON CÓDIGO 3007041205 DISTRICOL CYBERTRONICA , DIRECCIÓN CL 13 3 12,  COORDENADAS 1.600144,  -77.132003, QUEDANDO A MENOS DE 30 MTS DE DISTANCIA UNO DEL OTRO,  SE REALIZA ESCALAMIENTO POR CERCANÍA EN ESPERA DE  COMO PROCEDER. SE ANOTA QUE EL TECNICO AL LLEGAR INSPECCIONO LA ZONA DESDE LA ENTRADA PRINCIPAL DEL CB A INSTALAR Y NO ENCONTRO CERCANIA, PROCEDIO A INICIALIZAR EL EQUIPO, PERO AL PERCATARSE QUE ESTE TENIA OTRO INGRESO SE VALIDA HACIA ESA PARTE Y SE ENCUENTRA LA CERCANIA.  12/06/2025 ENTIDAD APRUEBA INSTALACIÓN 16/6/2025 SE REALIZA INSTALACIÓN DE CORRESPONSAL, SE INSTALAN EQUIPOS CON PRUEBAS EXITOSAS, SE CAPACITA Y SE EVALÚA AL CLIENTE, SE INSTALA PUBLICIDAD COMPLETA, CB QUEDA OPERATIVO. USUARIO SOMOS BANCOLOMBIA ACTIVO</t>
  </si>
  <si>
    <t>PAZ MARTINEZ RICHARD HUMBERTO</t>
  </si>
  <si>
    <t>F1WZZ970</t>
  </si>
  <si>
    <t>TA-25-722209</t>
  </si>
  <si>
    <t>FO-25-1063504</t>
  </si>
  <si>
    <t>PTM CALI PAPELERIA Y COMUNICAC</t>
  </si>
  <si>
    <t>09-06 PROGRAMACIÓN REALIZADA POR LA ALIANZA  10/6/2025  SE REALIZA VISITA AL PUNTO CB 3007079694 PTM CALI PAPELERIA Y COMUNICACIONES, PARA REALIZAR IMPLEMENTACIÓN ,PERO AL LLEGAR AL SITIO SE ENCUENTRA QUE ALLÍ EN LA DIRECCION REGISTRADA PARA LA APERTURA BANCOLOMBIA OPERA UN PUNTO CORRESPONSAL BANCO DE BOGOTA ACTIVO POR LO CUAL SE PROCEDE A REALIZAR CANCELACIÓN DE DICHA IMPLEMENTACIÓN Y SE GENERA EL REPORTE PERTINENTE, AL LLEGAR EL LOCAL SE ENCUENTRA CERRADO, SE INTENTA COMUNICACION CON EL CLIENTE PERO NO ATIENDE LAS LLAMADAS, SE LE DEJA MENSAJE DE LA NOVEDAD ENCONTRADA.</t>
  </si>
  <si>
    <t>SANCHEZ URREGO ROBINSON DAVID</t>
  </si>
  <si>
    <t>V1YZZ436</t>
  </si>
  <si>
    <t>IBAGUE</t>
  </si>
  <si>
    <t>TA-25-721955</t>
  </si>
  <si>
    <t>FO-25-1072237</t>
  </si>
  <si>
    <t>TOLIMA</t>
  </si>
  <si>
    <t>PURIFICACION</t>
  </si>
  <si>
    <t>BARRIO PLAZA DE FERIAS PURIFICACION</t>
  </si>
  <si>
    <t>06-06 SE REALIZA LLAMADA AL CLIENTE, SE HABLA CON LA SR ARIEL MARTINEZ PERALTA SE VALIDA DIRECCIÓN OK, CANAL OK, DISPONIBILIDAD TOTAL, LLAMAR EL DÍA LA INSTALACIÓN PARA CONFIRMAR VISITA, AVISO EXTERIOR ALTURA APROX 3.20 METROS; TOMACORRIENTE CERCANO: SI; TIENE CABINA DE SEGURIDAD: NO  10-6 SE VISITA COMERCIO PERO NO SE LOGRA TERMINAR LA ACTIVIDAD PORQUE EL USUARIO YA VA A CERRAR, SE DEBE CONTINUAR EL DIA SIGUIENTE 11-06 SE REALIZA INSTALACIÓN DE CORRESPONSAL, SE INSTALAN EQUIPOS CON PRUEBAS EXITOSAS, SE CAPACITA Y SE EVALÚA AL CLIENTE, SE INSTALA PUBLICIDAD COMPLETA, CB QUEDA OPERATIVO. USUARIO SOMOS BANCOLOMBIA ACTIVO</t>
  </si>
  <si>
    <t>GUTIERREZ  CAMILO ANDRES</t>
  </si>
  <si>
    <t>F1XZZ060</t>
  </si>
  <si>
    <t>TA-25-721958</t>
  </si>
  <si>
    <t>FO-25-1063081</t>
  </si>
  <si>
    <t>BARRIO EL CENTRO OCAÑA 8</t>
  </si>
  <si>
    <t>09-06 SE REALIZA LLAMADA AL CLIENTE, SE HABLA CON LA SRA LAURA SMIRTH LOPEZ RAMIREZ SE VALIDA DIRECCIÓN OK, CANAL OK, DISPONIBILIDAD TOTAL, LLAMAR EL DÍA LA INSTALACIÓN PARA CONFIRMAR VISITA, AVISO EXTERIOR ALTURA APROX 3 METROS; TOMACORRIENTE CERCANO: SI; TIENE CABINA DE SEGURIDAD: SI 10/6/2025 SE LLEGA AL SITIO   DE LA ORDEN, DONDE SE IDENTIFICA QUE A POCOS METROS SE ENCUENTRA YA UN CORRESPONSAL DE ALIANZA DISTRICOL  EN LA CALLE 10  #11-25 CENTRO OCAÑA  CB:47707 DISTRICOL PIÑATERIA  SE ESCALA APERTURA PARA CONFIRMAR SI PODEMOS PROCEDER CON LA ORDEN O SI CANCELARNOS.10/6/2025 ENTIDAD SOLIICTA NO IMPLEMENTAR</t>
  </si>
  <si>
    <t>F1XZZ062</t>
  </si>
  <si>
    <t>TA-25-741690</t>
  </si>
  <si>
    <t>FO-25-1084320</t>
  </si>
  <si>
    <t>SAN GIL</t>
  </si>
  <si>
    <t>PTM SAN GIL TIENDA DE ROPA SOY</t>
  </si>
  <si>
    <t>11-06 PROGRAMACIÓN REALIZADA POR LA ALIANZA 12/6/2025 SE LLEGA AL SITIO   DE LA ORDEN, DONDE SE IDENTIFICA QUE A POCOS METROS SE ENCUENTRA YA UN CORRESPONSAL EN LA CALLE 10  #10-54 SANGIL   CB:74611 BARRIO CENTRO SANGIL SE ESCALA APERTURA PARA CONFIRMAR SI PODEMOS PROCEDER CON LA ORDEN O SI CANCELARNOS. 13/6/2025 ENTIDAD SOLICITA CANCELAR ACTIVIDAD</t>
  </si>
  <si>
    <t>HERRERA LUQUE SAUL JAVIER</t>
  </si>
  <si>
    <t>FAVZZ675</t>
  </si>
  <si>
    <t>TA-25-736407</t>
  </si>
  <si>
    <t>FO-25-1073950</t>
  </si>
  <si>
    <t>EL CERRITO</t>
  </si>
  <si>
    <t>BARRIO CENTRO EL CERRITO 14</t>
  </si>
  <si>
    <t>11-06 SE REALIZA LLAMADA AL CLIENTE, SE HABLA CON EL SR JAVIER MAURICIO PLAZA VARGAS, SE VALIDA DIRECCIÓN OK, CANAL OK, DISPONIBILIDAD TOTAL, LLAMAR EL DÍA LA INSTALACIÓN PARA CONFIRMAR VISITA, AVISO EXTERIOR ALTURA APROX DONDE EL TECNICO LO VEA CONVENIENTE; TOMACORRIENTE CERCANO: SI; TIENE CABINA DE SEGURIDAD: NO 12/6/2025 SE CANCELA LA INSTALACIÓN SEL SERVICIO POR MOTIVO QUE EL COMERCIO TIENE INCONVENIENTE CON LA CONEXIÓN DE LA RED LAN. SE INTENTO COMUNICACION DE DIFERENTES FORMA Y VARIAS IP FIJAS Y NO FUE POSIBLE.  MÓDEM SE ENCUENTRA CONFIGURADO PADA CONEXIÓN BAJO IP FIJA. SE LE INDICA A EL COMERCIO QUE SE DEBE DE COMUNICAR CON EL OPERADOR DE RED PARA LA SOLUCIÓN DEL INCONVENIENTE.</t>
  </si>
  <si>
    <t>FAUZZ211</t>
  </si>
  <si>
    <t>TA-25-755889</t>
  </si>
  <si>
    <t>FO-25-1085356</t>
  </si>
  <si>
    <t>BARRIO CENTRO FLORENCIA 38</t>
  </si>
  <si>
    <t>13-06 SE REALIZA LLAMADA AL CLIENTE, SE HABLA CON EL SR JUAN CAMILO SANCHEZ SILVA  SE VALIDA DIRECCIÓN OK, CANAL OK, DISPONIBILIDAD TOTAL, LLAMAR EL DÍA LA INSTALACIÓN PARA CONFIRMAR VISITA, AVISO EXTERIOR ALTURA APROX 2,50 METROS; TOMACORRIENTE CERCANO: SI; TIENE CABINA DE SEGURIDAD: SI // CONTACTO REALIZADO POR LA APP 16-06 SE REALIZÓ VISITA PARA IMPLEMENTACIÓN DEL CB 79863, PERO SE EVIDENCIA QUE EL COMERCIO ESTA UBICADO EN LA CARRERA 16 # 15 – 37 EN UN LOCAL DE ESA DIRECCIÓN, SIN EMBARGO EL USUARIO INDICA QUE AHÍ LA DIRECCIÓN ES CARRERA 16 # 15 – 36, NOS ENTREGA CÁMARA DE COMERCIO Y RECIBO DE SERVICIOS PÚBLICOS Y ESTOS COINCIDEN, SE VALIDA  LA ACERA DONDE EL USUARIO INDICA Y ESTA ES LA ACERA  DONDE VAN LAS DIRECCIONES DE NÚMEROS IMPARES, TAMBIÉN SE VALIDAN EN LOS LOCALES QUE ESTÁN EN LA DIRECCIÓN Y SE EVIDENCIA QUE HAY UNO DICE QUE CARRERA 16 # 15 – 37 LOCAL 4,  ADEMÁS DONDE EL USUARIO DICE INSTALAR TIENE OTRO NOMBRE DE COMERCIO DIFERENTE AL QUE SE RELACIONA EN LISTA DE CHEQUEO. POR FAVOR NOS INDICAN COMO PROCEDER. 17/6/2025 SE CANCELA ACTIVIDAD POR DIRECCIÓN ERRADA</t>
  </si>
  <si>
    <t>FAWZZ645</t>
  </si>
  <si>
    <t>SINCELEJO</t>
  </si>
  <si>
    <t>TA-25-791004</t>
  </si>
  <si>
    <t>FO-25-1114527</t>
  </si>
  <si>
    <t>SUCRE</t>
  </si>
  <si>
    <t>DISTRICOL DROGAS C&amp;P</t>
  </si>
  <si>
    <t>DISTRICOL</t>
  </si>
  <si>
    <t>18-06 PROGRAMACIÓN REALIZADA POR LA ALIANZA 19/6/2025 NOTA: SE REALIZA VISITA PARA IMPLEMENTACIÓN CB 79913 BANCOLOMBIA, PERO SEGÚN LAS COORDENADAS TOMADAS POR  GOOGLE MAPS NOS DA UNA DIRECCIÓN DIFERENTE, EL COMERCIO INDICA QUE SIEMPRE HA ESTADO EN ESA DIRECCIÓN CR 17E # 42D 42 BRR NORMANDIA Y LA CÁMARA DE COMERCIO Y EL RECIBO DE SERVICIOS PÚBLICOS COINCIDEN CON LA DE LA LISTA DE CHEQUEO, SE VALIDA EN UNA CASA VECINA Y TIENE LA DIRECCIÓN CR 17E # 42D-62, ES DECIR QUE AL PARECER POR GOOGLE MAPS LA DIRECCIÓN ES ERRADA Y ES COMO LA QUE INDICA EN LISTA DE CHEQUEO Y EL USUARIO. 19-06 SE VISITA COMERCIO PARA LA INSTALACIÓN DEL CB, PERO NO ES POSIBLE REALIZAR LA INSTALACIÓN PORQUE NO CUENTA CON CANAL DE INTERNET EN SITIO, SE REPROGRAMA LA VISITA. 25/6/2025 SE REALIZA INSTALACIÓN DE CORRESPONSAL, SE INSTALAN EQUIPOS CON PRUEBAS EXITOSAS, SE CAPACITA Y SE EVALÚA AL CLIENTE, SE INSTALA PUBLICIDAD COMPLETA, CB QUEDA OPERATIVO. USUARIO SOMOS BANCOLOMBIA ACTIVO. LAS COORDENADAS TOMADAS EN EL COMERCIO NO COINCIDE  CON LA DIRECCIÓN.</t>
  </si>
  <si>
    <t>SANTOS GUZMAN CHRISTIAN FELIPE</t>
  </si>
  <si>
    <t>SAUZZ970</t>
  </si>
  <si>
    <t>TA-25-790517</t>
  </si>
  <si>
    <t>FO-25-1106932</t>
  </si>
  <si>
    <t>BARRIO BELEN LOS ALPES MEDELLIN 2</t>
  </si>
  <si>
    <t xml:space="preserve">17-06 SE REALIZA LLAMADA AL CLIENTE, SE HABLA CON LA SRA ZULAY RAMIREZ OSORNO SE VALIDA DIRECCIÓN OK, CANAL OK, DISPONIBILIDAD TOTAL, LLAMAR EL DÍA LA INSTALACIÓN PARA CONFIRMAR VISITA, AVISO EXTERIOR ALTURA APROX CLIENTE NO TIENE CONOCIMIENTO DE MEDIDAS; TOMACORRIENTE CERCANO: SI; TIENE CABINA DE SEGURIDAD: NO // CONTACTO REALIZADO POR LA APP 19/6/2025  SE LLEGA A PUNTO Y CLIENTE INDICA QUE NO TIENE INTERNET EN EL LOCAL DONDE VA A QUEDAR EL CORRESPONSAL, PIDE QUE SE APLACE VISITA HASTA GESTIONAR EL INTERNET </t>
  </si>
  <si>
    <t>SAVZZ107</t>
  </si>
  <si>
    <t>TA-25-799131</t>
  </si>
  <si>
    <t>FO-25-1128673</t>
  </si>
  <si>
    <t>GAMA</t>
  </si>
  <si>
    <t>BARRIO CENTRO GAMA 2</t>
  </si>
  <si>
    <t>24-06-2025 SE REALIZA LLAMADA AL CLIENTE, SE HABLA CON EL SR ELKIN ALFONSO RAMIREZ RODRIGUEZ  SE VALIDA DIRECCIÓN OK, CANAL OK, DISPONIBILIDAD TOTAL, LLAMAR EL DÍA LA INSTALACIÓN PARA CONFIRMAR VISITA, AVISO EXTERIOR ALTURA APROX 3 METROS MAX; TOMACORRIENTE CERCANO: SI; TIENE CABINA DE SEGURIDAD: SI // CONTACTO REALIZADO POR LA APP 26/6/2025 EN VISITA AL COMERCIO 3007080029 PARA REALIZAR APERTURA, SE ENCUENTRA QUE ESTA EN OTRA DIRECCIÓN CR 3 5-26, ANTES DE VIAJAR SE CONFIRMO DATOS DE LA DIRECCIÓN QUIEN CONFIRMÓ CL 3 5-42. ESTANDO EN SITIO EL COMERCIO SE ENCUENTRA UBICADO EN OTRO LADO, POR LO SIGUIENTE SE CANCELA INSTALACIÓN.DIRECCIÓN LISTA DE CHEQUEO: CL 3 5 42, CENTRO DIRECCIÓN COMERCIO:             CR 3 5-26  CÁMARA DE COMERCIO:          CR 3 4-46</t>
  </si>
  <si>
    <t>MURCIA HERNANDEZ HARVEY IGNACIO</t>
  </si>
  <si>
    <t>SAXZZ470</t>
  </si>
  <si>
    <t>TA-25-799217</t>
  </si>
  <si>
    <t>FO-25-1136294</t>
  </si>
  <si>
    <t>GACHANTIVA</t>
  </si>
  <si>
    <t>BARRIO VEREDA SAAVEDRA GACHANTIVA</t>
  </si>
  <si>
    <t>24-06 SE REALIZA LLAMADA AL CLIENTE, SE HABLA CON LA SRA  ERIKA LISBETH AMADOR CORTES  SE VALIDA DIRECCIÓN OK, CANAL OK, DISPONIBILIDAD TOTAL, LLAMAR EL DÍA LA INSTALACIÓN PARA CONFIRMAR VISITA, AVISO EXTERIOR ALTURA APROX 1.50 METROS; TOMACORRIENTE CERCANO: SI; TIENE CABINA DE SEGURIDAD: SI- COMUNICACIÓN POR WPP 25/6/2025 SE COMUNICA PREVIAMENTE CON CLIENTE AL NÚMERO TELEFÓNICO 3133391626 LA SEÑORA ERIKA CONFIRMA ATENCIÓN PARA APERTURA....SE LLEGA A SITIO Y COMERCIO SE ENCUENTRA SIN ENERGÍA SE DA ESPERA DOS HORA Y LA FALLA CONTINUA CLIENTE SOLICITA VISITAR EL DIA DE MAÑANA 26/6/2025 SE REALIZA INSTALACIÓN DE CORRESPONSAL, SE INSTALAN EQUIPOS CON PRUEBAS EXITOSAS, SE CAPACITA Y SE EVALÚA AL CLIENTE, SE INSTALA PUBLICIDAD COMPLETA, CB QUEDA OPERATIVO. USUARIO SOMOS BANCOLOMBIA ACTIVO</t>
  </si>
  <si>
    <t>GONZALEZ GONZALEZ MARIO ALBERTO</t>
  </si>
  <si>
    <t>SAXZZ527</t>
  </si>
  <si>
    <t>295354-709254</t>
  </si>
  <si>
    <t>TA-25-804002</t>
  </si>
  <si>
    <t>FO-25-1139009</t>
  </si>
  <si>
    <t>MULTIPAGAS  IBAGUE</t>
  </si>
  <si>
    <t>DATAFONO ADICIONAL - ALIANZA</t>
  </si>
  <si>
    <t>ROBUSTO</t>
  </si>
  <si>
    <t>MULTIPAGAS</t>
  </si>
  <si>
    <t>26-06 SE REALIZA LLAMADA AL CLIENTE, SE HABLA CON LA SRA Nudi Céspedes  SE VALIDA DIRECCIÓN OK, CANAL OK, DISPONIBILIDAD TOTAL, LLAMAR EL DÍA LA INSTALACIÓN PARA CONFIRMAR VISITA, 27/6/2025 SE VISITA CB MULTIPAGAS QUIEN ATIENDE LA SEÑORITA LUDY CESPEDES PERSONA ENCARGADA QUIEN INFORMA QUE NO NECESITA OTRO DATÁFONO ADICIONAL PARÁ EL PUNTO</t>
  </si>
  <si>
    <t>V1ZZZ967</t>
  </si>
  <si>
    <t>TA-25-680500</t>
  </si>
  <si>
    <t>FO-25-1027231</t>
  </si>
  <si>
    <t>BARRIO VILLA DEL LAGO CALI 2</t>
  </si>
  <si>
    <t>28-05 SE REALIZA LLAMADA AL CLIENTE, SE HABLA CON LA SRA DEISY (HIJA) SE VALIDA DIRECCIÓN OK, CANAL OK, DISPONIBILIDAD TOTAL, LLAMAR EL DÍA LA INSTALACIÓN PARA CONFIRMAR VISITA, AVISO EXTERIOR ALTURA: NO INDICA ALTURA; TOMACORRIENTE CERCANO: SI; TIENE CABINA DE SEGURIDAD: NO - COMUNICACIÓN POR WPP 30/5/2025 SE LLEGA AL PUNTO DESPUES DE LAS 4 PM YA QUE SE TUVO INCONVENIENTE CON VARIOS CAMBIOS DE EQUIPOS EN LA PRIMERA APERTURA, SE CONFIGURAN EQUIPOS PERO AL MOMENTO DE INICIALIZAR SE ENCUENTRA QUE LA TERMINAL NO ESTA EN BASE 24 , YA NO SE CUENTA CON SOPORTE DE REDEBAN, POR LO CUAL NO SE PUEDE LLEVAR A CABO LA APERTURA 3/6/2025 SE REALIZA INSTALACIÓN DE CORRESPONSAL, SE INSTALAN EQUIPOS CON PRUEBAS EXITOSAS, SE CAPACITA Y SE EVALÚA AL CLIENTE, SE INSTALA PUBLICIDAD COMPLETA, CB QUEDA OPERATIVO. USUARIO SOMOS BANCOLOMBIA ACTIVO</t>
  </si>
  <si>
    <t>HERRERA MONAR GEOVANNY</t>
  </si>
  <si>
    <t>10XZZ899</t>
  </si>
  <si>
    <t>TA-25-685028</t>
  </si>
  <si>
    <t>FO-25-1016701</t>
  </si>
  <si>
    <t>BARRIO LA ESTRELLA BOGOTA  2</t>
  </si>
  <si>
    <t>30-05 SE REALIZA LLAMADA AL CLIENTE, SE HABLA CON LA SR SNEIDER SAAVEDRA SAAVEDRA  SE VALIDA DIRECCIÓN OK, CANAL OK, DISPONIBILIDAD TOTAL, LLAMAR EL DÍA LA INSTALACIÓN PARA CONFIRMAR VISITA, AVISO EXTERIOR ALTURA APROX 2 METROS; TOMACORRIENTE CERCANO: SI; TIENE CABINA DE SEGURIDAD: SI - EL MODEM ESTA A 4 MT  03-06 SE REALIZA INSTALACIÓN DE CORRESPONSAL, SE INSTALAN EQUIPOS CON PRUEBAS EXITOSAS, SE CAPACITA Y SE EVALÚA AL CLIENTE, SE INSTALA PUBLICIDAD COMPLETA, CB QUEDA OPERATIVO. USUARIO SOMOS BANCOLOMBIA ACTIVO NOTA: SE SOLICITA AUTORIZACIÓN DE INSTALACIÓN DE COMBO  2600  CON MAGICBOX 241597317561324755896013 Y PINPAD, PERO AL INSTALAR EL PINPAD Y SOLICITAR EL CAMBIO DE EQUIPO , EL PINPAD NO FUNCIONA  5/6/2025 SE REALIZA INSTALACIÓN DE PINPAD PENDIENTE</t>
  </si>
  <si>
    <t>ROMERO ROJAS BREIDY JHOHAN</t>
  </si>
  <si>
    <t>SXUZZ131</t>
  </si>
  <si>
    <t>1076276-241597317561324755896013</t>
  </si>
  <si>
    <t>TA-25-721929</t>
  </si>
  <si>
    <t>FO-25-1072112</t>
  </si>
  <si>
    <t>BARRIO FLORENCIA BOGOTA 1</t>
  </si>
  <si>
    <t>06-06 SE REALIZA LLAMADA AL CLIENTE, SE HABLA CON EL SR RAUL MARTINEZ RAMOS  SE VALIDA DIRECCIÓN OK, CANAL OK, DISPONIBILIDAD TOTAL, LLAMAR EL DÍA LA INSTALACIÓN PARA CONFIRMAR VISITA, AVISO EXTERIOR ALTURA APROX  DONDE EL TECNICO LO VEA CONVENIENTE; TOMACORRIENTE CERCANO: SI; TIENE CABINA DE SEGURIDAD: SI 10/6/2025 SE VISITA COMERCIO POR APERTURA LA USUARIO YA TIENE INSTALO FLANGGER Y AVISO, INDICA QUE HACE 4 MESES ESTABA INSTALADO UN CORRESPONSAL ALLI PERO EL DUEÑO DEJO LA PUBLICDAD Y SE LLEVO LOS EQUIOPOS.INTENTAR REALIZAR TRANSACCIONES DE PRUEBA EL DATAFONO NO COMUNICA POR FALLA EN EL EQUIPO SE REALIZA CAMBIO DE EQUIPO MY EL EQUIPO CAMBIADO SE QUEDA EN RG Y NO PERMITE TRANSAR SE ESCALA CASO CON ÁREA ENCARGADA PERO POR LA HORA NO SE BRINDA SOLUCIÓN INMEDIATA SE INDICA A CLIENTE QUE SE CONTINUARÁ CON PROCESO DE INSTALACION EL DÍA DE MAÑANA CLIENTE ACEPTA Y SE FINALIZA ACTIVIDAD SIN MÁS NOVEDAD 11/6/2025 SE REALIZA INSTALACIÓN DE CORRESPONSAL, SE INSTALAN EQUIPOS CON PRUEBAS EXITOSAS, SE CAPACITA Y SE EVALÚA AL CLIENTE,NO SE INSTALA PUBLICIDAD USUARIO YA LA TENIA INSTALADA, CB QUEDA OPERATIVO. USUARIO SOMOS BANCOLOMBIA ACTIVO</t>
  </si>
  <si>
    <t>F1XZZ041</t>
  </si>
  <si>
    <t>COD. CIUDAD</t>
  </si>
  <si>
    <t>DESDE DONDE SE ATIENDE</t>
  </si>
  <si>
    <t>TIPO DE TRAYECTO NUEVO</t>
  </si>
  <si>
    <t>TIPOLOGIA NUEVA</t>
  </si>
  <si>
    <t>LA VICTORIA</t>
  </si>
  <si>
    <t>AMAZONAS</t>
  </si>
  <si>
    <t>AEREO</t>
  </si>
  <si>
    <t>TIPO IV ESPECIAL</t>
  </si>
  <si>
    <t>PUERTO SANTANDER</t>
  </si>
  <si>
    <t>EL ENCANTO</t>
  </si>
  <si>
    <t>LA CHORRERA</t>
  </si>
  <si>
    <t>LA PEDRERA</t>
  </si>
  <si>
    <t>LETICIA</t>
  </si>
  <si>
    <t>MIRITI - PARANA</t>
  </si>
  <si>
    <t>PUERTO ALEGRIA</t>
  </si>
  <si>
    <t>PUERTO ARICA</t>
  </si>
  <si>
    <t>PUERTO NARIÑO</t>
  </si>
  <si>
    <t>TARAPACA</t>
  </si>
  <si>
    <t>ARGELIA</t>
  </si>
  <si>
    <t>TERRESTRE</t>
  </si>
  <si>
    <t>TIPO IV</t>
  </si>
  <si>
    <t>ARMENIA</t>
  </si>
  <si>
    <t>TIPO II</t>
  </si>
  <si>
    <t>BETULIA</t>
  </si>
  <si>
    <t>TIPO III</t>
  </si>
  <si>
    <t>BRICEÑO</t>
  </si>
  <si>
    <t>CALDAS</t>
  </si>
  <si>
    <t>TIPO I</t>
  </si>
  <si>
    <t>CONCEPCION</t>
  </si>
  <si>
    <t>CONCORDIA</t>
  </si>
  <si>
    <t>GRANADA</t>
  </si>
  <si>
    <t>GUADALUPE</t>
  </si>
  <si>
    <t>JERICO</t>
  </si>
  <si>
    <t>SABANALARGA</t>
  </si>
  <si>
    <t>SAN CARLOS</t>
  </si>
  <si>
    <t>SAN FRANCISCO</t>
  </si>
  <si>
    <t>SAN LUIS</t>
  </si>
  <si>
    <t>SAN PEDRO DE LOS MILAGROS</t>
  </si>
  <si>
    <t>SANTA BARBARA</t>
  </si>
  <si>
    <t>TOLEDO</t>
  </si>
  <si>
    <t>VALPARAISO</t>
  </si>
  <si>
    <t>VENECIA</t>
  </si>
  <si>
    <t>ABEJORRAL</t>
  </si>
  <si>
    <t>ABRIAQUI</t>
  </si>
  <si>
    <t>ALEJANDRIA</t>
  </si>
  <si>
    <t>AMAGA</t>
  </si>
  <si>
    <t>AMALFI</t>
  </si>
  <si>
    <t>ANDES</t>
  </si>
  <si>
    <t>ANGELOPOLIS</t>
  </si>
  <si>
    <t>ANGOSTURA</t>
  </si>
  <si>
    <t>ANORI</t>
  </si>
  <si>
    <t>ANZA</t>
  </si>
  <si>
    <t>ARBOLETES</t>
  </si>
  <si>
    <t>MONTERIA</t>
  </si>
  <si>
    <t>BELLO</t>
  </si>
  <si>
    <t>BELMIRA</t>
  </si>
  <si>
    <t>BETANIA</t>
  </si>
  <si>
    <t>BURITICA</t>
  </si>
  <si>
    <t>CACERES</t>
  </si>
  <si>
    <t>CAICEDO</t>
  </si>
  <si>
    <t>CAMPAMENTO</t>
  </si>
  <si>
    <t>CAÑASGORDAS</t>
  </si>
  <si>
    <t>CARACOLI</t>
  </si>
  <si>
    <t>CARAMANTA</t>
  </si>
  <si>
    <t>CAREPA</t>
  </si>
  <si>
    <t>CAROLINA</t>
  </si>
  <si>
    <t>CAUCASIA</t>
  </si>
  <si>
    <t>CHIGORODO</t>
  </si>
  <si>
    <t>CISNEROS</t>
  </si>
  <si>
    <t>CIUDAD BOLIVAR</t>
  </si>
  <si>
    <t>COCORNA</t>
  </si>
  <si>
    <t>COPACABANA</t>
  </si>
  <si>
    <t>DABEIBA</t>
  </si>
  <si>
    <t>DON MATIAS</t>
  </si>
  <si>
    <t>EBEJICO</t>
  </si>
  <si>
    <t>EL BAGRE</t>
  </si>
  <si>
    <t>EL CARMEN DE VIBORAL</t>
  </si>
  <si>
    <t>EL SANTUARIO</t>
  </si>
  <si>
    <t>ENTRERRIOS</t>
  </si>
  <si>
    <t>ENVIGADO</t>
  </si>
  <si>
    <t>FREDONIA</t>
  </si>
  <si>
    <t>FRONTINO</t>
  </si>
  <si>
    <t>GIRALDO</t>
  </si>
  <si>
    <t>GIRARDOTA</t>
  </si>
  <si>
    <t>GOMEZ PLATA</t>
  </si>
  <si>
    <t>GUARNE</t>
  </si>
  <si>
    <t>GUATAPE</t>
  </si>
  <si>
    <t>HELICONIA</t>
  </si>
  <si>
    <t>HISPANIA</t>
  </si>
  <si>
    <t>ITAGUI</t>
  </si>
  <si>
    <t>ITUANGO</t>
  </si>
  <si>
    <t>JARDIN</t>
  </si>
  <si>
    <t>LA CEJA</t>
  </si>
  <si>
    <t>LA ESTRELLA</t>
  </si>
  <si>
    <t>LA PINTADA</t>
  </si>
  <si>
    <t>LIBORINA</t>
  </si>
  <si>
    <t>MACEO</t>
  </si>
  <si>
    <t>MARINILLA</t>
  </si>
  <si>
    <t>MONTEBELLO</t>
  </si>
  <si>
    <t>MURINDO</t>
  </si>
  <si>
    <t>FLUVIAL</t>
  </si>
  <si>
    <t>MUTATA</t>
  </si>
  <si>
    <t>NECHI</t>
  </si>
  <si>
    <t>NECOCLI</t>
  </si>
  <si>
    <t>OLAYA</t>
  </si>
  <si>
    <t>PEÑOL</t>
  </si>
  <si>
    <t>PEQUE</t>
  </si>
  <si>
    <t>PUEBLORRICO</t>
  </si>
  <si>
    <t>PUERTO BERRIO</t>
  </si>
  <si>
    <t>PUERTO NARE</t>
  </si>
  <si>
    <t>PUERTO TRIUNFO</t>
  </si>
  <si>
    <t>REMEDIOS</t>
  </si>
  <si>
    <t>RETIRO</t>
  </si>
  <si>
    <t>SABANETA</t>
  </si>
  <si>
    <t>SALGAR</t>
  </si>
  <si>
    <t>SAN ANDRES DE CUERQUIA</t>
  </si>
  <si>
    <t>SAN JERONIMO</t>
  </si>
  <si>
    <t>SAN JOSE DE LA MONTAÑA</t>
  </si>
  <si>
    <t>SAN JUAN DE URABA</t>
  </si>
  <si>
    <t>SAN PEDRO DE URABA</t>
  </si>
  <si>
    <t>SAN RAFAEL</t>
  </si>
  <si>
    <t>SAN ROQUE</t>
  </si>
  <si>
    <t>SAN VICENTE</t>
  </si>
  <si>
    <t>SANTA FE DE ANTIOQUIA</t>
  </si>
  <si>
    <t>SANTA ROSA DE OSOS</t>
  </si>
  <si>
    <t>SEGOVIA</t>
  </si>
  <si>
    <t>SONSON</t>
  </si>
  <si>
    <t>SOPETRAN</t>
  </si>
  <si>
    <t>TAMESIS</t>
  </si>
  <si>
    <t>TARAZA</t>
  </si>
  <si>
    <t>TARSO</t>
  </si>
  <si>
    <t>TITIRIBI</t>
  </si>
  <si>
    <t>URAMITA</t>
  </si>
  <si>
    <t>URRAO</t>
  </si>
  <si>
    <t>VALDIVIA</t>
  </si>
  <si>
    <t>VEGACHI</t>
  </si>
  <si>
    <t>VIGIA DEL FUERTE</t>
  </si>
  <si>
    <t>YALI</t>
  </si>
  <si>
    <t>YARUMAL</t>
  </si>
  <si>
    <t>YOLOMBO</t>
  </si>
  <si>
    <t>YONDO</t>
  </si>
  <si>
    <t>ZARAGOZA</t>
  </si>
  <si>
    <t>ARAUCA</t>
  </si>
  <si>
    <t>ARAUQUITA</t>
  </si>
  <si>
    <t>CRAVO NORTE</t>
  </si>
  <si>
    <t>FORTUL</t>
  </si>
  <si>
    <t>PUERTO RONDON</t>
  </si>
  <si>
    <t>SARAVENA</t>
  </si>
  <si>
    <t>TAME</t>
  </si>
  <si>
    <t>CANDELARIA</t>
  </si>
  <si>
    <t>PUERTO COLOMBIA</t>
  </si>
  <si>
    <t>BARANOA</t>
  </si>
  <si>
    <t>CAMPO DE LA CRUZ</t>
  </si>
  <si>
    <t>GALAPA</t>
  </si>
  <si>
    <t>JUAN DE ACOSTA</t>
  </si>
  <si>
    <t>LURUACO</t>
  </si>
  <si>
    <t>MALAMBO</t>
  </si>
  <si>
    <t>MANATI</t>
  </si>
  <si>
    <t>PALMAR DE VARELA</t>
  </si>
  <si>
    <t>PIOJO</t>
  </si>
  <si>
    <t>POLONUEVO</t>
  </si>
  <si>
    <t>PONEDERA</t>
  </si>
  <si>
    <t>REPELON</t>
  </si>
  <si>
    <t>SABANAGRANDE</t>
  </si>
  <si>
    <t>SANTA LUCIA</t>
  </si>
  <si>
    <t>SANTO TOMAS</t>
  </si>
  <si>
    <t>SOLEDAD</t>
  </si>
  <si>
    <t>SUAN</t>
  </si>
  <si>
    <t>TUBARA</t>
  </si>
  <si>
    <t>USIACURI</t>
  </si>
  <si>
    <t>CALAMAR</t>
  </si>
  <si>
    <t>BOLIVAR</t>
  </si>
  <si>
    <t>CARTAGENA</t>
  </si>
  <si>
    <t>CORDOBA</t>
  </si>
  <si>
    <t>EL PEÑON</t>
  </si>
  <si>
    <t>VALLEDUPAR</t>
  </si>
  <si>
    <t>MORALES</t>
  </si>
  <si>
    <t>SAN PABLO</t>
  </si>
  <si>
    <t>TERRESTRE/FLUVIAL</t>
  </si>
  <si>
    <t>SANTA ROSA</t>
  </si>
  <si>
    <t>VILLANUEVA</t>
  </si>
  <si>
    <t>ACHI</t>
  </si>
  <si>
    <t>ALTOS DEL ROSARIO</t>
  </si>
  <si>
    <t>ARENAL</t>
  </si>
  <si>
    <t>ARJONA</t>
  </si>
  <si>
    <t>ARROYOHONDO</t>
  </si>
  <si>
    <t>BARRANCO DE LOBA</t>
  </si>
  <si>
    <t>CANTAGALLO</t>
  </si>
  <si>
    <t>CICUCO</t>
  </si>
  <si>
    <t>CLEMENCIA</t>
  </si>
  <si>
    <t>EL CARMEN DE BOLIVAR</t>
  </si>
  <si>
    <t>EL GUAMO</t>
  </si>
  <si>
    <t>HATILLO DE LOBA</t>
  </si>
  <si>
    <t>MAGANGUE</t>
  </si>
  <si>
    <t>MAHATES</t>
  </si>
  <si>
    <t>MARGARITA</t>
  </si>
  <si>
    <t>MARIA LA BAJA</t>
  </si>
  <si>
    <t>MOMPOS</t>
  </si>
  <si>
    <t>MONTECRISTO</t>
  </si>
  <si>
    <t>NOROSI</t>
  </si>
  <si>
    <t>PINILLOS</t>
  </si>
  <si>
    <t>REGIDOR</t>
  </si>
  <si>
    <t>RIO VIEJO</t>
  </si>
  <si>
    <t>SAN CRISTOBAL</t>
  </si>
  <si>
    <t>SAN ESTANISLAO</t>
  </si>
  <si>
    <t>SAN FERNANDO</t>
  </si>
  <si>
    <t>SAN JACINTO</t>
  </si>
  <si>
    <t>SAN JACINTO DEL CAUCA</t>
  </si>
  <si>
    <t>SAN JUAN NEPOMUCENO</t>
  </si>
  <si>
    <t>SAN MARTIN DE LOBA</t>
  </si>
  <si>
    <t>SANTA CATALINA</t>
  </si>
  <si>
    <t>SANTA ROSA DEL SUR</t>
  </si>
  <si>
    <t>SIMITI</t>
  </si>
  <si>
    <t>SOPLAVIENTO</t>
  </si>
  <si>
    <t>TALAIGUA NUEVO</t>
  </si>
  <si>
    <t>TIQUISIO</t>
  </si>
  <si>
    <t>TURBACO</t>
  </si>
  <si>
    <t>TURBANA</t>
  </si>
  <si>
    <t>ZAMBRANO</t>
  </si>
  <si>
    <t>BELEN</t>
  </si>
  <si>
    <t>BUENAVISTA</t>
  </si>
  <si>
    <t>CIENAGA</t>
  </si>
  <si>
    <t>MIRAFLORES</t>
  </si>
  <si>
    <t>PAEZ</t>
  </si>
  <si>
    <t>SANTA MARIA</t>
  </si>
  <si>
    <t>ALMEIDA</t>
  </si>
  <si>
    <t>AQUITANIA</t>
  </si>
  <si>
    <t>ARCABUCO</t>
  </si>
  <si>
    <t>BERBEO</t>
  </si>
  <si>
    <t>BETEITIVA</t>
  </si>
  <si>
    <t>BOAVITA</t>
  </si>
  <si>
    <t>BUSBANZA</t>
  </si>
  <si>
    <t>CAMPOHERMOSO</t>
  </si>
  <si>
    <t>CERINZA</t>
  </si>
  <si>
    <t>CHINAVITA</t>
  </si>
  <si>
    <t>CHIQUIZA</t>
  </si>
  <si>
    <t>CHISCAS</t>
  </si>
  <si>
    <t>CHITA</t>
  </si>
  <si>
    <t>CHITARAQUE</t>
  </si>
  <si>
    <t>CHIVATA</t>
  </si>
  <si>
    <t>CHIVOR</t>
  </si>
  <si>
    <t>COMBITA</t>
  </si>
  <si>
    <t>COPER</t>
  </si>
  <si>
    <t>CORRALES</t>
  </si>
  <si>
    <t>COVARACHIA</t>
  </si>
  <si>
    <t>CUBARA</t>
  </si>
  <si>
    <t>CUCAITA</t>
  </si>
  <si>
    <t>CUITIVA</t>
  </si>
  <si>
    <t>DUITAMA</t>
  </si>
  <si>
    <t>EL COCUY</t>
  </si>
  <si>
    <t>EL ESPINO</t>
  </si>
  <si>
    <t>FIRAVITOBA</t>
  </si>
  <si>
    <t>FLORESTA</t>
  </si>
  <si>
    <t>GAMEZA</t>
  </si>
  <si>
    <t>GARAGOA</t>
  </si>
  <si>
    <t>GUACAMAYAS</t>
  </si>
  <si>
    <t>GUATEQUE</t>
  </si>
  <si>
    <t>GUAYATA</t>
  </si>
  <si>
    <t>GUICAN</t>
  </si>
  <si>
    <t>IZA</t>
  </si>
  <si>
    <t>JENESANO</t>
  </si>
  <si>
    <t>LA CAPILLA</t>
  </si>
  <si>
    <t>LA UVITA</t>
  </si>
  <si>
    <t>LABRANZAGRANDE</t>
  </si>
  <si>
    <t>MACANAL</t>
  </si>
  <si>
    <t>MARIPI</t>
  </si>
  <si>
    <t>MONGUA</t>
  </si>
  <si>
    <t>MONGUI</t>
  </si>
  <si>
    <t>MONIQUIRA</t>
  </si>
  <si>
    <t>MOTAVITA</t>
  </si>
  <si>
    <t>MUZO</t>
  </si>
  <si>
    <t>NOBSA</t>
  </si>
  <si>
    <t>NUEVO COLON</t>
  </si>
  <si>
    <t>OICATA</t>
  </si>
  <si>
    <t>OTANCHE</t>
  </si>
  <si>
    <t>PACHAVITA</t>
  </si>
  <si>
    <t>PAIPA</t>
  </si>
  <si>
    <t>PAJARITO</t>
  </si>
  <si>
    <t>YOPAL</t>
  </si>
  <si>
    <t>PANQUEBA</t>
  </si>
  <si>
    <t>PAUNA</t>
  </si>
  <si>
    <t>PAYA</t>
  </si>
  <si>
    <t>PAZ DE RIO</t>
  </si>
  <si>
    <t>PESCA</t>
  </si>
  <si>
    <t>PISBA</t>
  </si>
  <si>
    <t>PUERTO BOYACA</t>
  </si>
  <si>
    <t>QUIPAMA</t>
  </si>
  <si>
    <t>RAMIRIQUI</t>
  </si>
  <si>
    <t>RAQUIRA</t>
  </si>
  <si>
    <t>RONDON</t>
  </si>
  <si>
    <t>SABOYA</t>
  </si>
  <si>
    <t>SACHICA</t>
  </si>
  <si>
    <t>SAMACA</t>
  </si>
  <si>
    <t>SAN EDUARDO</t>
  </si>
  <si>
    <t>SAN JOSE DE PARE</t>
  </si>
  <si>
    <t>SAN LUIS DE GACENO</t>
  </si>
  <si>
    <t>SAN MATEO</t>
  </si>
  <si>
    <t>SAN MIGUEL DE SEMA</t>
  </si>
  <si>
    <t>SANTA ROSA DE VITERBO</t>
  </si>
  <si>
    <t>SANTA SOFIA</t>
  </si>
  <si>
    <t>SANTANA</t>
  </si>
  <si>
    <t>SATIVANORTE</t>
  </si>
  <si>
    <t>SATIVASUR</t>
  </si>
  <si>
    <t>SIACHOQUE</t>
  </si>
  <si>
    <t>SOATA</t>
  </si>
  <si>
    <t>SOCHA</t>
  </si>
  <si>
    <t>SOCOTA</t>
  </si>
  <si>
    <t>SOMONDOCO</t>
  </si>
  <si>
    <t>SORA</t>
  </si>
  <si>
    <t>SORACA</t>
  </si>
  <si>
    <t>SOTAQUIRA</t>
  </si>
  <si>
    <t>SUSACON</t>
  </si>
  <si>
    <t>SUTAMARCHAN</t>
  </si>
  <si>
    <t>SUTATENZA</t>
  </si>
  <si>
    <t>TASCO</t>
  </si>
  <si>
    <t>TENZA</t>
  </si>
  <si>
    <t>TIBANA</t>
  </si>
  <si>
    <t>TIBASOSA</t>
  </si>
  <si>
    <t>TINJACA</t>
  </si>
  <si>
    <t>TIPACOQUE</t>
  </si>
  <si>
    <t>TOCA</t>
  </si>
  <si>
    <t>TOGÜI</t>
  </si>
  <si>
    <t>TOPAGA</t>
  </si>
  <si>
    <t>TOTA</t>
  </si>
  <si>
    <t>TUNUNGUA</t>
  </si>
  <si>
    <t>TURMEQUE</t>
  </si>
  <si>
    <t>TUTA</t>
  </si>
  <si>
    <t>TUTAZA</t>
  </si>
  <si>
    <t>UMBITA</t>
  </si>
  <si>
    <t>VENTAQUEMADA</t>
  </si>
  <si>
    <t>VILLA DE LEYVA</t>
  </si>
  <si>
    <t>VIRACACHA</t>
  </si>
  <si>
    <t>ZETAQUIRA</t>
  </si>
  <si>
    <t>PALESTINA</t>
  </si>
  <si>
    <t>MANIZALES</t>
  </si>
  <si>
    <t>RIOSUCIO</t>
  </si>
  <si>
    <t>SALAMINA</t>
  </si>
  <si>
    <t>AGUADAS</t>
  </si>
  <si>
    <t>ANSERMA</t>
  </si>
  <si>
    <t>ARANZAZU</t>
  </si>
  <si>
    <t>BELALCAZAR</t>
  </si>
  <si>
    <t>CHINCHINA</t>
  </si>
  <si>
    <t>FILADELFIA</t>
  </si>
  <si>
    <t>LA DORADA</t>
  </si>
  <si>
    <t>LA MERCED</t>
  </si>
  <si>
    <t>MANZANARES</t>
  </si>
  <si>
    <t>MARMATO</t>
  </si>
  <si>
    <t>MARQUETALIA</t>
  </si>
  <si>
    <t>MARULANDA</t>
  </si>
  <si>
    <t>NEIRA</t>
  </si>
  <si>
    <t>NORCASIA</t>
  </si>
  <si>
    <t>PACORA</t>
  </si>
  <si>
    <t>PENSILVANIA</t>
  </si>
  <si>
    <t>SAMANA</t>
  </si>
  <si>
    <t>SAN JOSE</t>
  </si>
  <si>
    <t>SUPIA</t>
  </si>
  <si>
    <t>VICTORIA</t>
  </si>
  <si>
    <t>VILLAMARIA</t>
  </si>
  <si>
    <t>VITERBO</t>
  </si>
  <si>
    <t>ALBANIA</t>
  </si>
  <si>
    <t>PUERTO RICO</t>
  </si>
  <si>
    <t>BELEN DE LOS ANDAQUIES</t>
  </si>
  <si>
    <t>CARTAGENA DEL CHAIRA</t>
  </si>
  <si>
    <t>CURILLO</t>
  </si>
  <si>
    <t>EL DONCELLO</t>
  </si>
  <si>
    <t>EL PAUJIL</t>
  </si>
  <si>
    <t>LA MONTAÑITA</t>
  </si>
  <si>
    <t>MILAN</t>
  </si>
  <si>
    <t>MORELIA</t>
  </si>
  <si>
    <t>SAN JOSE DEL FRAGUA</t>
  </si>
  <si>
    <t>SAN VICENTE DEL CAGUAN</t>
  </si>
  <si>
    <t>TERRESTRE / AEREO</t>
  </si>
  <si>
    <t>SOLANO</t>
  </si>
  <si>
    <t>SOLITA</t>
  </si>
  <si>
    <t>CASANARE</t>
  </si>
  <si>
    <t>VILLAVICENCIO</t>
  </si>
  <si>
    <t>AGUAZUL</t>
  </si>
  <si>
    <t>CHAMEZA</t>
  </si>
  <si>
    <t>HATO COROZAL</t>
  </si>
  <si>
    <t>LA SALINA</t>
  </si>
  <si>
    <t>MANI</t>
  </si>
  <si>
    <t>MONTERREY</t>
  </si>
  <si>
    <t>NUNCHIA</t>
  </si>
  <si>
    <t>OROCUE</t>
  </si>
  <si>
    <t>PAZ DE ARIPORO</t>
  </si>
  <si>
    <t>PORE</t>
  </si>
  <si>
    <t>RECETOR</t>
  </si>
  <si>
    <t>SACAMA</t>
  </si>
  <si>
    <t>SAN LUIS DE PALENQUE</t>
  </si>
  <si>
    <t>TAMARA</t>
  </si>
  <si>
    <t>TAURAMENA</t>
  </si>
  <si>
    <t>TRINIDAD</t>
  </si>
  <si>
    <t>BALBOA</t>
  </si>
  <si>
    <t>EL TAMBO</t>
  </si>
  <si>
    <t>LA VEGA</t>
  </si>
  <si>
    <t>SUAREZ</t>
  </si>
  <si>
    <t>ALMAGUER</t>
  </si>
  <si>
    <t>BUENOS AIRES</t>
  </si>
  <si>
    <t>CAJIBIO</t>
  </si>
  <si>
    <t>CALDONO</t>
  </si>
  <si>
    <t>CALOTO</t>
  </si>
  <si>
    <t>CORINTO</t>
  </si>
  <si>
    <t>GUACHENE</t>
  </si>
  <si>
    <t>GUAPI</t>
  </si>
  <si>
    <t>INZA</t>
  </si>
  <si>
    <t>JAMBALO</t>
  </si>
  <si>
    <t>LA SIERRA</t>
  </si>
  <si>
    <t>LOPEZ</t>
  </si>
  <si>
    <t>MERCADERES</t>
  </si>
  <si>
    <t>MIRANDA</t>
  </si>
  <si>
    <t>PADILLA</t>
  </si>
  <si>
    <t>PATIA</t>
  </si>
  <si>
    <t>PIAMONTE</t>
  </si>
  <si>
    <t>PIENDAMO</t>
  </si>
  <si>
    <t>POPAYAN</t>
  </si>
  <si>
    <t>PUERTO TEJADA</t>
  </si>
  <si>
    <t>PURACE</t>
  </si>
  <si>
    <t>ROSAS</t>
  </si>
  <si>
    <t>SAN SEBASTIAN</t>
  </si>
  <si>
    <t>SILVIA</t>
  </si>
  <si>
    <t>SOTARA</t>
  </si>
  <si>
    <t>TIMBIO</t>
  </si>
  <si>
    <t>TIMBIQUI</t>
  </si>
  <si>
    <t>TORIBIO</t>
  </si>
  <si>
    <t>TOTORO</t>
  </si>
  <si>
    <t>VILLA RICA</t>
  </si>
  <si>
    <t>LA PAZ</t>
  </si>
  <si>
    <t>CESAR</t>
  </si>
  <si>
    <t>MANAURE</t>
  </si>
  <si>
    <t>SAN MARTIN</t>
  </si>
  <si>
    <t>AGUACHICA</t>
  </si>
  <si>
    <t>AGUSTIN CODAZZI</t>
  </si>
  <si>
    <t>ASTREA</t>
  </si>
  <si>
    <t>BECERRIL</t>
  </si>
  <si>
    <t>BOSCONIA</t>
  </si>
  <si>
    <t>CHIMICHAGUA</t>
  </si>
  <si>
    <t>CHIRIGUANA</t>
  </si>
  <si>
    <t>CURUMANI</t>
  </si>
  <si>
    <t>EL COPEY</t>
  </si>
  <si>
    <t>EL PASO</t>
  </si>
  <si>
    <t>GAMARRA</t>
  </si>
  <si>
    <t>GONZALEZ</t>
  </si>
  <si>
    <t>LA GLORIA</t>
  </si>
  <si>
    <t>LA JAGUA DE IBIRICO</t>
  </si>
  <si>
    <t>PAILITAS</t>
  </si>
  <si>
    <t>PELAYA</t>
  </si>
  <si>
    <t>PUEBLO BELLO</t>
  </si>
  <si>
    <t>RIO DE ORO</t>
  </si>
  <si>
    <t>SAN ALBERTO</t>
  </si>
  <si>
    <t>SAN DIEGO</t>
  </si>
  <si>
    <t>TAMALAMEQUE</t>
  </si>
  <si>
    <t>ACANDI</t>
  </si>
  <si>
    <t>ALTO BAUDO</t>
  </si>
  <si>
    <t>ATRATO</t>
  </si>
  <si>
    <t>BAGADO</t>
  </si>
  <si>
    <t>BAHIA SOLANO</t>
  </si>
  <si>
    <t>BAJO BAUDO</t>
  </si>
  <si>
    <t>BELEN DE BAJIRA</t>
  </si>
  <si>
    <t>BOJAYA</t>
  </si>
  <si>
    <t>CARMEN DEL DARIEN</t>
  </si>
  <si>
    <t>CERTEGUI</t>
  </si>
  <si>
    <t>CONDOTO</t>
  </si>
  <si>
    <t>EL CANTON DEL SAN PABLO</t>
  </si>
  <si>
    <t>EL CARMEN DE ATRATO</t>
  </si>
  <si>
    <t>EL LITORAL DEL SAN JUAN</t>
  </si>
  <si>
    <t>TERRESTRE / FLUVIAL</t>
  </si>
  <si>
    <t>JURADO</t>
  </si>
  <si>
    <t>LLORO</t>
  </si>
  <si>
    <t>MEDIO ATRATO</t>
  </si>
  <si>
    <t>MEDIO BAUDO</t>
  </si>
  <si>
    <t>MEDIO SAN JUAN</t>
  </si>
  <si>
    <t>NOVITA</t>
  </si>
  <si>
    <t>NUQUI</t>
  </si>
  <si>
    <t>QUIBDO</t>
  </si>
  <si>
    <t>RIO IRO</t>
  </si>
  <si>
    <t>RIO QUITO</t>
  </si>
  <si>
    <t>SAN JOSE DEL PALMAR</t>
  </si>
  <si>
    <t>SIPI</t>
  </si>
  <si>
    <t>TADO</t>
  </si>
  <si>
    <t>UNGUIA</t>
  </si>
  <si>
    <t>UNION PANAMERICANA</t>
  </si>
  <si>
    <t>CHIMA</t>
  </si>
  <si>
    <t>AYAPEL</t>
  </si>
  <si>
    <t>CANALETE</t>
  </si>
  <si>
    <t>CERETE</t>
  </si>
  <si>
    <t>CHINU</t>
  </si>
  <si>
    <t>CIENAGA DE ORO</t>
  </si>
  <si>
    <t>COTORRA</t>
  </si>
  <si>
    <t>LA APARTADA</t>
  </si>
  <si>
    <t>LORICA</t>
  </si>
  <si>
    <t>LOS CORDOBAS</t>
  </si>
  <si>
    <t>MOMIL</t>
  </si>
  <si>
    <t>MONTELIBANO</t>
  </si>
  <si>
    <t>MOÑITOS</t>
  </si>
  <si>
    <t>PLANETA RICA</t>
  </si>
  <si>
    <t>PUEBLO NUEVO</t>
  </si>
  <si>
    <t>PUERTO ESCONDIDO</t>
  </si>
  <si>
    <t>PUERTO LIBERTADOR</t>
  </si>
  <si>
    <t>PURISIMA</t>
  </si>
  <si>
    <t>SAHAGUN</t>
  </si>
  <si>
    <t>SAN ANDRES SOTAVENTO</t>
  </si>
  <si>
    <t>SAN ANTERO</t>
  </si>
  <si>
    <t>SAN BERNARDO DEL VIENTO</t>
  </si>
  <si>
    <t>SAN PELAYO</t>
  </si>
  <si>
    <t>TIERRALTA</t>
  </si>
  <si>
    <t>VALENCIA</t>
  </si>
  <si>
    <t>ALBAN</t>
  </si>
  <si>
    <t>CABRERA</t>
  </si>
  <si>
    <t>RICAURTE</t>
  </si>
  <si>
    <t>SAN BERNARDO</t>
  </si>
  <si>
    <t>SAN CAYETANO</t>
  </si>
  <si>
    <t>AGUA DE DIOS</t>
  </si>
  <si>
    <t>ANAPOIMA</t>
  </si>
  <si>
    <t>ANOLAIMA</t>
  </si>
  <si>
    <t>APULO</t>
  </si>
  <si>
    <t>ARBELAEZ</t>
  </si>
  <si>
    <t>BELTRAN</t>
  </si>
  <si>
    <t>BITUIMA</t>
  </si>
  <si>
    <t>BOJACA</t>
  </si>
  <si>
    <t>CACHIPAY</t>
  </si>
  <si>
    <t>CAJICA</t>
  </si>
  <si>
    <t>CAPARRAPI</t>
  </si>
  <si>
    <t>CAQUEZA</t>
  </si>
  <si>
    <t>CARMEN DE CARUPA</t>
  </si>
  <si>
    <t>CHAGUANI</t>
  </si>
  <si>
    <t>CHIA</t>
  </si>
  <si>
    <t>CHIPAQUE</t>
  </si>
  <si>
    <t>CHOACHI</t>
  </si>
  <si>
    <t>CHOCONTA</t>
  </si>
  <si>
    <t>COGUA</t>
  </si>
  <si>
    <t>COTA</t>
  </si>
  <si>
    <t>CUCUNUBA</t>
  </si>
  <si>
    <t>EL COLEGIO</t>
  </si>
  <si>
    <t>EL ROSAL</t>
  </si>
  <si>
    <t>FACATATIVA</t>
  </si>
  <si>
    <t>FOMEQUE</t>
  </si>
  <si>
    <t>FOSCA</t>
  </si>
  <si>
    <t>FUNZA</t>
  </si>
  <si>
    <t>FUQUENE</t>
  </si>
  <si>
    <t>FUSAGASUGA</t>
  </si>
  <si>
    <t>GACHALA</t>
  </si>
  <si>
    <t>GACHANCIPA</t>
  </si>
  <si>
    <t>GACHETA</t>
  </si>
  <si>
    <t>GIRARDOT</t>
  </si>
  <si>
    <t>GUACHETA</t>
  </si>
  <si>
    <t>GUADUAS</t>
  </si>
  <si>
    <t>GUASCA</t>
  </si>
  <si>
    <t>GUATAQUI</t>
  </si>
  <si>
    <t>GUATAVITA</t>
  </si>
  <si>
    <t>GUAYABAL DE SIQUIMA</t>
  </si>
  <si>
    <t>GUAYABETAL</t>
  </si>
  <si>
    <t>GUTIERREZ</t>
  </si>
  <si>
    <t>JERUSALEN</t>
  </si>
  <si>
    <t>JUNIN</t>
  </si>
  <si>
    <t>LA CALERA</t>
  </si>
  <si>
    <t>LA MESA</t>
  </si>
  <si>
    <t>LA PALMA</t>
  </si>
  <si>
    <t>LA PEÑA</t>
  </si>
  <si>
    <t>LENGUAZAQUE</t>
  </si>
  <si>
    <t>MACHETA</t>
  </si>
  <si>
    <t>MADRID</t>
  </si>
  <si>
    <t>MANTA</t>
  </si>
  <si>
    <t>MEDINA</t>
  </si>
  <si>
    <t>NEMOCON</t>
  </si>
  <si>
    <t>NILO</t>
  </si>
  <si>
    <t>NIMAIMA</t>
  </si>
  <si>
    <t>NOCAIMA</t>
  </si>
  <si>
    <t>PACHO</t>
  </si>
  <si>
    <t>PAIME</t>
  </si>
  <si>
    <t>PANDI</t>
  </si>
  <si>
    <t>PARATEBUENO</t>
  </si>
  <si>
    <t>PASCA</t>
  </si>
  <si>
    <t>PUERTO SALGAR</t>
  </si>
  <si>
    <t>PULI</t>
  </si>
  <si>
    <t>QUEBRADANEGRA</t>
  </si>
  <si>
    <t>QUETAME</t>
  </si>
  <si>
    <t>QUIPILE</t>
  </si>
  <si>
    <t>SAN ANTONIO DEL TEQUENDAMA</t>
  </si>
  <si>
    <t>SAN JUAN DE RIO SECO</t>
  </si>
  <si>
    <t>SASAIMA</t>
  </si>
  <si>
    <t>SESQUILE</t>
  </si>
  <si>
    <t>SIBATE</t>
  </si>
  <si>
    <t>SILVANIA</t>
  </si>
  <si>
    <t>SIMIJACA</t>
  </si>
  <si>
    <t>SOACHA</t>
  </si>
  <si>
    <t>SOPO</t>
  </si>
  <si>
    <t>SUBACHOQUE</t>
  </si>
  <si>
    <t>SUESCA</t>
  </si>
  <si>
    <t>SUPATA</t>
  </si>
  <si>
    <t>SUSA</t>
  </si>
  <si>
    <t>SUTATAUSA</t>
  </si>
  <si>
    <t>TABIO</t>
  </si>
  <si>
    <t>TAUSA</t>
  </si>
  <si>
    <t>TENA</t>
  </si>
  <si>
    <t>TENJO</t>
  </si>
  <si>
    <t>TIBACUY</t>
  </si>
  <si>
    <t>TIBIRITA</t>
  </si>
  <si>
    <t>TOCAIMA</t>
  </si>
  <si>
    <t>TOCANCIPA</t>
  </si>
  <si>
    <t>TOPAIPI</t>
  </si>
  <si>
    <t>UBALA</t>
  </si>
  <si>
    <t>UBAQUE</t>
  </si>
  <si>
    <t>UNE</t>
  </si>
  <si>
    <t>UTICA</t>
  </si>
  <si>
    <t>VERGARA</t>
  </si>
  <si>
    <t>VIANI</t>
  </si>
  <si>
    <t>VILLA DE SAN DIEGO DE UBATE</t>
  </si>
  <si>
    <t>VILLAGOMEZ</t>
  </si>
  <si>
    <t>VILLAPINZON</t>
  </si>
  <si>
    <t>VILLETA</t>
  </si>
  <si>
    <t>VIOTA</t>
  </si>
  <si>
    <t>YACOPI</t>
  </si>
  <si>
    <t>ZIPACON</t>
  </si>
  <si>
    <t>ZIPAQUIRA</t>
  </si>
  <si>
    <t>GUAINIA</t>
  </si>
  <si>
    <t>BARRANCO MINAS</t>
  </si>
  <si>
    <t>CACAHUAL</t>
  </si>
  <si>
    <t>INIRIDA</t>
  </si>
  <si>
    <t>LA GUADALUPE</t>
  </si>
  <si>
    <t>MAPIRIPANA</t>
  </si>
  <si>
    <t>MORICHAL</t>
  </si>
  <si>
    <t>PANA PANA</t>
  </si>
  <si>
    <t>SAN FELIPE</t>
  </si>
  <si>
    <t>GUAVIARE</t>
  </si>
  <si>
    <t>EL RETORNO</t>
  </si>
  <si>
    <t>SAN JOSE DEL GUAVIARE</t>
  </si>
  <si>
    <t>HUILA</t>
  </si>
  <si>
    <t>ACEVEDO</t>
  </si>
  <si>
    <t>AGRADO</t>
  </si>
  <si>
    <t>AIPE</t>
  </si>
  <si>
    <t>ALGECIRAS</t>
  </si>
  <si>
    <t>ALTAMIRA</t>
  </si>
  <si>
    <t>BARAYA</t>
  </si>
  <si>
    <t>CAMPOALEGRE</t>
  </si>
  <si>
    <t>COLOMBIA</t>
  </si>
  <si>
    <t>ELIAS</t>
  </si>
  <si>
    <t>GARZON</t>
  </si>
  <si>
    <t>GIGANTE</t>
  </si>
  <si>
    <t>HOBO</t>
  </si>
  <si>
    <t>IQUIRA</t>
  </si>
  <si>
    <t>ISNOS</t>
  </si>
  <si>
    <t>LA ARGENTINA</t>
  </si>
  <si>
    <t>LA PLATA</t>
  </si>
  <si>
    <t>NATAGA</t>
  </si>
  <si>
    <t>OPORAPA</t>
  </si>
  <si>
    <t>PAICOL</t>
  </si>
  <si>
    <t>PALERMO</t>
  </si>
  <si>
    <t>PITAL</t>
  </si>
  <si>
    <t>PITALITO</t>
  </si>
  <si>
    <t>RIVERA</t>
  </si>
  <si>
    <t>SALADOBLANCO</t>
  </si>
  <si>
    <t>SAN AGUSTIN</t>
  </si>
  <si>
    <t>SUAZA</t>
  </si>
  <si>
    <t>TARQUI</t>
  </si>
  <si>
    <t>TELLO</t>
  </si>
  <si>
    <t>TERUEL</t>
  </si>
  <si>
    <t>TESALIA</t>
  </si>
  <si>
    <t>TIMANA</t>
  </si>
  <si>
    <t>VILLAVIEJA</t>
  </si>
  <si>
    <t>YAGUARA</t>
  </si>
  <si>
    <t>LA GUAJIRA</t>
  </si>
  <si>
    <t>SANTA MARTA</t>
  </si>
  <si>
    <t>BARRANCAS</t>
  </si>
  <si>
    <t>DIBULLA</t>
  </si>
  <si>
    <t>DISTRACCION</t>
  </si>
  <si>
    <t>EL MOLINO</t>
  </si>
  <si>
    <t>FONSECA</t>
  </si>
  <si>
    <t>HATONUEVO</t>
  </si>
  <si>
    <t>LA JAGUA DEL PILAR</t>
  </si>
  <si>
    <t>MAICAO</t>
  </si>
  <si>
    <t>RIOHACHA</t>
  </si>
  <si>
    <t>SAN JUAN DEL CESAR</t>
  </si>
  <si>
    <t>URIBIA</t>
  </si>
  <si>
    <t>URUMITA</t>
  </si>
  <si>
    <t>MAGDALENA</t>
  </si>
  <si>
    <t>GUAMAL</t>
  </si>
  <si>
    <t>ALGARROBO</t>
  </si>
  <si>
    <t>ARACATACA</t>
  </si>
  <si>
    <t>ARIGUANI</t>
  </si>
  <si>
    <t>CERRO SAN ANTONIO</t>
  </si>
  <si>
    <t>CHIBOLO</t>
  </si>
  <si>
    <t>EL BANCO</t>
  </si>
  <si>
    <t>EL PIÑON</t>
  </si>
  <si>
    <t>EL RETEN</t>
  </si>
  <si>
    <t>FUNDACION</t>
  </si>
  <si>
    <t>NUEVA GRANADA</t>
  </si>
  <si>
    <t>PEDRAZA</t>
  </si>
  <si>
    <t>PIJIÑO DEL CARMEN</t>
  </si>
  <si>
    <t>PIVIJAY</t>
  </si>
  <si>
    <t>PLATO</t>
  </si>
  <si>
    <t>PUEBLOVIEJO</t>
  </si>
  <si>
    <t>REMOLINO</t>
  </si>
  <si>
    <t>SABANAS DE SAN ANGEL</t>
  </si>
  <si>
    <t>SAN SEBASTIAN DE BUENAVISTA</t>
  </si>
  <si>
    <t>SAN ZENON</t>
  </si>
  <si>
    <t>SANTA ANA</t>
  </si>
  <si>
    <t>SANTA BARBARA DE PINTO</t>
  </si>
  <si>
    <t>SITIONUEVO</t>
  </si>
  <si>
    <t>TENERIFE</t>
  </si>
  <si>
    <t>ZAPAYAN</t>
  </si>
  <si>
    <t>ZONA BANANERA</t>
  </si>
  <si>
    <t>META</t>
  </si>
  <si>
    <t>RESTREPO</t>
  </si>
  <si>
    <t>ACACIAS</t>
  </si>
  <si>
    <t>BARRANCA DE UPIA</t>
  </si>
  <si>
    <t>CABUYARO</t>
  </si>
  <si>
    <t>CASTILLA LA NUEVA</t>
  </si>
  <si>
    <t>CUBARRAL</t>
  </si>
  <si>
    <t>CUMARAL</t>
  </si>
  <si>
    <t>EL CALVARIO</t>
  </si>
  <si>
    <t>EL CASTILLO</t>
  </si>
  <si>
    <t>EL DORADO</t>
  </si>
  <si>
    <t>FUENTE DE ORO</t>
  </si>
  <si>
    <t>LA MACARENA</t>
  </si>
  <si>
    <t>LEJANIAS</t>
  </si>
  <si>
    <t>MAPIRIPAN</t>
  </si>
  <si>
    <t>MESETAS</t>
  </si>
  <si>
    <t>PUERTO CONCORDIA</t>
  </si>
  <si>
    <t>PUERTO GAITAN</t>
  </si>
  <si>
    <t>PUERTO LLERAS</t>
  </si>
  <si>
    <t>PUERTO LOPEZ</t>
  </si>
  <si>
    <t>SAN CARLOS DE GUAROA</t>
  </si>
  <si>
    <t>SAN JUAN DE ARAMA</t>
  </si>
  <si>
    <t>SAN JUANITO</t>
  </si>
  <si>
    <t>URIBE</t>
  </si>
  <si>
    <t>VISTAHERMOSA</t>
  </si>
  <si>
    <t>COLON</t>
  </si>
  <si>
    <t>PROVIDENCIA</t>
  </si>
  <si>
    <t>ALDANA</t>
  </si>
  <si>
    <t>ANCUYA</t>
  </si>
  <si>
    <t>ARBOLEDA</t>
  </si>
  <si>
    <t>BARBACOAS</t>
  </si>
  <si>
    <t>BUESACO</t>
  </si>
  <si>
    <t>CHACHAGUI</t>
  </si>
  <si>
    <t>CONSACA</t>
  </si>
  <si>
    <t>CONTADERO</t>
  </si>
  <si>
    <t>CUASPUD</t>
  </si>
  <si>
    <t>CUMBAL</t>
  </si>
  <si>
    <t>CUMBITARA</t>
  </si>
  <si>
    <t>EL CHARCO</t>
  </si>
  <si>
    <t>EL PEÑOL</t>
  </si>
  <si>
    <t>EL ROSARIO</t>
  </si>
  <si>
    <t>EL TABLON DE GOMEZ</t>
  </si>
  <si>
    <t>FRANCISCO PIZARRO</t>
  </si>
  <si>
    <t>FUNES</t>
  </si>
  <si>
    <t>GUACHUCAL</t>
  </si>
  <si>
    <t>GUAITARILLA</t>
  </si>
  <si>
    <t>GUALMATAN</t>
  </si>
  <si>
    <t>ILES</t>
  </si>
  <si>
    <t>IMUES</t>
  </si>
  <si>
    <t>IPIALES</t>
  </si>
  <si>
    <t>LA CRUZ</t>
  </si>
  <si>
    <t>LA FLORIDA</t>
  </si>
  <si>
    <t>LA LLANADA</t>
  </si>
  <si>
    <t>LA TOLA</t>
  </si>
  <si>
    <t>LEIVA</t>
  </si>
  <si>
    <t>LINARES</t>
  </si>
  <si>
    <t>LOS ANDES</t>
  </si>
  <si>
    <t>MAGUI</t>
  </si>
  <si>
    <t>MALLAMA</t>
  </si>
  <si>
    <t>OLAYA HERRERA</t>
  </si>
  <si>
    <t>OSPINA</t>
  </si>
  <si>
    <t>POLICARPA</t>
  </si>
  <si>
    <t>POTOSI</t>
  </si>
  <si>
    <t>PUERRES</t>
  </si>
  <si>
    <t>PUPIALES</t>
  </si>
  <si>
    <t>ROBERTO PAYAN</t>
  </si>
  <si>
    <t>SAMANIEGO</t>
  </si>
  <si>
    <t>SAN ANDRES DE TUMACO</t>
  </si>
  <si>
    <t>SAN LORENZO</t>
  </si>
  <si>
    <t>SAN PEDRO DE CARTAGO</t>
  </si>
  <si>
    <t>SANDONA</t>
  </si>
  <si>
    <t>SANTACRUZ</t>
  </si>
  <si>
    <t>SAPUYES</t>
  </si>
  <si>
    <t>TAMINANGO</t>
  </si>
  <si>
    <t>TANGUA</t>
  </si>
  <si>
    <t>TUQUERRES</t>
  </si>
  <si>
    <t>YACUANQUER</t>
  </si>
  <si>
    <t>SANTIAGO</t>
  </si>
  <si>
    <t>ABREGO</t>
  </si>
  <si>
    <t>ARBOLEDAS</t>
  </si>
  <si>
    <t>BOCHALEMA</t>
  </si>
  <si>
    <t>BUCARASICA</t>
  </si>
  <si>
    <t>CACHIRA</t>
  </si>
  <si>
    <t>CACOTA</t>
  </si>
  <si>
    <t>CHINACOTA</t>
  </si>
  <si>
    <t>CHITAGA</t>
  </si>
  <si>
    <t>CONVENCION</t>
  </si>
  <si>
    <t>CUCUTILLA</t>
  </si>
  <si>
    <t>DURANIA</t>
  </si>
  <si>
    <t>EL CARMEN</t>
  </si>
  <si>
    <t>EL TARRA</t>
  </si>
  <si>
    <t>EL ZULIA</t>
  </si>
  <si>
    <t>GRAMALOTE</t>
  </si>
  <si>
    <t>HACARI</t>
  </si>
  <si>
    <t>HERRAN</t>
  </si>
  <si>
    <t>LA ESPERANZA</t>
  </si>
  <si>
    <t>LA PLAYA</t>
  </si>
  <si>
    <t>LABATECA</t>
  </si>
  <si>
    <t>LOS PATIOS</t>
  </si>
  <si>
    <t>LOURDES</t>
  </si>
  <si>
    <t>MUTISCUA</t>
  </si>
  <si>
    <t>PAMPLONA</t>
  </si>
  <si>
    <t>PAMPLONITA</t>
  </si>
  <si>
    <t>RAGONVALIA</t>
  </si>
  <si>
    <t>SALAZAR</t>
  </si>
  <si>
    <t>SAN CALIXTO</t>
  </si>
  <si>
    <t>SARDINATA</t>
  </si>
  <si>
    <t>SILOS</t>
  </si>
  <si>
    <t>TEORAMA</t>
  </si>
  <si>
    <t>TIBU</t>
  </si>
  <si>
    <t>VILLA CARO</t>
  </si>
  <si>
    <t>VILLA DEL ROSARIO</t>
  </si>
  <si>
    <t>PUTUMAYO</t>
  </si>
  <si>
    <t>SAN MIGUEL</t>
  </si>
  <si>
    <t>LEGUIZAMO</t>
  </si>
  <si>
    <t>MOCOA</t>
  </si>
  <si>
    <t>ORITO</t>
  </si>
  <si>
    <t>PUERTO ASIS</t>
  </si>
  <si>
    <t>PUERTO CAICEDO</t>
  </si>
  <si>
    <t>PUERTO GUZMAN</t>
  </si>
  <si>
    <t>SIBUNDOY</t>
  </si>
  <si>
    <t>VALLE DEL GUAMUEZ</t>
  </si>
  <si>
    <t>VILLAGARZON</t>
  </si>
  <si>
    <t>QUINDIO</t>
  </si>
  <si>
    <t>CALARCA</t>
  </si>
  <si>
    <t>CIRCASIA</t>
  </si>
  <si>
    <t>FILANDIA</t>
  </si>
  <si>
    <t>GENOVA</t>
  </si>
  <si>
    <t>LA TEBAIDA</t>
  </si>
  <si>
    <t>MONTENEGRO</t>
  </si>
  <si>
    <t>PIJAO</t>
  </si>
  <si>
    <t>QUIMBAYA</t>
  </si>
  <si>
    <t>SALENTO</t>
  </si>
  <si>
    <t>APIA</t>
  </si>
  <si>
    <t>BELEN DE UMBRIA</t>
  </si>
  <si>
    <t>DOSQUEBRADAS</t>
  </si>
  <si>
    <t>GUATICA</t>
  </si>
  <si>
    <t>LA CELIA</t>
  </si>
  <si>
    <t>LA VIRGINIA</t>
  </si>
  <si>
    <t>MARSELLA</t>
  </si>
  <si>
    <t>MISTRATO</t>
  </si>
  <si>
    <t>PUEBLO RICO</t>
  </si>
  <si>
    <t>QUINCHIA</t>
  </si>
  <si>
    <t>SANTA ROSA DE CABAL</t>
  </si>
  <si>
    <t>SANTUARIO</t>
  </si>
  <si>
    <t>ARCHIPIELAGO DE SAN ANDRES Y PROVIDENCIA</t>
  </si>
  <si>
    <t>SAN ANDRES</t>
  </si>
  <si>
    <t>AGUADA</t>
  </si>
  <si>
    <t>ARATOCA</t>
  </si>
  <si>
    <t>BARICHARA</t>
  </si>
  <si>
    <t>BARRANCABERMEJA</t>
  </si>
  <si>
    <t>CALIFORNIA</t>
  </si>
  <si>
    <t>CAPITANEJO</t>
  </si>
  <si>
    <t>CARCASI</t>
  </si>
  <si>
    <t>CEPITA</t>
  </si>
  <si>
    <t>CERRITO</t>
  </si>
  <si>
    <t>CHARALA</t>
  </si>
  <si>
    <t>CHARTA</t>
  </si>
  <si>
    <t>CHIPATA</t>
  </si>
  <si>
    <t>CIMITARRA</t>
  </si>
  <si>
    <t>CONFINES</t>
  </si>
  <si>
    <t>CONTRATACION</t>
  </si>
  <si>
    <t>COROMORO</t>
  </si>
  <si>
    <t>CURITI</t>
  </si>
  <si>
    <t>EL CARMEN DE CHUCURI</t>
  </si>
  <si>
    <t>EL GUACAMAYO</t>
  </si>
  <si>
    <t>EL PLAYON</t>
  </si>
  <si>
    <t>ENCINO</t>
  </si>
  <si>
    <t>ENCISO</t>
  </si>
  <si>
    <t>FLORIAN</t>
  </si>
  <si>
    <t>FLORIDABLANCA</t>
  </si>
  <si>
    <t>GALAN</t>
  </si>
  <si>
    <t>GAMBITA</t>
  </si>
  <si>
    <t>GUACA</t>
  </si>
  <si>
    <t>GUAPOTA</t>
  </si>
  <si>
    <t>GUAVATA</t>
  </si>
  <si>
    <t>GUEPSA</t>
  </si>
  <si>
    <t>HATO</t>
  </si>
  <si>
    <t>JESUS MARIA</t>
  </si>
  <si>
    <t>JORDAN</t>
  </si>
  <si>
    <t>LA BELLEZA</t>
  </si>
  <si>
    <t>LANDAZURI</t>
  </si>
  <si>
    <t>LEBRIJA</t>
  </si>
  <si>
    <t>LOS SANTOS</t>
  </si>
  <si>
    <t>MACARAVITA</t>
  </si>
  <si>
    <t>MALAGA</t>
  </si>
  <si>
    <t>MATANZA</t>
  </si>
  <si>
    <t>MOGOTES</t>
  </si>
  <si>
    <t>MOLAGAVITA</t>
  </si>
  <si>
    <t>OCAMONTE</t>
  </si>
  <si>
    <t>ONZAGA</t>
  </si>
  <si>
    <t>PALMAR</t>
  </si>
  <si>
    <t>PALMAS DEL SOCORRO</t>
  </si>
  <si>
    <t>PARAMO</t>
  </si>
  <si>
    <t>PIEDECUESTA</t>
  </si>
  <si>
    <t>PINCHOTE</t>
  </si>
  <si>
    <t>PUENTE NACIONAL</t>
  </si>
  <si>
    <t>PUERTO PARRA</t>
  </si>
  <si>
    <t>PUERTO WILCHES</t>
  </si>
  <si>
    <t>SABANA DE TORRES</t>
  </si>
  <si>
    <t>SAN BENITO</t>
  </si>
  <si>
    <t>SAN JOAQUIN</t>
  </si>
  <si>
    <t>SAN JOSE DE MIRANDA</t>
  </si>
  <si>
    <t>SAN VICENTE DE CHUCURI</t>
  </si>
  <si>
    <t>SANTA HELENA DEL OPON</t>
  </si>
  <si>
    <t>SIMACOTA</t>
  </si>
  <si>
    <t>SOCORRO</t>
  </si>
  <si>
    <t>SUAITA</t>
  </si>
  <si>
    <t>SURATA</t>
  </si>
  <si>
    <t>TONA</t>
  </si>
  <si>
    <t>VALLE DE SAN JOSE</t>
  </si>
  <si>
    <t>VELEZ</t>
  </si>
  <si>
    <t>VETAS</t>
  </si>
  <si>
    <t>ZAPATOCA</t>
  </si>
  <si>
    <t>SAN PEDRO</t>
  </si>
  <si>
    <t>CAIMITO</t>
  </si>
  <si>
    <t>CHALAN</t>
  </si>
  <si>
    <t>COLOSO</t>
  </si>
  <si>
    <t>COROZAL</t>
  </si>
  <si>
    <t>COVEÑAS</t>
  </si>
  <si>
    <t>EL ROBLE</t>
  </si>
  <si>
    <t>GALERAS</t>
  </si>
  <si>
    <t>GUARANDA</t>
  </si>
  <si>
    <t>LOS PALMITOS</t>
  </si>
  <si>
    <t>MAJAGUAL</t>
  </si>
  <si>
    <t>MORROA</t>
  </si>
  <si>
    <t>OVEJAS</t>
  </si>
  <si>
    <t>PALMITO</t>
  </si>
  <si>
    <t>SAMPUES</t>
  </si>
  <si>
    <t>SAN BENITO ABAD</t>
  </si>
  <si>
    <t>SAN JUAN DE BETULIA</t>
  </si>
  <si>
    <t>SAN LUIS DE SINCE</t>
  </si>
  <si>
    <t>SAN MARCOS</t>
  </si>
  <si>
    <t>SAN ONOFRE</t>
  </si>
  <si>
    <t>SANTIAGO DE TOLU</t>
  </si>
  <si>
    <t>TOLU VIEJO</t>
  </si>
  <si>
    <t>ALPUJARRA</t>
  </si>
  <si>
    <t>ALVARADO</t>
  </si>
  <si>
    <t>AMBALEMA</t>
  </si>
  <si>
    <t>ANZOATEGUI</t>
  </si>
  <si>
    <t>ARMERO</t>
  </si>
  <si>
    <t>ATACO</t>
  </si>
  <si>
    <t>CAJAMARCA</t>
  </si>
  <si>
    <t>CARMEN DE APICALA</t>
  </si>
  <si>
    <t>CASABIANCA</t>
  </si>
  <si>
    <t>CHAPARRAL</t>
  </si>
  <si>
    <t>COELLO</t>
  </si>
  <si>
    <t>COYAIMA</t>
  </si>
  <si>
    <t>CUNDAY</t>
  </si>
  <si>
    <t>DOLORES</t>
  </si>
  <si>
    <t>ESPINAL</t>
  </si>
  <si>
    <t>FALAN</t>
  </si>
  <si>
    <t>FLANDES</t>
  </si>
  <si>
    <t>FRESNO</t>
  </si>
  <si>
    <t>GUAMO</t>
  </si>
  <si>
    <t>HERVEO</t>
  </si>
  <si>
    <t>HONDA</t>
  </si>
  <si>
    <t>ICONONZO</t>
  </si>
  <si>
    <t>LERIDA</t>
  </si>
  <si>
    <t>LIBANO</t>
  </si>
  <si>
    <t>MARIQUITA</t>
  </si>
  <si>
    <t>MELGAR</t>
  </si>
  <si>
    <t>MURILLO</t>
  </si>
  <si>
    <t>NATAGAIMA</t>
  </si>
  <si>
    <t>ORTEGA</t>
  </si>
  <si>
    <t>PALOCABILDO</t>
  </si>
  <si>
    <t>PIEDRAS</t>
  </si>
  <si>
    <t>PLANADAS</t>
  </si>
  <si>
    <t>PRADO</t>
  </si>
  <si>
    <t>RIOBLANCO</t>
  </si>
  <si>
    <t>RONCESVALLES</t>
  </si>
  <si>
    <t>ROVIRA</t>
  </si>
  <si>
    <t>SALDAÑA</t>
  </si>
  <si>
    <t>SAN ANTONIO</t>
  </si>
  <si>
    <t>SANTA ISABEL</t>
  </si>
  <si>
    <t>VALLE DE SAN JUAN</t>
  </si>
  <si>
    <t>VENADILLO</t>
  </si>
  <si>
    <t>VILLAHERMOSA</t>
  </si>
  <si>
    <t>VILLARRICA</t>
  </si>
  <si>
    <t>ALCALA</t>
  </si>
  <si>
    <t>ANDALUCIA</t>
  </si>
  <si>
    <t>ANSERMANUEVO</t>
  </si>
  <si>
    <t>BUENAVENTURA</t>
  </si>
  <si>
    <t>BUGALAGRANDE</t>
  </si>
  <si>
    <t>CAICEDONIA</t>
  </si>
  <si>
    <t>CALIMA</t>
  </si>
  <si>
    <t>CARTAGO</t>
  </si>
  <si>
    <t>EL AGUILA</t>
  </si>
  <si>
    <t>EL CAIRO</t>
  </si>
  <si>
    <t>EL DOVIO</t>
  </si>
  <si>
    <t>FLORIDA</t>
  </si>
  <si>
    <t>GINEBRA</t>
  </si>
  <si>
    <t>JAMUNDI</t>
  </si>
  <si>
    <t>LA CUMBRE</t>
  </si>
  <si>
    <t>OBANDO</t>
  </si>
  <si>
    <t>PALMIRA</t>
  </si>
  <si>
    <t>PRADERA</t>
  </si>
  <si>
    <t>RIOFRIO</t>
  </si>
  <si>
    <t>ROLDANILLO</t>
  </si>
  <si>
    <t>SEVILLA</t>
  </si>
  <si>
    <t>TORO</t>
  </si>
  <si>
    <t>TRUJILLO</t>
  </si>
  <si>
    <t>TULUA</t>
  </si>
  <si>
    <t>ULLOA</t>
  </si>
  <si>
    <t>VERSALLES</t>
  </si>
  <si>
    <t>VIJES</t>
  </si>
  <si>
    <t>YOTOCO</t>
  </si>
  <si>
    <t>YUMBO</t>
  </si>
  <si>
    <t>ZARZAL</t>
  </si>
  <si>
    <t>CARURU</t>
  </si>
  <si>
    <t>VAUPES</t>
  </si>
  <si>
    <t>MITU</t>
  </si>
  <si>
    <t>PACOA</t>
  </si>
  <si>
    <t>PAPUNAUA</t>
  </si>
  <si>
    <t>TARAIRA</t>
  </si>
  <si>
    <t>YAVARATE</t>
  </si>
  <si>
    <t>CUMARIBO</t>
  </si>
  <si>
    <t>VICHADA</t>
  </si>
  <si>
    <t>LA PRIMAVERA</t>
  </si>
  <si>
    <t>PUERTO CARREÑO</t>
  </si>
  <si>
    <t>SANTA ROSALIA</t>
  </si>
  <si>
    <t>TUCHIN</t>
  </si>
  <si>
    <t>SAN JOSE DE URE</t>
  </si>
  <si>
    <t>Ciudad Sede</t>
  </si>
  <si>
    <t>Código DANE</t>
  </si>
  <si>
    <t>Fecha Asignación a Línea Comunicaciones (DD/MM/AAAA HH:MM)</t>
  </si>
  <si>
    <t>Fecha cierre del ticket (DD/MM/AAAA HH:MM)</t>
  </si>
  <si>
    <t>Departamento</t>
  </si>
  <si>
    <t>Ciudad</t>
  </si>
  <si>
    <t>CB Implementado</t>
  </si>
  <si>
    <t>Punto(Redes)</t>
  </si>
  <si>
    <t>Tipo Actividad</t>
  </si>
  <si>
    <t>Red</t>
  </si>
  <si>
    <t>Estado</t>
  </si>
  <si>
    <t>OBSERVACIONES</t>
  </si>
  <si>
    <t>Técnico</t>
  </si>
  <si>
    <t>Forma de Atención</t>
  </si>
  <si>
    <t>TERMINAL</t>
  </si>
  <si>
    <t>Acometida</t>
  </si>
  <si>
    <t>Grupo_Falla</t>
  </si>
  <si>
    <t>Categoría</t>
  </si>
  <si>
    <t>Falla</t>
  </si>
  <si>
    <t>Cambio Activo</t>
  </si>
  <si>
    <t>CODIGOS DE DAÑO DATAFONOS</t>
  </si>
  <si>
    <t>CODIGOS DE DAÑO LECTOR</t>
  </si>
  <si>
    <t>CODIGOS DE DAÑO HUB</t>
  </si>
  <si>
    <t>CODIGOS DE DAÑO PINPAD</t>
  </si>
  <si>
    <t xml:space="preserve">Otro Activos
</t>
  </si>
  <si>
    <t>Tipo</t>
  </si>
  <si>
    <t>Tipo de Trayecto</t>
  </si>
  <si>
    <t>Dias de visita</t>
  </si>
  <si>
    <t>ACOMETIDA DATOS</t>
  </si>
  <si>
    <t>ACOMETIDA ELÉCTRICA</t>
  </si>
  <si>
    <t xml:space="preserve">VALOR DIAS ACTIVIDAD FACTURABLES </t>
  </si>
  <si>
    <t xml:space="preserve">VALOR FACTURABLE </t>
  </si>
  <si>
    <t>FO-25-1022758</t>
  </si>
  <si>
    <t>PTM MALAMBO TIENDA Y REFRESQUE</t>
  </si>
  <si>
    <t>INCIDENTE</t>
  </si>
  <si>
    <t>CERRADO</t>
  </si>
  <si>
    <t>1-06 SE ESCALA PARA VISITA. LLAMAR ANTES DE VISITAR Y CONFIRMAR DATOS, DIRECCION Y SOLICITUD
0
01-06 SE REALIZA VISITA SE PROCEDE A VALIDAR CONEXIONES Y TODO OK, POSIBLE DAÑO EN EL MODEM DEL INTERNET DEL CLIENTE ,SE PRUEBA CON OTRO MODEM SE HACEN PRUEBAS Y TODO OK ,POSIBLE DAÑO EN EL ROUTER DEL CLIENTE LOS PUERTOS DE RED</t>
  </si>
  <si>
    <t>PORRAS CASTRO DARLON NASCK</t>
  </si>
  <si>
    <t>VISITA_TÉCNICA</t>
  </si>
  <si>
    <t>FUA0I085 - HA00N753</t>
  </si>
  <si>
    <t>NO</t>
  </si>
  <si>
    <t>USUARIO</t>
  </si>
  <si>
    <t>COMUNICACION</t>
  </si>
  <si>
    <t>CANAL DEL COMERCIO</t>
  </si>
  <si>
    <t>No</t>
  </si>
  <si>
    <t>FO-25-1029545</t>
  </si>
  <si>
    <t>MULTIPAGAS MOCOA</t>
  </si>
  <si>
    <t>03-06 SE REALIZA CONTACTO CON LA SEÑORA LORENA AL NUMERO 3209035833 QUIEN INDICA QUE EL DATAFONO LE ARROJA ERROR SIN TONO Y NO LE PERMITE OPERAR, SE HACEN VALIDACIONES Y SE ESCALA PARA VISITA TECNICA
0
03-06 SE REALIZA VALIDACION TELEFONICA CON LA USUARIA QUIEN INDICA QUE EL DATAFONO NO LE DEJA TRANSAR PERO FUE DE UN MOMENTO A OTRO, SE LE DAN INDICACIONES PARA VALIDAR LAS CONEXIONES, SE ENCUENTRA UN CABLE MAL CONECTADO, SE LE INDICA AL CLIENTE COMO DEBE DE IR LA CONEXION ADECUADA, SE PROCEDER A REALIARLA Y CONFIRMA OPERATIVIDAD DEL SERVICIO</t>
  </si>
  <si>
    <t>HENAO CARDONA DIEGO FERNANDO</t>
  </si>
  <si>
    <t>SOPORTE_TELEFÓNICO</t>
  </si>
  <si>
    <t>CONEXIONES DE COMERCIO</t>
  </si>
  <si>
    <t>FO-25-1021495</t>
  </si>
  <si>
    <t>BARRIO CENTRO IBAGUE 47</t>
  </si>
  <si>
    <t>CB UNO A UNO</t>
  </si>
  <si>
    <t>31-05 SE ESCALA PARA VISITA. LLAMAR ANTES DE VISITAR Y CONFIRMAR DATOS, DIRECCION Y SOLICITUD
01/06/2025 EN COMUNICACIÓN CON LA SEÑORA ALEJANDRA AL NUMERO DE CONTACTO DE LA ORDEN QUE NOS PUEDE ATENDER EL MARTES A PARTIR DE LAS 7AM.
03-06 SE VÁLIDA ERROR EN COMUNICACIÓN DEBIDO A QUE EL CLIENTE TIENE UNA MALA CONEXIÓN PARA EL DATÁFONO, SE RECOMIENDA VALIDAR PROVEEDOR DE SERVICIOS DE INTERNET DEL CLIENTE. SE REALIZA PRUEBAS DE FUNCIONAMIENTO OK.</t>
  </si>
  <si>
    <t>BARRAGAN TAFUR EDWIN ESTEBAN</t>
  </si>
  <si>
    <t>MN00R030</t>
  </si>
  <si>
    <t>FO-25-1028603</t>
  </si>
  <si>
    <t>PAGAFACIL COLTEJER II</t>
  </si>
  <si>
    <t xml:space="preserve">3-06 SE ESCALA PARA VISITA. LLAMAR ANTES DE VISITAR Y CONFIRMAR DATOS, DIRECCION Y SOLICITUD
0
03-06 SE HACE MANTENIMIENTO DE EQUIPO Y CABLEADO TODO OK </t>
  </si>
  <si>
    <t>MORENO MEDINA JUAN PABLO</t>
  </si>
  <si>
    <t>BBBBE639</t>
  </si>
  <si>
    <t>MANTENIMIENTO</t>
  </si>
  <si>
    <t>MANTENIMIENTO GENERAL</t>
  </si>
  <si>
    <t>FO-25-1030127</t>
  </si>
  <si>
    <t>BARRIO LOS ANDES CALI</t>
  </si>
  <si>
    <t xml:space="preserve">3-06 SE ESCALA PARA VISITA. LLAMAR ANTES DE VISITAR Y CONFIRMAR DATOS, DIRECCION Y SOLICITUD
0
03-06 SE HACEN PRUEVAS Y NOS DAMOS CUENTA QUR LA CONEXIÓN DEL ESTABLECIMIENTO ESTABA INTERMITENTE CONECTAMOS DIRECTAMENTE AL ROUTER Y FUNCIONA CORRECTAMENTE </t>
  </si>
  <si>
    <t>CUERO RUIZ JHONNY</t>
  </si>
  <si>
    <t>9A09Z495</t>
  </si>
  <si>
    <t>FO-25-1023137</t>
  </si>
  <si>
    <t>BARRIO CENTRO BETANIA</t>
  </si>
  <si>
    <t xml:space="preserve">1-06 SE ESCALA PARA VISITA. LLAMAR ANTES DE VISITAR Y CONFIRMAR DATOS, DIRECCION Y SOLICITUD
04/06/2025 VISITA NO PUDO SER AGENDADA DESDE DÍA MARTES YA QUE NO SE CUENTA CON EQUIPOS EN BODEGA. DISTRIBUIDOR TUVO NOVEDAD CON ENTREGA Y AUN NO LLEGAN EQUIPOS A BODEGA.
04-06 SE LLAMA AL 3225845336 Y SE HABLA CON LA SRA MARÍA JOSÉ LA CUAL INDICA QUE YA EL COMERCIO FUNCIONA BIEN Y NO NECESITA VISITA </t>
  </si>
  <si>
    <t>FO-25-1036197</t>
  </si>
  <si>
    <t>BARRIO SIMANAÑA LA GLORIA</t>
  </si>
  <si>
    <t>04-06 SE REALIZA CONTACTO TELEFONICO CON LA SRA MARGY CORDERO AL NUMERO 3023025760 INDICA QUE ESTA MAÑANA CONECTO EL DATAFONO Y QUE YA ESTA FUNCIONANDO CON NORMALIDAD QUE NO ES NECESARIA LA VISITA Y QUE SE HABIA INTENTADO COMUNICAR CON LA LINEA PERO NO LE RESPONDIAN SE LE INDICA QUE SE CERRARA LA VISITA Y ELLA AUTORIZA INDICA CB OK
0
0</t>
  </si>
  <si>
    <t>FO-25-1031771</t>
  </si>
  <si>
    <t>DISTRICOL DROGUERIA PORVENIR</t>
  </si>
  <si>
    <t xml:space="preserve">3-06 SE ESCALA PARA VISITA. LLAMAR ANTES DE VISITAR Y CONFIRMAR DATOS, DIRECCION Y SOLICITUD
0
04-06 TAPABDSTAFONO MALA, SE REALIZA CAMBIO Y DSTSFONO QUEDA OPERATIVO </t>
  </si>
  <si>
    <t>CASTRO HENAO DANIEL ESTEBAN</t>
  </si>
  <si>
    <t>A30IZ529</t>
  </si>
  <si>
    <t>FO-25-1033782</t>
  </si>
  <si>
    <t>DISTRICOL FERRELECTRICOS ALCON</t>
  </si>
  <si>
    <t>3-06 SE ESCALA PARA VISITA. LLAMAR ANTES DE VISITAR Y CONFIRMAR DATOS, DIRECCION Y SOLICITUD
0
04-06 SE RESTABLECE CLAVE DE SUPERVISOR, COMERCIO REALIZA PRUEBAS DE FUNCIONAMIENTO, CIERRE FUNCIONA OK</t>
  </si>
  <si>
    <t>MICHELI LOPEZ MIGUEL ANGEL</t>
  </si>
  <si>
    <t>AD00O680</t>
  </si>
  <si>
    <t>CIERRE</t>
  </si>
  <si>
    <t>COMERCIO NO REALIZA CIERRE</t>
  </si>
  <si>
    <t>FO-25-1034661</t>
  </si>
  <si>
    <t>COMCARD MEDELLIN SALVADOR BELL</t>
  </si>
  <si>
    <t xml:space="preserve">3-06 SE ESCALA PARA VISITA. LLAMAR ANTES DE VISITAR Y CONFIRMAR DATOS, DIRECCION Y SOLICITUD
0
04-06 SE REALIZA MANTENIMIENTO Y SE CONFIGURA PARÁMETROS DE NUEVO </t>
  </si>
  <si>
    <t>CERPA SUAREZ DUVAN CAMILO</t>
  </si>
  <si>
    <t>ABC0D992</t>
  </si>
  <si>
    <t>FO-25-1034562</t>
  </si>
  <si>
    <t>BARRIO CENTRO TUNJA 31</t>
  </si>
  <si>
    <t>3-06 SE ESCALA PARA VISITA. LLAMAR ANTES DE VISITAR Y CONFIRMAR DATOS, DIRECCION Y SOLICITUD
0
04-06 SE REALIZA VISITA AL COMERCIO,  SE VALIDA QUE EL CLIENTE ESTA HACIENDO MALA MANIPULACIÓN DEL DATAFONO Y LECTOR, SE HACEN PRUEBAS OK.</t>
  </si>
  <si>
    <t>10XZZ962</t>
  </si>
  <si>
    <t>LECTOR DE BARRAS</t>
  </si>
  <si>
    <t>ERROR PAGOS PARCIALES DE FACTURAS</t>
  </si>
  <si>
    <t>FO-25-1038564</t>
  </si>
  <si>
    <t>BARRIO ROBLEDO BELLO HORIZONTE</t>
  </si>
  <si>
    <t xml:space="preserve">4-06 SE ESCALA PARA VISITA. LLAMAR ANTES DE VISITAR Y CONFIRMAR DATOS, DIRECCION Y SOLICITUD
0
04-06 SE REALIZA MANTENIMIENTO Y SE CAMBIA CABLE ENTORCHADO </t>
  </si>
  <si>
    <t>XP00F471-9CUZZ009</t>
  </si>
  <si>
    <t xml:space="preserve">Cable de red </t>
  </si>
  <si>
    <t>FO-25-1041040</t>
  </si>
  <si>
    <t>BARRIO ARANJUEZ SAN CAYETANO M</t>
  </si>
  <si>
    <t>4-06 SE ESCALA PARA VISITA. LLAMAR ANTES DE VISITAR Y CONFIRMAR DATOS, DIRECCION Y SOLICITUD
0
04-06 SE REALIZA MANTENIMIENTO Y SE CONFIGURA PARÁMETROS DE NUEVO</t>
  </si>
  <si>
    <t>9ACZZ042</t>
  </si>
  <si>
    <t>FO-25-1030481</t>
  </si>
  <si>
    <t>BARRIO SAN ANTONIO  TUNJA</t>
  </si>
  <si>
    <t>3-06 SE ESCALA PARA VISITA. LLAMAR ANTES DE VISITAR Y CONFIRMAR DATOS, DIRECCION Y SOLICITUD
04/06/2025 SE LOGRA COMUNICACION CON LA SEÑORA BLANCA SUSANA BOHORQUEZ PARA CONFIRMAR LA VISITA, CLIENTE INFORMA QUE EN EL MOMENTO NO CUENTA CON SERVICIO DE RED ELECTRICA EN LA ZONA POR ARREGLOS DE LA EMPRESA DE ENERGIA, CLIENTE SOLICITA QUE SE LE LLAME A LAS 2PM PARA CONFIRMAR LA VISITA.
04/06/2025 SE LOGRA COMUNICACION CON EL CLIENTE, CLIENTE MANIFIESTA QUE YA TIENE SERVICIO DE LUZ ELÉCTRICA,  SE VISITARA A LAS 3PM.
04-06 SE REALIZA VISITA AL COMERCIO, SE VALIDA QUE EL INTERNET DEL CLIENTE PRESENTA FALLAS, SE HACEN PRUEBAS OK.</t>
  </si>
  <si>
    <t>SV00C126</t>
  </si>
  <si>
    <t>FO-25-1041046</t>
  </si>
  <si>
    <t>BARRIO CENTRO PASTO 35</t>
  </si>
  <si>
    <t xml:space="preserve">4-06 SE ESCALA PARA VISITA. LLAMAR ANTES DE VISITAR Y CONFIRMAR DATOS, DIRECCION Y SOLICITUD
0
04-06 SE VISITA EL CB PARA VERIFICAR FALLA, USUARIA REPORTO DATAFONO SIN CONEXIÓN, FUE DEBIDO A UNA CAIDA DE ENERGÍA, PERO EN EL MOMENTO FUNCIONA SIN INCONVENIENTES, SE VERIFICA CABLEADO OK, SE TOMAN PRUEBAS OK, CB OPERATIVO </t>
  </si>
  <si>
    <t>GUERRERO RAMIREZ OSCAR DARIO</t>
  </si>
  <si>
    <t>LA0EZ272</t>
  </si>
  <si>
    <t>FO-25-1031198</t>
  </si>
  <si>
    <t>DISTRICOL VARIEDADES Y ESTILOS</t>
  </si>
  <si>
    <t xml:space="preserve">3-06 SE ESCALA PARA VISITA. LLAMAR ANTES DE VISITAR Y CONFIRMAR DATOS, DIRECCION Y SOLICITUD
0
04-06 SE HABLA CON EL CLIENTE QUIEN INDICA QUE EL EQUIPO EL DIA DE HOY A OPERADO CON NORMALIDAD, A TRANZADO SIN PROBLEMA, EL CLIENTE INDICA QUE DE UN MOMENTO A OTRO SE QUEDA SIN CONEXION, SE REALIZA VALIDACIONES EL CLIENTE INDICA QUE EL DATAFONO SIEMPRE QUEDA CON LA RED ACTIVA PERO NO LE PERMITE TRANZAR, SE LE INDICA REVISAR EL SERVICIO DE INTERNET PUES PUEDE ESTA PRESENTANDO CAIDAS Y ESO AFECTA EL FUNCIONAMIENTO DEL EQUIPO, </t>
  </si>
  <si>
    <t>FO-25-1038911</t>
  </si>
  <si>
    <t>PTM VILLA DEL ROSARIO  PLASTIC</t>
  </si>
  <si>
    <t>4-06 SE ESCALA PARA VISITA. LLAMAR ANTES DE VISITAR Y CONFIRMAR DATOS, DIRECCION Y SOLICITUD
0
04-06 SE VISITA COMERCIO Y SE REALIZA MANTENIMIENTO PREVENTIVO AL DATAFONO, SE ENCUENTRA BATERÍA DESAJUSTADA, SE VERIFICAN PARÁMETROS, SE REALIZAN PRUEBAS DE IMPRESIÓN CONSTANTES SE VERIFICA CON EL CLIENTE QUE EL EQUIPO QUEDÓ FUNCIONANDO OK, CIERRES Y PRUEBAS OK.</t>
  </si>
  <si>
    <t>TORRES MANTILLA JOSE DANIEL</t>
  </si>
  <si>
    <t>SX00J104 - LN00U394</t>
  </si>
  <si>
    <t>FO-25-1037765</t>
  </si>
  <si>
    <t>NUEVA ESPERANZA 2</t>
  </si>
  <si>
    <t xml:space="preserve">4-06 SE ESCALA PARA VISITA. LLAMAR ANTES DE VISITAR Y CONFIRMAR DATOS, DIRECCION Y SOLICITUD
0
05-06 SE REALIZA VISITÁ POR SOLICITUD DE CLIENTE LA CUAL NOS INDICA QUE EL EQUIPO NO LE PERMITE REALIZAR CIERRE LE ALARECE CLAVE INCORRECTA, SE LLEGA A SITIO Y SE REALIZAN CONFIGURACIÓN SE CLAVE SUPERVISOR QUEDANDO OPERATIVO PRUEBAS OK CIERRE EXITOSO </t>
  </si>
  <si>
    <t>MAESTRE MENGUAL EDGAR ENRIQUE</t>
  </si>
  <si>
    <t>AALFZ677</t>
  </si>
  <si>
    <t>USUARIOS</t>
  </si>
  <si>
    <t>USUARIOS BLOQUEADOS</t>
  </si>
  <si>
    <t>FO-25-1038554</t>
  </si>
  <si>
    <t>BARRIO ARAUCARIAS 1 BELLO</t>
  </si>
  <si>
    <t xml:space="preserve">4-06 SE ESCALA PARA VISITA. LLAMAR ANTES DE VISITAR Y CONFIRMAR DATOS, DIRECCION Y SOLICITUD
0
05-06 SE LLAMA AL USUARIO E INDICA QUE YA ESTÁ ACTIVO EL CB DE NUEVO , ERA UN PROBLEMA CON LA ENTIDAD DEL INTERNET </t>
  </si>
  <si>
    <t>MONTOYA VELEZ ANDRES FELIPE</t>
  </si>
  <si>
    <t>FO-25-1041313</t>
  </si>
  <si>
    <t>COMCARD ITAGUI LUCETE</t>
  </si>
  <si>
    <t xml:space="preserve">04-06 SE REALIZA CONTACTO CON LA SEÑORA FELENI AL NUMERO 3127054614 QUIEN INDICA QUE LE CAMBIARON EL DATAFONO POR DETERIORO DEL TECLADO PERO EL NUEVO NO LEE LAS TARJETAS APENAS LA INSERTA DICE TRANSACCION CANCELADA O RECHAZO GENERAL, SE HACEN VALIDACIONES Y SE ESCALA PARA VISITA TECNICA
0
05-06 SE HACE MANTENIMIENTO DE EQUIPO Y CABLEADO TODO OK </t>
  </si>
  <si>
    <t>11113849</t>
  </si>
  <si>
    <t>LECTOR DE TARJETAS</t>
  </si>
  <si>
    <t>OBSTRUCCION DEL LECTOR</t>
  </si>
  <si>
    <t>FO-25-1031298</t>
  </si>
  <si>
    <t>BARRIO CL GRANDE VILLANUEVA.</t>
  </si>
  <si>
    <t xml:space="preserve">3-06 SE ESCALA PARA VISITA. LLAMAR ANTES DE VISITAR Y CONFIRMAR DATOS, DIRECCION Y SOLICITUD
05/06/2025 HAY PROTESTAS EN LA SALIDA DE CARTAGENA POR TAL MOTIVO HAY TRANCÓN EN LA VÍA
05-06 SE REALIZA LIMPIEZA EN LA RANURA TENÍA SUCIO QUEDA FUNCIONANDO SIN PROBLEMAS SE HACEN PRUEBAS TODO OK </t>
  </si>
  <si>
    <t>CANEDO HERRERA ALEXANDER</t>
  </si>
  <si>
    <t>EHZZZ870</t>
  </si>
  <si>
    <t>FO-25-1043010</t>
  </si>
  <si>
    <t>DISTRICOL ABARROTES LOS DUENDE</t>
  </si>
  <si>
    <t>04-06 SE ESCALA PARA VISITA, LLAMAR ANTES DE VISITAR Y CONFIRMAR DATOS, DIRECCION Y SOLICITUD
0
05-06 SE HABLO CON USUARIO Y NOS INFORMA QUE EL EQUIPO AYER NO PERMITIA HACER NADA Y YA HOY AMANECIÓ BUENO. CB ESTA OPERATIVO. SE CIERRA INCIDENTE.</t>
  </si>
  <si>
    <t>RIOS CASTRILLON JUAN SEBASTIAN</t>
  </si>
  <si>
    <t>NO ENCIENDE</t>
  </si>
  <si>
    <t>FO-25-1035510</t>
  </si>
  <si>
    <t>BARRIO BACHUE ACACIAS 11</t>
  </si>
  <si>
    <t xml:space="preserve">4-06 SE ESCALA PARA VISITA. LLAMAR ANTES DE VISITAR Y CONFIRMAR DATOS, DIRECCION Y SOLICITUD
0
05-06 ME COMUNICO CON LA SEÑORA JESSICA DIAZ Y SE LE INDICA LA FORMA CORRECTA DE HACER EL CIERRE Y LA CLAVE 1526. YA LE ESTÁ FUNCIONANDO CORRECTAMENTE. CLIENTE INFORMA QUE YA SOLUCIONÓ EL INCONVENIENTE DEL CIERRE. DATAFONO LE ESTÁ FUNCIONANDO CORRECTAMENTE </t>
  </si>
  <si>
    <t>GARZON RUIZ LUIS MIGUEL</t>
  </si>
  <si>
    <t>MALA MANIPULACION POS</t>
  </si>
  <si>
    <t>FO-25-1044494</t>
  </si>
  <si>
    <t>BARRIO SAN PABLO MEDELLIN 3</t>
  </si>
  <si>
    <t xml:space="preserve">05-06 SE ESCALA PARA VISITA, LLAMAR ANTES DE VISITAR Y CONFIRMAR DATOS, DIRECCION Y SOLICITUD
0
05-06 SE HACE MANTENIMIENTO DE EQUIPO Y CABLEADO TODO OK </t>
  </si>
  <si>
    <t>V10OZ409</t>
  </si>
  <si>
    <t>FO-25-1041042</t>
  </si>
  <si>
    <t>COMCARD MED PAPELERIA DETALLES</t>
  </si>
  <si>
    <t xml:space="preserve">4-06 SE ESCALA PARA VISITA. LLAMAR ANTES DE VISITAR Y CONFIRMAR DATOS, DIRECCION Y SOLICITUD
0
05-06 SE REALIZA MANTENIMIENTO AL EQUIPO </t>
  </si>
  <si>
    <t>99DZZ430-HA006830</t>
  </si>
  <si>
    <t>FO-25-1025646</t>
  </si>
  <si>
    <t>PTM BELLO GRANERO EL JULI</t>
  </si>
  <si>
    <t xml:space="preserve">02-06 DEBIDO A FALLO, SOLICITUD DEL CLIENTE, REQUIERE CAMBIO DE DATAFONO, NO ESTA DISPONIBLE EL SOPORTE DE ACTIVOS PARA PARTE DE RBM, POR LO CUAL SE PROGRAMA ACTIVIDAD PARA DIA HABIL
03/06/2025 SEGÚN EL DAÑO SE NECESITA CAMBIO EQUIPO Y NO HAY EQUIPOS EN BODEGA LOS QUE HAY SE VAN A UTILIZAR EN APERTURAS SE APLAZA VISITA
05-06 SE REALIZÓ LIMPIEZA DE LECTOR CHIP </t>
  </si>
  <si>
    <t>CASTAÑEDA PALACIO CARLOS FELIPE</t>
  </si>
  <si>
    <t>A103Z499 A104Z891</t>
  </si>
  <si>
    <t>FO-25-1045165</t>
  </si>
  <si>
    <t>REVAL SUPERMERCADO OR</t>
  </si>
  <si>
    <t xml:space="preserve">05-06 SE ESCALA PARA VISITA, LLAMAR ANTES DE VISITAR Y CONFIRMAR DATOS, DIRECCION Y SOLICITUD
0
05-06 SE REALIZÓ LIMPIEZA DE LECTOR CHIP </t>
  </si>
  <si>
    <t>11113605 - 1113608</t>
  </si>
  <si>
    <t>FO-25-1033794</t>
  </si>
  <si>
    <t>BARRIO AV EL CONSULADAO BRR ESCALLONVILLA CARTAGENA DE INDIAS</t>
  </si>
  <si>
    <t>3-06 SE ESCALA PARA VISITA. LLAMAR ANTES DE VISITAR Y CONFIRMAR DATOS, DIRECCION Y SOLICITUD ..05-06 ACTIVIDAD PROGRAMADA PARA EL DÍA DE HOY 05-06-2025
05/06/2025 SE LLEGA AL SITIO Y NO SE ENCUENTRA LA PERSONA EN CARGADA INFORMA QUE LLEGA EN UNA HORA SE REGRESARA AL SITIO
05-06 SE VALIDA PROBLEMA DE LECTORA Y SE ENCUENTRA OPERATIVA SE DAN INDICACIONES DE COMO PODER LEER LA FACTURA CORRECTAMENTE Y TODO QUEDA OK</t>
  </si>
  <si>
    <t>MARTINEZ SALGUEDO ANDRES AUGUSTO</t>
  </si>
  <si>
    <t>SASZZ647</t>
  </si>
  <si>
    <t>CAPACITACION MANIPULACION DE COMERCIO</t>
  </si>
  <si>
    <t>FO-25-1044528</t>
  </si>
  <si>
    <t>BARRIO COMUNEROS I CALI 1</t>
  </si>
  <si>
    <t xml:space="preserve">05-06 SE ESCALA PARA VISITA, LLAMAR ANTES DE VISITAR Y CONFIRMAR DATOS, DIRECCION Y SOLICITUD
0
05-06 SE LLAMA AL COMERCIO Y ME DICE QUE YA SE SOLUCIONO LA FALLA </t>
  </si>
  <si>
    <t>FO-25-1047107</t>
  </si>
  <si>
    <t>BARRIO SAN LUIS CUCUTA 17</t>
  </si>
  <si>
    <t xml:space="preserve">05-06 SE ESCALA PARA VISITA, LLAMAR ANTES DE VISITAR Y CONFIRMAR DATOS, DIRECCION Y SOLICITUD
0
05-06 SE REALIZA VISITA AL COMERCIO Y SE ENCUENTRA DATAFONO SIN REALIZAR TRANSACCIONES DE RETIRO, SE REALIZA INCIALIZACION OK, PRUEBAS EXITOSAS </t>
  </si>
  <si>
    <t>MORA VEGA JEAMPIER</t>
  </si>
  <si>
    <t>IVZZZ993</t>
  </si>
  <si>
    <t>FO-25-1045161</t>
  </si>
  <si>
    <t>BARRIO CENTRO LEBRIJA 3</t>
  </si>
  <si>
    <t>05-06 SE ESCALA PARA VISITA, LLAMAR ANTES DE VISITAR Y CONFIRMAR DATOS, DIRECCION Y SOLICITUD
0
05-06 SE REALIZA VISITA AL COMERCIO CB, SE VALIDA Y SE ENCUENTRA QUE EL DATÁFONO PERDIÓ LA CONFIGURACIÓN DE LOS USUARIOS PARA EL CORRESPONSAL Y CLAVES PARA REALIZAR CIERRE Y DEMÁS SE REALIZA EL FORMATEO DEL DATÁFONO SE DESCARGA SISTEMA OPERATIVO NUEVO Y VERSIÓN 9.90 SE HACEN LAS RESPECTIVAS CONFIGURACIONES PRUEBAS OKAY</t>
  </si>
  <si>
    <t>AA08Z557</t>
  </si>
  <si>
    <t>FO-25-1028617</t>
  </si>
  <si>
    <t>BARRIO CUBIS ISTMINA CHOCO 2</t>
  </si>
  <si>
    <t xml:space="preserve">03-06 SE REALIZA CONTACTO CON LA SEÑORA JOHANA AL NUMERO 3182063717 QUIEN INDICA QUE EL DATAFONO LE ARROJA ERROR TCP IP CABLE DE RED DESCONECTADO, SE HACEN VALIDACIONES Y SE ESCALA PARA VISITA TECNICA
0
06-06 SE LLEGABA SITIO, SE REALIZA MANTENIMIENTO Y SE EVIDENCIA FALLA EN CANAL DE COMERCIO SE REALIZAN ADECUADOS Y EL CB QUEDA OPERATIVO </t>
  </si>
  <si>
    <t>1MZZZ115</t>
  </si>
  <si>
    <t>FO-25-1045385</t>
  </si>
  <si>
    <t>BARRIO LLANO GRANDE LOS PATIOS 3</t>
  </si>
  <si>
    <t>05-06 SE ESCALA PARA VISITA, LLAMAR ANTES DE VISITAR Y CONFIRMAR DATOS, DIRECCION Y SOLICITUD
0
05-06 SE CONTACTA TELEFÓNICAMENTE A LA SEÑORA CARMEN MONTERREY, SE REALIZA CAMBIO DE CLAVE DE SUPERVISOR. CLIENTE TIENE CONOCIMIENTO PREVIO DE LA CLAVE DE ADMINISTRADOR PARA REALIZAR EL CAMBIO. SE CONFIRMA SERVICIO OPERATIVO POR PARTE DEL CLIENTE.</t>
  </si>
  <si>
    <t>PACHECO BUITRAGO JAVIER ALONSO</t>
  </si>
  <si>
    <t>FO-25-1050909</t>
  </si>
  <si>
    <t>PTM REDES JC</t>
  </si>
  <si>
    <t>06-06 SE ESCALA PARA VISITA, LLAMAR ANTES DE VISITAR Y CONFIRMAR DATOS, DIRECCION Y SOLICITUD
0
06-06 DURANTE LA VISITA TECNICA PARA ATENDER INCIDENTE REPORTADO POR CORRESPONSAL BANCARIO, CORRESPONSAL NOS INDICA QUE EL DAÑO YA FUE SOLUCIONADO,  SE HACEN PRUEBAS CONFIRMANDO QUE SERVICIO SE ENCUENTRA FUNCIONAL Y OPERATIVO A CONFORMIDAD DEL CB SIN NOVEDAD EN EL INCIDENTE SALDO OK</t>
  </si>
  <si>
    <t>GALEANO SORIANO JUAN DAVID</t>
  </si>
  <si>
    <t>TR0VZ648-TR0FZ326</t>
  </si>
  <si>
    <t>FO-25-1050897</t>
  </si>
  <si>
    <t>BARRIO LAS COLINAS ARMENIA</t>
  </si>
  <si>
    <t xml:space="preserve">06-06 SE ESCALA PARA VISITA, LLAMAR ANTES DE VISITAR Y CONFIRMAR DATOS, DIRECCION Y SOLICITUD
0
07-06 SE VISITA COMERCIO,   NO SE PERMITE EL INGRESO A TÉCNICO PARA REALIZAR LA VERIFICACIÓN FÍSICA Y LECTURA DE PLACA DE DATAFONO CLIENTE INDICA QUE YA ESTÁ FUNCIONANDO EL DATAFONO Y QUE EL DÍA DE AYER EL PASO EL REPORTE DE QUE YA ESTABA FUNCIONANDO. </t>
  </si>
  <si>
    <t>SANCHEZ SOLORZANO JUAN SEBASTIAN</t>
  </si>
  <si>
    <t>AAQ0N448</t>
  </si>
  <si>
    <t>FO-25-1053149</t>
  </si>
  <si>
    <t>BARRIO SAN CIPRIANO BOGOTA 4</t>
  </si>
  <si>
    <t>06-06 SE ESCALA PARA VISITA, LLAMAR ANTES DE VISITAR Y CONFIRMAR DATOS, DIRECCION Y SOLICITUD
0
07-06 SE VISITA CORRESPONSAL BANCARIO POR REUBICACIÓN DE CABLE DE RED YA QUE EL CABLE EXISTENTE ESTABA MAL UBICADO Y HACIA QUE LA GENTE SE TRIPEZAEA SE PROCEDE A GENERAR CAMBIO DE CABLE INSTALANDO UN NUEVO CABLE DE 8 MTRS A SOLICITUD DE CLIENTE , SE PROCEDE A INSTALAR Y SE REALIZAN TRANSACCIONES DE PRUEBA OK,SE DEJA CB OPERANDO SIN NOVEDAD</t>
  </si>
  <si>
    <t>SXUZZ133</t>
  </si>
  <si>
    <t>SI</t>
  </si>
  <si>
    <t>FO-25-1057042</t>
  </si>
  <si>
    <t>PTM CALI ALL NET CENTRO DE SOL</t>
  </si>
  <si>
    <t xml:space="preserve">07-06 SE ESCALA PARA VISITA, LLAMAR ANTES DE VISITAR Y CONFIRMAR DATOS, DIRECCION Y SOLICITUD
0
07-06 CLIENTE CAMBIO CONFIGURACIÓN DEL EQUIPO POR ESO NO FUNCIONABA SE VUELVE A CONFIGURAR Y FUNCIONA CORRECTAMENTE </t>
  </si>
  <si>
    <t>AC0MZ730</t>
  </si>
  <si>
    <t>FO-25-1057348</t>
  </si>
  <si>
    <t>BARRIO COLINAS MANIZALES</t>
  </si>
  <si>
    <t>07-06 SE ESCALA PARA VISITA, LLAMAR ANTES DE VISITAR Y CONFIRMAR DATOS, DIRECCION Y SOLICITUD
0
07-06 SE REALIZA VALIDACION CON EL CLIENTE, PERO SE ENCUENTRA QUE EL CLIENTE ESTABA REALIZANDO EL CIERRE DEMANERA INCORRECTA, A TRAVES DEL MODULO DE COMERCIO Y EL DATAOFNO NO ES MIXTO, SE LE EXPLICA CORRECTAMENTE LA UBICACION DE LA OPCION DE CIERRE Y EL PROCESO CORRECTO Y EL CLIENTE LO REALIZA SON ONCONVENIENTE</t>
  </si>
  <si>
    <t>FO-25-1058020</t>
  </si>
  <si>
    <t>BARRIO BAYADERA MEDELLIN 2</t>
  </si>
  <si>
    <t xml:space="preserve">07-06 SE ESCALA PARA VISITA, LLAMAR ANTES DE VISITAR Y CONFIRMAR DATOS, DIRECCION Y SOLICITUD
0
08-06 SE REALIZÓ LIMPIEZA DE LECTOR CHIP </t>
  </si>
  <si>
    <t>XP00W434</t>
  </si>
  <si>
    <t>FO-25-1058289</t>
  </si>
  <si>
    <t>BARRIO BOCHALEMA BOCHALEMA 1</t>
  </si>
  <si>
    <t xml:space="preserve">07-06 SE ESCALA PARA VISITA, LLAMAR ANTES DE VISITAR Y CONFIRMAR DATOS, DIRECCION Y SOLICITUD
0
09-06 SE REALIZÓ VISITA AL COMERCIO Y SE REALIZA MANTENIMIENTO AL DATAFONO, SE FORMATEA EQUIPO, SE MONTA SISTEMA OPERATIVO Y VERSIÓN, PRUEBAS EXITOSAS </t>
  </si>
  <si>
    <t>TRSZZ845</t>
  </si>
  <si>
    <t>FO-25-1061535</t>
  </si>
  <si>
    <t>DISTRICOL COMUNICACIONES KATEB</t>
  </si>
  <si>
    <t xml:space="preserve">09-06 SE ESCALA PARA VISITA, LLAMAR ANTES DE VISITAR Y CONFIRMAR DATOS, DIRECCION Y SOLICITUD
0
09-06 CLIENTE INDICA QUE EN MOMENTO NO PUEDE ATENDER TÉCNICO DE REDEBAN POR QUE NO PARAR LA OPERACIÓN DE SU PUNTO. CLIENTE INDICA QUE VA SOLICITAR OTRA TAREA EN HORARIO ESPECÍFICO. </t>
  </si>
  <si>
    <t xml:space="preserve">CLIENTE INDICA QUE EN MOMENTO NO PUEDE ATENDER TÉCNICO DE REDEBAN POR QUE NO PARAR LA OPERACIÓN DE SU PUNTO. CLIENTE INDICA QUE VA SOLICITAR OTRA TAREA EN HORARIO ESPECÍFICO. </t>
  </si>
  <si>
    <t>FO-25-1056793</t>
  </si>
  <si>
    <t>BARRIO LAS FERIAS BOGOTA 3</t>
  </si>
  <si>
    <t xml:space="preserve">07-06 SE ESCALA PARA VISITA, LLAMAR ANTES DE VISITAR Y CONFIRMAR DATOS, DIRECCION Y SOLICITUD
07/06/2025 SE REALIZA COMUNICACIÓN A LA LÍNEA 3163297345 DONDE CLIENTE CONFIRMA FALLA DE CONEXIÓN, NO HAY SOPORTE DE RBM PARA  VISITAR, SE PROGRAMA PARA LA PRÓXIMA SEMANA.
09-06 SE REALIZA VISITA A CB PARA ATENDER INCIDENTE SE REALIZA REPORTE CON REDEBAN SOBRE FALLA RECHAZO GENERAL,SE REALIZAN PRUEBAS OK </t>
  </si>
  <si>
    <t>GALINDO ROJAS LUIS FELIPE</t>
  </si>
  <si>
    <t>AD00P298</t>
  </si>
  <si>
    <t>ENTIDAD</t>
  </si>
  <si>
    <t>ERROR DE TRANSACCIONES</t>
  </si>
  <si>
    <t>TRANSACCION NO PERMITIDA</t>
  </si>
  <si>
    <t>FO-25-1057440</t>
  </si>
  <si>
    <t>DISTRICOL MISCELANEA ARTEMISA</t>
  </si>
  <si>
    <t xml:space="preserve">07-06 SE ESCALA PARA VISITA, LLAMAR ANTES DE VISITAR Y CONFIRMAR DATOS, DIRECCION Y SOLICITUD
07/06/2025 SEGÚN DESCRIPCIÓN DE INCIDENTE EN PUNTO ES NECESARIO CAMBIO DE PLACA. POR HORA DE CREACIÓN DE ACTIVIDAD NO SE LOGRA VISITAR SITIO TIPO II PARA SOLUCIÓN ANTES DE VENCIMIENTO, VISITA SE REALIZARÁ EN DÍA HÁBIL.
09-06 SE VERIFICA DATAFONO PERO NO SE ENCUENTRA ANOMALÍA, SE REALIZA PRUEBA. </t>
  </si>
  <si>
    <t>AB19Z210</t>
  </si>
  <si>
    <t>FO-25-1047754</t>
  </si>
  <si>
    <t>DISTRICOL MIL COSAS Y ALGO MAS</t>
  </si>
  <si>
    <t xml:space="preserve">05-06 SE REALIZA CONTACTO CON LA SEÑORA MARLYS AL NUMERO 3137654516 QUIEN INDICA QUE EL DATAFONO SALE ERROR CONEXION CABLE RED DESCONECTADO, SE HACEN VALIDACIONES Y SE ESCALA PARA VISITA TECNICA
0
09-06 SE VISITA SITIO, SE REVISAN CONEXIONES DEL DATAFONO OK. SE DETECTA PROBLEMAS EN CANAL DE COMERCIO (SWITCH) SE REINICIA CONSTANTEMENTE, DATAFONO SE CONECTA DIRECTO AL MODEM Y SE LE INFORMA AL CB DAÑO EN CANAL DE COMUNICACIÓN OK.
PRUEBAS EXITOSAS </t>
  </si>
  <si>
    <t>COGOLLO VERTEL EDER LUIS</t>
  </si>
  <si>
    <t>4A0AZ386</t>
  </si>
  <si>
    <t>FO-25-1060456</t>
  </si>
  <si>
    <t>PARQUE PRINCIPAL LA UNION ANTI</t>
  </si>
  <si>
    <t xml:space="preserve">08-06 SE ESCALA PARA VISITA, LLAMAR ANTES DE VISITAR Y CONFIRMAR DATOS, DIRECCION Y SOLICITUD
0
09-06 SE REALIZÓ GESTIÓN TELEFÓNICA SE HABLO CON LA SEÑORA CLAUDIA CALLE, SE REALIZÓ RESTABLECE CLAVE SUPERVISOR SE REALIZA UNA PRUEBA SIENDO EXITOSA </t>
  </si>
  <si>
    <t>FO-25-1058818</t>
  </si>
  <si>
    <t>BARRIO PIONEROS SINCELEJO 4</t>
  </si>
  <si>
    <t>07-06 SE ESCALA PARA VISITA, LLAMAR ANTES DE VISITAR Y CONFIRMAR DATOS, DIRECCION Y SOLICITUD
0
07-06 SE VISITA COMERCIO POR FALLA, YA QUE LE SALE FALLA DE COMUNICACIÓN VERIFIQUE PARÁMETROS, SE INTENTA INICIALIZAR LA TERMINAL DEL COMERCIO PERO NO ES POSIBLE, HAY QUE ESCALAR CON RBM YA QUE LA TERMINAL NO ESTÁ EN BASE 24, COD: 12 TERMINAL NO EXISTE EN PTD O CSECD, SE REPROGRAMAR PAR EL LUNES YA QUE NO HAY SOPORTE DE ACTIVOS RBM.
0
09-06 SE VISITA COMERCIO NUEVAMENTE, YA QUE SALE "FALLA DE COMUNICACIÓN VERIFIQUE PARÁMETROS" SE ESCALA CON RBM Y SE CONFIRMA QUE LA TERMINAL ESTÁ BLOQUEADA, SE HABLA CON LA ENCARGADA _DEL CB_ Y SE LE INFORMA PARA QUE SE COMUNIQUE CON INCOCREDITO PARA LA ACTIVACIÓN DEL CODIGO UNICO, UNA VEZ QUE LE ACTIVEN LA TERMINAL LLAMAR NUEVAMENTE A LA ENTIDAD PARA AGENDAR LA VISITA; EL USUARIO YA SE ENCUENTRA EN EL PROCESO CON INCOCREDITO.</t>
  </si>
  <si>
    <t>CACERES HERNANDEZ ANDRES</t>
  </si>
  <si>
    <t>FAEZZ033 - SX6ZZ444</t>
  </si>
  <si>
    <t>FO-25-1061913</t>
  </si>
  <si>
    <t>BARRIO LA CASTILLA ARMENIA</t>
  </si>
  <si>
    <t xml:space="preserve">09-06 SE ESCALA PARA VISITA, LLAMAR ANTES DE VISITAR Y CONFIRMAR DATOS, DIRECCION Y SOLICITUD
0
09-06 SE LLEGA A COMERCIO SE VÁLIDA SERVICIO OK FALLA CONSISTE EN CONEXIONES DE PROVEEDOR INTERNET CLIENTE. </t>
  </si>
  <si>
    <t>A4WZZ802</t>
  </si>
  <si>
    <t>FO-25-1063441</t>
  </si>
  <si>
    <t>BARRIO EL CENTRO CUCUTA 79</t>
  </si>
  <si>
    <t>09-06 SE ESCALA PARA VISITA, LLAMAR ANTES DE VISITAR Y CONFIRMAR DATOS, DIRECCION Y SOLICITUD
10/06/2025 SE VISITA EL PUNTO SE ENCUENTRA CERRADO, SE PROCEDE A LLAMAR AL CLIENTE Y NO SE OBTIENE RESPUESTA, SE ESCALA A COORDINADOR QUIEN NOS INDICA QUE ESPEREMOS HASTA LAS 10:00 AM.
10-06 SE VISITA COMERCIO Y SE ENCUENTRA CERRADO, SE LLAMA AL CLIENTE Y NOS INDICA QUE EL DATAFONO SE ENCUENTRA OPERATIVO, NO SE ADJUNTAN PRUEBAS PORQUE EL CLIENTE SE ENCUENTRA EN URGENCIAS.</t>
  </si>
  <si>
    <t>FO-25-1066772</t>
  </si>
  <si>
    <t>BARRIO TOTORO TOTORO</t>
  </si>
  <si>
    <t>10-06 SE ESCALA PARA VISITA, LLAMAR ANTES DE VISITAR Y CONFIRMAR DATOS, DIRECCION Y SOLICITUD
0
10-06 SE REALIZA VALIDACION CON EL CLIENTE QUIEN INDICA QUE EL SERVICIO YA SE RESTABLECIO, ERA UN PROBLEMA CON EL PROVEEDOR DE INTERNET, EL CLIENTE YA ESTA TRANSANDO NORMAL. SE CIERRA CASO</t>
  </si>
  <si>
    <t>FO-25-1066777</t>
  </si>
  <si>
    <t>BARRIO LA SIERRA LA SIERRA</t>
  </si>
  <si>
    <t xml:space="preserve">10-06 SE ESCALA PARA VISITA, LLAMAR ANTES DE VISITAR Y CONFIRMAR DATOS, DIRECCION Y SOLICITUD
0
10-06 SE REALIZA VALIDACIÓN CON EL CLIENTE QUIEN INDICA QUE EL SERVICIO YA SE RESTABLECIÓ, ERA UN PROBLEMA CON EL PROVEEDOR DE INTERNET, EL CLIENTE YA ESTA CON TRANSACCIÓN NORMAL. SE CIERRA CASO
</t>
  </si>
  <si>
    <t>FO-25-1064328</t>
  </si>
  <si>
    <t>BARRIO LA GABRIELA BELLO 2</t>
  </si>
  <si>
    <t xml:space="preserve">09-06 SE ESCALA PARA VISITA, LLAMAR ANTES DE VISITAR Y CONFIRMAR DATOS, DIRECCION Y SOLICITUD
0
10-06 SE HACE MANTENIMIENTO DE EQUIPO Y CABLEADO </t>
  </si>
  <si>
    <t>9B0ZZ145</t>
  </si>
  <si>
    <t>FO-25-1064536</t>
  </si>
  <si>
    <t>MULTIPAGAS MARINILLA</t>
  </si>
  <si>
    <t xml:space="preserve">09-06 SE ESCALA PARA VISITA, LLAMAR ANTES DE VISITAR Y CONFIRMAR DATOS, DIRECCION Y SOLICITUD
0
10-06 SE FORMATEA EL EQUIPO DEJANDO LOS PARÁMETROS OK, INICIALIZACION OK, FUERON 2 EQUIPOS A LOS QUE SE LES HIZO ESTE PROCESO </t>
  </si>
  <si>
    <t>RUA ALVAREZ RICHARD ANDRES</t>
  </si>
  <si>
    <t>AAAAX315-AAAAX316</t>
  </si>
  <si>
    <t>FO-25-1058979</t>
  </si>
  <si>
    <t>BARRIO UNICO CIUDAD BOLIVAR</t>
  </si>
  <si>
    <t>07-06 SE ESCALA PARA VISITA, LLAMAR ANTES DE VISITAR Y CONFIRMAR DATOS, DIRECCION Y SOLICITUD
0
10-06 SE ENVIDENCIA PROBLEMAS CON EL CANAL DE COMUNICACIÓN SE CONECTA DIRECTAMENTE AL CANAL Y FUNCIONA NORMALMENTE LM</t>
  </si>
  <si>
    <t>JAZZZ622</t>
  </si>
  <si>
    <t>FO-25-1064077</t>
  </si>
  <si>
    <t>BARRIO SOGAMOSO SOGAMOSO</t>
  </si>
  <si>
    <t xml:space="preserve">09-06 SE ESCALA PARA VISITA, LLAMAR ANTES DE VISITAR Y CONFIRMAR DATOS, DIRECCION Y SOLICITUD
0
10-06 SE ESTABLECE COMUNICACIÓN TELEFÓNICA CON LA SEÑORA YESI ALFONSO AL DE CONTACTO 3213914853 CLIENTE INDICA QUE LE DATAFONO SE ENCUENTRA FUNCIONANDO CORRECTAMENTE OPERATIVO INFORMA QUE LA SOLICITUD QUE REALIZO ES DEBIDO A QUE REQUERÍA QUÉ LA INFORMACIÓN DEL TITULAR DE NEQUI LE APARECIERA EN PANTALLA ANTES DE FINALIZAR LA TRANSACCIÓN IGUAL QUE BANCOLOMBIA SE LE INDICA QUE PARA NEQUI NUNCA HAN TENIDO ESA OPCIÓN YA ES UN TEMA DE LA ENTIDAD EL NOMBRE DE TITULAR NEQUI SOLO SE VE REFLEJADO EN LA TIRILLA UNA VEZ FINALIZADA LA TX NO ANTES DE FINALIZAR LA TX SE LE INFORMA QUE SE PROCEDERÁ CON EL CIERRE DE LA ORDEN DE TRABAJO GENERADA YA QUE SE EVIDENCIA QUE EL EQUIPO ESTA FUNCIONANDO CORRECTAMENTE Y NO REQUIERE DE LA ASISTENCIA TÉCNICA CLIENTE COMPRENDE QUEDANDO CONFORME. </t>
  </si>
  <si>
    <t>RODRIGUEZ MURCIA YERSON IVAN</t>
  </si>
  <si>
    <t>FO-25-1065819</t>
  </si>
  <si>
    <t>TERMINAL DE TRANSPORTE YARUMAL</t>
  </si>
  <si>
    <t xml:space="preserve">10-06 SE ESCALA PARA VISITA, LLAMAR ANTES DE VISITAR Y CONFIRMAR DATOS, DIRECCION Y SOLICITUD
0
10-06 SE HACE MANTENIMIENTO OK SE CREA CLAVE SUPERVISOR OK. EQUIPOS OPERATIVOS </t>
  </si>
  <si>
    <t>DIAZ ZABALA FRANCIS DUBAN</t>
  </si>
  <si>
    <t>A00JZ413</t>
  </si>
  <si>
    <t>FO-25-1064543</t>
  </si>
  <si>
    <t>BARRIO MANANTIAL VILLAVICENCIO</t>
  </si>
  <si>
    <t xml:space="preserve">09-06 SE ESCALA PARA VISITA, LLAMAR ANTES DE VISITAR Y CONFIRMAR DATOS, DIRECCION Y SOLICITUD
0
10-06 SE VISITA CB Y AL LLEGAT AL SITIO EL COMERCIO SE ENCUENTRA CERRADO. ME COMUNICO CON CLIENTE Y E INFORMA QUE SOLO ABREN EN HORAS DE LA MAÑANA Y QUE EL DIA DE HOY LA LECTORA LES HA FUNCIONANDO NORMALMENTE </t>
  </si>
  <si>
    <t>FO-25-1066409</t>
  </si>
  <si>
    <t>BARRIO CHIMBORAZO MORALES</t>
  </si>
  <si>
    <t xml:space="preserve">10-06 SE ESCALA PARA VISITA, LLAMAR ANTES DE VISITAR Y CONFIRMAR DATOS, DIRECCION Y SOLICITUD
0
10-06 SE REALIZA VALIDACION CON EL CLIENTE QUIEN INDICA QUE EL SERVICIO YA SE RESTABLECIO, ERA UN PROBLEMA CON EL PROVEEDOR DE INTERNET, EL CLIENTE YA ESTA TRANSACION NORMAL. SE CIERRA CASO
</t>
  </si>
  <si>
    <t>FO-25-1065812</t>
  </si>
  <si>
    <t>BARRIO PUENTE IGLESIAS JERICO</t>
  </si>
  <si>
    <t>10-06 SE ESCALA PARA VISITA, LLAMAR ANTES DE VISITAR Y CONFIRMAR DATOS, DIRECCION Y SOLICITUD
0
10-06 SE LE EXPLICA AL CORRESPONSAL COMO REALIZAR CIERRES POS OK LECTOR OK</t>
  </si>
  <si>
    <t>TXZZZ476</t>
  </si>
  <si>
    <t>FO-25-1066263</t>
  </si>
  <si>
    <t>PTM ARGELIA ELECTRICOS Y VARI</t>
  </si>
  <si>
    <t>10-06 SE ESCALA PARA VISITA, LLAMAR ANTES DE VISITAR Y CONFIRMAR DATOS, DIRECCION Y SOLICITUD
0
11-06 SE HABLA CON EL CLIENTE QUIEN INDICA QUE DEBIDO A UNA CAIDA DEL PROVEEDOR DE INTERNET EL SERVICIO SE CAYO PERO QUE EN EL TRANSCURSO DEL DIA SE RESTABLECIO Y ESTA OERANDO SIN PROBLEMA.</t>
  </si>
  <si>
    <t>FO-25-1069515</t>
  </si>
  <si>
    <t>PTM MEDELLIN  ABARROTES CASTRO</t>
  </si>
  <si>
    <t xml:space="preserve">10-06 SE ESCALA PARA VISITA, LLAMAR ANTES DE VISITAR Y CONFIRMAR DATOS, DIRECCION Y SOLICITUD
0
11-06 SE LLAMA AL SEÑOR JORGE E INDICA QUE EL CB FUNCIONA CORRECTAMENTE </t>
  </si>
  <si>
    <t>FO-25-1073856</t>
  </si>
  <si>
    <t>BARRIO PALOQUEMAO</t>
  </si>
  <si>
    <t xml:space="preserve">11-06 SE ESCALA PARA VISITA. LLAMAR ANTES DE VISITAR, CONFIRMAR FALLA Y DATOS
0
11-06 SE LLEGA AL PUNTO DATÁFONO SE ENCUENTRA FUNCIONANDO EN PERFECTAS CONDICIONES, LA FALLA PUDO SER AL MÓDEM DEL CB QUE ALTERAN EN IP FIJA A DHCP, CB REALIZA PRUEBAS OK </t>
  </si>
  <si>
    <t>JAAAQ389</t>
  </si>
  <si>
    <t>FO-25-1070559</t>
  </si>
  <si>
    <t>BARRIO PLAYON MEDELLIN 2</t>
  </si>
  <si>
    <t>10-06 SE ESCALA PARA VISITA. LLAMAR ANTES DE VISITAR, CONFIRMAR FALLA Y DATOS
0
11-06 SE REALIZA MANTENIMIENTO A LA IMPRESORA Y EQUIPO POR QUE NO LEÍA TARJETA</t>
  </si>
  <si>
    <t>AB00H664</t>
  </si>
  <si>
    <t>FO-25-1066403</t>
  </si>
  <si>
    <t>BARRIO VENECIA TESALIA</t>
  </si>
  <si>
    <t xml:space="preserve">10-06 SE ESCALA PARA VISITA, LLAMAR ANTES DE VISITAR Y CONFIRMAR DATOS, DIRECCION Y SOLICITUD
0
11-06 SE REALIZA FORMATEO , CONFIGURACIÓN Y SE INICIALIZA DATAFONO , SE CREA USUARIO Y CLAVE CON EL CLIENTE, SE REALIZA PRUEBAS OK </t>
  </si>
  <si>
    <t>ANDRADE HERNANDEZ JUAN CARLOS</t>
  </si>
  <si>
    <t>XP5ZZ733</t>
  </si>
  <si>
    <t>FO-25-1070683</t>
  </si>
  <si>
    <t>PTM VILLA DEL ROSARIO PAPELERI</t>
  </si>
  <si>
    <t>10-06 SE ESCALA PARA VISITA. LLAMAR ANTES DE VISITAR, CONFIRMAR FALLA Y DATOS
0
11-06 SE REALIZA VISITA, SE ENCUENTRA CONEXIÓN DEL COMERCIO MAL CONECTADO, SE REALIZAN PRUEBAS Y CIERRES OK.</t>
  </si>
  <si>
    <t>FATZZ900-FATZZ535</t>
  </si>
  <si>
    <t>FO-25-1056510</t>
  </si>
  <si>
    <t>BARRIO VILLA LA PAZ CORREGIMIE</t>
  </si>
  <si>
    <t>07-06 SE LLAMA AL 3108257270; SE REALIZA CONTACTO CON USUARIO, SE CONFIRMA DATOS Y FALLA, CB INFORMA QUE YA LE FUNCIONA PERO ES CONSTANTE QUE SE LE QUEDE SIN CONEXION Y EL INTERNET FUNCIONA BIEN EN LOS OTROS EQUIPOS,  SE ESCALA PARA VISITA. LLAMAR ANTES DE VISITAR 
10/06/2025 EN SITIO SE PRESENTAN PROBLEMAS DE CANAL. USUARIA INFORMA QUE EL DÍA LUNES EL PROVEEDOR DE INTERNET ESTUVO MUY INTERMITENTE TODO EL DÍA Y DEBIDO A ESTO HAN SIDO LAS NOVEDADES DE CONEXIÓN EN EL SECTOR. SE ACUERDA CON USUARIA SEGUIMIENTO Y ESPERA HASTA EL DÍA DE MAÑANA QUE EL PROVEEDOR SOLUCIONE LA NOVEDAD PARA CONFIRMAR SI ES PROBLEMA DE DATAFONO FINALMENTE. VISITA PENDIENTE.
11-06 SE REALIZA VISITA Y SE CONFIRMA CORRECTO FUNCIONAMIENTO DEL EQUIPO Y DEL MÁGIC BOX, SE DETECTA FALLA DE PARTE DE CONEXION DEL COMERCIO</t>
  </si>
  <si>
    <t>QUINTERO SANCHEZ JUAN SEBASTIAN</t>
  </si>
  <si>
    <t>3A0CZ768</t>
  </si>
  <si>
    <t>FO-25-1073681</t>
  </si>
  <si>
    <t>11-06 SE ESCALA PARA VISITA. LLAMAR ANTES DE VISITAR, CONFIRMAR FALLA Y DATOS
0
11-06 SE VISITA COMERCIO POR FALLA, SE CONFIGURA DATÁFONO NUEVAMENTE, SE DEJA CON LA VERSIÓN 9.90, SE REALIZAN PRUEBAS OK DEL COMERCIO, NO SE REALIZAN PRUEBAS DEL CB YA QUE SE ENCUENTRA BLOQUEADO POR PARTE DE LA ENTIDAD, SE LLAMO ALA LÍNEA Y LE INFORMARON QUE HASTA EL DÍA DE MAÑANA NO SE HABILITA, COMERCIO MIXTO CU: 22684591
TERMINAL: FAEZZ033.</t>
  </si>
  <si>
    <t>FO-25-1077032</t>
  </si>
  <si>
    <t>BARRIO PORVENIR VILLAVICENCIO</t>
  </si>
  <si>
    <t xml:space="preserve">11-06 SE ESCALA PARA VISITA. LLAMAR ANTES DE VISITAR, CONFIRMAR FALLA Y DATOS
0
12-06 ME.COMUNICO CON CLIENTE LA SEÑORA TATIANA RIAÑO Y ME INFORMA QUE EL DIA DE HOY YA LE ESTA FUNCIONANDO CORRECTAMENTE EL DATAFONO. ERA UN PROBLEMA CON EL INTERNET DEL COMERCIO. INFORMAN QUE ESTAN HACIENDO TRANSACCIONES SIN NINGÚN PROBLEMA </t>
  </si>
  <si>
    <t>FO-25-1075307</t>
  </si>
  <si>
    <t>PTM PONEDERA BABY JULI</t>
  </si>
  <si>
    <t xml:space="preserve">11-06 SE ESCALA PARA VISITA. LLAMAR ANTES DE VISITAR, CONFIRMAR FALLA Y DATOS
0
12-06 SE REALIZA VISITA SE VALIDA DATAFONO ,LECTOR Y TODO OK ,CABLES OK , SE PROCEDE A REALIZAR PRUEBAS Y TODO OK ,POSIBLE MANIPULACIÓN DEL CLIENTE , SE LE INDICA COMO REALIZAR EL MANEJO PARA EL PAGO DE FACTURAS POR CÓDIGOS DE BARRAS, Y TODO OK CB OK OPERATIVO </t>
  </si>
  <si>
    <t>9CQZZ644</t>
  </si>
  <si>
    <t>FO-25-1074064</t>
  </si>
  <si>
    <t>BARRIO CENTRO GUADALAJARA DE B</t>
  </si>
  <si>
    <t>11-06 SE ESCALA PARA VISITA. LLAMAR ANTES DE VISITAR, CONFIRMAR FALLA Y DATOS
0
12-06 SE INICIALIZA TERMINAL DE EQUIPO DE CB BANCOLOMBIA PURO DEBIDO A HORA DESCONFIGURADA, SE REALIZAN PRUEBAS OK.</t>
  </si>
  <si>
    <t>AAJ05746</t>
  </si>
  <si>
    <t>FO-25-1075208</t>
  </si>
  <si>
    <t>BARRIO VILLA LUZ NEMOCON</t>
  </si>
  <si>
    <t>11-06 SE ESCALA PARA VISITA. LLAMAR ANTES DE VISITAR, CONFIRMAR FALLA Y DATOS
0
12-06 SE REALIZA VISITA A COMERCIO, SE REALIZA REVISIÓN DE CABLEADO FÍSICO SE ENCUENTRA OK, PRUEBAS DE COMUNICACIÓN DATAFONO OK, SE REALIZA ACOMPAÑAMIENTO DURANTE 20 MINUTOS PARA VALIDAR FUNCIONAMIENTO NO SE PRESENTAN FALLAS, PRUEBAS DE  TRANSACCIONES OK, SE ENCUENTRA DATAFONO CONECTADO A EQUIPO DE RESPALDO DE ENERGÍA, SE CONECTA DIRECTO AL TOMA CORRIENTE Y NO PRESENTA FALLAS DE ENCENDIDO E REINICIO.</t>
  </si>
  <si>
    <t>A1MZZ089</t>
  </si>
  <si>
    <t>FO-25-1081664</t>
  </si>
  <si>
    <t>BARRIO VEREDA LA MAGOLA SUPATA</t>
  </si>
  <si>
    <t>12-06 SE ESCALA SOLICITUD A LA RED PARA VALIDAR SU ATENCION.. RESPUESTA DE LA RED: DE ACUERDO CON TU SOLICITUD POR FAVOR INDICARLE AL CLIENTE QUE DEBE COMUNICARSE CON LA ENTIDAD, SON ELLOS LOS ENCARGADOS DE GESTIONAR ESTE TIPO DE SOLICITUDES. PROCEDER CON EL CIERRE DEL CASO.
0
0</t>
  </si>
  <si>
    <t>FO-25-1074802</t>
  </si>
  <si>
    <t>DISTRICOL CAFE JUANITA</t>
  </si>
  <si>
    <t>11-06 SE ESCALA PARA VISITA. LLAMAR ANTES DE VISITAR, CONFIRMAR FALLA Y DATOS
0
12-06 SE LLAMA A CLIENTE PARA CONFIRMAR VISITA Y EL SEÑOR LUIS DAVID MUÑOZ COMENTA QUE SE COMUNICÓ A LA LINEA FUE A SOLICITAR ROLLOS PARA EL DATAFONO NO A PEDIR SERVICIO TÉCNICO. SE LE INDICA QUE LLAME NUEVAMENTE A SOLICITAR.</t>
  </si>
  <si>
    <t>FO-25-1079438</t>
  </si>
  <si>
    <t>BARRIO PRADERAS DE SANTA RITA</t>
  </si>
  <si>
    <t xml:space="preserve">12-06 SE ESCALA PARA VISITA. LLAMAR ANTES DE VISITAR, CONFIRMAR FALLA Y DATOS
0
12-06 SE VÁLIDA ERROR DE CONEXIÓN DEBIDO A CAÍDA DEL PROVEEDOR DE INTERNET DEL CLIENTE, SE REALIZA PRUEBAS DE FUNCIONAMIENTO OK. CUBRE CLAVE INSTALADO </t>
  </si>
  <si>
    <t>HA00W595</t>
  </si>
  <si>
    <t>FO-25-1078139</t>
  </si>
  <si>
    <t>PTM ARMENIA LA SEN@L</t>
  </si>
  <si>
    <t xml:space="preserve">12-06 SE ESCALA PARA VISITA. LLAMAR ANTES DE VISITAR, CONFIRMAR FALLA Y DATOS
0
12-06 SE LLAMA AL SEÑORA  ALBERTO CASTAÑEDA  AL TELÉFONO 3104237086 INDICA QUE LA FALLA ERA EL SERVICIO DE INTERNET DEL LOCAL QUE AYER EN LA TARDE YA EL DATAFONO ESTABA FUNCIONANDO CORRECTAMENTE. </t>
  </si>
  <si>
    <t>FO-25-1078966</t>
  </si>
  <si>
    <t xml:space="preserve">12-06 SE ESCALA PARA VISITA. LLAMAR ANTES DE VISITAR, CONFIRMAR FALLA Y DATOS
0
12-06 SE ESTABLECE COMUNICACION CON USUARIO VALIDANDO FALLA REPORTADA, SE PROCEDE CON INDICACIONES REMOTAS SOLUCIONANDO INCONVENIENTE, SE REALIZAN PRUEBAS OK DE FUNSIONAMIENTO EQUIPO SIN NOVEDAD </t>
  </si>
  <si>
    <t>FO-25-1079430</t>
  </si>
  <si>
    <t>BARRIO AMBALA IBAGUE 4</t>
  </si>
  <si>
    <t>12-06 SE ESCALA PARA VISITA. LLAMAR ANTES DE VISITAR, CONFIRMAR FALLA Y DATOS
0
12-06 SE REALIZA VALIDACIÓN DE USUARIO BLOQUEADO, SE DESBLOQUEA Y SE REALIZA PRUEBAS DE FUNCIONAMIENTO OK; CUBRE CLAVE INSTALADO.</t>
  </si>
  <si>
    <t>II00S485</t>
  </si>
  <si>
    <t>FO-25-1067723</t>
  </si>
  <si>
    <t>7 AGOSTO REMEDIO</t>
  </si>
  <si>
    <t xml:space="preserve">10-06 10:41  3127330175 SE INTENTA COMUNICACION CON CB NO ES POSIBLE VALIDAR LA SOLICITUD, POR FAVOR LLAMAR ANTES DE DESPLAZARSE
0
12-06 SE LLEGA AL SITIO Y SE REQUIERE UNA BASE DE REALIZA LA INSTALACIÓN DE LA BASE Y TODO SE ENCUENTRA OK </t>
  </si>
  <si>
    <t>EF00B344</t>
  </si>
  <si>
    <t xml:space="preserve">Base de datofono </t>
  </si>
  <si>
    <t>FO-25-1084215</t>
  </si>
  <si>
    <t>ARA0141 CTG CRESPO AEROPUERTO</t>
  </si>
  <si>
    <t>RETAIL</t>
  </si>
  <si>
    <t>13-6 SE ESCALA CASO A LA RED PARA ATENCIÓN POR MEDIO DE LA FUERZA COMERCIAL YA QUE ES UN CB ARA, SE PROCEDE A CERRAR...RESPUESTA DE LA RED: TU SOLICITUD REFERENTE A GENERACIÓN DE CASOS CB ARA BANCOLOMBIA QUEDÓ RADICADA BAJO EL TICKET NÚMERO 5673585 AL ÁREA ENCARGADA. 
0
0</t>
  </si>
  <si>
    <t>FO-25-1081355</t>
  </si>
  <si>
    <t>DISTRICOL KOLOR FASHION</t>
  </si>
  <si>
    <t xml:space="preserve">12-06 SE ESCALA PARA VISITA. LLAMAR ANTES DE VISITAR, CONFIRMAR FALLA Y DATOS
0
13-06 SE LLEGA AL SITIO Y SE CREA LA CLAVE SUPERVISOR SE REALIZA MANTENIMIENTO AL EQUIPO Y AL PINPAD LIMPIEZA SE REALIZAN PRUEBAS EXITOSAS SERVICIO OPERATIVO </t>
  </si>
  <si>
    <t>AD00S291</t>
  </si>
  <si>
    <t>FO-25-1082117</t>
  </si>
  <si>
    <t>BARRIO LA MIEL II CALDAS</t>
  </si>
  <si>
    <t xml:space="preserve">12-06 SE ESCALA PARA VISITA. LLAMAR ANTES DE VISITAR, CONFIRMAR FALLA Y DATOS
0
13-06 SE REALIZÓ MANTENIMIENTO GENERAL AL CABLEADO DEL DATÁFONO </t>
  </si>
  <si>
    <t>BL01Y320</t>
  </si>
  <si>
    <t>FO-25-1082187</t>
  </si>
  <si>
    <t>BARRIO FUNDADORES APARTADO</t>
  </si>
  <si>
    <t xml:space="preserve">12-06 SE ESCALA PARA VISITA. LLAMAR ANTES DE VISITAR, CONFIRMAR FALLA Y DATOS
0
13-06 REPISADO DE PARÁMETROS Y REINICIALIZACION </t>
  </si>
  <si>
    <t>A00FZ740</t>
  </si>
  <si>
    <t>FO-25-1084233</t>
  </si>
  <si>
    <t>BARRIO MIRADOR BELLO 1</t>
  </si>
  <si>
    <t xml:space="preserve">13-06 SE ESCALA PARA VISITA. LLAMAR ANTES DE VISITAR, CONFIRMAR FALLA Y DATOS
0
13-06 SE REALIZA MANTENIMIENTO AL EQUIPO POR QUÉ NO LEÍA ALGUNAS TARJETAS </t>
  </si>
  <si>
    <t>AB0WZ559</t>
  </si>
  <si>
    <t>FO-25-1082203</t>
  </si>
  <si>
    <t>PAGAFACIL NUESTRO URABA</t>
  </si>
  <si>
    <t xml:space="preserve">12-06 SE ESCALA PARA VISITA. LLAMAR ANTES DE VISITAR, CONFIRMAR FALLA Y DATOS
0
13-06 CAMBIO CABLE MÁGIC BOX </t>
  </si>
  <si>
    <t>111JZ576</t>
  </si>
  <si>
    <t>FO-25-1087390</t>
  </si>
  <si>
    <t>ARA0010 SAN FRANCISCO</t>
  </si>
  <si>
    <t>13-6 SE ESCALA CASO A LA RED PARA ATENCIÓN POR MEDIO DE LA FUERZA COMERCIAL YA QUE ES UN CB ARA, SE PROCEDE A CERRAR....RESPUESTA DE LA RED: TU SOLICITUD REFERENTE A GENERACIÓN DE CASOS CB ARA BANCOLOMBIA QUEDÓ RADICADA BAJO EL TICKET NÚMERO 5674241 AL ÁREA ENCARGADA. 
0
0</t>
  </si>
  <si>
    <t>FO-25-1084703</t>
  </si>
  <si>
    <t>PTM MEDELLIN SERVICIO ELECTRIC</t>
  </si>
  <si>
    <t xml:space="preserve">13-06 SE ESCALA PARA VISITA. LLAMAR ANTES DE VISITAR, CONFIRMAR FALLA Y DATOS
0
13-06 SE ATIENDE INCIDENTE SE SE HACE VALIDACION OK SE DETECTA QUE LA FALLA ES POR LAS CONEXIONES DEL COMERCIO SE LE INDICA AL CLIENTE QUIEN INMEDIATAMENTE CAMBIE DE PUTO DE RED Y SE SOLUCIONA LA FALLA </t>
  </si>
  <si>
    <t>II00L306-TRZZZ946</t>
  </si>
  <si>
    <t>FO-25-1082800</t>
  </si>
  <si>
    <t>BARRIO CENTRO BOMBONA MEDELLIN</t>
  </si>
  <si>
    <t xml:space="preserve">12-06 SE ESCALA PARA VISITA. LLAMAR ANTES DE VISITAR, CONFIRMAR FALLA Y DATOS
0
13-06 SE REALIZA VISITA USUARIA IMFORMA QUE TODO ESTA BIENN HACEN PRUEBAS </t>
  </si>
  <si>
    <t>AA002181</t>
  </si>
  <si>
    <t>FO-25-1086341</t>
  </si>
  <si>
    <t>BARRIO YOTOCO YOTOCO</t>
  </si>
  <si>
    <t>13-06 SE ESCALA PARA VISITA. LLAMAR ANTES DE VISITAR, CONFIRMAR FALLA Y DATOS
0
13-06 EN LA VISITA TÉCNICA REALIZADA AL CB POR UN ERROR CON LAS TRANSACCIONES QUE REPORTÓ EN LA LÍNEA DE BANCOLOMBIA, EL CLIENTE NO ATENDIÓ LA VISITA YA QUE ME SOLICITÓ EL NÚMERO DE RADICADO SE LE INDICÓ EL NÚMERO DE LA TEA PERO EL CLIENTE MANIFIESTA QUE NO ES EL MISMO NÚMERO SE LE INDICÓ QUE DEBE DE LLAMAR A LA LÍNEA PARA CONFIRMAR MIS DATOS CON MI DOCUMENTO DE IDENTIDAD PERO EL CLIENTE SE NEGÓ A HACERLO,EL CLIENTE NO FIRMÓ EL DOCUMENTO NI BRINDÓ SUS DATOS PERSONALES,(TENIENDO EN CUENTA QUE SE HABÍA REALIZADO GESTIÓN TELEFÓNICA Y SE HABÍA CONFIRMADO LA VISITA CON EL CLIENTE)</t>
  </si>
  <si>
    <t xml:space="preserve">SE REALIZÓ LA VISITA AL CB PERO EL CLIENTE NO ATENDIÓ LA VISITA </t>
  </si>
  <si>
    <t>FO-25-1087131</t>
  </si>
  <si>
    <t>BARRIO OTUN DOSQUEBRADAS 1</t>
  </si>
  <si>
    <t xml:space="preserve">13-06 SE ESCALA PARA VISITA. LLAMAR ANTES DE VISITAR, CONFIRMAR FALLA Y DATOS - COORDINADOR LO SOLICITA TAMBIEN
0
13-06 VISITAMOS COMERCIO PERO LA PERSONA ESTÁ MUY OCUPADA INDICA QUE EN ESTE HORARIO NO ES POSIBLE ATENDERNOS, NO PERMITE EL INGRESO LE INDICAMOS QUE SE DEBE CERRAR LA ACTIVIDAD Y QUE NUEVAMENTE LLAMAR A LA LÍNEA PARA SOLICITAR OTRO SERVICIO EL DATAFONO ESTA OPERATIVO CLIENTE NO FIRMA. </t>
  </si>
  <si>
    <t xml:space="preserve">NO MANIPULAMOS EQUIPO </t>
  </si>
  <si>
    <t>TA-25-756128</t>
  </si>
  <si>
    <t>FO-25-1086508</t>
  </si>
  <si>
    <t>BARRIO MOJICA CALI 1</t>
  </si>
  <si>
    <t>13-06 SE CREA POR SOLICITUD DE LA RED ..SE ESCALA PARA VISITA. LLAMAR ANTES DE VISITAR, CONFIRMAR FALLA Y DATOS
0
16-06 SE REALIZA CAMBIO DE DATÁFONO EN CB BANCOLOMBIA PURO DEBIDO A PLACA BLOQUEADA POR EQUIPO DADO DE BAJA, SE REALIZA CAMBIO DE PIN PAD POR TECNOLOGÍA, SE REALIZAN PRUEBAS OK.</t>
  </si>
  <si>
    <t>MNS0SZ979</t>
  </si>
  <si>
    <t>Si</t>
  </si>
  <si>
    <t>DATAFONO ERI EQUIPO ROBADO Y/O ILOCALIZABLE</t>
  </si>
  <si>
    <t>HUB HB3 NO RECONOCE CONECTOR</t>
  </si>
  <si>
    <t>PINPAD CPT CAMBIO POR TECNOLOGÍA</t>
  </si>
  <si>
    <t>FO-25-1084217</t>
  </si>
  <si>
    <t>PTM TAMESIS DISTRIBUIDOR ITALC</t>
  </si>
  <si>
    <t xml:space="preserve">13-06 SE ESCALA PARA VISITA. LLAMAR ANTES DE VISITAR, CONFIRMAR FALLA Y DATOS
0
14-06 SE REALIZÓ LIMPIEZA DE LECTOR CHIP </t>
  </si>
  <si>
    <t>F1WZZ966 - F1XZZ137</t>
  </si>
  <si>
    <t>FO-25-1087872</t>
  </si>
  <si>
    <t>PTM ITAGUI EL ENCANTO DE MAFE</t>
  </si>
  <si>
    <t xml:space="preserve">13-06 SE ESCALA PARA VISITA. LLAMAR ANTES DE VISITAR, CONFIRMAR FALLA Y DATOS - COORDINADOR LO SOLICITA TAMBIEN
0
14-06 SE LLAMA AL CLIENTE Y DICE QUE EL CORRESPONSAL ESTA FUNCIONANDO CORRECTAMENTE </t>
  </si>
  <si>
    <t>FO-25-1085579</t>
  </si>
  <si>
    <t>BARRIO CERCA A LA ESTACION DE</t>
  </si>
  <si>
    <t>13-06 SE ESCALA PARA VISITA. LLAMAR ANTES DE VISITAR, CONFIRMAR FALLA Y DATOS
0
14-06 SE COMUNICA AL NÚMERO 3153964619 LA SEÑORA MARISOL MOSQUERA INDICA TENER INCONVENIENTES SOLAMENTE CON LA FACTURA DE ACUEDUCTO AL PARECER LA IMPRESIÓN QUEDO DEFECTUOSA; NOS INDICA QUE EN TROS FACTURAS SI LAS RECIBE SOLICITA NO VISITAR EL SITIO HASTA PODER VALIDAR CON LA ENTIDAD UNA NUEVA IMPRESIÓN.</t>
  </si>
  <si>
    <t>FO-25-1090598</t>
  </si>
  <si>
    <t>PLAZA DE MERCADO MANIZALES</t>
  </si>
  <si>
    <t xml:space="preserve">14-06 SE ESCALA PARA VISITA, LLAMAR ANTES DE VISITAR Y CONFIRMAR DATOS, DIRECCION Y SOLICITUD
0
14-06 SE REALIZA VISITA SE FORMATEA DATAFONO POR PARAMETROS MAL CONFIGURADOS SE INICIALIZA SE CREAN USUARIOS SE HACEN PRUEBAS SERVICIO OK </t>
  </si>
  <si>
    <t>AGUIRRE HENAO RAUL EDUARDO</t>
  </si>
  <si>
    <t>BBVZZ554 IZ8ZZ794</t>
  </si>
  <si>
    <t>FO-25-1081895</t>
  </si>
  <si>
    <t>BARRIO GALERIA SANTA BARBARA</t>
  </si>
  <si>
    <t xml:space="preserve">12-06 SE ESCALA PARA VISITA. LLAMAR ANTES DE VISITAR, CONFIRMAR FALLA Y DATOS
0
14-06 SE REALIZÓ LIMPIEZA DE LECTOR CHIP </t>
  </si>
  <si>
    <t>9A1ZZ791</t>
  </si>
  <si>
    <t>FO-25-1090602</t>
  </si>
  <si>
    <t>MULTIPAGAS VIVA BARRANQUILLA</t>
  </si>
  <si>
    <t>14-06 SE ESCALA PARA VISITA, LLAMAR ANTES DE VISITAR Y CONFIRMAR DATOS, DIRECCION Y SOLICITUD
0
14-06 SE REALIZA VISITA TÉCNICA, SE CONFIGURA LA IP FIJA DEL CLIENTE, SE REALIZA PRUEBAS EXITOSAS, EQUIPO FUNCIONA CORRECTAMENTE, CB OPERATIVO.</t>
  </si>
  <si>
    <t>DE AGUAS MUÑOZ DAVID JOSE</t>
  </si>
  <si>
    <t>111UZ632 - 111UZ635</t>
  </si>
  <si>
    <t>FO-25-1092181</t>
  </si>
  <si>
    <t>BARRIO TRESESQUINAS ARMENIA</t>
  </si>
  <si>
    <t>14-06 SE ESCALA PARA VISITA, LLAMAR ANTES DE VISITAR Y CONFIRMAR DATOS, DIRECCION Y SOLICITUD
0
14-06 SE HABLA CON LA SEÑORA VALENTINA QUIEN INDICA QUE EL CIERRE LE SALIO EN CEROS EL DATAFONO LE DICE SIN TRANSACCIONES, SE LE INDAGA SI FUE QUE LE REALIZO BORRADO DE MEMORIA AL DATAFONO E INDICA QUE SI, SE LE EXPLICA QUE DESPUES DE ESTO EL DATAFONO YA NO QUEDA CON TRANSACCIONES Y YA NO ES POSIBLE SACAR DE NUEVO EL CIERRE. POR ESTE MOTIVO DEBE ESPERAR A VOLVER A TRANSAR CON EL PARA REALIZAR DE NUEVO UN CIERRE</t>
  </si>
  <si>
    <t>FO-25-1091580</t>
  </si>
  <si>
    <t>PAGAFACIL EURO ITAGUI</t>
  </si>
  <si>
    <t xml:space="preserve">14-06 SE ESCALA PARA VISITA, LLAMAR ANTES DE VISITAR Y CONFIRMAR DATOS, DIRECCION Y SOLICITUD
0
14-06 SE HACE MANTENIMIENTO DE EQUIPO Y CABLEADO TODO OK </t>
  </si>
  <si>
    <t>999VZ125</t>
  </si>
  <si>
    <t>FO-25-1085474</t>
  </si>
  <si>
    <t>DISTRICOL RESPONSIBLE MARKET</t>
  </si>
  <si>
    <t xml:space="preserve">13-06 SE ESCALA PARA VISITA. LLAMAR ANTES DE VISITAR, CONFIRMAR FALLA Y DATOS
0
14-06 SE HABLA CON ADMINISTRADOR DEL COMERCIO E INDICA QUE HUBO PROBLEMAS CON EL INTERNET, PERO QUE YA EL DATÁFONO ESTA FUNCIONANDO CORRECTAMENTE </t>
  </si>
  <si>
    <t>FO-25-1090121</t>
  </si>
  <si>
    <t>BARRIO CENTRO MEDELLIN 55</t>
  </si>
  <si>
    <t xml:space="preserve">14-06 SE ESCALA PARA VISITA, LLAMAR ANTES DE VISITAR Y CONFIRMAR DATOS, DIRECCION Y SOLICITUD
14/06/2025 COMERCIO ABRE DESPUES DEL MEDIO DIA SE VISITA AHORA DESPUES DEL MEDIO DIA
14-06 SE ENCONTRA DATAFONO SIN RED SE VERIFICA CANAL DEL COMERCIO Y SE ENCUENTRA QUE LA CONEXION DEL RACK A DONDE ESTA EL DATAFONO NO TIENE RED SE PRUEBA EN OTRA CONEXION Y ESTA OPERATIVO PRUEBAS OK COMERCIO REVISARA CANAL </t>
  </si>
  <si>
    <t>PAREJA ECHAVARRIA JHON DAVID</t>
  </si>
  <si>
    <t>AB1IZ080</t>
  </si>
  <si>
    <t>FO-25-1093473</t>
  </si>
  <si>
    <t>BARRIO SANTA CRUZ MEDELLIN</t>
  </si>
  <si>
    <t xml:space="preserve">15-06 SE ESCALA PARA VISITA, POR FAVOR LLAMAR ANTES DE DESPLAZARSE
15/06/2025 EN COMUNICACIÓN CON LA SEÑORA JANETH ESPOSA DEL SEÑOR JHON. NOS INDICA QUE LA FALLA QUE PRESENTA EL DATAFONO ES EN EL DISPLAY D
15-06 EN COMUNICACIÓN CON EL SEÑOR JHON Y SU ESPOSA LA SRA JANETH, SE HACE SOPORTE TELEFÓNICO LA FALLA QUE PRESENTA EL DATAFONO ES POR QUE EL CLIENTE NO HACE LOS CIERRES ADECUADO Y BORRADO DE MEMORIA. SE LE EXPLICA COMO DEBE DE HACERSE Y QUE DEBE HACERSE TODOS LOS DÍAS PARA ENVITAR SATURACIONES DEL DATAFONO. CLIENTE COMFIMA ESTAR OPERADO CON NORMALIDAD. </t>
  </si>
  <si>
    <t>FO-25-1095887</t>
  </si>
  <si>
    <t>PUERTO TEJADA II - CAUCA</t>
  </si>
  <si>
    <t>16-06 SE ESCALA PARA VISITA. LLAMAR ANTES DE VISITAR, CONFIRMAR FALLA Y DATOS
0
16-06 SE CAMBIA CLAVE DE SUPERVISOR YA QUE EL CLIENTE NO PUEDE HACER CIERRE</t>
  </si>
  <si>
    <t>9A0WZ952</t>
  </si>
  <si>
    <t>FO-25-1095368</t>
  </si>
  <si>
    <t xml:space="preserve">BARRIO CENTRO CALIMA  6 </t>
  </si>
  <si>
    <t>16-06 SE ESCALA PARA VISITA, POR FAVOR LLAMAR ANTES DE DESPLAZARSE
0
16-06 SE REALIZA VISITA TÉCNICA POR REPORTE DE QUE EL DATAFONO NO LEE TARJETA CHIP, AL LLEGAR AL CB SE REALIZAN LAS PRUEBAS CON 2 TARJETAS Y SALEN OK.</t>
  </si>
  <si>
    <t>F1MZZ632</t>
  </si>
  <si>
    <t>FO-25-1093489</t>
  </si>
  <si>
    <t xml:space="preserve">15-06 SE ESCALA PARA VISITA, POR FAVOR LLAMAR ANTES DE DESPLAZARSE
0
16-06 SE VISITA COMERCIO SE REALIZÓ VERIFICACIÓN DE CONFIGURACIÓN Y COMUNICACIÓN DATAFONO EN PERFECTO FUNCIONAMIENTO. </t>
  </si>
  <si>
    <t>FO-25-1095376</t>
  </si>
  <si>
    <t>BARRIO TIERRA LINDA LOS PATIOS</t>
  </si>
  <si>
    <t>16-06 SE ESCALA PARA VISITA, POR FAVOR LLAMAR ANTES DE DESPLAZARSE
0
16-06 SE VISITA COMERCIO Y SE REALIZA CONFIGURACIÓN DE IP ESTÁTICA AL DATÁFONO POR CAMBIO EN EL SEGMENTO DE RED DEL CLIENTE, SE REALIZAN CIERRES Y PRUEBAS OK.</t>
  </si>
  <si>
    <t>6Z00H061</t>
  </si>
  <si>
    <t>FO-25-1078787</t>
  </si>
  <si>
    <t>DISTRICOL SHEYOMA TECNOLOGIA</t>
  </si>
  <si>
    <t xml:space="preserve">12-06 SE ESCALA PARA VISITA. LLAMAR ANTES DE VISITAR, CONFIRMAR FALLA Y DATOS
0
16-06 CAMBIO FUENTE DE PODER </t>
  </si>
  <si>
    <t>1BZZZ825</t>
  </si>
  <si>
    <t xml:space="preserve">Fuente de poder </t>
  </si>
  <si>
    <t>FO-25-1096374</t>
  </si>
  <si>
    <t>BARRIO PARQUE INDUSTRIAL PEREI</t>
  </si>
  <si>
    <t xml:space="preserve">16-06 SE ESCALA PARA VISITA. LLAMAR ANTES DE VISITAR, CONFIRMAR FALLA Y DATOS
0
16-06 VISITAMOS COMERCIO PERO EL LECTOR DE BARRAS YA ESTA FUNCIONANDO CON NORMALIDAD REALIZAMOS PRUEBAS OK ESTA FUNCIONANDO CON NORMALIDAD. </t>
  </si>
  <si>
    <t>6Z005736</t>
  </si>
  <si>
    <t>FO-25-1093485</t>
  </si>
  <si>
    <t>BARRIO CORREGIMIENTO EL QUEMAO</t>
  </si>
  <si>
    <t xml:space="preserve">15-06 SE ESCALA PARA VISITA, POR FAVOR LLAMAR ANTES DE DESPLAZARSE - 15-06  DE ACUERDO A DIAGNOSTICO, SE REQUIERE CAMBIO DE EQUIPO EQUIPO NO ENCIENDE, LUEGO DE UNA DESCARGA ELÉCTRICA, NO HAY SOPORTE ACTIVOS RBM, SE REAGENDA LUNES 16 JUNIO
0
16-06 SE VISITA SITIO, SE REVISAN CONEXIONES OK SE DETECTA PROBLEMAS EN CANAL DE COMUNICACIÓN DEL CLIENTE (SWITCH MALO) SE CONECTA DATAFONO DIRECTO AL MODEM Y SE REALIZAN PRUEBAS EXITOSAS OK
CB OPERATIVO </t>
  </si>
  <si>
    <t>9A00N489</t>
  </si>
  <si>
    <t>FO-25-1102098</t>
  </si>
  <si>
    <t>ARA0303   ANAPOIMA</t>
  </si>
  <si>
    <t>17-06 SE ESCALA CASO A SERVICIO AL CLIENTE, SE PROCEDE A CERRAR YA QUE NO ATENDEMOS CADENA ARA - 16-06 LA RED: TU SOLICITUD REFERENTE A GENERACIÓN DE CASOS CB ARA BANCOLOMBIA QUEDÓ RADICADA BAJO EL TICKET NÚMERO 5678518 AL ÁREA ENCARGADA. 
0
0</t>
  </si>
  <si>
    <t>FO-25-1094123</t>
  </si>
  <si>
    <t>BARRIO LA LOMA COYAIMA</t>
  </si>
  <si>
    <t>15-06 SE ESCALA PARA VISITA, POR FAVOR LLAMAR ANTES DE DESPLAZARSE
0
17-06 SE LLEGA A LA DIRECCIÓN DEL CB BANCOLOMBIA Y ESTÁ CERRADO. SE LLAMA AL NÚMERO DE CONTACTO 3107882120 Y SE HABLA CON LA SEÑORA NURY YARA, ME EXPLICA QUE SALIÓ DE COYAIMA Y VUELVE HASTA EL JUEVES.</t>
  </si>
  <si>
    <t>VARGAS HERRERA JHON JAIRO</t>
  </si>
  <si>
    <t>NONE</t>
  </si>
  <si>
    <t>FO-25-1101543</t>
  </si>
  <si>
    <t>BARRIO LOMA DE BOLIVAR CUCUTA 4</t>
  </si>
  <si>
    <t xml:space="preserve">17-06 SE ESCALA PARA VISITA. LLAMAR ANTES DE VISITAR, CONFIRMAR FALLA Y DATOS
0
17-06 EN COMUNICACIÓN CON EL CLIENTE ME INFORMA LA SRA ISABEL DURAN DE SERRANO QUE EL ERROR YA SE SOLUCIONÓ QUE AL PARECER ERA UN CABLE MAL CONECTADO DEL MÓDEM QUE YA SE ENCONTRÓ FUNCIONANDO CON NORMALIDAD EL DATAFONO </t>
  </si>
  <si>
    <t>DURAN ACOSTA FRANK YONNY</t>
  </si>
  <si>
    <t>FO-25-1102622</t>
  </si>
  <si>
    <t>BARRIO LA COLINA TUNJA</t>
  </si>
  <si>
    <t xml:space="preserve"> 17-06 SE ESCALA PARA VISITA. LLAMAR ANTES DE VISITAR, CONFIRMAR FALLA Y DATOS
0
17-06 SE VISITA CB MANTENIMIENTO POS....FALLA INTERNET DE CLIENTE SE INDICA A CLIENTE LLAMAR A OPERADOR PARA SOLICITAR MANTENIMIENTO DEL MISMO...PRUEBA CON OTRO EQUIPO Y PRESENTA LA MISMA FALLA</t>
  </si>
  <si>
    <t>1A00F269</t>
  </si>
  <si>
    <t>FO-25-1098116</t>
  </si>
  <si>
    <t>BARRIO TERRONAL VILLA RICAN 1</t>
  </si>
  <si>
    <t>16-06 SE ESCALA PARA VISITA. LLAMAR ANTES DE VISITAR, CONFIRMAR FALLA Y DATOS
0
17-06 SE REALIZA BORRADO DE TRANSACCIONES POR MOTIVO QUE LA ENTIDAD NUNCA LO HAN REALIZADO.
SE REALIZA CAMBIO DE FUENTE DE PODER.
SE REALIZAN PRUEBAS OPERATIVAS SIN NOVEDAD.
CB QUEDA OKEY.</t>
  </si>
  <si>
    <t>0NTZZ173</t>
  </si>
  <si>
    <t xml:space="preserve">FUENTE DE PODER </t>
  </si>
  <si>
    <t>FO-25-1103688</t>
  </si>
  <si>
    <t>BARRIO GUAYABAL</t>
  </si>
  <si>
    <t xml:space="preserve"> 17-06 SE ESCALA PARA VISITA. LLAMAR ANTES DE VISITAR, CONFIRMAR FALLA Y DATOS
0
18-06 SE HACE MANTENIMIENTO DE EQUIPO </t>
  </si>
  <si>
    <t>HERNANDEZ CHAVARRIA JUAN CAMILO</t>
  </si>
  <si>
    <t>TROZZ865</t>
  </si>
  <si>
    <t>FO-25-1104575</t>
  </si>
  <si>
    <t>VALLEDUPAR VILLA DARIANA</t>
  </si>
  <si>
    <t xml:space="preserve"> 17-06 SE ESCALA PARA VISITA. LLAMAR ANTES DE VISITAR, CONFIRMAR FALLA Y DATOS
0
18-06 SE LLEGA A SITIO, SE REALIZAN PRUEBAS, LA CUAL ARROJA ERROR DE CONEXIÓN Y SE EVIDENCIA QUE EL DATAFONO NO TENIA CONEXIÓN A RED POR CABLE, SE INSPECCIONA LA CABINA EN DONDE ESTA EL COMERCIO Y SE EVIDENCIA QUE EL CABLE QUE VIENE DEL MODEM ESTA DAÑADO EN ALGUN TRAMO, EL MODEM MISMO SE ENCUENTRA EN UN APARTAMENTO DEL SEGUNDO PISO DE DONDE ESTA EL COMERCIO, SE REALIZAN PRUEBAS CON EL DATAFONO PEGADO AL MODEM Y SE EVIDENCIA QUE EL SERVICO OPERA SIN PROBLEMAS Y AGARRA LA CONEXION DE RED CON NORMALIDAD, EL CABLE PASA POR EL TECHO DEL MISMO HASTA LLEGAR A LA CABINA EN DONDE ESTA EL CB, HAY APROXIMADAMENTE 15MT DE CABLE UTP, EL CUAL HABRIA QUE MONTAR EL TECHO PARA PODERLO VISUALIZAR, SE LE INDICA AL CLIENTE QUE DEBIDO A QUE EL PUNTO DE INTERNET VIENE CON UNA ACOMETIDA DE DATOS DESDE OTRO LOCAL HASTA EL CB, DEBE VALIDAR QUE ESTÉ EN BUEN ESTADO PARA QUE SE GARANTICE LA OPERATIVIDAD DEL DATAFONO. </t>
  </si>
  <si>
    <t>MONTES DIAZ JOHN FRED</t>
  </si>
  <si>
    <t>EF00S387</t>
  </si>
  <si>
    <t>FO-25-1102961</t>
  </si>
  <si>
    <t>BARRIO APARTADO OBRERO APARATADO</t>
  </si>
  <si>
    <t xml:space="preserve"> 17-06 SE ESCALA PARA VISITA. LLAMAR ANTES DE VISITAR, CONFIRMAR FALLA Y DATOS
0
18-06 VÍA TELEFÓNICA, CLIENTE INDICA IMPRESIÓN LENTA, TECLADO DURO, SE LE INFORMA AL CLIENTE QUE LOS DATAFONOS SON ASÍ Y NO SE PUEDE CAMBIAR HASTA QUE NO FALLEN LAS TRANSACCIONES. CLIENTE INDICA QUE DATAFONO FUNCIONA TODAS LAS TRANSACCIONES. </t>
  </si>
  <si>
    <t>FO-25-1105529</t>
  </si>
  <si>
    <t>REVAL SANTAFE DE ANTIOQUIA</t>
  </si>
  <si>
    <t xml:space="preserve"> 18-06 SE ESCALA PARA VISITA. LLAMAR ANTES DE VISITAR, CONFIRMAR FALLA Y DATOS
0
18-06 SE HABLA CON SEÑORA MILENA, NOS INFORMA QUE AYER EN LA NOCHE LOGRÓ DESBLOQUEAR EL USUARIO Y PUDO REALIZAR EL CIERRE SIN NOVEDAD. INFORMA QUE AYER FINALMENTE SOLUCIONO EL PROBLEMA. CB ESTA OPERATIVO. SE CIERRA INCIDENTE.</t>
  </si>
  <si>
    <t>FO-25-1105501</t>
  </si>
  <si>
    <t>DISTRICOL MERCADOS DULAZAR</t>
  </si>
  <si>
    <t xml:space="preserve"> 18-06 SE ESCALA PARA VISITA. LLAMAR ANTES DE VISITAR, CONFIRMAR FALLA Y DATOS
0
18-06 SE REALIZA MANTENIMIENTO </t>
  </si>
  <si>
    <t>9A00K108</t>
  </si>
  <si>
    <t>FO-25-1101239</t>
  </si>
  <si>
    <t>PTM GUARNE FERRELCOM</t>
  </si>
  <si>
    <t>17-06 SE ESCALA PARA VISITA. LLAMAR ANTES DE VISITAR, CONFIRMAR FALLA Y DATOS
0
18-06 SE REALIZA VISITA SE EVIDENCIA QUE HAY BUENA CONEXIÓN DE INTERNET TODO OK</t>
  </si>
  <si>
    <t>AAOJZ977</t>
  </si>
  <si>
    <t>FO-25-1106410</t>
  </si>
  <si>
    <t>BARRIO NIQUIA BELLO 18</t>
  </si>
  <si>
    <t xml:space="preserve"> 18-06 SE ESCALA PARA VISITA. LLAMAR ANTES DE VISITAR, CONFIRMAR FALLA Y DATOS
0
18-06 SE COMUNICA EL USUARIO PARA CONFIRMAR LA VISITA, Y INDICA QUE YA SE ENCUENTRA CON SERVICIO INFORMA QUE ERA UN PROBLEMA CON LA RED DE INTERNET PERO YA ESTÁ FUNCIONANDO CORRECTAMENTE </t>
  </si>
  <si>
    <t>FO-25-1106302</t>
  </si>
  <si>
    <t>BARRIO EL DORADO - BUENAVENTUR</t>
  </si>
  <si>
    <t xml:space="preserve"> 18-06 SE ESCALA PARA VISITA. LLAMAR ANTES DE VISITAR, CONFIRMAR FALLA Y DATOS
0
18-6 SE HABLA CON EL CLIENTE QUIEN INDICA QUE EL ERROR ESTABA EN EL MODEM DE INTERNET, QUE AL RATO DE REPORTAR LA FALLA VALIDARON Y DESPUES DEL PROVEEDOR FUE A REVISAR Y INMEDIATAMENTE SUBIO EL SERVICIO Y YA ESTA OPERANDO CON EL DATAFONO, SE CIERRA EL CASO</t>
  </si>
  <si>
    <t>FO-25-1108668</t>
  </si>
  <si>
    <t>PTM MED EMPAKANDO SENTIMIENTOS</t>
  </si>
  <si>
    <t xml:space="preserve"> 18-06 SE ESCALA PARA VISITA. LLAMAR ANTES DE VISITAR, CONFIRMAR FALLA Y DATOS
0
19-06 SE HACE CONEXIÓN DE INTERNET EL CB QUEDA FUNCIONANDO CORRECTAMENTE </t>
  </si>
  <si>
    <t>IICZZ632 - 9A04Z409</t>
  </si>
  <si>
    <t>FO-25-1108201</t>
  </si>
  <si>
    <t>MULTIPAGAS JUMBO LA 65</t>
  </si>
  <si>
    <t xml:space="preserve"> 18-06 SE ESCALA PARA VISITA. LLAMAR ANTES DE VISITAR, CONFIRMAR FALLA Y DATOS
0
19-06 SE LLAMA AL CLIENTE Y DICE QUE EL CORRESPONSAL ESTA FUNCIONANDO CORRECTAMENTE </t>
  </si>
  <si>
    <t>FO-25-1109220</t>
  </si>
  <si>
    <t>PTM BOGOTA YIYO S MISCELANEA</t>
  </si>
  <si>
    <t xml:space="preserve"> 18-06 SE ESCALA PARA VISITA. LLAMAR ANTES DE VISITAR, CONFIRMAR FALLA Y DATOS
0
19-06 SE LLEGA A LA DIRECCIÓN INDICADA SE REALIZAN PRUEBAS DE PING SE VALIDAN PUERTOS DE CONEXIÓN DE DATOS SE ENCUENTRA EN BUEN ESTADO SE REALIZAN PRUEBAS EXITOSAS, SE RECOMIENDA AL COMERCIO VALIDAR EL CABLEADO YA QUE EL MODEM SE ENCUENTRA BASTANTE RETIRADO.</t>
  </si>
  <si>
    <t>GARCIA PASTRANA KEVIN FERNANDO</t>
  </si>
  <si>
    <t>AALUZ382</t>
  </si>
  <si>
    <t>FO-25-1111471</t>
  </si>
  <si>
    <t>DISTRICOL TEOCELL COMUNICACION</t>
  </si>
  <si>
    <t xml:space="preserve"> 19-06 SE ESCALA PARA VISITA. LLAMAR ANTES DE VISITAR, CONFIRMAR FALLA Y DATOS
0
19-06 SE LLAMA AL CLIENTE Y DICE QUE EL CORRESPONSAL ESTA FUNCIONANDO CORRECTAMENTE </t>
  </si>
  <si>
    <t>FO-25-1110330</t>
  </si>
  <si>
    <t>BARRIO ZAMORA BELLO 2</t>
  </si>
  <si>
    <t xml:space="preserve"> 19-06 SE ESCALA PARA VISITA. LLAMAR ANTES DE VISITAR, CONFIRMAR FALLA Y DATOS
0
19-06 SE LLEGA AL SITIO SE ESPERA AUTORIZACIÓN SE INGRESO SE ENCUENTRA EL EQUIPO QUE PERDÍO LA CONFIRMACIÓNSE RECONFIGURA SE REALIZAN PRUEBAS EXITOSAS SERVICIO OPERATIVO </t>
  </si>
  <si>
    <t>BL01G025</t>
  </si>
  <si>
    <t>FO-25-1109727</t>
  </si>
  <si>
    <t>BARRIO QUINTAS DE AGUAS CLARAS VILLAVICENCIO</t>
  </si>
  <si>
    <t xml:space="preserve"> 18-06 SE ESCALA PARA VISITA. LLAMAR ANTES DE VISITAR, CONFIRMAR FALLA Y DATOS
0
19-06 ME COMUNICO CON LA SEÑORA KATERINE Y ME INFORMA QUE EL PROBLEMA DE CONECCIÓN YA SE SOLUCIONO. DATAFONO LE ESTÁ FUNCIONANDO CORRECTAMENTE </t>
  </si>
  <si>
    <t>FO-25-1114152</t>
  </si>
  <si>
    <t>BARRIO EL CENTRO AYAPEL</t>
  </si>
  <si>
    <t>19-06 SE ESCALA A LA RED: NOS LLEGA CASO COMO INCIDENTE SOLICITANDO LECTOR DE BARRAS, EN COMUNICACIÓN CON EL SEÑOR IBAN DELGADO AL NÚMERO 3024296716 INFORMA QUE ÉL NO RECUERDA QUE EN LA INSTALACIÓN LE DEJARAN LECTOR, PODRÍAS VALIDAR POR FAVOR EN EL INVENTARIO Y ME INFORMAS COMO PROCEDER. - 19-06 LA RED:DE ACUERDO CON TU SOLICITUD EL INVENTARIO DEL CB ME REGISTRA CON LECTOR PARA HACER REPOSICIÓN DEL EQUIPO NECESITAMOS QUE EL CLIENTE NOS ENVÍE EL DENUNCIO. - SE LE INFORMA A EL USUARIO. - 19-06 SE LE INFORMA A EL USUARIO QUE SI NO ENCUENTRA EL LECTOR DEBE REALIZAR EL DENUNCIO Y EN EL DEBE DE IR RELACIONADA LA PLACA DEL LECTOR QUE SERÍA 864453, Y CUANDO TENGA EL DOCUMENTO VUELVE Y SE COMUNICA.
0
0</t>
  </si>
  <si>
    <t>FO-25-1113205</t>
  </si>
  <si>
    <t>BARRIO LA GABRIELA BELLO 5</t>
  </si>
  <si>
    <t xml:space="preserve"> 19-06 SE ESCALA PARA VISITA. LLAMAR ANTES DE VISITAR, CONFIRMAR FALLA Y DATOS
0
20-06 SE LLAMA AL CLIENTE Y DICE QUE EL CORRESPONSAL ESTA FUNCIONANDO CORRECTAMENTE </t>
  </si>
  <si>
    <t>FO-25-1111692</t>
  </si>
  <si>
    <t>BARCELONA  QUINDIO</t>
  </si>
  <si>
    <t xml:space="preserve"> 19-06 SE ESCALA PARA VISITA. LLAMAR ANTES DE VISITAR, CONFIRMAR FALLA Y DATOS
0
20-06 SE VISITA COMERCIO SE REALIZÓ  VERIFICACIÓN CONFIGURACIÓN Y PRUEBAS DATAFONO, PRUEBAS OK. </t>
  </si>
  <si>
    <t>JAAAD803-NA00F247</t>
  </si>
  <si>
    <t>FO-25-1114783</t>
  </si>
  <si>
    <t>PTM CUCUTA CENTRO DE PAGOS GER</t>
  </si>
  <si>
    <t xml:space="preserve"> 20-06 SE ESCALA PARA VISITA. LLAMAR ANTES DE VISITAR, CONFIRMAR FALLA Y DATOS
0
20-06 SE COMUNICA CON AL CLIENTE YURLEY SOLER AL # 3112842742, NOS INFORMA QUE PROBLEMA YA SE SOLUCIONO YA QUE ERA UN PROBLEMA DE INTERNET PROPIO DEL COMERCIO. CB OPERATIVO SIN NOVEDAD.</t>
  </si>
  <si>
    <t>NARANJO AFANADOR RUBEN JESUS</t>
  </si>
  <si>
    <t>FO-25-1115754</t>
  </si>
  <si>
    <t>DISTRICOL DROSALUD M C</t>
  </si>
  <si>
    <t xml:space="preserve"> 20-06 SE ESCALA PARA VISITA. LLAMAR ANTES DE VISITAR, CONFIRMAR FALLA Y DATOS
0
20-06 SE VALIDA CLIENTE REALIZA VALIDACIÓN CON PROVEEDOR Y LE RESTABLECEN EL MODEM Y QUEDA OPERATIVO EL CORRESPONSAL </t>
  </si>
  <si>
    <t>FO-25-1112551</t>
  </si>
  <si>
    <t>BARRIO VALLA MARIA DE SUBA BOG</t>
  </si>
  <si>
    <t xml:space="preserve"> 19-06 SE ESCALA PARA VISITA. LLAMAR ANTES DE VISITAR, CONFIRMAR FALLA Y DATOS
0
20-06 SE REALIZA VISITA A COMERCIO, SE REALIZA REVISIÓN GENERAL, SE ENCUENTRA FUENTE DE PODER CON MALA CONEXIÓN, SE REALIZA AJUSTE EN CONEXIÓN, SE REALIZA PRUEBAS A LA FUENTE DE PODER, NO SE PRESENTA REINICIO DEL DATAFONO, SE ORGANIZA CABLEADO.</t>
  </si>
  <si>
    <t>A03ZZ932</t>
  </si>
  <si>
    <t>FO-25-1112647</t>
  </si>
  <si>
    <t>COMCARD MEDELLIN SAN COSME</t>
  </si>
  <si>
    <t xml:space="preserve"> 19-06 SE ESCALA PARA VISITA. LLAMAR ANTES DE VISITAR, CONFIRMAR FALLA Y DATOS
0
20-06 SE REALIZA MANTENIMIENTO AL EQUIPO Y LECTORA YA QUE NO ENCENDÍA SE CONECTA BIEN</t>
  </si>
  <si>
    <t>ABGZZ588-NA001788</t>
  </si>
  <si>
    <t>FO-25-1110336</t>
  </si>
  <si>
    <t>BARRIO BOTERO SINCELEJO</t>
  </si>
  <si>
    <t xml:space="preserve"> 19-06 SE ESCALA PARA VISITA. LLAMAR ANTES DE VISITAR, CONFIRMAR FALLA Y DATOS
20/06/2025 COMERCIO ABRE APARTIR DE LAS 8:30AM
20-06 SE VISITA SITIO SE VERIFICA INFORMACIÓN SE , SE REALIZA PRIMEROS AUXILIOS , SE REALIZA PRUEBA DE LECTURA DE ESCÁNER EXITOSA, TECLADO OK LECTURA CHIP OK, IMPRESIÓN OK. LA FALLA CORRESPONDE A MANIPULACIÓN DEL ESCÁNER, SE RETROALIMENTA EN EL FUNCIONAMIENTO CORRECTO.</t>
  </si>
  <si>
    <t>II00Z017</t>
  </si>
  <si>
    <t>FO-25-1116757</t>
  </si>
  <si>
    <t xml:space="preserve">20-06 SE ESCALA A LA RED, SE PROCEDE A CERRAR YA QUE NO ATENDEMOS CADENA OLIMPICA - 20-06 TU SOLICITUD REFERENTE A GENERACIÓN DE CASOS CB OLIMPICA BANCOLOMBIA QUEDÓ RADICADA BAJO EL TICKET NÚMERO 5684088 AL ÁREA ENCARGADA. 
0
20-06 </t>
  </si>
  <si>
    <t>FO-25-1108682</t>
  </si>
  <si>
    <t>BARRIO JESUS MORA TURBO 2</t>
  </si>
  <si>
    <t xml:space="preserve"> 18-06 SE ESCALA PARA VISITA. LLAMAR ANTES DE VISITAR, CONFIRMAR FALLA Y DATOS
0
20-06 SE LLEGA A SITIO, CORRESPONSAL SE ENCUENTRA CERRADO, SE INTENTA LOCALIZAR CLIENTE VÍA WHATSAPP Y TELEFÓNICA NO RESPONDE. SE LE INFORMA HA VECINO JHON WALTER INDICARLE A LA SEÑORA ARLEDYS NUESTRA VISITA. Y QUE DEBE GENERAR UNA NUEVA YA QUE NO SE PUDO CONCRETAR POR FALTA DE COMUNICACIÓN. </t>
  </si>
  <si>
    <t xml:space="preserve">NO SE INTERVIENE DATAFONO </t>
  </si>
  <si>
    <t>FO-25-1114789</t>
  </si>
  <si>
    <t>BARRIO BOYACA DUITAMA  2</t>
  </si>
  <si>
    <t xml:space="preserve"> 20-06 SE ESCALA PARA VISITA. LLAMAR ANTES DE VISITAR, CONFIRMAR FALLA Y DATOS
0
20-06 SE VISITA PUNTO EVIDENCIANDO QUE LA FALLA REPORTADA ES DEBIDO AL INTERNET DEL COMERCIO PRESENTA INTERMITENCIA ESTA LENTO SE CAMBIA FUENTE DE PODER SE LE INDICA AL CLIENTE QUE DEBE SOLICITAR LA REVISIÓN DEL INTERNET PRUEBAS OK CLIENTE CONFORME </t>
  </si>
  <si>
    <t>V1SZZ182</t>
  </si>
  <si>
    <t>FO-25-1114993</t>
  </si>
  <si>
    <t>BARRIO CIUDAD DORADA ARMENIA 4</t>
  </si>
  <si>
    <t xml:space="preserve"> 20-06 SE ESCALA PARA VISITA. LLAMAR ANTES DE VISITAR, CONFIRMAR FALLA Y DATOS
0
20-06 SE LLAMA AL SEÑOR  CAMILO GONZALEZ AL TELÉFONO 3116046658 INDICA QUE EL EQUIPO EL LO REINICIO A CORRIENTE Y QUE VOLVIO A TRABAJAR EN PERFECTO FUNCIONAMIENTO SE VÁLIDA Y INDICA QUE NO REQUIERE LA VISITA YA QUE EN TODO EL DÍA HA ESTADO EN PERFECTO OPERACION EL DATAFONO. </t>
  </si>
  <si>
    <t>FO-25-1115761</t>
  </si>
  <si>
    <t>COMCARD PLAYON 1</t>
  </si>
  <si>
    <t xml:space="preserve"> 20-06 SE ESCALA PARA VISITA. LLAMAR ANTES DE VISITAR, CONFIRMAR FALLA Y DATOS
0
20-06 SE HACE CONFIGURACIÓN DE PARÁMETROS </t>
  </si>
  <si>
    <t>TRZZZ939 - ABC3Z080</t>
  </si>
  <si>
    <t>FO-25-1115898</t>
  </si>
  <si>
    <t>MULTIPAGAS SANTA ROSA DE CABAL</t>
  </si>
  <si>
    <t xml:space="preserve"> 20-06 SE ESCALA PARA VISITA. LLAMAR ANTES DE VISITAR, CONFIRMAR FALLA Y DATOS
0
20-06 SE VISITA COMERCIO EQUIPO QUE PRESENTÓ DERRAME DE AGUA SE REALIZA PRUEBAS DE COMUNICACIÓN IMPRESIÓN Y TRANSACCIONES DE PRUEBA DATÁFONO FUNCIONAL SE DEJA DATÁFONO OPERATIVO </t>
  </si>
  <si>
    <t>LOAIZA LOPEZ JHON FREDDY</t>
  </si>
  <si>
    <t>AB0PZ907</t>
  </si>
  <si>
    <t>FO-25-1117770</t>
  </si>
  <si>
    <t>BARRIO LA CABA#A ARMENIA 2</t>
  </si>
  <si>
    <t xml:space="preserve"> 20-06 SE ESCALA PARA VISITA. LLAMAR ANTES DE VISITAR, CONFIRMAR FALLA Y DATOS
0
21-06 SE VISITA COMERCIO SE VÁLIDA EQUIPO EN CONFIGURACIÓN CORRECTA PERO EL DAÑO SE PRESENTA EN EL MODEN DEL INTERNET QUE TIENE LOS PUERTOS ETHERNET MALOS Y NO TRASMITE INTERNET POR CABLEADO. </t>
  </si>
  <si>
    <t>EG3ZZ020</t>
  </si>
  <si>
    <t>FO-25-1118581</t>
  </si>
  <si>
    <t>BARRIO CENTRO PEREIRA 48</t>
  </si>
  <si>
    <t xml:space="preserve"> 20-06 SE ESCALA PARA VISITA. LLAMAR ANTES DE VISITAR, CONFIRMAR FALLA Y DATOS
0
21-06 VISITAMOS COMERCIO EL DATÁFONO NO TIENE CONEXIÓN A RED VERIFICAMOS CABLEADO PONCHAMOS NUEVAMENTE EL CABLE UTP PERO CONTINUA LA FALLA REALIZAMOS PRUEBA CON OTRO CABLE Y ENCONTRAMOS QUE LA FALLA ES DEL MÓDEM DEL COMERCIO YA QUE TIENE LOS PUERTOS QUEMADOS LE INDICAMOS AL CLIENTE QUE SE DEBE COMUNICAR CON EL OPERADOR DE SERVICIO PARA QUE LE SOLUCIONEN ESA FALLA, NO SE REALIZAN PRUEBAS EXITOSAS YA QUE EL COMERCIO NO TIENE INTERNET. </t>
  </si>
  <si>
    <t>TVHZZ347</t>
  </si>
  <si>
    <t>FO-25-1111238</t>
  </si>
  <si>
    <t>PTM HATONUEVO LA GUAJIRA ALFA</t>
  </si>
  <si>
    <t>19-06 SE INTENTA COMUNICACION AL NÚMERO 3023504081 PERO NO HAY RESPUESTA. SE ESCALA PARA VISITA, POR FAVOR LLAMAR ANTES DE DESPLAZARSE
0
21-06 SE REALIZA GESTIÓN TELEFÓNICA ATIENDE LA SEÑORA YESENIA LA CUAL NOS INDICA DE QUE EL DATÁFONO NO LE ESTÁ TOMANDO UNA FACTURA DE GASES DE LA GUAJIRA POR MEDIO DE CONVENIO MANUAL LA CUAL SE LE EXPLICA A LA CLIENTE DE QUE EL CONVENIO MANUAL NO SE ENCUENTRA EN FUNCIONAMIENTO SE LE DA INDICACIONES DE QUE REALICE EL PAGO POR MEDIO DE CÓDIGO DE BARRA LA CUAL LA CLIENTE LO EJECUTA Y SALE EXITOSO Y NOS INDICA QUE NO TENIA CONOCIMIENTO QUE PODIA REALIZAR ESE PAGO CON CODIGO DE BARRAS</t>
  </si>
  <si>
    <t>CONVENIOS NO HABILITADOS</t>
  </si>
  <si>
    <t>FO-25-1116742</t>
  </si>
  <si>
    <t>PTM ANGELOPOLIS RELOJERIA MIXT</t>
  </si>
  <si>
    <t xml:space="preserve"> 20-06 SE ESCALA PARA VISITA. LLAMAR ANTES DE VISITAR, CONFIRMAR FALLA Y DATOS
0
21-06 SE REALIZA MANTENIMIENTO AL EQUIPO YA QUE NO LEÍA ALGUNAS TARJETAS </t>
  </si>
  <si>
    <t>FA09Z487</t>
  </si>
  <si>
    <t>FO-25-1121120</t>
  </si>
  <si>
    <t>BARRIO PRADOS DEL NORTE FLOREN</t>
  </si>
  <si>
    <t xml:space="preserve"> 21-06 SE COMUNICA CON USUARIO E INDICA QUE NO TIENE PROBLEMAS CON LOS EQUIPOS, QUE QUERIA SOLICITAR UNA BASE, POR LO CUAL SE LE INDICA QUE QUEDO MAL RADICADA LA SOLICITUD, DEBE VOLVERSE COMUNICAR A LA LINEA.
0
 21-06 SE COMUNICA CON USUARIO E INDICA QUE NO TIENE PROBLEMAS CON LOS EQUIPOS, QUE QUERIA SOLICITAR UNA BASE, POR LO CUAL SE LE INDICA QUE QUEDO MAL RADICADA LA SOLICITUD, DEBE VOLVERSE COMUNICAR A LA LINEA.</t>
  </si>
  <si>
    <t>FO-25-1114174</t>
  </si>
  <si>
    <t>BARRIO NATAL OLAYA HERRERA 1</t>
  </si>
  <si>
    <t xml:space="preserve">19-06 SE INTENTA COMUNICACION AL NÚMERO 3184721305 PERO NO HAY RESPUESTA. SE ESCALA PARA VISITA, POR FAVOR LLAMAR ANTES DE DESPLAZARSE
0
21-06 SE REALIZA LLAMADA A LA CLIENTE PARA CONFIRMAR VISITA SE BRINDA PRIMEROS AUXILIOS Y SE ENCUENTRA QUE EL LECTOR SE ENCONTRABA DESCONECTADO DEL PUERTO USB Y AL CONECTARLO YA FUNCIONA CORRECTAMENTE POR LO CUAL LA CLIENTE INFORMA QUE YA NO SERÍA NECESARIA LA VISITA TÉCNICA, SE CIERRA LA TA </t>
  </si>
  <si>
    <t>FO-25-1117099</t>
  </si>
  <si>
    <t>BARRIO MIRAFLORES QUINCHÍA</t>
  </si>
  <si>
    <t xml:space="preserve"> 20-06 SE ESCALA PARA VISITA. LLAMAR ANTES DE VISITAR, CONFIRMAR FALLA Y DATOS
0
21-06 SE LLAMA USUARIO EL CUAL INDICA QUE AYER PRESENTE PROBLEMAS DE RED PERO YA EL DÍA DE HOY LE ESTA FUNCIONANDO CON NORMALIDAD Y SERVICIO SE ENCUENTRA OK</t>
  </si>
  <si>
    <t>FO-25-1119352</t>
  </si>
  <si>
    <t>BARRIO LAS AMERICAS PAMPLONA</t>
  </si>
  <si>
    <t xml:space="preserve"> 21-06 SE INTENTA COMUNICACION CON CB PERO NO HAY RESPUESTA, POR FAVOR INTENTAR CONTACTO ANTES DE IR A SITIO PARA VALIDAR UBICACION Y FALLLA. 
0
21-06 SE VISITA COMERCIO Y SE VALIDA CONEXIÓN A INTERNET, SE REALIZAN PRUEBAS CON OTROS EQUIPOS, SE EVIDENCIA QUE EL CANAL DE INTERNET DEL COMERCIO SE ENCUENTRA CAÍDO Y CON INTERMITENCIAS, SE REALIZA CAMBIO DEL CABLE DE INTERNET SE REALIZAN CIERRES Y PRUEBAS OK.</t>
  </si>
  <si>
    <t>10HZZ124</t>
  </si>
  <si>
    <t xml:space="preserve">Cable de ethernet </t>
  </si>
  <si>
    <t>FO-25-1120435</t>
  </si>
  <si>
    <t>DISTRICOL DROGUERIA EL PROGRES</t>
  </si>
  <si>
    <t xml:space="preserve"> 21-06 SE ESCALA PARA VISITA. LLAMAR ANTES DE VISITAR, CONFIRMAR FALLA Y DATOS
0
21-06 SE COMUNICA CON LA SRA ARLEY ROMERO 3002793122 VIA LLAMADA Y WHATSAPP INDICA QUE EL CB SE ENCUENTRA FUNCIONANDO LA FALLA CORRESPONDE A CONEXIÓN DEL INTERNET DEL COMERCIO. </t>
  </si>
  <si>
    <t>FO-25-1122803</t>
  </si>
  <si>
    <t>BARRIO VILLA LUCIANA VILLAVICENCIO</t>
  </si>
  <si>
    <t xml:space="preserve"> 22-06 SE ESCALA PARA VISITA. LLAMAR ANTES DE VISITAR, CONFIRMAR FALLA Y DATOS
22/06/2025
22-06 SE REALIZA CONTACTO TELEFÓNICO CON SEÑOR CÉSAR 3132629918 QUIEN MANIFIESTA NO DESEA CONTINUAR CON EL SERVICIO DE CORRESPONSAL SE LE INFORMA DEBE COMUNICARSE A LA LÍNEA 018000953344 PARA SOLICITAR CIERRE </t>
  </si>
  <si>
    <t>CASTRILLON URREA LONDIER LEANDRO</t>
  </si>
  <si>
    <t>FO-25-1112097</t>
  </si>
  <si>
    <t>BARRIO SAN MARTIN TIQUISIO</t>
  </si>
  <si>
    <t>19-06 SE INTENTA COMUNICACION AL NÚMERO 3016321086 PERO NO HAY RESPUESTA, SE FUE A BUZÓN. SE ESCALA PARA VISITA, POR FAVOR LLAMAR ANTES DE DESPLAZARSE..22-6 COMERCIO NO ATIENDE DOMINGO NI FESTIVO, SE REAGENDA MARTES 24 JUNIO
0
24-06 SE REALIZA SOPORTE POR VIDEO LLAMADA CON EL SR OSWALDO RIVERA +57 313 5459695, SE REALIZA PRIMEROS AUXILIOS Y EL ESCÁNER REALIZA LECTURA EXITOSA.</t>
  </si>
  <si>
    <t>TA-25-795169</t>
  </si>
  <si>
    <t>FO-25-1118406</t>
  </si>
  <si>
    <t>PRUEBAS REDEBAN</t>
  </si>
  <si>
    <t>PRUEBA</t>
  </si>
  <si>
    <t xml:space="preserve"> 20-06 SE ESCALA PARA VISITA. LLAMAR ANTES DE VISITAR, CONFIRMAR FALLA Y DATOS
0
24-06 SE REALIZÓ VISITA SE VERIFICA DATÁFONO TIENE CONEXIÓN NORMAL CON INTERNET SE INICIALIZA Y FUNCIONA NORMALMENTE </t>
  </si>
  <si>
    <t>CNBBCL95</t>
  </si>
  <si>
    <t>FO-25-1121123</t>
  </si>
  <si>
    <t>ZAMBRANO - BOLIVAR</t>
  </si>
  <si>
    <t xml:space="preserve"> 21-06 SE ESCALA PARA VISITA. LLAMAR ANTES DE VISITAR, CONFIRMAR FALLA Y DATOS
24/06/2025 PARO EN LA ENTRADA DE SAN JACINTO
24-06 SE LLAMA AL SEÑOR JORGE CEL 3024211484 INFORMA QUE TENÍA PROBLEMA CON EL INTERNET DE EL QUE YA LO ARREGLARON Y ESTÁ FUNCIONANDO SIN PROBLEMA</t>
  </si>
  <si>
    <t>FO-25-1122427</t>
  </si>
  <si>
    <t>BARRIO CENTRO AGUSTIN CODAZZI  8</t>
  </si>
  <si>
    <t xml:space="preserve"> 22-06 SE ESCALA PARA VISITA. LLAMAR ANTES DE VISITAR, CONFIRMAR FALLA Y DATOS
22/06/2025 SE COMUNICA CON EL SR JORGE RODRÍGUEZ SARABIA, EL CUAL INDICA QUE EL DIA DE HOY DOMINGO NO ABRE EL COMERCIO
24-06 SE LLEGA A SITIO, Y EL CLIENTE FAMINIESTA QUE NO PODIA REALIZAR LAS TRANSACCIONES CON CUENTA EMPRESARIAL CORRIENTE, SE LE EXPLICA COMO REALIZAR LA TRANSACCIÓN, YA QUE LO ESTABA HACIENDO MAL, SE REALIZAN PRUEBAS DEJANDO SERVICIO FUNCIONAL AL 100 %</t>
  </si>
  <si>
    <t>A4HZZ976</t>
  </si>
  <si>
    <t>FO-25-1120428</t>
  </si>
  <si>
    <t>BARRIO SOACHA DUCLES SOACHA</t>
  </si>
  <si>
    <t xml:space="preserve"> 21-06 SE ESCALA PARA VISITA. LLAMAR ANTES DE VISITAR, CONFIRMAR FALLA Y DATOS..22-6 ACTIVIDAD PENDIENTE POR PROGRAMAR, SE ESTÁ VALIDANDO FECHA PARA ATENDER LO MAS PRONTO POSIBLE
21/06/2025 SE HACE CONTACTO PREVIO CON CLIENTE YA QUE EL TÉCNICO ESTÁ BASTANTE RETIRADO AL MOMENTO QUE LE CARGAN LA ORDEN CONFIRMANDO 3142590593 LA SEÑORA ANDREA INDICA LLEVA VARÍOS DÍAS CON LA FALLA PODER CAMBIO DE DATAFONO, SE EXPLICA QUE EL DÍA DE HOY YA NO TENEMOS SOPORTE RBM PARA CAMBIOS DE ATENDERÁ EL DÍA MARTES 24 DE JUNIO YA QUE ES EL SIGUIENTE DÍA HÁBIL
24-06 SE LLEGA DIRECCIÓN ENCONTRANDO CERRADO SE HACE CONTANDO AL NÚMERO 3142590593 NO CONTESTAN SE DEJA REGISTRO FOTOGRÁFICO </t>
  </si>
  <si>
    <t>BUSTOS MORA DIEGO MANUEL</t>
  </si>
  <si>
    <t>0</t>
  </si>
  <si>
    <t>FO-25-1129756</t>
  </si>
  <si>
    <t>MULTIPAGAS CC UNICO CALI</t>
  </si>
  <si>
    <t xml:space="preserve">24-06 SE ESCALA PARA VISITA. LLAMAR ANTES DE VISITAR, CONFIRMAR FALLA Y DATOS
0
24-06 SE HACE MANTENIMIENTO Y SE CAMBIA IP EL EQUIPO QUEDA FUNCIONANDO CORRECTAMENTE </t>
  </si>
  <si>
    <t>CZZZZ488</t>
  </si>
  <si>
    <t>FO-25-1126803</t>
  </si>
  <si>
    <t>BARRIO BOSA LIBERTAD II BOGOTA</t>
  </si>
  <si>
    <t xml:space="preserve">24-06 SE ESCALA PARA VISITA. LLAMAR ANTES DE VISITAR, CONFIRMAR FALLA Y DATOS
0
24-06 SE LLEGA A SITIO SE VÁLIDA FALLA EN BAUCHER SALEN CON UNA LÍNEA SE VÁLIDA QUE NO HAY INTERNET EN SITIO SE LE INFORMA A CLIENTE VOLVER A COMUNICARSE CUANDO SIRVA EL INTERNET  POSIBLE CAMBIO DE EQUIPO </t>
  </si>
  <si>
    <t>INFANTE SIERRA MANUEL FERNANDO</t>
  </si>
  <si>
    <t>JAAZZ717</t>
  </si>
  <si>
    <t>FO-25-1132700</t>
  </si>
  <si>
    <t>BARRIO CENTRO ARBELAEZ</t>
  </si>
  <si>
    <t>24-06 SE INTENTA COMUNICACION CON CB AL NUMERO 3015455932 EN REPETIDAS OCASIONES SIN RESPUESTA, .. SE ESCALA A LA RED PARA SU ATENCION ..25-06 RESPUESTA DE LA RED: DE ACUERDO CON TU SOLICITUD LA DIRECCIÓN SE ENCUENTRA ERRADA EN EL SISTEMA, POR FAVOR INDICARLE AL CLIENTE QUE DEBE ACTUALIZARLA DIRECTAMENTE CON LA ENTIDAD. POR FAVOR PROCEDER CON EL CIERRE DEL CASO
0
0</t>
  </si>
  <si>
    <t>FO-25-1118494</t>
  </si>
  <si>
    <t>DISTRICOL CITYMOVIL</t>
  </si>
  <si>
    <t xml:space="preserve">20-06 SE INTENTA COMUNICACIÓN AL NÚMERO 3102645430 PERO NO HAY RESPUESTA. SE ESCALA PARA VISITA, POR FAVOR LLAMAR ANTES DE DESPLAZARSE
24/06/2025 PARE Y SIGA EN VARIOS TRAMOS DE LA RUTA 45 NEIVA A PITALITO NO ME PERMITE LLEGAR A TIEMPO ATENDER REQUERIMIENTO, SE INFORMA AL CLIENTE QUE EL DÍA DE MAÑANA SERÁ ATENDIDO.
25-06 SE REVISA CONFIGURACIÓN , SE HABILITA TECLADO , SE REALIZA PRUEBAS OK </t>
  </si>
  <si>
    <t>11115976</t>
  </si>
  <si>
    <t>FO-25-1128069</t>
  </si>
  <si>
    <t>DISTRICOL DROGUERIA SEVENTH</t>
  </si>
  <si>
    <t>24-06 SE ESCALA PARA VISITA. LLAMAR ANTES DE VISITAR, CONFIRMAR FALLA Y DATOS
0
25-06 CONFIGURACIÓN LECTORA BARRAS</t>
  </si>
  <si>
    <t>SAUZZ981</t>
  </si>
  <si>
    <t>FO-25-1132084</t>
  </si>
  <si>
    <t>MULTIPAGAS AVENIDA JUNIN</t>
  </si>
  <si>
    <t>25-06 SE ESCALA PARA VISITA. LLAMAR ANTES DE VISITAR, CONFIRMAR FALLA Y DATOS
0
25-06 SE CAMBIA CABLE ENTORCHADO YA QUE EL OTRO ESTABA MALO</t>
  </si>
  <si>
    <t>ABC09511</t>
  </si>
  <si>
    <t xml:space="preserve">Cable entorchado </t>
  </si>
  <si>
    <t>FO-25-1135715</t>
  </si>
  <si>
    <t>ARA0550 - CENTRO EL COLEGIO</t>
  </si>
  <si>
    <t>25-06 SE ESCALA A LA RED - SE PROCEDE A CERRAR YA QUE NO ATENDEMOS CADENA ARA ..25-06 RESPUESTA DE LA RED: TU SOLICITUD REFERENTE A GENERACIÓN DE CASOS CB ARA BANCOLOMBIA QUEDÓ RADICADA BAJO EL TICKET NÚMERO 5682710 AL ÁREA ENCARGADA. 
0
0</t>
  </si>
  <si>
    <t>FO-25-1133761</t>
  </si>
  <si>
    <t>BARRIO  POPULAR II</t>
  </si>
  <si>
    <t xml:space="preserve">25-06 SE ESCALA PARA VISITA. LLAMAR ANTES DE VISITAR, CONFIRMAR FALLA Y DATOS
0
25-06 SE HACE MANTENIMIENTO DE EQUIPO Y CABLEADO TODO OK </t>
  </si>
  <si>
    <t>JAAAC740</t>
  </si>
  <si>
    <t>FO-25-1134644</t>
  </si>
  <si>
    <t>MULTIPAGAS LA PLAYA</t>
  </si>
  <si>
    <t xml:space="preserve">25-06 SE ESCALA PARA VISITA. LLAMAR ANTES DE VISITAR, CONFIRMAR FALLA Y DATOS
0
26-06 SE REALIZA MANTENIMIENTO AL PINPAD YA QUE NO LEÍA ALGUNAS TARJETAS </t>
  </si>
  <si>
    <t>AWZZZ533</t>
  </si>
  <si>
    <t>FO-25-1136588</t>
  </si>
  <si>
    <t>PTM TIENDA R.L LA AMISTAD</t>
  </si>
  <si>
    <t>26-06 SE ESCALA PARA VISITA. LLAMAR ANTES DE VISITAR, CONFIRMAR FALLA Y DATOS
0
26-06 SE VALIDA CON EL CLIENTE PERO NO ESTABA REALIZANDO EL CIERRE CORRECTAMENTE, ESTABA INGRESANDO POR LA OPCION DE ADQUIRENCIA, SE LE VALIDA LA FORMA CORRECTA Y EL CLIENTE REALIZA EL CIERRE EXITOSAMENTE.</t>
  </si>
  <si>
    <t>FO-25-1133768</t>
  </si>
  <si>
    <t>PTM PALMIRA AUTO LUJOS LIAM</t>
  </si>
  <si>
    <t xml:space="preserve">25-06 SE ESCALA PARA VISITA. LLAMAR ANTES DE VISITAR, CONFIRMAR FALLA Y DATOS
0
26-06 EN LA VISITA TÉCNICA SE REALIZA MANTENIMIENTO GENERAL A LOS EQUIPOS Y ACCESORIOS DEL CB ,SE REALIZÓ CONFIGURACIÓN E INICIALIZACIÓN OK ,SE LE EXPLICÓ AL CLIENTE QUE CUANDO EL TIPO DE CUENTA ES RECAUDADORA SE REQUIERE UNA REFERENCIA PARA EL PAGO Y NO SE HACE POR DEPÓSITO SINO POR PAGO DE FACTURAS,SE LE EXPLICÓ QUE EL DATÁFONO SE LE REINICIA AL DESCONECTAR EL HUB CONSTANTEMENTE YA QUE LO DEBE DESCONECTAR PARA REALIZAR EL CIERRE DEL COMERCIO AL MEDIO DIA Y AL FIN DE JORNADA ,SE REALIZARON LAS PRUEBAS DEJANDO EL SERVICIO OPERANDO SIN FALLAS Y SIN NOVEDAD </t>
  </si>
  <si>
    <t>SAOZZ070 // SAOZZ654</t>
  </si>
  <si>
    <t>FO-25-1135378</t>
  </si>
  <si>
    <t>PTM PASTO QUE BARATO SUPERMERC</t>
  </si>
  <si>
    <t xml:space="preserve">25-06 SE ESCALA PARA VISITA. LLAMAR ANTES DE VISITAR, CONFIRMAR FALLA Y DATOS
0
26-06 SE VERIFICÓ FALLA DE COMUNICACIÓN ERROR DE CONEXIÓN TCP IP, PERO AL REALIZAR PRUEBAS SE ENCUENTRA OPERATIVO, SE VERIFICA CONEXIONES Y SE ENCUENTRAN EN BUEN ESTADO, SE CONSTATÓ QUE EL CLIENTE CAMBIÓ DE CONEXIONES INTERNAS Y SE DESCONFIGURO LA CONEXIÓN AL DATÁFONO PERO NO LO REINICIARON PARA QUE SE VOLVIERA A CONECTAR AL MÓDEM DEL CLIENTE, SE EJECUTAN PRUEBAS TX EXITOSAS QUEDA OPERATIVO. </t>
  </si>
  <si>
    <t xml:space="preserve">NA00T223 // NA00T326 </t>
  </si>
  <si>
    <t>FO-25-1134651</t>
  </si>
  <si>
    <t>BARRIO ARANJUEZ MEDELLIN 10</t>
  </si>
  <si>
    <t>25-06 SE ESCALA PARA VISITA. LLAMAR ANTES DE VISITAR, CONFIRMAR FALLA Y DATOS
0
26-06 SE REALIZA MANTENIMIENTO GENERAL</t>
  </si>
  <si>
    <t>9C006162</t>
  </si>
  <si>
    <t>FO-25-1133754</t>
  </si>
  <si>
    <t>DISTRICOL DROGUERIA MARVEL</t>
  </si>
  <si>
    <t xml:space="preserve">25-06 SE ESCALA PARA VISITA. LLAMAR ANTES DE VISITAR, CONFIRMAR FALLA Y DATOS
0
26-06 SE VALIDA INCONVENIENTE CON EL CLIENTE, EL CLIENTE INDICA QUE AYER LE FUERON A REVISAR EL INTERNET POR QUE ESTABA DAÑADO PERO QIE YA EL TECNICO LES ARREGLO, SE LE SOLICITA REINICIAR EL ROUTER Y REINICIAR EL DATAFONO, SE PROCEDE A REALIZAR PRUEBAS Y CONFIRMA OPERATIVIDAD DEL SERVICIO, </t>
  </si>
  <si>
    <t>FO-25-1129894</t>
  </si>
  <si>
    <t>SANTA LUCIA GUADALUPE</t>
  </si>
  <si>
    <t>24-06 SE REALIZA CONTACTO CON NEARLY DUQUE AL NUMERO 3213708514 CONFIRMA FALLA, DATOS CORRECTOS. SE ESCALA PARA VISITA
0
26-06 SE REALIZA VISITA AL PUNTO, SE CONFIGURA EQUIPO A TIPO DE CONEXIÓN DHCP, YA QUE ESTABA CONFIGURADO CON IP FIJA, DEBIDO A QUE EL CLIENTE ANTES TENIA OTRA TIPO DE CANAL DE COMUNICACIÓN. PRUEBAS CB .CB OPERATIVO.</t>
  </si>
  <si>
    <t>0N008898</t>
  </si>
  <si>
    <t>FO-25-1136597</t>
  </si>
  <si>
    <t>BARRIO VILLA LEONOR VALLEDUPAR</t>
  </si>
  <si>
    <t>26-06 SE ESCALA PARA VISITA. LLAMAR ANTES DE VISITAR, CONFIRMAR FALLA Y DATOS
0
26-06 SE REALIZA VISITA POR SOLICITUD DE CLIENTE,SE LLEFA SITIO, SE VALIDAN CONEXIONES DE CLIENTE LA CUAL PRESENTAN MANIPULACIÓN POR PARTE DEL CLIENTEDONDE PRESENTA MODEM DE INTERNET SIN CONEXIÓN,CLIENTE NOS INDICA QUE YA SOLICITO REVISIÓN TECNICA POR PARTE DEL OPERADOR DE INTERNET</t>
  </si>
  <si>
    <t>A5ZZZ653</t>
  </si>
  <si>
    <t>FO-25-1139936</t>
  </si>
  <si>
    <t>BARRIO SAN ANTONIO VILLAVICENCIO 10</t>
  </si>
  <si>
    <t xml:space="preserve">26-06 SE ESCALA PARA VISITA. LLAMAR ANTES DE VISITAR, CONFIRMAR FALLA Y DATOS
0
26-06 SE COMUNICÓ CON CLIENTE Y ME INFORMA QUE EL PROBLEMA YA AE RESOLVIÓ. ERA PROBLEMA DEL INTERNET DEL COMERCIO.  YA ESTAN OPERANDO EL CB SIN NIGUNA NOVEDAD </t>
  </si>
  <si>
    <t>FO-25-1139142</t>
  </si>
  <si>
    <t>PTM MED GRANERO LA SOFIA</t>
  </si>
  <si>
    <t>26-06 SE ESCALA PARA VISITA. LLAMAR ANTES DE VISITAR, CONFIRMAR FALLA Y DATOS
0
27-06 SE REALIZA MANTENIMIENTO GENERAL</t>
  </si>
  <si>
    <t>9A3ZZ564</t>
  </si>
  <si>
    <t>FO-25-1143555</t>
  </si>
  <si>
    <t>PTM CALI TIENDA ADELA NARVAEZ</t>
  </si>
  <si>
    <t xml:space="preserve">27-06 SE ESCALA PARA VISITA. LLAMAR ANTES DE VISITAR, CONFIRMAR FALLA Y DATOS
0
27-06 SE LLAMA AL CLIENTE Y NOS DAMOS QUE ES LA CONEXIÓN DEL COMERCIO NOS DICE QUE YA LO SOLUCIONO </t>
  </si>
  <si>
    <t>FO-25-1140952</t>
  </si>
  <si>
    <t>BARRIO SANTA ANA TAMESIS 2</t>
  </si>
  <si>
    <t xml:space="preserve">25-06 SE REALIZA CONTACTO CON CLAUDIA PALACIO AL NUMERO 3213346780 CONFIRMA FALLA, DATOS CORRECTOS. SE ESCALA PARA VISITA 
0
27-06 SE REALIZA MANTENIMIENTO AL EQUIPO Y SE EXPLICA COMO REALIZAR BORRADO DE MEMORIA </t>
  </si>
  <si>
    <t>TSZZZ636</t>
  </si>
  <si>
    <t>FO-25-1142017</t>
  </si>
  <si>
    <t>BARRIO AV ARGELIA SINCELEJO</t>
  </si>
  <si>
    <t>27-06 SE ESCALA PARA VISITA. LLAMAR ANTES DE VISITAR, CONFIRMAR FALLA Y DATOS
0
27-06 SE VISITA SITIO SE VERIFICA INFORMACIÓN SE REALIZA PRIMEROS AUXILIOS, LA FALLA CORRESPONDE AL CANAL DE COMERCIO, SE REALIZARON PRUEBAS EXITOSAS CON OTRO MÓDEM.</t>
  </si>
  <si>
    <t>SASZZ062</t>
  </si>
  <si>
    <t>FO-25-1142712</t>
  </si>
  <si>
    <t>PTM FLORIDA  TIENDA MI PUEBLIT</t>
  </si>
  <si>
    <t xml:space="preserve">27-06 SE ESCALA PARA VISITA. LLAMAR ANTES DE VISITAR, CONFIRMAR FALLA Y DATOS
0
27-06 SE VISITA EL COMERCIO, SE HACE EL CIERRE ES DEMORADO POR LO QUE SE BORRA E INSTALA DE NUEVO LA VERSIÓN 9.90, SE INICIALIZA TERMINALES, PRUEBAS OK, TELECARGA TRNA </t>
  </si>
  <si>
    <t>EF8ZZ150 - EF8ZZ431</t>
  </si>
  <si>
    <t>FO-25-1146856</t>
  </si>
  <si>
    <t>COOPENESSA  GUARIN</t>
  </si>
  <si>
    <t xml:space="preserve">27-06 SE ESCALA PARA VISITA. LLAMAR ANTES DE VISITAR, CONFIRMAR FALLA Y DATOS
0
28-06 SE REALIZA VISITA EN FRÍO, YA QUE TELÉFONO DE CONTACTO NO RESPONDEN, SE VÁLIDAS CON PERSONA ENCARGADA E INDICA QUE YA FUNCIÓNA Y NO PERMITE INGRESO A ESTABLECIMIENTO,NO SE MANIPULA EQUIPOS, SE LE INFORMA DE REPORTAR UNA NUEVA FALLA DEBE SOLICITAR VISITA NUEVAMENTE. </t>
  </si>
  <si>
    <t>JAAAF271</t>
  </si>
  <si>
    <t>FO-25-1147037</t>
  </si>
  <si>
    <t>BARRIO LA VAINILLA VILLAVICENC</t>
  </si>
  <si>
    <t xml:space="preserve">27-06 SE ESCALA PARA VISITA. LLAMAR ANTES DE VISITAR, CONFIRMAR FALLA Y DATOS
0
28-06 SE REALIZA VISITA A COMERCIO SE REALIZA SOPORTES CONEXIONES DEL COMERCIO PRUEBAS OK SIN NOVEDADES </t>
  </si>
  <si>
    <t>LA00X275</t>
  </si>
  <si>
    <t>FO-25-1145510</t>
  </si>
  <si>
    <t>DISTRICOL CONSULTORES TOTAL SS</t>
  </si>
  <si>
    <t xml:space="preserve">27-06 SE ESCALA PARA VISITA. LLAMAR ANTES DE VISITAR, CONFIRMAR FALLA Y DATOS
0
28-06 SE REALIZÓ MANTENIMIENTO GENERAL Y AJUSTE DE TAPA DE IMPRESORA </t>
  </si>
  <si>
    <t>V1OZZ603</t>
  </si>
  <si>
    <t>FO-25-1148053</t>
  </si>
  <si>
    <t>MULTIPAGAS OVIEDO</t>
  </si>
  <si>
    <t>28-06 SE ESCALA PARA VISITA. LLAMAR ANTES DE VISITAR, CONFIRMAR FALLA Y DATOS
0
28-06 SE HABLÓ CON SEÑORA ELIZABETH Y EN VALIDACIONES SE ENCUENTRA QUE NO ESTABA INGRESANDO BIEN USUARIO, SE DAN INDICACIONES, INTENTA INGRESO, REALIZA PROCEDIMIENTO DE CIERRE SIN NOVEDAD. CB OPERATIVO. SE CIERRA INCIDENTE.</t>
  </si>
  <si>
    <t>FO-25-1148511</t>
  </si>
  <si>
    <t>BARRIO SAN JOAQUIN MANIZALES 1</t>
  </si>
  <si>
    <t>28-06 SE ESCALA PARA VISITA. LLAMAR ANTES DE VISITAR, CONFIRMAR FALLA Y DATOS
0
28-06 SE REALIZA LLAMADA AL CLIENTE  Y SE VALIDA COMO ESTABA REALIZANDO LOS CIERRES YA QUE SE LE ESTABA ACUMULANDO , SE LE EXPLICA ADECUADAMENTE QUE DEBE REALIZAR EL CIERRE PARCIAL Y LUEGO EL CIERRE GENERAL Y DESPUES CONFIRMAR CON LA TECLA VERDE PARA QUE EL DATAFONO REALIZE EL PROCESO CORRECTO, EL CLIENTE REALIZA EL PROCESO Y CONFIRMA QUE SI BORRA LAS TRANSACCIONES, SE CIERRA EL CASO</t>
  </si>
  <si>
    <t>FO-25-1139214</t>
  </si>
  <si>
    <t>DISTRICOL PHARMACYPC</t>
  </si>
  <si>
    <t xml:space="preserve">26-06 SE ESCALA PARA VISITA. LLAMAR ANTES DE VISITAR, CONFIRMAR FALLA Y DATOS
0
28-06 SE VÁLIDAN CONEXIÓNES SE VÁLIDA FALLA EN CONECTOR RJ45 DEL CLIENTE SE LE INDICA CAMBIALO FALLA EN CONEXIÓNES DEL CLIENTE </t>
  </si>
  <si>
    <t>SAUZZ958</t>
  </si>
  <si>
    <t>FO-25-1150680</t>
  </si>
  <si>
    <t>PTM MEDELLIN POMPOSO DECORACIO</t>
  </si>
  <si>
    <t xml:space="preserve">28-06 SE ESCALA PARA VISITA. LLAMAR ANTES DE VISITAR, CONFIRMAR FALLA Y DATOS
0
29-06 SE HABLA CON SEÑOR JUAN, NOS INFORMA QUE CB YA ESTÁ OPERANDO, PROBLEMA DE CONEXIÓN SE DIÓ AYER PERO HOY OPERAN SIN PROBLEMA, CB OPERATIVO. SE CIERRA INCIDENTE </t>
  </si>
  <si>
    <t>FO-25-1151829</t>
  </si>
  <si>
    <t>BARRIO CENTRO TUNJA 30</t>
  </si>
  <si>
    <t>29-06 SE ESCALA PARA VISITA. LLAMAR ANTES DE VISITAR, CONFIRMAR FALLA Y DATOS
0
29-06 EN COMUNICACIÓN CON LA SEÑORA MARIA NOS INFORMA QUE EL DATAFONO SE ENCUENTRA OPERATIVO,Y NO NECESITA LA VISITA TECNICA, SE CIERRA  ORDEN</t>
  </si>
  <si>
    <t>Cb</t>
  </si>
  <si>
    <t xml:space="preserve">Nmbre  del cb </t>
  </si>
  <si>
    <t>Fecha Asignación a Línea Comunicaciones (DD/MM/AAAA)</t>
  </si>
  <si>
    <t>Fecha del cierre del ticket (DD/MM/AAAA)</t>
  </si>
  <si>
    <t>CAUSAL</t>
  </si>
  <si>
    <t>TIPO DE ACTIVIDAD</t>
  </si>
  <si>
    <t>SOLICITUD</t>
  </si>
  <si>
    <t>DESCRIPCIÓN</t>
  </si>
  <si>
    <t>RETROALIMENTACIÓN O.T.</t>
  </si>
  <si>
    <t>SERIAL / PLACA- GUIA</t>
  </si>
  <si>
    <t xml:space="preserve">LECTOR </t>
  </si>
  <si>
    <t xml:space="preserve">TERMINAL </t>
  </si>
  <si>
    <t>ACOMETIDA ELECTRICA</t>
  </si>
  <si>
    <t>VALOR ACTIVIDAD</t>
  </si>
  <si>
    <t>FO-25-1032850</t>
  </si>
  <si>
    <t>DISTRICOL PAPELERIA LA ESQUINA</t>
  </si>
  <si>
    <t>EJECUTADO_CANCELADO</t>
  </si>
  <si>
    <t>PETICIÓN BANCOLOMBIA</t>
  </si>
  <si>
    <t>ORDEN DE CAMBIO</t>
  </si>
  <si>
    <t>TRASLADO</t>
  </si>
  <si>
    <t>TRASLADO EXTERNO</t>
  </si>
  <si>
    <t xml:space="preserve">06/06/2025 SE VISITA CB POR TRASLADO INTERNO DE CB AL LLEGAR A LA DIRECCIÓN REGISTRADA EN LA ORDEN SE EVIDENCIA QUE HAY UN PTM A MENOS DE 50 MTS SOBRE LA MISMA CARRERA (CERCANÍA) SE ESCALA PROCESO CON ÁREA ENCARGADA QUIEN CONFIRMA *ESCALARA EL CASO CON ENTIDAD* POR POLÍTICAS DE BANCO SE INDICA A CLIENTE QUE EN EL PUNTO NO PODRA TENER SERVICIO DE BANCOLOMBIA POR CERCANÍA DE CORRESPONSALES VÍA TELEFÓNICA YA QUE CLIENTE NO SE ENCUENTRA Y EL EQUIPO TAMPOCO  Y SE FINALIZA ACTIVIDAD SIN MÁS NOVEDAD. Ninguna </t>
  </si>
  <si>
    <t xml:space="preserve"> </t>
  </si>
  <si>
    <t xml:space="preserve">    </t>
  </si>
  <si>
    <t xml:space="preserve">NO APLICA </t>
  </si>
  <si>
    <t>FO-25-1077765</t>
  </si>
  <si>
    <t>BARRIO MONTECARLO BOGOTA</t>
  </si>
  <si>
    <t>PETICIÓN USUARIO</t>
  </si>
  <si>
    <t xml:space="preserve">16/06/2025  Se visita comercio por traslado externo de cb al.llegar a la dirección registrada en la orden, el comercio se encuentra cerrado se intenta comunicación a líneas registradas 3134086553 sin éxito se brinda tiempo de espera de 30 min en sitio cliente no llega se escribe vía WhatsApp Pero no hay respuesta se procede a cerrar solicitud sin más novedad </t>
  </si>
  <si>
    <t>FO-25-1077776</t>
  </si>
  <si>
    <t>BARRIO CORREGIMIENTO EL CANITO</t>
  </si>
  <si>
    <t>GESTIÓN_TELEFÓNICA</t>
  </si>
  <si>
    <t>CANCELADO POR EL USUARIO</t>
  </si>
  <si>
    <t>16/06/2025  Se llama al CB sra enadis quien indica que el CB ya le hicieron traslado el 05 de febrero y no ha solicitado más traslado, indica que el equipo se encuentra en la dirección de traslado actual ok.
Se cierra orden por gestión telefónica ok.</t>
  </si>
  <si>
    <t>FO-25-1102932</t>
  </si>
  <si>
    <t>BARRIO CALLE LA PUNTA SECTRO E</t>
  </si>
  <si>
    <t>DIRECCION ERRADA</t>
  </si>
  <si>
    <t xml:space="preserve">24/06/2025  Se llega a la dirección indicada Pero la dirección que llegamos no está el negocio el negocio está aproximadamente en la dirección calle 9 9-20 y en la camara de comercio registra otra dirección también errónea calle 9 9-09 por lo que se escala a la red se le informa al cliente los pasos a seguir se cierra actividad </t>
  </si>
  <si>
    <t>FO-25-1130046</t>
  </si>
  <si>
    <t>BARRIO UNICENTRO CALI CALI</t>
  </si>
  <si>
    <t>27/06/2025  SE HABLA ANTES DEL DESPLAZAMIENTO Y EL SEÑOR CHRISTIAN INDICA QUE SE ENCONTRABA EN UNA REUNIÓN. SE LE INDICÓ QUE SE REALIZARIA OTRA ACTIVIDADES MIENTRAS SE DESOCUPADA.
SE LLEGO DESPUÉS A LA DORECCION Y SE COMUNICA DE NUEVO CON EL SEÑOR PIÑEROS HE INDICA QUE AÚN NO ESTA DISPONIBLE Y QUE ÉL ESTUVO ESPERANDO EL CORREO DE AUTORIZACIÓN PARA ESTAR PENDIENTE.
SE LE INDICA QUE LA TAREA SERÁ CERRADA Y CUANDO ÉL ESTE DISPONIBLE DEBE DE LLAMAR DE NUEVO A SOLICITAR DE NUEVO EL TRASLADO.</t>
  </si>
  <si>
    <t>CENTRO_COSTO</t>
  </si>
  <si>
    <t>DESCRIPCION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</si>
</sst>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 #,##0;[Red]\-&quot;$&quot;\ #,##0"/>
    <numFmt numFmtId="43" formatCode="_-* #,##0.00_-;\-* #,##0.00_-;_-* &quot;-&quot;??_-;_-@_-"/>
    <numFmt numFmtId="164" formatCode="_-* #,##0.00\ _€_-;\-* #,##0.00\ _€_-;_-* &quot;-&quot;??\ _€_-;_-@_-"/>
    <numFmt numFmtId="165" formatCode="_(&quot;$&quot;\ * #,##0.00_);_(&quot;$&quot;\ * \(#,##0.00\);_(&quot;$&quot;\ * &quot;-&quot;??_);_(@_)"/>
    <numFmt numFmtId="166" formatCode="_(* #,##0.00_);_(* \(#,##0.00\);_(* &quot;-&quot;??_);_(@_)"/>
    <numFmt numFmtId="167" formatCode="_-&quot;$&quot;* #,##0.00_-;\-&quot;$&quot;* #,##0.00_-;_-&quot;$&quot;* &quot;-&quot;??_-;_-@_-"/>
    <numFmt numFmtId="168" formatCode="_ &quot;$&quot;\ * #,##0_ ;_ &quot;$&quot;\ * \-#,##0_ ;_ &quot;$&quot;\ * &quot;-&quot;??_ ;_ @_ "/>
    <numFmt numFmtId="169" formatCode="_(&quot;$&quot;\ * #,##0_);_(&quot;$&quot;\ * \(#,##0\);_(&quot;$&quot;\ * &quot;-&quot;??_);_(@_)"/>
    <numFmt numFmtId="170" formatCode="[$-409]d\-m\-yy\ h:mm\ AM/PM;@"/>
    <numFmt numFmtId="171" formatCode="[$-240A]dddd\,\ dd&quot; de &quot;mmmm&quot; de &quot;yyyy"/>
    <numFmt numFmtId="172" formatCode="_ * #,##0.00_ ;_ * \-#,##0.00_ ;_ * &quot;-&quot;??_ ;_ @_ "/>
    <numFmt numFmtId="173" formatCode="_-&quot;$&quot;* #,##0_-;\-&quot;$&quot;* #,##0_-;_-&quot;$&quot;* &quot;-&quot;??_-;_-@_-"/>
    <numFmt numFmtId="174" formatCode="&quot;$&quot;\ #,##0"/>
    <numFmt numFmtId="175" formatCode="_ &quot;$&quot;\ * #,##0.00_ ;_ &quot;$&quot;\ * \-#,##0.00_ ;_ &quot;$&quot;\ * &quot;-&quot;??_ ;_ @_ "/>
    <numFmt numFmtId="176" formatCode="_ [$€-2]\ * #,##0.00_ ;_ [$€-2]\ * \-#,##0.00_ ;_ [$€-2]\ * &quot;-&quot;??_ "/>
    <numFmt numFmtId="177" formatCode="[$-C0A]d\-mmm\-yy;@"/>
    <numFmt numFmtId="178" formatCode="[$-240A]General"/>
    <numFmt numFmtId="179" formatCode="0.000%"/>
    <numFmt numFmtId="180" formatCode="_ * #,##0.00_ ;_ * \-#,##0.00_ ;_ * \-??_ ;_ @_ "/>
    <numFmt numFmtId="181" formatCode="_-[$$-240A]\ * #,##0.00_-;\-[$$-240A]\ * #,##0.00_-;_-[$$-240A]\ * &quot;-&quot;??_-;_-@_-"/>
    <numFmt numFmtId="182" formatCode="_-[$$-240A]\ * #,##0_-;\-[$$-240A]\ * #,##0_-;_-[$$-240A]\ * &quot;-&quot;_-;_-@_-"/>
    <numFmt numFmtId="183" formatCode="dd/mm/yyyy;@"/>
    <numFmt numFmtId="184" formatCode="dd/mm/yyyy"/>
    <numFmt numFmtId="187" formatCode="_-[$$-240A]\ * #,##0_-;\-[$$-240A]\ * #,##0_-;_-[$$-240A]\ * &quot;-&quot;??_-;_-@_-"/>
  </numFmts>
  <fonts count="11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0"/>
      <color rgb="FF000000"/>
      <name val="Arial"/>
      <family val="2"/>
    </font>
    <font>
      <sz val="10"/>
      <name val="Arial"/>
      <family val="2"/>
    </font>
    <font>
      <sz val="10"/>
      <color theme="1"/>
      <name val="Apex"/>
      <family val="2"/>
    </font>
    <font>
      <u/>
      <sz val="11"/>
      <color theme="10"/>
      <name val="Calibri"/>
      <family val="2"/>
      <scheme val="minor"/>
    </font>
    <font>
      <sz val="12"/>
      <color theme="1"/>
      <name val="Trebuchet MS"/>
      <family val="2"/>
    </font>
    <font>
      <sz val="10"/>
      <name val="Century Gothic"/>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8"/>
      <color theme="3"/>
      <name val="Cambria"/>
      <family val="2"/>
      <scheme val="major"/>
    </font>
    <font>
      <sz val="11"/>
      <color rgb="FF000000"/>
      <name val="Arial"/>
      <family val="2"/>
    </font>
    <font>
      <sz val="11"/>
      <color indexed="9"/>
      <name val="Calibri"/>
      <family val="2"/>
    </font>
    <font>
      <sz val="11"/>
      <color rgb="FFFFFFFF"/>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rgb="FF000000"/>
      <name val="Calibri"/>
      <family val="2"/>
    </font>
    <font>
      <u/>
      <sz val="10"/>
      <color indexed="12"/>
      <name val="Arial"/>
      <family val="2"/>
    </font>
    <font>
      <u/>
      <sz val="11"/>
      <color theme="10"/>
      <name val="Calibri"/>
      <family val="2"/>
    </font>
    <font>
      <u/>
      <sz val="12.1"/>
      <color theme="10"/>
      <name val="Calibri"/>
      <family val="2"/>
    </font>
    <font>
      <sz val="11"/>
      <color indexed="20"/>
      <name val="Calibri"/>
      <family val="2"/>
    </font>
    <font>
      <sz val="11"/>
      <color indexed="60"/>
      <name val="Calibri"/>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b/>
      <sz val="11"/>
      <color indexed="63"/>
      <name val="Calibri"/>
      <family val="2"/>
    </font>
    <font>
      <sz val="11"/>
      <color rgb="FF000000"/>
      <name val="Calibri"/>
      <family val="2"/>
      <charset val="1"/>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color theme="1"/>
      <name val="Calibri"/>
      <family val="2"/>
      <scheme val="minor"/>
    </font>
    <font>
      <b/>
      <sz val="8"/>
      <name val="Gelion Thin"/>
    </font>
    <font>
      <sz val="10"/>
      <name val="Gelion Thin"/>
    </font>
    <font>
      <sz val="8"/>
      <color theme="1"/>
      <name val="Gelion Thin"/>
    </font>
    <font>
      <sz val="8"/>
      <name val="Gelion Thin"/>
    </font>
    <font>
      <sz val="10"/>
      <color rgb="FF000000"/>
      <name val="Gelion Thin"/>
    </font>
    <font>
      <b/>
      <sz val="10"/>
      <name val="Gelion Thin"/>
    </font>
    <font>
      <sz val="8"/>
      <color rgb="FF000000"/>
      <name val="Gelion Thin"/>
    </font>
    <font>
      <b/>
      <sz val="11"/>
      <color theme="1"/>
      <name val="Gelion Thin"/>
    </font>
    <font>
      <b/>
      <i/>
      <sz val="11"/>
      <color rgb="FFFFFFFF"/>
      <name val="Century Gothic"/>
      <family val="2"/>
    </font>
    <font>
      <sz val="10"/>
      <color rgb="FF000000"/>
      <name val="Century Gothic"/>
      <family val="2"/>
    </font>
    <font>
      <sz val="10"/>
      <color rgb="FF3A3838"/>
      <name val="Century Gothic"/>
      <family val="2"/>
    </font>
    <font>
      <sz val="11"/>
      <color rgb="FF000000"/>
      <name val="Gelion Thin"/>
    </font>
    <font>
      <sz val="9"/>
      <color rgb="FF000000"/>
      <name val="Courier New"/>
      <family val="3"/>
    </font>
    <font>
      <b/>
      <sz val="10"/>
      <color rgb="FFC00000"/>
      <name val="Gelion Thin"/>
    </font>
    <font>
      <sz val="10"/>
      <color rgb="FFC00000"/>
      <name val="Gelion Thin"/>
    </font>
    <font>
      <sz val="10"/>
      <color rgb="FFC00000"/>
      <name val="Arial"/>
      <family val="2"/>
    </font>
    <font>
      <sz val="10"/>
      <name val="Calibri"/>
      <family val="2"/>
      <scheme val="minor"/>
    </font>
    <font>
      <sz val="8"/>
      <name val="Gelion Light"/>
    </font>
    <font>
      <b/>
      <sz val="9"/>
      <color rgb="FFC00000"/>
      <name val="Gelion Thin"/>
    </font>
    <font>
      <sz val="10"/>
      <name val="Calibri"/>
      <family val="2"/>
    </font>
    <font>
      <sz val="10"/>
      <color rgb="FF000000"/>
      <name val="Calibri"/>
      <family val="2"/>
    </font>
  </fonts>
  <fills count="8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9B9B9A"/>
        <bgColor indexed="6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theme="0"/>
        <bgColor indexed="64"/>
      </patternFill>
    </fill>
    <fill>
      <patternFill patternType="solid">
        <fgColor rgb="FFBAF50A"/>
        <bgColor indexed="64"/>
      </patternFill>
    </fill>
    <fill>
      <patternFill patternType="solid">
        <fgColor theme="6"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39247">
    <xf numFmtId="0" fontId="0" fillId="0" borderId="0"/>
    <xf numFmtId="168" fontId="20" fillId="0" borderId="0" applyFont="0" applyFill="0" applyBorder="0" applyAlignment="0" applyProtection="0"/>
    <xf numFmtId="0" fontId="20" fillId="0" borderId="0"/>
    <xf numFmtId="0" fontId="20" fillId="0" borderId="0"/>
    <xf numFmtId="0" fontId="19" fillId="0" borderId="0"/>
    <xf numFmtId="165" fontId="21" fillId="0" borderId="0" applyFont="0" applyFill="0" applyBorder="0" applyAlignment="0" applyProtection="0"/>
    <xf numFmtId="165" fontId="20" fillId="0" borderId="0" applyFont="0" applyFill="0" applyBorder="0" applyAlignment="0" applyProtection="0"/>
    <xf numFmtId="0" fontId="20" fillId="0" borderId="0"/>
    <xf numFmtId="170" fontId="18" fillId="0" borderId="0"/>
    <xf numFmtId="0" fontId="22" fillId="0" borderId="0"/>
    <xf numFmtId="171" fontId="20" fillId="0" borderId="0"/>
    <xf numFmtId="170" fontId="17" fillId="0" borderId="0"/>
    <xf numFmtId="0" fontId="23" fillId="0" borderId="0"/>
    <xf numFmtId="0" fontId="23" fillId="0" borderId="0"/>
    <xf numFmtId="0" fontId="16" fillId="0" borderId="0"/>
    <xf numFmtId="0" fontId="15" fillId="0" borderId="0"/>
    <xf numFmtId="0" fontId="14" fillId="0" borderId="0"/>
    <xf numFmtId="43" fontId="14" fillId="0" borderId="0" applyFont="0" applyFill="0" applyBorder="0" applyAlignment="0" applyProtection="0"/>
    <xf numFmtId="0" fontId="20" fillId="0" borderId="0"/>
    <xf numFmtId="172" fontId="20" fillId="0" borderId="0" applyFont="0" applyFill="0" applyBorder="0" applyAlignment="0" applyProtection="0"/>
    <xf numFmtId="0" fontId="20" fillId="0" borderId="0"/>
    <xf numFmtId="170" fontId="20" fillId="0" borderId="0"/>
    <xf numFmtId="0" fontId="13" fillId="0" borderId="0"/>
    <xf numFmtId="170" fontId="20" fillId="0" borderId="0"/>
    <xf numFmtId="0" fontId="24" fillId="0" borderId="0"/>
    <xf numFmtId="0" fontId="12" fillId="0" borderId="0"/>
    <xf numFmtId="0" fontId="11" fillId="0" borderId="0"/>
    <xf numFmtId="0" fontId="11" fillId="0" borderId="0"/>
    <xf numFmtId="0" fontId="20" fillId="0" borderId="0"/>
    <xf numFmtId="43" fontId="20" fillId="0" borderId="0" applyFont="0" applyFill="0" applyBorder="0" applyAlignment="0" applyProtection="0"/>
    <xf numFmtId="0" fontId="20" fillId="0" borderId="0"/>
    <xf numFmtId="165" fontId="20" fillId="0" borderId="0" applyFont="0" applyFill="0" applyBorder="0" applyAlignment="0" applyProtection="0"/>
    <xf numFmtId="165" fontId="10" fillId="0" borderId="0" applyFont="0" applyFill="0" applyBorder="0" applyAlignment="0" applyProtection="0"/>
    <xf numFmtId="0" fontId="25" fillId="0" borderId="0"/>
    <xf numFmtId="0" fontId="9" fillId="0" borderId="0"/>
    <xf numFmtId="170" fontId="9" fillId="0" borderId="0"/>
    <xf numFmtId="0" fontId="9" fillId="0" borderId="0"/>
    <xf numFmtId="0" fontId="9" fillId="0" borderId="0"/>
    <xf numFmtId="172" fontId="20" fillId="0" borderId="0" applyFont="0" applyFill="0" applyBorder="0" applyAlignment="0" applyProtection="0"/>
    <xf numFmtId="0" fontId="9" fillId="0" borderId="0"/>
    <xf numFmtId="0" fontId="9" fillId="0" borderId="0"/>
    <xf numFmtId="0" fontId="9" fillId="0" borderId="0"/>
    <xf numFmtId="0" fontId="9" fillId="0" borderId="0"/>
    <xf numFmtId="0" fontId="26" fillId="0" borderId="0" applyNumberFormat="0" applyFill="0" applyBorder="0" applyAlignment="0" applyProtection="0"/>
    <xf numFmtId="0" fontId="9" fillId="0" borderId="0"/>
    <xf numFmtId="43" fontId="9" fillId="0" borderId="0" applyFon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7" fontId="25" fillId="0" borderId="0" applyFont="0" applyFill="0" applyBorder="0" applyAlignment="0" applyProtection="0"/>
    <xf numFmtId="165" fontId="9" fillId="0" borderId="0" applyFont="0" applyFill="0" applyBorder="0" applyAlignment="0" applyProtection="0"/>
    <xf numFmtId="170" fontId="9" fillId="0" borderId="0"/>
    <xf numFmtId="0" fontId="9" fillId="0" borderId="0"/>
    <xf numFmtId="0" fontId="9" fillId="0" borderId="0"/>
    <xf numFmtId="0" fontId="9" fillId="0" borderId="0"/>
    <xf numFmtId="0" fontId="9" fillId="0" borderId="0"/>
    <xf numFmtId="0" fontId="9" fillId="0" borderId="0"/>
    <xf numFmtId="0" fontId="9" fillId="0" borderId="0"/>
    <xf numFmtId="170" fontId="27" fillId="0" borderId="0"/>
    <xf numFmtId="0" fontId="9" fillId="0" borderId="0"/>
    <xf numFmtId="0" fontId="9" fillId="0" borderId="0"/>
    <xf numFmtId="0" fontId="9" fillId="0" borderId="0"/>
    <xf numFmtId="0" fontId="9" fillId="0" borderId="0"/>
    <xf numFmtId="0" fontId="9" fillId="0" borderId="0"/>
    <xf numFmtId="0" fontId="9" fillId="0" borderId="0"/>
    <xf numFmtId="0" fontId="20" fillId="0" borderId="0"/>
    <xf numFmtId="170" fontId="20" fillId="0" borderId="0"/>
    <xf numFmtId="172" fontId="20" fillId="0" borderId="0" applyFont="0" applyFill="0" applyBorder="0" applyAlignment="0" applyProtection="0"/>
    <xf numFmtId="0" fontId="9" fillId="0" borderId="0"/>
    <xf numFmtId="0" fontId="9" fillId="0" borderId="0"/>
    <xf numFmtId="0" fontId="25" fillId="0" borderId="0"/>
    <xf numFmtId="0" fontId="8" fillId="0" borderId="0"/>
    <xf numFmtId="0" fontId="20" fillId="0" borderId="0"/>
    <xf numFmtId="0" fontId="7" fillId="0" borderId="0"/>
    <xf numFmtId="0" fontId="7" fillId="0" borderId="0"/>
    <xf numFmtId="167" fontId="7" fillId="0" borderId="0" applyFont="0" applyFill="0" applyBorder="0" applyAlignment="0" applyProtection="0"/>
    <xf numFmtId="165" fontId="20" fillId="0" borderId="0" applyFont="0" applyFill="0" applyBorder="0" applyAlignment="0" applyProtection="0"/>
    <xf numFmtId="165" fontId="7" fillId="0" borderId="0" applyFont="0" applyFill="0" applyBorder="0" applyAlignment="0" applyProtection="0"/>
    <xf numFmtId="0" fontId="6" fillId="0" borderId="0"/>
    <xf numFmtId="167" fontId="6" fillId="0" borderId="0" applyFont="0" applyFill="0" applyBorder="0" applyAlignment="0" applyProtection="0"/>
    <xf numFmtId="0" fontId="5" fillId="0" borderId="0"/>
    <xf numFmtId="167" fontId="4"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22" fillId="33" borderId="0" applyNumberFormat="0" applyBorder="0" applyAlignment="0" applyProtection="0"/>
    <xf numFmtId="0" fontId="3" fillId="10"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22" fillId="34" borderId="0" applyNumberFormat="0" applyBorder="0" applyAlignment="0" applyProtection="0"/>
    <xf numFmtId="0" fontId="3" fillId="1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22" fillId="35" borderId="0" applyNumberFormat="0" applyBorder="0" applyAlignment="0" applyProtection="0"/>
    <xf numFmtId="0" fontId="3" fillId="18" borderId="0" applyNumberFormat="0" applyBorder="0" applyAlignment="0" applyProtection="0"/>
    <xf numFmtId="0" fontId="22" fillId="35" borderId="0" applyNumberFormat="0" applyBorder="0" applyAlignment="0" applyProtection="0"/>
    <xf numFmtId="0" fontId="22" fillId="35"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22" fillId="36" borderId="0" applyNumberFormat="0" applyBorder="0" applyAlignment="0" applyProtection="0"/>
    <xf numFmtId="0" fontId="3" fillId="22"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22" fillId="37" borderId="0" applyNumberFormat="0" applyBorder="0" applyAlignment="0" applyProtection="0"/>
    <xf numFmtId="0" fontId="3" fillId="26"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22" fillId="38" borderId="0" applyNumberFormat="0" applyBorder="0" applyAlignment="0" applyProtection="0"/>
    <xf numFmtId="0" fontId="3" fillId="30"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45" fillId="39" borderId="0" applyNumberFormat="0" applyBorder="0" applyAlignment="0" applyProtection="0"/>
    <xf numFmtId="0" fontId="45" fillId="40" borderId="0" applyNumberFormat="0" applyBorder="0" applyAlignment="0" applyProtection="0"/>
    <xf numFmtId="0" fontId="45"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45" fillId="44"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22" fillId="45" borderId="0" applyNumberFormat="0" applyBorder="0" applyAlignment="0" applyProtection="0"/>
    <xf numFmtId="0" fontId="3" fillId="11" borderId="0" applyNumberFormat="0" applyBorder="0" applyAlignment="0" applyProtection="0"/>
    <xf numFmtId="0" fontId="22" fillId="45" borderId="0" applyNumberFormat="0" applyBorder="0" applyAlignment="0" applyProtection="0"/>
    <xf numFmtId="0" fontId="22" fillId="45"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22" fillId="46" borderId="0" applyNumberFormat="0" applyBorder="0" applyAlignment="0" applyProtection="0"/>
    <xf numFmtId="0" fontId="3" fillId="15" borderId="0" applyNumberFormat="0" applyBorder="0" applyAlignment="0" applyProtection="0"/>
    <xf numFmtId="0" fontId="22" fillId="46" borderId="0" applyNumberFormat="0" applyBorder="0" applyAlignment="0" applyProtection="0"/>
    <xf numFmtId="0" fontId="22" fillId="46"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22" fillId="47" borderId="0" applyNumberFormat="0" applyBorder="0" applyAlignment="0" applyProtection="0"/>
    <xf numFmtId="0" fontId="3" fillId="19"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22" fillId="36" borderId="0" applyNumberFormat="0" applyBorder="0" applyAlignment="0" applyProtection="0"/>
    <xf numFmtId="0" fontId="3" fillId="23"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22" fillId="45" borderId="0" applyNumberFormat="0" applyBorder="0" applyAlignment="0" applyProtection="0"/>
    <xf numFmtId="0" fontId="3" fillId="27" borderId="0" applyNumberFormat="0" applyBorder="0" applyAlignment="0" applyProtection="0"/>
    <xf numFmtId="0" fontId="22" fillId="45" borderId="0" applyNumberFormat="0" applyBorder="0" applyAlignment="0" applyProtection="0"/>
    <xf numFmtId="0" fontId="22" fillId="45"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22" fillId="48" borderId="0" applyNumberFormat="0" applyBorder="0" applyAlignment="0" applyProtection="0"/>
    <xf numFmtId="0" fontId="3" fillId="31" borderId="0" applyNumberFormat="0" applyBorder="0" applyAlignment="0" applyProtection="0"/>
    <xf numFmtId="0" fontId="22" fillId="48" borderId="0" applyNumberFormat="0" applyBorder="0" applyAlignment="0" applyProtection="0"/>
    <xf numFmtId="0" fontId="22" fillId="48"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45" fillId="49"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53" borderId="0" applyNumberFormat="0" applyBorder="0" applyAlignment="0" applyProtection="0"/>
    <xf numFmtId="0" fontId="45" fillId="54"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6" fillId="55" borderId="0" applyNumberFormat="0" applyBorder="0" applyAlignment="0" applyProtection="0"/>
    <xf numFmtId="0" fontId="42" fillId="12" borderId="0" applyNumberFormat="0" applyBorder="0" applyAlignment="0" applyProtection="0"/>
    <xf numFmtId="0" fontId="46" fillId="55" borderId="0" applyNumberFormat="0" applyBorder="0" applyAlignment="0" applyProtection="0"/>
    <xf numFmtId="0" fontId="46" fillId="55"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6" fillId="46" borderId="0" applyNumberFormat="0" applyBorder="0" applyAlignment="0" applyProtection="0"/>
    <xf numFmtId="0" fontId="42" fillId="1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6" fillId="47" borderId="0" applyNumberFormat="0" applyBorder="0" applyAlignment="0" applyProtection="0"/>
    <xf numFmtId="0" fontId="42" fillId="20"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6" fillId="56" borderId="0" applyNumberFormat="0" applyBorder="0" applyAlignment="0" applyProtection="0"/>
    <xf numFmtId="0" fontId="42" fillId="24" borderId="0" applyNumberFormat="0" applyBorder="0" applyAlignment="0" applyProtection="0"/>
    <xf numFmtId="0" fontId="46" fillId="56" borderId="0" applyNumberFormat="0" applyBorder="0" applyAlignment="0" applyProtection="0"/>
    <xf numFmtId="0" fontId="46" fillId="56"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6" fillId="57" borderId="0" applyNumberFormat="0" applyBorder="0" applyAlignment="0" applyProtection="0"/>
    <xf numFmtId="0" fontId="42" fillId="28" borderId="0" applyNumberFormat="0" applyBorder="0" applyAlignment="0" applyProtection="0"/>
    <xf numFmtId="0" fontId="46" fillId="57" borderId="0" applyNumberFormat="0" applyBorder="0" applyAlignment="0" applyProtection="0"/>
    <xf numFmtId="0" fontId="46" fillId="57"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6" fillId="58" borderId="0" applyNumberFormat="0" applyBorder="0" applyAlignment="0" applyProtection="0"/>
    <xf numFmtId="0" fontId="42" fillId="32" borderId="0" applyNumberFormat="0" applyBorder="0" applyAlignment="0" applyProtection="0"/>
    <xf numFmtId="0" fontId="46" fillId="58" borderId="0" applyNumberFormat="0" applyBorder="0" applyAlignment="0" applyProtection="0"/>
    <xf numFmtId="0" fontId="46" fillId="5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7" fillId="59" borderId="0" applyNumberFormat="0" applyBorder="0" applyAlignment="0" applyProtection="0"/>
    <xf numFmtId="0" fontId="47" fillId="60" borderId="0" applyNumberFormat="0" applyBorder="0" applyAlignment="0" applyProtection="0"/>
    <xf numFmtId="0" fontId="47" fillId="61" borderId="0" applyNumberFormat="0" applyBorder="0" applyAlignment="0" applyProtection="0"/>
    <xf numFmtId="0" fontId="47" fillId="62" borderId="0" applyNumberFormat="0" applyBorder="0" applyAlignment="0" applyProtection="0"/>
    <xf numFmtId="0" fontId="47" fillId="63" borderId="0" applyNumberFormat="0" applyBorder="0" applyAlignment="0" applyProtection="0"/>
    <xf numFmtId="0" fontId="47" fillId="64"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49" fillId="65" borderId="16" applyNumberFormat="0" applyAlignment="0" applyProtection="0"/>
    <xf numFmtId="0" fontId="36" fillId="6" borderId="10" applyNumberFormat="0" applyAlignment="0" applyProtection="0"/>
    <xf numFmtId="0" fontId="49" fillId="65" borderId="16" applyNumberFormat="0" applyAlignment="0" applyProtection="0"/>
    <xf numFmtId="0" fontId="49" fillId="65" borderId="16"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50" fillId="66" borderId="17" applyNumberFormat="0" applyAlignment="0" applyProtection="0"/>
    <xf numFmtId="0" fontId="38" fillId="7" borderId="13" applyNumberFormat="0" applyAlignment="0" applyProtection="0"/>
    <xf numFmtId="0" fontId="50" fillId="66" borderId="17" applyNumberFormat="0" applyAlignment="0" applyProtection="0"/>
    <xf numFmtId="0" fontId="38" fillId="7" borderId="13" applyNumberFormat="0" applyAlignment="0" applyProtection="0"/>
    <xf numFmtId="0" fontId="50" fillId="66" borderId="17" applyNumberFormat="0" applyAlignment="0" applyProtection="0"/>
    <xf numFmtId="0" fontId="50" fillId="66" borderId="17" applyNumberFormat="0" applyAlignment="0" applyProtection="0"/>
    <xf numFmtId="0" fontId="50" fillId="66" borderId="17" applyNumberFormat="0" applyAlignment="0" applyProtection="0"/>
    <xf numFmtId="0" fontId="38" fillId="7" borderId="13" applyNumberFormat="0" applyAlignment="0" applyProtection="0"/>
    <xf numFmtId="0" fontId="38" fillId="7" borderId="13" applyNumberFormat="0" applyAlignment="0" applyProtection="0"/>
    <xf numFmtId="0" fontId="50" fillId="66" borderId="17" applyNumberFormat="0" applyAlignment="0" applyProtection="0"/>
    <xf numFmtId="0" fontId="50" fillId="66" borderId="17"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51" fillId="0" borderId="18" applyNumberFormat="0" applyFill="0" applyAlignment="0" applyProtection="0"/>
    <xf numFmtId="0" fontId="37" fillId="0" borderId="12" applyNumberFormat="0" applyFill="0" applyAlignment="0" applyProtection="0"/>
    <xf numFmtId="0" fontId="51" fillId="0" borderId="18" applyNumberFormat="0" applyFill="0" applyAlignment="0" applyProtection="0"/>
    <xf numFmtId="0" fontId="37" fillId="0" borderId="12"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43" fontId="20" fillId="0" borderId="0" applyFon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46" fillId="67" borderId="0" applyNumberFormat="0" applyBorder="0" applyAlignment="0" applyProtection="0"/>
    <xf numFmtId="0" fontId="42" fillId="9" borderId="0" applyNumberFormat="0" applyBorder="0" applyAlignment="0" applyProtection="0"/>
    <xf numFmtId="0" fontId="46" fillId="67" borderId="0" applyNumberFormat="0" applyBorder="0" applyAlignment="0" applyProtection="0"/>
    <xf numFmtId="0" fontId="46" fillId="67"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6" fillId="68" borderId="0" applyNumberFormat="0" applyBorder="0" applyAlignment="0" applyProtection="0"/>
    <xf numFmtId="0" fontId="42" fillId="13" borderId="0" applyNumberFormat="0" applyBorder="0" applyAlignment="0" applyProtection="0"/>
    <xf numFmtId="0" fontId="46" fillId="68" borderId="0" applyNumberFormat="0" applyBorder="0" applyAlignment="0" applyProtection="0"/>
    <xf numFmtId="0" fontId="46" fillId="68"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6" fillId="69" borderId="0" applyNumberFormat="0" applyBorder="0" applyAlignment="0" applyProtection="0"/>
    <xf numFmtId="0" fontId="42" fillId="17" borderId="0" applyNumberFormat="0" applyBorder="0" applyAlignment="0" applyProtection="0"/>
    <xf numFmtId="0" fontId="46" fillId="69" borderId="0" applyNumberFormat="0" applyBorder="0" applyAlignment="0" applyProtection="0"/>
    <xf numFmtId="0" fontId="46" fillId="69"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6" fillId="56" borderId="0" applyNumberFormat="0" applyBorder="0" applyAlignment="0" applyProtection="0"/>
    <xf numFmtId="0" fontId="42" fillId="21" borderId="0" applyNumberFormat="0" applyBorder="0" applyAlignment="0" applyProtection="0"/>
    <xf numFmtId="0" fontId="46" fillId="56" borderId="0" applyNumberFormat="0" applyBorder="0" applyAlignment="0" applyProtection="0"/>
    <xf numFmtId="0" fontId="46" fillId="56"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6" fillId="57" borderId="0" applyNumberFormat="0" applyBorder="0" applyAlignment="0" applyProtection="0"/>
    <xf numFmtId="0" fontId="42" fillId="25" borderId="0" applyNumberFormat="0" applyBorder="0" applyAlignment="0" applyProtection="0"/>
    <xf numFmtId="0" fontId="46" fillId="57" borderId="0" applyNumberFormat="0" applyBorder="0" applyAlignment="0" applyProtection="0"/>
    <xf numFmtId="0" fontId="46" fillId="57"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6" fillId="70" borderId="0" applyNumberFormat="0" applyBorder="0" applyAlignment="0" applyProtection="0"/>
    <xf numFmtId="0" fontId="42" fillId="29" borderId="0" applyNumberFormat="0" applyBorder="0" applyAlignment="0" applyProtection="0"/>
    <xf numFmtId="0" fontId="46" fillId="70" borderId="0" applyNumberFormat="0" applyBorder="0" applyAlignment="0" applyProtection="0"/>
    <xf numFmtId="0" fontId="46" fillId="70"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53" fillId="38" borderId="16" applyNumberFormat="0" applyAlignment="0" applyProtection="0"/>
    <xf numFmtId="0" fontId="34" fillId="5" borderId="10" applyNumberFormat="0" applyAlignment="0" applyProtection="0"/>
    <xf numFmtId="0" fontId="53" fillId="38" borderId="16" applyNumberFormat="0" applyAlignment="0" applyProtection="0"/>
    <xf numFmtId="0" fontId="34" fillId="5" borderId="10" applyNumberFormat="0" applyAlignment="0" applyProtection="0"/>
    <xf numFmtId="0" fontId="53" fillId="38" borderId="16" applyNumberFormat="0" applyAlignment="0" applyProtection="0"/>
    <xf numFmtId="0" fontId="53" fillId="38" borderId="16" applyNumberFormat="0" applyAlignment="0" applyProtection="0"/>
    <xf numFmtId="0" fontId="53" fillId="38" borderId="16" applyNumberFormat="0" applyAlignment="0" applyProtection="0"/>
    <xf numFmtId="0" fontId="34" fillId="5" borderId="10" applyNumberFormat="0" applyAlignment="0" applyProtection="0"/>
    <xf numFmtId="0" fontId="34" fillId="5" borderId="10" applyNumberFormat="0" applyAlignment="0" applyProtection="0"/>
    <xf numFmtId="0" fontId="53" fillId="38" borderId="16" applyNumberFormat="0" applyAlignment="0" applyProtection="0"/>
    <xf numFmtId="0" fontId="53" fillId="38" borderId="16"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176"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2" fillId="0" borderId="0"/>
    <xf numFmtId="177" fontId="22" fillId="0" borderId="0"/>
    <xf numFmtId="178" fontId="54"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55" fillId="0" borderId="0" applyNumberFormat="0" applyFill="0" applyBorder="0" applyAlignment="0" applyProtection="0">
      <alignment vertical="top"/>
      <protection locked="0"/>
    </xf>
    <xf numFmtId="0" fontId="55" fillId="0" borderId="0" applyNumberFormat="0" applyFill="0" applyBorder="0" applyAlignment="0" applyProtection="0"/>
    <xf numFmtId="0" fontId="56" fillId="0" borderId="0" applyNumberFormat="0" applyFill="0" applyBorder="0" applyAlignment="0" applyProtection="0">
      <alignment vertical="top"/>
      <protection locked="0"/>
    </xf>
    <xf numFmtId="0" fontId="26" fillId="0" borderId="0" applyNumberFormat="0" applyFill="0" applyBorder="0" applyAlignment="0" applyProtection="0"/>
    <xf numFmtId="0" fontId="56"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177" fontId="26" fillId="0" borderId="0" applyNumberFormat="0" applyFill="0" applyBorder="0" applyAlignment="0" applyProtection="0"/>
    <xf numFmtId="0" fontId="58" fillId="34" borderId="0" applyNumberFormat="0" applyBorder="0" applyAlignment="0" applyProtection="0"/>
    <xf numFmtId="0" fontId="33" fillId="3" borderId="0" applyNumberFormat="0" applyBorder="0" applyAlignment="0" applyProtection="0"/>
    <xf numFmtId="0" fontId="58" fillId="34" borderId="0" applyNumberFormat="0" applyBorder="0" applyAlignment="0" applyProtection="0"/>
    <xf numFmtId="0" fontId="58" fillId="34"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9"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80" fontId="20" fillId="0" borderId="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80" fontId="20" fillId="0" borderId="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67" fontId="3"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5" fontId="3" fillId="0" borderId="0" applyFont="0" applyFill="0" applyBorder="0" applyAlignment="0" applyProtection="0"/>
    <xf numFmtId="0" fontId="59" fillId="71" borderId="0" applyNumberFormat="0" applyBorder="0" applyAlignment="0" applyProtection="0"/>
    <xf numFmtId="0" fontId="59" fillId="71" borderId="0" applyNumberFormat="0" applyBorder="0" applyAlignment="0" applyProtection="0"/>
    <xf numFmtId="0" fontId="59" fillId="71" borderId="0" applyNumberFormat="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170" fontId="20" fillId="0" borderId="0"/>
    <xf numFmtId="0" fontId="3" fillId="0" borderId="0"/>
    <xf numFmtId="0" fontId="20" fillId="0" borderId="0">
      <alignment vertical="top"/>
    </xf>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applyNumberFormat="0" applyFill="0" applyBorder="0" applyAlignment="0" applyProtection="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177"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177" fontId="20" fillId="0" borderId="0"/>
    <xf numFmtId="0"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7"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7"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170"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170"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170"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0"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0" fontId="20" fillId="0" borderId="0"/>
    <xf numFmtId="170" fontId="20" fillId="0" borderId="0"/>
    <xf numFmtId="170" fontId="20"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0" fontId="3"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0" fontId="20" fillId="0" borderId="0">
      <alignment vertical="top"/>
    </xf>
    <xf numFmtId="170" fontId="20" fillId="0" borderId="0"/>
    <xf numFmtId="177" fontId="3" fillId="0" borderId="0"/>
    <xf numFmtId="170" fontId="20" fillId="0" borderId="0"/>
    <xf numFmtId="177" fontId="3" fillId="0" borderId="0"/>
    <xf numFmtId="170"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0" fontId="3" fillId="0" borderId="0"/>
    <xf numFmtId="0" fontId="20" fillId="0" borderId="0"/>
    <xf numFmtId="177" fontId="20" fillId="0" borderId="0"/>
    <xf numFmtId="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20"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20"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0" fontId="3" fillId="0" borderId="0"/>
    <xf numFmtId="177" fontId="3"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alignment vertical="top"/>
    </xf>
    <xf numFmtId="0" fontId="20" fillId="0" borderId="0">
      <alignment vertical="top"/>
    </xf>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0" fontId="20"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0"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0" fontId="20" fillId="0" borderId="0"/>
    <xf numFmtId="177" fontId="20" fillId="0" borderId="0"/>
    <xf numFmtId="0" fontId="20" fillId="0" borderId="0"/>
    <xf numFmtId="0" fontId="20" fillId="0" borderId="0"/>
    <xf numFmtId="0" fontId="45" fillId="0" borderId="0"/>
    <xf numFmtId="177" fontId="27" fillId="0" borderId="0"/>
    <xf numFmtId="0" fontId="20" fillId="0" borderId="0"/>
    <xf numFmtId="0" fontId="20" fillId="0" borderId="0"/>
    <xf numFmtId="0" fontId="45" fillId="0" borderId="0"/>
    <xf numFmtId="177" fontId="27" fillId="0" borderId="0"/>
    <xf numFmtId="0" fontId="20" fillId="0" borderId="0"/>
    <xf numFmtId="0" fontId="20" fillId="0" borderId="0"/>
    <xf numFmtId="0" fontId="61" fillId="0" borderId="0"/>
    <xf numFmtId="0" fontId="45" fillId="0" borderId="0"/>
    <xf numFmtId="0" fontId="61" fillId="0" borderId="0"/>
    <xf numFmtId="0" fontId="61" fillId="0" borderId="0"/>
    <xf numFmtId="0" fontId="45" fillId="0" borderId="0"/>
    <xf numFmtId="177" fontId="27" fillId="0" borderId="0"/>
    <xf numFmtId="0" fontId="61" fillId="0" borderId="0"/>
    <xf numFmtId="0" fontId="45" fillId="0" borderId="0"/>
    <xf numFmtId="0" fontId="61" fillId="0" borderId="0"/>
    <xf numFmtId="0" fontId="20" fillId="0" borderId="0"/>
    <xf numFmtId="0" fontId="20" fillId="0" borderId="0"/>
    <xf numFmtId="0" fontId="45" fillId="0" borderId="0"/>
    <xf numFmtId="177" fontId="20" fillId="0" borderId="0"/>
    <xf numFmtId="0" fontId="20" fillId="0" borderId="0"/>
    <xf numFmtId="0" fontId="20" fillId="0" borderId="0"/>
    <xf numFmtId="0" fontId="45" fillId="0" borderId="0"/>
    <xf numFmtId="177" fontId="27" fillId="0" borderId="0"/>
    <xf numFmtId="0" fontId="20" fillId="0" borderId="0"/>
    <xf numFmtId="0" fontId="20" fillId="0" borderId="0"/>
    <xf numFmtId="0" fontId="61"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20" fillId="0" borderId="0"/>
    <xf numFmtId="0" fontId="45" fillId="0" borderId="0"/>
    <xf numFmtId="0" fontId="20" fillId="0" borderId="0"/>
    <xf numFmtId="0" fontId="45" fillId="0" borderId="0"/>
    <xf numFmtId="0" fontId="45" fillId="0" borderId="0"/>
    <xf numFmtId="0" fontId="20" fillId="0" borderId="0"/>
    <xf numFmtId="0" fontId="45" fillId="0" borderId="0"/>
    <xf numFmtId="0" fontId="20" fillId="0" borderId="0"/>
    <xf numFmtId="170" fontId="27" fillId="0" borderId="0"/>
    <xf numFmtId="0" fontId="20" fillId="0" borderId="0"/>
    <xf numFmtId="0" fontId="4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7" fillId="0" borderId="0"/>
    <xf numFmtId="0" fontId="27" fillId="0" borderId="0"/>
    <xf numFmtId="0" fontId="20" fillId="0" borderId="0"/>
    <xf numFmtId="170" fontId="27" fillId="0" borderId="0"/>
    <xf numFmtId="0" fontId="20" fillId="0" borderId="0"/>
    <xf numFmtId="0" fontId="45" fillId="0" borderId="0"/>
    <xf numFmtId="177" fontId="27" fillId="0" borderId="0"/>
    <xf numFmtId="0" fontId="45" fillId="0" borderId="0"/>
    <xf numFmtId="170" fontId="27" fillId="0" borderId="0"/>
    <xf numFmtId="0" fontId="45" fillId="0" borderId="0"/>
    <xf numFmtId="0" fontId="45" fillId="0" borderId="0"/>
    <xf numFmtId="0" fontId="45" fillId="0" borderId="0"/>
    <xf numFmtId="0" fontId="45" fillId="0" borderId="0"/>
    <xf numFmtId="0" fontId="20" fillId="0" borderId="0"/>
    <xf numFmtId="0" fontId="20" fillId="0" borderId="0"/>
    <xf numFmtId="177"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177"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0" fontId="20"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7" fillId="0" borderId="0"/>
    <xf numFmtId="0" fontId="20" fillId="0" borderId="0"/>
    <xf numFmtId="177" fontId="20" fillId="0" borderId="0"/>
    <xf numFmtId="0" fontId="45"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3" fillId="0" borderId="0"/>
    <xf numFmtId="170" fontId="3" fillId="0" borderId="0"/>
    <xf numFmtId="177" fontId="20" fillId="0" borderId="0"/>
    <xf numFmtId="0" fontId="61" fillId="0" borderId="0"/>
    <xf numFmtId="177" fontId="20" fillId="0" borderId="0"/>
    <xf numFmtId="177" fontId="20" fillId="0" borderId="0"/>
    <xf numFmtId="177" fontId="20" fillId="0" borderId="0"/>
    <xf numFmtId="177" fontId="20" fillId="0" borderId="0"/>
    <xf numFmtId="0" fontId="20" fillId="0" borderId="0"/>
    <xf numFmtId="177" fontId="27" fillId="0" borderId="0"/>
    <xf numFmtId="177" fontId="20" fillId="0" borderId="0"/>
    <xf numFmtId="0" fontId="20" fillId="0" borderId="0"/>
    <xf numFmtId="177" fontId="20" fillId="0" borderId="0"/>
    <xf numFmtId="0" fontId="45" fillId="0" borderId="0"/>
    <xf numFmtId="177" fontId="20" fillId="0" borderId="0"/>
    <xf numFmtId="0" fontId="61" fillId="0" borderId="0"/>
    <xf numFmtId="177" fontId="20" fillId="0" borderId="0"/>
    <xf numFmtId="0" fontId="61" fillId="0" borderId="0"/>
    <xf numFmtId="177"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0" fontId="20"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0" fillId="0" borderId="0"/>
    <xf numFmtId="0" fontId="20" fillId="0" borderId="0"/>
    <xf numFmtId="177" fontId="27"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177" fontId="20" fillId="0" borderId="0"/>
    <xf numFmtId="0" fontId="20" fillId="0" borderId="0"/>
    <xf numFmtId="0" fontId="20" fillId="0" borderId="0"/>
    <xf numFmtId="170" fontId="20" fillId="0" borderId="0"/>
    <xf numFmtId="0" fontId="20" fillId="0" borderId="0"/>
    <xf numFmtId="170" fontId="20" fillId="0" borderId="0"/>
    <xf numFmtId="0" fontId="20" fillId="0" borderId="0" applyNumberFormat="0" applyFill="0" applyBorder="0" applyAlignment="0" applyProtection="0"/>
    <xf numFmtId="0" fontId="20" fillId="0" borderId="0"/>
    <xf numFmtId="0" fontId="20" fillId="0" borderId="0"/>
    <xf numFmtId="177" fontId="20" fillId="0" borderId="0"/>
    <xf numFmtId="0" fontId="20" fillId="0" borderId="0"/>
    <xf numFmtId="170" fontId="20" fillId="0" borderId="0"/>
    <xf numFmtId="0" fontId="20" fillId="0" borderId="0" applyNumberFormat="0" applyFill="0" applyBorder="0" applyAlignment="0" applyProtection="0"/>
    <xf numFmtId="0" fontId="20" fillId="0" borderId="0"/>
    <xf numFmtId="0" fontId="20" fillId="0" borderId="0"/>
    <xf numFmtId="0" fontId="20" fillId="0" borderId="0" applyNumberFormat="0" applyFill="0" applyBorder="0" applyAlignment="0" applyProtection="0"/>
    <xf numFmtId="0" fontId="20" fillId="0" borderId="0"/>
    <xf numFmtId="0" fontId="20" fillId="0" borderId="0"/>
    <xf numFmtId="177" fontId="20" fillId="0" borderId="0"/>
    <xf numFmtId="0" fontId="20" fillId="0" borderId="0"/>
    <xf numFmtId="0" fontId="60" fillId="0" borderId="0"/>
    <xf numFmtId="0" fontId="20" fillId="0" borderId="0"/>
    <xf numFmtId="0" fontId="20" fillId="0" borderId="0"/>
    <xf numFmtId="177" fontId="20" fillId="0" borderId="0"/>
    <xf numFmtId="0" fontId="20" fillId="0" borderId="0"/>
    <xf numFmtId="0" fontId="60" fillId="0" borderId="0"/>
    <xf numFmtId="177"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3" fillId="0" borderId="0"/>
    <xf numFmtId="17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4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20" fillId="0" borderId="0"/>
    <xf numFmtId="0" fontId="20" fillId="0" borderId="0"/>
    <xf numFmtId="0" fontId="62"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62" fillId="0" borderId="0"/>
    <xf numFmtId="0" fontId="20" fillId="0" borderId="0"/>
    <xf numFmtId="0" fontId="20" fillId="0" borderId="0"/>
    <xf numFmtId="0" fontId="62" fillId="0" borderId="0"/>
    <xf numFmtId="0" fontId="20" fillId="0" borderId="0"/>
    <xf numFmtId="0" fontId="20" fillId="0" borderId="0"/>
    <xf numFmtId="0" fontId="62" fillId="0" borderId="0"/>
    <xf numFmtId="0" fontId="20" fillId="0" borderId="0"/>
    <xf numFmtId="0" fontId="20" fillId="0" borderId="0"/>
    <xf numFmtId="0" fontId="62" fillId="0" borderId="0"/>
    <xf numFmtId="0" fontId="3" fillId="0" borderId="0"/>
    <xf numFmtId="0" fontId="62" fillId="0" borderId="0"/>
    <xf numFmtId="0" fontId="62" fillId="0" borderId="0"/>
    <xf numFmtId="0" fontId="62" fillId="0" borderId="0"/>
    <xf numFmtId="0" fontId="62" fillId="0" borderId="0"/>
    <xf numFmtId="0" fontId="62" fillId="0" borderId="0"/>
    <xf numFmtId="0" fontId="62"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62" fillId="0" borderId="0"/>
    <xf numFmtId="0" fontId="62"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xf numFmtId="0" fontId="20" fillId="0" borderId="0">
      <alignment vertical="top"/>
    </xf>
    <xf numFmtId="0" fontId="20" fillId="0" borderId="0">
      <alignment vertical="top"/>
    </xf>
    <xf numFmtId="0" fontId="20"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3" fillId="0" borderId="0"/>
    <xf numFmtId="0" fontId="20" fillId="0" borderId="0">
      <alignment vertical="top"/>
    </xf>
    <xf numFmtId="177" fontId="27" fillId="0" borderId="0"/>
    <xf numFmtId="0" fontId="20" fillId="0" borderId="0">
      <alignment vertical="top"/>
    </xf>
    <xf numFmtId="0" fontId="20"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3" fillId="0" borderId="0"/>
    <xf numFmtId="0" fontId="3" fillId="0" borderId="0"/>
    <xf numFmtId="0" fontId="3" fillId="0" borderId="0"/>
    <xf numFmtId="0" fontId="3" fillId="0" borderId="0"/>
    <xf numFmtId="0" fontId="20" fillId="0" borderId="0">
      <alignment vertical="top"/>
    </xf>
    <xf numFmtId="170" fontId="20" fillId="0" borderId="0"/>
    <xf numFmtId="0" fontId="20" fillId="0" borderId="0">
      <alignment vertical="top"/>
    </xf>
    <xf numFmtId="177" fontId="27" fillId="0" borderId="0"/>
    <xf numFmtId="0" fontId="20" fillId="0" borderId="0"/>
    <xf numFmtId="0" fontId="20" fillId="0" borderId="0"/>
    <xf numFmtId="0" fontId="20" fillId="0" borderId="0"/>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alignment vertical="top"/>
    </xf>
    <xf numFmtId="0" fontId="20" fillId="0" borderId="0">
      <alignment vertical="top"/>
    </xf>
    <xf numFmtId="0" fontId="3" fillId="0" borderId="0"/>
    <xf numFmtId="0" fontId="20"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3" fillId="0" borderId="0"/>
    <xf numFmtId="0" fontId="3"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3" fillId="0" borderId="0"/>
    <xf numFmtId="0" fontId="3" fillId="0" borderId="0"/>
    <xf numFmtId="177" fontId="27"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177" fontId="20" fillId="0" borderId="0"/>
    <xf numFmtId="0" fontId="60" fillId="0" borderId="0"/>
    <xf numFmtId="0" fontId="3" fillId="0" borderId="0"/>
    <xf numFmtId="0" fontId="63" fillId="0" borderId="0"/>
    <xf numFmtId="0" fontId="60" fillId="0" borderId="0"/>
    <xf numFmtId="0" fontId="63" fillId="0" borderId="0"/>
    <xf numFmtId="170" fontId="3" fillId="0" borderId="0"/>
    <xf numFmtId="0" fontId="63" fillId="0" borderId="0"/>
    <xf numFmtId="0" fontId="60" fillId="0" borderId="0"/>
    <xf numFmtId="0" fontId="3" fillId="0" borderId="0"/>
    <xf numFmtId="0" fontId="3" fillId="0" borderId="0"/>
    <xf numFmtId="0" fontId="63" fillId="0" borderId="0"/>
    <xf numFmtId="0" fontId="60" fillId="0" borderId="0"/>
    <xf numFmtId="0" fontId="63" fillId="0" borderId="0"/>
    <xf numFmtId="0" fontId="63" fillId="0" borderId="0"/>
    <xf numFmtId="0" fontId="60" fillId="0" borderId="0"/>
    <xf numFmtId="0" fontId="63" fillId="0" borderId="0"/>
    <xf numFmtId="0" fontId="63" fillId="0" borderId="0"/>
    <xf numFmtId="0" fontId="60" fillId="0" borderId="0"/>
    <xf numFmtId="0" fontId="64" fillId="0" borderId="0"/>
    <xf numFmtId="0" fontId="60" fillId="0" borderId="0"/>
    <xf numFmtId="0" fontId="64" fillId="0" borderId="0"/>
    <xf numFmtId="0" fontId="60" fillId="0" borderId="0"/>
    <xf numFmtId="0" fontId="63" fillId="0" borderId="0"/>
    <xf numFmtId="0" fontId="6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170" fontId="20" fillId="0" borderId="0"/>
    <xf numFmtId="177"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3" fillId="0" borderId="0"/>
    <xf numFmtId="0" fontId="3" fillId="0" borderId="0"/>
    <xf numFmtId="0" fontId="65" fillId="0" borderId="0"/>
    <xf numFmtId="0" fontId="3" fillId="0" borderId="0"/>
    <xf numFmtId="0" fontId="20" fillId="0" borderId="0"/>
    <xf numFmtId="0" fontId="20" fillId="0" borderId="0"/>
    <xf numFmtId="0" fontId="20" fillId="0" borderId="0"/>
    <xf numFmtId="0" fontId="20" fillId="0" borderId="0"/>
    <xf numFmtId="168" fontId="20" fillId="0" borderId="0" applyFont="0" applyFill="0" applyBorder="0" applyAlignment="0" applyProtection="0"/>
    <xf numFmtId="177"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3" fillId="0" borderId="0"/>
    <xf numFmtId="0" fontId="20" fillId="0" borderId="0"/>
    <xf numFmtId="0" fontId="20" fillId="0" borderId="0"/>
    <xf numFmtId="0" fontId="3" fillId="0" borderId="0"/>
    <xf numFmtId="0" fontId="20" fillId="0" borderId="0"/>
    <xf numFmtId="0" fontId="3" fillId="0" borderId="0"/>
    <xf numFmtId="170" fontId="20" fillId="0" borderId="0"/>
    <xf numFmtId="170" fontId="20" fillId="0" borderId="0"/>
    <xf numFmtId="170" fontId="20" fillId="0" borderId="0"/>
    <xf numFmtId="0" fontId="3" fillId="0" borderId="0"/>
    <xf numFmtId="0" fontId="3" fillId="0" borderId="0"/>
    <xf numFmtId="170" fontId="20"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2" fillId="72" borderId="19" applyNumberFormat="0" applyFont="0" applyAlignment="0" applyProtection="0"/>
    <xf numFmtId="0" fontId="20" fillId="72" borderId="19" applyNumberFormat="0" applyFont="0" applyAlignment="0" applyProtection="0"/>
    <xf numFmtId="0" fontId="22" fillId="8" borderId="14" applyNumberFormat="0" applyFont="0" applyAlignment="0" applyProtection="0"/>
    <xf numFmtId="0" fontId="20" fillId="72" borderId="19" applyNumberFormat="0" applyFont="0" applyAlignment="0" applyProtection="0"/>
    <xf numFmtId="0" fontId="22" fillId="8" borderId="14"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0" borderId="0"/>
    <xf numFmtId="0" fontId="3" fillId="0" borderId="0"/>
    <xf numFmtId="0" fontId="3" fillId="8" borderId="14"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0" borderId="0"/>
    <xf numFmtId="0" fontId="3" fillId="0" borderId="0"/>
    <xf numFmtId="0" fontId="3" fillId="8" borderId="14" applyNumberFormat="0" applyFont="0" applyAlignment="0" applyProtection="0"/>
    <xf numFmtId="0" fontId="22"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0" fontId="3" fillId="0" borderId="0"/>
    <xf numFmtId="0" fontId="35" fillId="6" borderId="11" applyNumberFormat="0" applyAlignment="0" applyProtection="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3" fillId="0" borderId="0"/>
    <xf numFmtId="0" fontId="35" fillId="6" borderId="11" applyNumberFormat="0" applyAlignment="0" applyProtection="0"/>
    <xf numFmtId="0" fontId="3" fillId="0" borderId="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3" fillId="0" borderId="0"/>
    <xf numFmtId="0" fontId="3" fillId="0" borderId="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3" fillId="0" borderId="0"/>
    <xf numFmtId="0" fontId="3" fillId="0" borderId="0"/>
    <xf numFmtId="0" fontId="66" fillId="65" borderId="20"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67" fillId="0" borderId="0"/>
    <xf numFmtId="0" fontId="67" fillId="0" borderId="0"/>
    <xf numFmtId="0" fontId="67" fillId="0" borderId="0"/>
    <xf numFmtId="0" fontId="3" fillId="0" borderId="0"/>
    <xf numFmtId="0" fontId="3" fillId="0" borderId="0"/>
    <xf numFmtId="0" fontId="67" fillId="0" borderId="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68" fillId="0" borderId="0" applyNumberFormat="0" applyFill="0" applyBorder="0" applyAlignment="0" applyProtection="0"/>
    <xf numFmtId="0" fontId="39" fillId="0" borderId="0" applyNumberFormat="0" applyFill="0" applyBorder="0" applyAlignment="0" applyProtection="0"/>
    <xf numFmtId="0" fontId="68" fillId="0" borderId="0" applyNumberFormat="0" applyFill="0" applyBorder="0" applyAlignment="0" applyProtection="0"/>
    <xf numFmtId="0" fontId="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 fillId="0" borderId="0"/>
    <xf numFmtId="0" fontId="40"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3" fillId="0" borderId="0"/>
    <xf numFmtId="0" fontId="40" fillId="0" borderId="0" applyNumberFormat="0" applyFill="0" applyBorder="0" applyAlignment="0" applyProtection="0"/>
    <xf numFmtId="0" fontId="3" fillId="0" borderId="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3" fillId="0" borderId="0"/>
    <xf numFmtId="0" fontId="3" fillId="0" borderId="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3" fillId="0" borderId="0"/>
    <xf numFmtId="0" fontId="3" fillId="0" borderId="0"/>
    <xf numFmtId="0" fontId="69"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3" fillId="0" borderId="0"/>
    <xf numFmtId="0" fontId="29" fillId="0" borderId="7"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3" fillId="0" borderId="0"/>
    <xf numFmtId="0" fontId="3" fillId="0" borderId="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3" fillId="0" borderId="0"/>
    <xf numFmtId="0" fontId="3" fillId="0" borderId="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3" fillId="0" borderId="0"/>
    <xf numFmtId="0" fontId="3" fillId="0" borderId="0"/>
    <xf numFmtId="0" fontId="70" fillId="0" borderId="21"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3" fillId="0" borderId="0"/>
    <xf numFmtId="0" fontId="30" fillId="0" borderId="8"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3" fillId="0" borderId="0"/>
    <xf numFmtId="0" fontId="30" fillId="0" borderId="8" applyNumberFormat="0" applyFill="0" applyAlignment="0" applyProtection="0"/>
    <xf numFmtId="0" fontId="3" fillId="0" borderId="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3" fillId="0" borderId="0"/>
    <xf numFmtId="0" fontId="3" fillId="0" borderId="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3" fillId="0" borderId="0"/>
    <xf numFmtId="0" fontId="3" fillId="0" borderId="0"/>
    <xf numFmtId="0" fontId="71" fillId="0" borderId="22"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1" fillId="0" borderId="9"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3" fillId="0" borderId="0"/>
    <xf numFmtId="0" fontId="31" fillId="0" borderId="9" applyNumberFormat="0" applyFill="0" applyAlignment="0" applyProtection="0"/>
    <xf numFmtId="0" fontId="3" fillId="0" borderId="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3" fillId="0" borderId="0"/>
    <xf numFmtId="0" fontId="3" fillId="0" borderId="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3" fillId="0" borderId="0"/>
    <xf numFmtId="0" fontId="3" fillId="0" borderId="0"/>
    <xf numFmtId="0" fontId="52" fillId="0" borderId="23"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3" fillId="0" borderId="0"/>
    <xf numFmtId="0" fontId="44" fillId="0" borderId="0" applyNumberFormat="0" applyFill="0" applyBorder="0" applyAlignment="0" applyProtection="0"/>
    <xf numFmtId="0" fontId="3"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3" fillId="0" borderId="0"/>
    <xf numFmtId="0" fontId="44" fillId="0" borderId="0" applyNumberFormat="0" applyFill="0" applyBorder="0" applyAlignment="0" applyProtection="0"/>
    <xf numFmtId="0" fontId="3"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3" fillId="0" borderId="0"/>
    <xf numFmtId="0" fontId="3" fillId="0" borderId="0"/>
    <xf numFmtId="0" fontId="72"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3" fillId="0" borderId="0"/>
    <xf numFmtId="0" fontId="3" fillId="0" borderId="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3" fillId="0" borderId="0"/>
    <xf numFmtId="0" fontId="3" fillId="0" borderId="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3" fillId="0" borderId="0"/>
    <xf numFmtId="0" fontId="3" fillId="0" borderId="0"/>
    <xf numFmtId="0" fontId="73" fillId="0" borderId="24"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3" fillId="0" borderId="0"/>
    <xf numFmtId="0" fontId="3" fillId="0" borderId="0"/>
    <xf numFmtId="0" fontId="41" fillId="0" borderId="15"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74" fillId="2" borderId="0" applyNumberFormat="0" applyBorder="0" applyAlignment="0" applyProtection="0"/>
    <xf numFmtId="0" fontId="75" fillId="3" borderId="0" applyNumberFormat="0" applyBorder="0" applyAlignment="0" applyProtection="0"/>
    <xf numFmtId="0" fontId="47" fillId="73" borderId="0" applyNumberFormat="0" applyBorder="0" applyAlignment="0" applyProtection="0"/>
    <xf numFmtId="0" fontId="47" fillId="74" borderId="0" applyNumberFormat="0" applyBorder="0" applyAlignment="0" applyProtection="0"/>
    <xf numFmtId="0" fontId="47" fillId="75" borderId="0" applyNumberFormat="0" applyBorder="0" applyAlignment="0" applyProtection="0"/>
    <xf numFmtId="0" fontId="47" fillId="76" borderId="0" applyNumberFormat="0" applyBorder="0" applyAlignment="0" applyProtection="0"/>
    <xf numFmtId="0" fontId="47" fillId="77" borderId="0" applyNumberFormat="0" applyBorder="0" applyAlignment="0" applyProtection="0"/>
    <xf numFmtId="0" fontId="47" fillId="78" borderId="0" applyNumberFormat="0" applyBorder="0" applyAlignment="0" applyProtection="0"/>
    <xf numFmtId="0" fontId="76" fillId="0" borderId="0" applyNumberFormat="0" applyFill="0" applyBorder="0" applyAlignment="0" applyProtection="0"/>
    <xf numFmtId="0" fontId="77" fillId="0" borderId="25" applyNumberFormat="0" applyFill="0" applyAlignment="0" applyProtection="0"/>
    <xf numFmtId="0" fontId="78" fillId="0" borderId="26" applyNumberFormat="0" applyFill="0" applyAlignment="0" applyProtection="0"/>
    <xf numFmtId="0" fontId="79" fillId="0" borderId="27" applyNumberFormat="0" applyFill="0" applyAlignment="0" applyProtection="0"/>
    <xf numFmtId="0" fontId="79" fillId="0" borderId="0" applyNumberFormat="0" applyFill="0" applyBorder="0" applyAlignment="0" applyProtection="0"/>
    <xf numFmtId="0" fontId="80" fillId="7" borderId="13" applyNumberFormat="0" applyAlignment="0" applyProtection="0"/>
    <xf numFmtId="0" fontId="81" fillId="0" borderId="28" applyNumberFormat="0" applyFill="0" applyAlignment="0" applyProtection="0"/>
    <xf numFmtId="0" fontId="45" fillId="8" borderId="14" applyNumberFormat="0" applyFont="0" applyAlignment="0" applyProtection="0"/>
    <xf numFmtId="0" fontId="82" fillId="0" borderId="0" applyNumberFormat="0" applyFill="0" applyBorder="0" applyAlignment="0" applyProtection="0"/>
    <xf numFmtId="0" fontId="83" fillId="0" borderId="0" applyNumberFormat="0" applyFill="0" applyBorder="0" applyAlignment="0" applyProtection="0"/>
    <xf numFmtId="0" fontId="84" fillId="6" borderId="10" applyNumberFormat="0" applyAlignment="0" applyProtection="0"/>
    <xf numFmtId="0" fontId="85" fillId="5" borderId="10" applyNumberFormat="0" applyAlignment="0" applyProtection="0"/>
    <xf numFmtId="0" fontId="86" fillId="6" borderId="11" applyNumberFormat="0" applyAlignment="0" applyProtection="0"/>
    <xf numFmtId="0" fontId="87" fillId="4" borderId="0" applyNumberFormat="0" applyBorder="0" applyAlignment="0" applyProtection="0"/>
    <xf numFmtId="0" fontId="88" fillId="0" borderId="12" applyNumberFormat="0" applyFill="0" applyAlignment="0" applyProtection="0"/>
    <xf numFmtId="0" fontId="25" fillId="0" borderId="0"/>
    <xf numFmtId="0" fontId="89" fillId="0" borderId="0"/>
    <xf numFmtId="0" fontId="89" fillId="0" borderId="0"/>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64">
    <xf numFmtId="0" fontId="0" fillId="0" borderId="0" xfId="0"/>
    <xf numFmtId="0" fontId="20" fillId="0" borderId="0" xfId="0" applyFont="1"/>
    <xf numFmtId="0" fontId="28" fillId="0" borderId="0" xfId="0" applyFont="1"/>
    <xf numFmtId="169" fontId="28" fillId="0" borderId="0" xfId="0" applyNumberFormat="1" applyFont="1"/>
    <xf numFmtId="0" fontId="91" fillId="0" borderId="0" xfId="0" applyFont="1"/>
    <xf numFmtId="0" fontId="92" fillId="0" borderId="1" xfId="71" applyFont="1" applyBorder="1" applyProtection="1">
      <protection locked="0"/>
    </xf>
    <xf numFmtId="0" fontId="92" fillId="0" borderId="1" xfId="71" applyFont="1" applyBorder="1"/>
    <xf numFmtId="169" fontId="92" fillId="0" borderId="1" xfId="71" applyNumberFormat="1" applyFont="1" applyBorder="1" applyAlignment="1">
      <alignment vertical="center"/>
    </xf>
    <xf numFmtId="0" fontId="93" fillId="0" borderId="1" xfId="0" applyFont="1" applyBorder="1"/>
    <xf numFmtId="0" fontId="93" fillId="0" borderId="1" xfId="0" applyFont="1" applyBorder="1" applyAlignment="1">
      <alignment horizontal="center"/>
    </xf>
    <xf numFmtId="181" fontId="93" fillId="0" borderId="1" xfId="0" applyNumberFormat="1" applyFont="1" applyBorder="1" applyAlignment="1">
      <alignment horizontal="center"/>
    </xf>
    <xf numFmtId="169" fontId="93" fillId="0" borderId="1" xfId="5" applyNumberFormat="1" applyFont="1" applyBorder="1"/>
    <xf numFmtId="169" fontId="93" fillId="0" borderId="1" xfId="5" applyNumberFormat="1" applyFont="1" applyFill="1" applyBorder="1"/>
    <xf numFmtId="169" fontId="91" fillId="0" borderId="0" xfId="0" applyNumberFormat="1" applyFont="1"/>
    <xf numFmtId="169" fontId="90" fillId="0" borderId="1" xfId="5" applyNumberFormat="1" applyFont="1" applyBorder="1"/>
    <xf numFmtId="6" fontId="94" fillId="0" borderId="0" xfId="0" applyNumberFormat="1" applyFont="1"/>
    <xf numFmtId="0" fontId="96" fillId="0" borderId="1" xfId="0" applyFont="1" applyBorder="1" applyAlignment="1">
      <alignment vertical="center"/>
    </xf>
    <xf numFmtId="0" fontId="96" fillId="0" borderId="5" xfId="0" applyFont="1" applyBorder="1" applyAlignment="1">
      <alignment vertical="center"/>
    </xf>
    <xf numFmtId="0" fontId="96" fillId="0" borderId="0" xfId="0" applyFont="1" applyAlignment="1">
      <alignment vertical="center"/>
    </xf>
    <xf numFmtId="169" fontId="92" fillId="0" borderId="0" xfId="31" applyNumberFormat="1" applyFont="1" applyAlignment="1">
      <alignment horizontal="center" vertical="center"/>
    </xf>
    <xf numFmtId="0" fontId="97" fillId="0" borderId="1" xfId="39209" applyFont="1" applyBorder="1"/>
    <xf numFmtId="0" fontId="2" fillId="0" borderId="0" xfId="39209"/>
    <xf numFmtId="165" fontId="90" fillId="79" borderId="1" xfId="31" applyFont="1" applyFill="1" applyBorder="1" applyAlignment="1">
      <alignment horizontal="center" vertical="center"/>
    </xf>
    <xf numFmtId="0" fontId="90" fillId="79" borderId="1" xfId="0" applyFont="1" applyFill="1" applyBorder="1" applyAlignment="1">
      <alignment horizontal="center"/>
    </xf>
    <xf numFmtId="0" fontId="90" fillId="79" borderId="1" xfId="0" applyFont="1" applyFill="1" applyBorder="1"/>
    <xf numFmtId="165" fontId="90" fillId="79" borderId="1" xfId="5" applyFont="1" applyFill="1" applyBorder="1"/>
    <xf numFmtId="169" fontId="90" fillId="79" borderId="1" xfId="5" applyNumberFormat="1" applyFont="1" applyFill="1" applyBorder="1"/>
    <xf numFmtId="0" fontId="90" fillId="79" borderId="1" xfId="71" applyFont="1" applyFill="1" applyBorder="1" applyAlignment="1">
      <alignment horizontal="center"/>
    </xf>
    <xf numFmtId="174" fontId="90" fillId="79" borderId="1" xfId="71" applyNumberFormat="1" applyFont="1" applyFill="1" applyBorder="1" applyAlignment="1">
      <alignment horizontal="center" vertical="center"/>
    </xf>
    <xf numFmtId="174" fontId="90" fillId="79" borderId="3" xfId="71" applyNumberFormat="1" applyFont="1" applyFill="1" applyBorder="1" applyAlignment="1">
      <alignment horizontal="center" vertical="center"/>
    </xf>
    <xf numFmtId="174" fontId="90" fillId="79" borderId="4" xfId="71" applyNumberFormat="1" applyFont="1" applyFill="1" applyBorder="1" applyAlignment="1">
      <alignment horizontal="center" vertical="center"/>
    </xf>
    <xf numFmtId="0" fontId="96" fillId="0" borderId="33" xfId="0" applyFont="1" applyBorder="1"/>
    <xf numFmtId="0" fontId="98" fillId="80" borderId="1" xfId="0" applyFont="1" applyFill="1" applyBorder="1" applyAlignment="1">
      <alignment wrapText="1"/>
    </xf>
    <xf numFmtId="0" fontId="98" fillId="80" borderId="4" xfId="0" applyFont="1" applyFill="1" applyBorder="1" applyAlignment="1">
      <alignment wrapText="1"/>
    </xf>
    <xf numFmtId="0" fontId="98" fillId="81" borderId="4" xfId="0" applyFont="1" applyFill="1" applyBorder="1" applyAlignment="1">
      <alignment wrapText="1"/>
    </xf>
    <xf numFmtId="0" fontId="99" fillId="0" borderId="30" xfId="0" applyFont="1" applyBorder="1"/>
    <xf numFmtId="0" fontId="99" fillId="82" borderId="29" xfId="0" applyFont="1" applyFill="1" applyBorder="1"/>
    <xf numFmtId="0" fontId="99" fillId="0" borderId="29" xfId="0" applyFont="1" applyBorder="1"/>
    <xf numFmtId="0" fontId="100" fillId="0" borderId="29" xfId="0" applyFont="1" applyBorder="1"/>
    <xf numFmtId="0" fontId="99" fillId="83" borderId="29" xfId="0" applyFont="1" applyFill="1" applyBorder="1"/>
    <xf numFmtId="0" fontId="101" fillId="0" borderId="1" xfId="0" applyFont="1" applyBorder="1"/>
    <xf numFmtId="0" fontId="101" fillId="0" borderId="4" xfId="0" applyFont="1" applyBorder="1"/>
    <xf numFmtId="0" fontId="101" fillId="0" borderId="30" xfId="0" applyFont="1" applyBorder="1"/>
    <xf numFmtId="0" fontId="101" fillId="0" borderId="29" xfId="0" applyFont="1" applyBorder="1"/>
    <xf numFmtId="0" fontId="0" fillId="0" borderId="0" xfId="0" pivotButton="1"/>
    <xf numFmtId="10" fontId="0" fillId="0" borderId="0" xfId="0" applyNumberFormat="1"/>
    <xf numFmtId="182" fontId="0" fillId="0" borderId="0" xfId="0" applyNumberFormat="1"/>
    <xf numFmtId="0" fontId="0" fillId="86" borderId="0" xfId="0" applyFill="1"/>
    <xf numFmtId="174" fontId="90" fillId="79" borderId="30" xfId="71" applyNumberFormat="1" applyFont="1" applyFill="1" applyBorder="1" applyAlignment="1">
      <alignment horizontal="center" vertical="center"/>
    </xf>
    <xf numFmtId="0" fontId="102" fillId="0" borderId="32" xfId="0" applyFont="1" applyBorder="1"/>
    <xf numFmtId="0" fontId="92" fillId="0" borderId="3" xfId="71" applyFont="1" applyBorder="1" applyAlignment="1" applyProtection="1">
      <alignment horizontal="center" vertical="center"/>
      <protection locked="0"/>
    </xf>
    <xf numFmtId="169" fontId="92" fillId="0" borderId="4" xfId="71" applyNumberFormat="1" applyFont="1" applyBorder="1" applyAlignment="1">
      <alignment vertical="center"/>
    </xf>
    <xf numFmtId="0" fontId="90" fillId="79" borderId="31" xfId="71" applyFont="1" applyFill="1" applyBorder="1" applyAlignment="1">
      <alignment horizontal="center"/>
    </xf>
    <xf numFmtId="10" fontId="28" fillId="86" borderId="0" xfId="0" applyNumberFormat="1" applyFont="1" applyFill="1" applyAlignment="1">
      <alignment horizontal="center"/>
    </xf>
    <xf numFmtId="169" fontId="92" fillId="87" borderId="1" xfId="31" applyNumberFormat="1" applyFont="1" applyFill="1" applyBorder="1" applyAlignment="1">
      <alignment horizontal="center" vertical="center"/>
    </xf>
    <xf numFmtId="169" fontId="92" fillId="87" borderId="1" xfId="32" applyNumberFormat="1" applyFont="1" applyFill="1" applyBorder="1" applyAlignment="1">
      <alignment horizontal="center"/>
    </xf>
    <xf numFmtId="0" fontId="91" fillId="0" borderId="1" xfId="0" applyFont="1" applyBorder="1"/>
    <xf numFmtId="0" fontId="95" fillId="84" borderId="1" xfId="0" applyFont="1" applyFill="1" applyBorder="1" applyAlignment="1" applyProtection="1">
      <alignment horizontal="center" vertical="center" wrapText="1"/>
      <protection locked="0"/>
    </xf>
    <xf numFmtId="0" fontId="95" fillId="84" borderId="31" xfId="0" applyFont="1" applyFill="1" applyBorder="1" applyAlignment="1" applyProtection="1">
      <alignment horizontal="center" vertical="center" wrapText="1"/>
      <protection locked="0"/>
    </xf>
    <xf numFmtId="14" fontId="95" fillId="84" borderId="1" xfId="0" applyNumberFormat="1" applyFont="1" applyFill="1" applyBorder="1" applyAlignment="1" applyProtection="1">
      <alignment horizontal="center" vertical="center" wrapText="1"/>
      <protection locked="0"/>
    </xf>
    <xf numFmtId="0" fontId="95" fillId="84" borderId="1" xfId="0" applyFont="1" applyFill="1" applyBorder="1" applyAlignment="1">
      <alignment horizontal="center" vertical="center" wrapText="1"/>
    </xf>
    <xf numFmtId="171" fontId="95" fillId="84" borderId="1" xfId="0" applyNumberFormat="1" applyFont="1" applyFill="1" applyBorder="1" applyAlignment="1">
      <alignment horizontal="center" vertical="center" wrapText="1"/>
    </xf>
    <xf numFmtId="171" fontId="95" fillId="84" borderId="1" xfId="0" applyNumberFormat="1" applyFont="1" applyFill="1" applyBorder="1" applyAlignment="1" applyProtection="1">
      <alignment horizontal="center" vertical="center" wrapText="1"/>
      <protection locked="0"/>
    </xf>
    <xf numFmtId="0" fontId="95" fillId="84" borderId="1" xfId="68" applyFont="1" applyFill="1" applyBorder="1" applyAlignment="1">
      <alignment horizontal="center" vertical="center" wrapText="1"/>
    </xf>
    <xf numFmtId="0" fontId="91" fillId="0" borderId="1" xfId="0" applyFont="1" applyBorder="1" applyAlignment="1">
      <alignment horizontal="center"/>
    </xf>
    <xf numFmtId="182" fontId="91" fillId="0" borderId="1" xfId="5" applyNumberFormat="1" applyFont="1" applyFill="1" applyBorder="1" applyAlignment="1">
      <alignment horizontal="center" vertical="center"/>
    </xf>
    <xf numFmtId="169" fontId="90" fillId="0" borderId="30" xfId="5" applyNumberFormat="1" applyFont="1" applyBorder="1" applyAlignment="1">
      <alignment horizontal="center" vertical="center"/>
    </xf>
    <xf numFmtId="0" fontId="91" fillId="0" borderId="0" xfId="0" applyFont="1" applyAlignment="1">
      <alignment horizontal="center"/>
    </xf>
    <xf numFmtId="0" fontId="91" fillId="0" borderId="31" xfId="0" applyFont="1" applyBorder="1" applyAlignment="1" applyProtection="1">
      <alignment horizontal="center" vertical="center"/>
      <protection locked="0"/>
    </xf>
    <xf numFmtId="0" fontId="91" fillId="0" borderId="31" xfId="0" applyFont="1" applyBorder="1" applyAlignment="1">
      <alignment horizontal="center"/>
    </xf>
    <xf numFmtId="1" fontId="91" fillId="0" borderId="31" xfId="0" applyNumberFormat="1" applyFont="1" applyBorder="1" applyAlignment="1">
      <alignment horizontal="center"/>
    </xf>
    <xf numFmtId="0" fontId="91" fillId="85" borderId="31" xfId="0" applyFont="1" applyFill="1" applyBorder="1" applyAlignment="1" applyProtection="1">
      <alignment horizontal="center"/>
      <protection locked="0"/>
    </xf>
    <xf numFmtId="0" fontId="91" fillId="0" borderId="1" xfId="0" applyFont="1" applyBorder="1" applyAlignment="1">
      <alignment horizontal="center" vertical="center"/>
    </xf>
    <xf numFmtId="0" fontId="91" fillId="0" borderId="1" xfId="0" applyFont="1" applyBorder="1" applyAlignment="1">
      <alignment vertical="center"/>
    </xf>
    <xf numFmtId="173" fontId="91" fillId="0" borderId="1" xfId="5" applyNumberFormat="1" applyFont="1" applyFill="1" applyBorder="1" applyAlignment="1">
      <alignment horizontal="center" vertical="center"/>
    </xf>
    <xf numFmtId="173" fontId="91" fillId="0" borderId="1" xfId="0" applyNumberFormat="1" applyFont="1" applyBorder="1" applyAlignment="1">
      <alignment horizontal="center" vertical="center"/>
    </xf>
    <xf numFmtId="173" fontId="95" fillId="84" borderId="1" xfId="5" applyNumberFormat="1" applyFont="1" applyFill="1" applyBorder="1" applyAlignment="1">
      <alignment vertical="center" wrapText="1"/>
    </xf>
    <xf numFmtId="0" fontId="91" fillId="0" borderId="1" xfId="0" applyFont="1" applyBorder="1" applyAlignment="1" applyProtection="1">
      <alignment vertical="center"/>
      <protection locked="0"/>
    </xf>
    <xf numFmtId="173" fontId="91" fillId="0" borderId="1" xfId="5" applyNumberFormat="1" applyFont="1" applyFill="1" applyBorder="1" applyAlignment="1">
      <alignment vertical="center"/>
    </xf>
    <xf numFmtId="173" fontId="95" fillId="84" borderId="3" xfId="5" applyNumberFormat="1" applyFont="1" applyFill="1" applyBorder="1" applyAlignment="1">
      <alignment vertical="center" wrapText="1"/>
    </xf>
    <xf numFmtId="173" fontId="91" fillId="0" borderId="3" xfId="0" applyNumberFormat="1" applyFont="1" applyBorder="1" applyAlignment="1">
      <alignment vertical="center"/>
    </xf>
    <xf numFmtId="22" fontId="95" fillId="84" borderId="1" xfId="68" applyNumberFormat="1" applyFont="1" applyFill="1" applyBorder="1" applyAlignment="1">
      <alignment horizontal="center" vertical="center" wrapText="1"/>
    </xf>
    <xf numFmtId="0" fontId="95" fillId="84" borderId="31" xfId="68" applyFont="1" applyFill="1" applyBorder="1" applyAlignment="1">
      <alignment horizontal="center" vertical="center" wrapText="1"/>
    </xf>
    <xf numFmtId="165" fontId="95" fillId="84" borderId="1" xfId="5" applyFont="1" applyFill="1" applyBorder="1" applyAlignment="1" applyProtection="1">
      <alignment horizontal="left" vertical="center" wrapText="1"/>
      <protection locked="0"/>
    </xf>
    <xf numFmtId="0" fontId="91" fillId="0" borderId="0" xfId="0" applyFont="1" applyAlignment="1">
      <alignment horizontal="left" vertical="center"/>
    </xf>
    <xf numFmtId="0" fontId="91" fillId="0" borderId="32" xfId="0" applyFont="1" applyBorder="1" applyAlignment="1">
      <alignment vertical="center"/>
    </xf>
    <xf numFmtId="0" fontId="91" fillId="0" borderId="32" xfId="0" applyFont="1" applyBorder="1" applyAlignment="1">
      <alignment horizontal="center" vertical="center"/>
    </xf>
    <xf numFmtId="0" fontId="104" fillId="0" borderId="0" xfId="0" applyFont="1"/>
    <xf numFmtId="14" fontId="104" fillId="0" borderId="0" xfId="0" applyNumberFormat="1" applyFont="1"/>
    <xf numFmtId="0" fontId="105" fillId="0" borderId="0" xfId="0" applyFont="1"/>
    <xf numFmtId="0" fontId="104" fillId="0" borderId="0" xfId="0" applyFont="1" applyAlignment="1">
      <alignment horizontal="right"/>
    </xf>
    <xf numFmtId="0" fontId="104" fillId="0" borderId="0" xfId="0" applyFont="1" applyAlignment="1">
      <alignment horizontal="center" vertical="center"/>
    </xf>
    <xf numFmtId="0" fontId="106" fillId="0" borderId="31" xfId="0" applyFont="1" applyBorder="1" applyAlignment="1">
      <alignment horizontal="left"/>
    </xf>
    <xf numFmtId="0" fontId="106" fillId="0" borderId="31" xfId="0" applyFont="1" applyBorder="1" applyAlignment="1" applyProtection="1">
      <alignment horizontal="left" vertical="center"/>
      <protection locked="0"/>
    </xf>
    <xf numFmtId="0" fontId="106" fillId="0" borderId="31" xfId="0" applyFont="1" applyBorder="1" applyAlignment="1" applyProtection="1">
      <alignment horizontal="left"/>
      <protection locked="0"/>
    </xf>
    <xf numFmtId="0" fontId="106" fillId="0" borderId="34" xfId="0" applyFont="1" applyBorder="1" applyAlignment="1" applyProtection="1">
      <alignment horizontal="left"/>
      <protection locked="0"/>
    </xf>
    <xf numFmtId="183" fontId="106" fillId="0" borderId="31" xfId="0" applyNumberFormat="1" applyFont="1" applyBorder="1" applyAlignment="1" applyProtection="1">
      <alignment horizontal="left" vertical="center"/>
      <protection locked="0"/>
    </xf>
    <xf numFmtId="14" fontId="106" fillId="0" borderId="31" xfId="0" applyNumberFormat="1" applyFont="1" applyBorder="1" applyAlignment="1" applyProtection="1">
      <alignment horizontal="left" vertical="center"/>
      <protection locked="0"/>
    </xf>
    <xf numFmtId="0" fontId="106" fillId="0" borderId="1" xfId="0" applyFont="1" applyBorder="1" applyAlignment="1">
      <alignment horizontal="left"/>
    </xf>
    <xf numFmtId="1" fontId="106" fillId="0" borderId="31" xfId="0" applyNumberFormat="1" applyFont="1" applyBorder="1" applyAlignment="1">
      <alignment horizontal="left"/>
    </xf>
    <xf numFmtId="0" fontId="106" fillId="0" borderId="1" xfId="0" applyFont="1" applyBorder="1" applyAlignment="1" applyProtection="1">
      <alignment horizontal="left"/>
      <protection locked="0"/>
    </xf>
    <xf numFmtId="0" fontId="105" fillId="0" borderId="0" xfId="0" applyFont="1" applyAlignment="1">
      <alignment horizontal="center" vertical="center"/>
    </xf>
    <xf numFmtId="173" fontId="103" fillId="0" borderId="35" xfId="0" applyNumberFormat="1" applyFont="1" applyBorder="1" applyAlignment="1">
      <alignment horizontal="center" vertical="center"/>
    </xf>
    <xf numFmtId="0" fontId="20" fillId="0" borderId="0" xfId="0" applyFont="1" applyAlignment="1">
      <alignment horizontal="center" vertical="center"/>
    </xf>
    <xf numFmtId="0" fontId="107" fillId="0" borderId="1" xfId="0" applyFont="1" applyBorder="1" applyAlignment="1">
      <alignment horizontal="center"/>
    </xf>
    <xf numFmtId="22" fontId="107" fillId="0" borderId="1" xfId="0" applyNumberFormat="1" applyFont="1" applyBorder="1" applyAlignment="1">
      <alignment horizontal="center"/>
    </xf>
    <xf numFmtId="0" fontId="107" fillId="0" borderId="3" xfId="0" applyFont="1" applyBorder="1" applyAlignment="1">
      <alignment horizontal="center" vertical="center"/>
    </xf>
    <xf numFmtId="0" fontId="107" fillId="0" borderId="1" xfId="0" applyFont="1" applyBorder="1" applyAlignment="1">
      <alignment horizontal="center" vertical="center"/>
    </xf>
    <xf numFmtId="0" fontId="107" fillId="0" borderId="32" xfId="0" applyFont="1" applyBorder="1" applyAlignment="1">
      <alignment horizontal="center"/>
    </xf>
    <xf numFmtId="0" fontId="107" fillId="0" borderId="32" xfId="0" applyFont="1" applyBorder="1" applyAlignment="1">
      <alignment horizontal="center" vertical="center"/>
    </xf>
    <xf numFmtId="0" fontId="107" fillId="0" borderId="4" xfId="0" applyFont="1" applyBorder="1" applyAlignment="1">
      <alignment horizontal="center" vertical="center"/>
    </xf>
    <xf numFmtId="22" fontId="107" fillId="0" borderId="1" xfId="0" applyNumberFormat="1" applyFont="1" applyBorder="1" applyAlignment="1">
      <alignment horizontal="center" vertical="center"/>
    </xf>
    <xf numFmtId="173" fontId="108" fillId="0" borderId="1" xfId="0" applyNumberFormat="1" applyFont="1" applyBorder="1" applyAlignment="1">
      <alignment horizontal="center" vertical="center"/>
    </xf>
    <xf numFmtId="22" fontId="107" fillId="0" borderId="32" xfId="0" applyNumberFormat="1" applyFont="1" applyBorder="1" applyAlignment="1">
      <alignment horizontal="center" vertical="center"/>
    </xf>
    <xf numFmtId="49" fontId="107" fillId="0" borderId="32" xfId="0" applyNumberFormat="1" applyFont="1" applyBorder="1" applyAlignment="1">
      <alignment horizontal="center" vertical="center"/>
    </xf>
    <xf numFmtId="0" fontId="106" fillId="0" borderId="1" xfId="0" applyFont="1" applyBorder="1"/>
    <xf numFmtId="184" fontId="106" fillId="0" borderId="1" xfId="0" applyNumberFormat="1" applyFont="1" applyBorder="1" applyAlignment="1" applyProtection="1">
      <alignment horizontal="left" vertical="center"/>
      <protection locked="0"/>
    </xf>
    <xf numFmtId="0" fontId="106" fillId="0" borderId="1" xfId="0" applyFont="1" applyBorder="1" applyAlignment="1" applyProtection="1">
      <alignment horizontal="left" vertical="center"/>
      <protection locked="0"/>
    </xf>
    <xf numFmtId="0" fontId="90" fillId="79" borderId="3" xfId="71" applyFont="1" applyFill="1" applyBorder="1" applyAlignment="1">
      <alignment horizontal="center"/>
    </xf>
    <xf numFmtId="0" fontId="90" fillId="79" borderId="6" xfId="71" applyFont="1" applyFill="1" applyBorder="1" applyAlignment="1">
      <alignment horizontal="center"/>
    </xf>
    <xf numFmtId="0" fontId="90" fillId="79" borderId="4" xfId="71" applyFont="1" applyFill="1" applyBorder="1" applyAlignment="1">
      <alignment horizontal="center"/>
    </xf>
    <xf numFmtId="17" fontId="90" fillId="79" borderId="3" xfId="71" applyNumberFormat="1" applyFont="1" applyFill="1" applyBorder="1" applyAlignment="1" applyProtection="1">
      <alignment horizontal="center"/>
      <protection locked="0"/>
    </xf>
    <xf numFmtId="17" fontId="90" fillId="79" borderId="6" xfId="71" applyNumberFormat="1" applyFont="1" applyFill="1" applyBorder="1" applyAlignment="1" applyProtection="1">
      <alignment horizontal="center"/>
      <protection locked="0"/>
    </xf>
    <xf numFmtId="17" fontId="90" fillId="79" borderId="4" xfId="71" applyNumberFormat="1" applyFont="1" applyFill="1" applyBorder="1" applyAlignment="1" applyProtection="1">
      <alignment horizontal="center"/>
      <protection locked="0"/>
    </xf>
    <xf numFmtId="165" fontId="90" fillId="0" borderId="3" xfId="6" applyFont="1" applyBorder="1" applyAlignment="1">
      <alignment horizontal="right" indent="1"/>
    </xf>
    <xf numFmtId="165" fontId="90" fillId="0" borderId="6" xfId="6" applyFont="1" applyBorder="1" applyAlignment="1">
      <alignment horizontal="right" indent="1"/>
    </xf>
    <xf numFmtId="165" fontId="90" fillId="0" borderId="4" xfId="6" applyFont="1" applyBorder="1" applyAlignment="1">
      <alignment horizontal="right" indent="1"/>
    </xf>
    <xf numFmtId="165" fontId="90" fillId="79" borderId="3" xfId="6" applyFont="1" applyFill="1" applyBorder="1" applyAlignment="1">
      <alignment horizontal="right"/>
    </xf>
    <xf numFmtId="165" fontId="90" fillId="79" borderId="6" xfId="6" applyFont="1" applyFill="1" applyBorder="1" applyAlignment="1">
      <alignment horizontal="right"/>
    </xf>
    <xf numFmtId="165" fontId="90" fillId="79" borderId="4" xfId="6" applyFont="1" applyFill="1" applyBorder="1" applyAlignment="1">
      <alignment horizontal="right"/>
    </xf>
    <xf numFmtId="0" fontId="90" fillId="79" borderId="2" xfId="0" applyFont="1" applyFill="1" applyBorder="1" applyAlignment="1">
      <alignment horizontal="center"/>
    </xf>
    <xf numFmtId="0" fontId="90" fillId="79" borderId="0" xfId="0" applyFont="1" applyFill="1" applyAlignment="1">
      <alignment horizontal="center"/>
    </xf>
    <xf numFmtId="0" fontId="90" fillId="79" borderId="1" xfId="0" applyFont="1" applyFill="1" applyBorder="1" applyAlignment="1">
      <alignment horizontal="center"/>
    </xf>
    <xf numFmtId="17" fontId="90" fillId="79" borderId="1" xfId="0" applyNumberFormat="1" applyFont="1" applyFill="1" applyBorder="1" applyAlignment="1">
      <alignment horizontal="center"/>
    </xf>
    <xf numFmtId="0" fontId="93" fillId="0" borderId="1" xfId="0" applyFont="1" applyBorder="1" applyAlignment="1">
      <alignment horizontal="center"/>
    </xf>
    <xf numFmtId="0" fontId="90" fillId="0" borderId="35" xfId="0" applyFont="1" applyBorder="1" applyAlignment="1">
      <alignment horizontal="right"/>
    </xf>
    <xf numFmtId="0" fontId="90" fillId="0" borderId="36" xfId="0" applyFont="1" applyBorder="1" applyAlignment="1">
      <alignment horizontal="right"/>
    </xf>
    <xf numFmtId="0" fontId="90" fillId="0" borderId="29" xfId="0" applyFont="1" applyBorder="1" applyAlignment="1">
      <alignment horizontal="right"/>
    </xf>
    <xf numFmtId="0" fontId="95" fillId="79" borderId="1" xfId="0" applyFont="1" applyFill="1" applyBorder="1" applyAlignment="1">
      <alignment horizontal="center"/>
    </xf>
    <xf numFmtId="0" fontId="96" fillId="0" borderId="3" xfId="0" applyFont="1" applyBorder="1" applyAlignment="1">
      <alignment horizontal="left" vertical="center" wrapText="1"/>
    </xf>
    <xf numFmtId="0" fontId="96" fillId="0" borderId="6" xfId="0" applyFont="1" applyBorder="1" applyAlignment="1">
      <alignment horizontal="left" vertical="center" wrapText="1"/>
    </xf>
    <xf numFmtId="0" fontId="96" fillId="0" borderId="4" xfId="0" applyFont="1" applyBorder="1" applyAlignment="1">
      <alignment horizontal="left" vertical="center" wrapText="1"/>
    </xf>
    <xf numFmtId="0" fontId="106" fillId="0" borderId="32" xfId="0" applyFont="1" applyBorder="1" applyAlignment="1">
      <alignment horizontal="left"/>
    </xf>
    <xf numFmtId="0" fontId="91" fillId="0" borderId="32" xfId="0" applyFont="1" applyBorder="1" applyAlignment="1">
      <alignment horizontal="center"/>
    </xf>
    <xf numFmtId="0" fontId="106" fillId="0" borderId="32" xfId="0" applyFont="1" applyBorder="1"/>
    <xf numFmtId="183" fontId="106" fillId="0" borderId="32" xfId="0" applyNumberFormat="1" applyFont="1" applyBorder="1" applyAlignment="1" applyProtection="1">
      <alignment horizontal="left" vertical="center"/>
      <protection locked="0"/>
    </xf>
    <xf numFmtId="14" fontId="106" fillId="0" borderId="32" xfId="0" applyNumberFormat="1" applyFont="1" applyBorder="1" applyAlignment="1" applyProtection="1">
      <alignment horizontal="left" vertical="center"/>
      <protection locked="0"/>
    </xf>
    <xf numFmtId="0" fontId="106" fillId="0" borderId="32" xfId="0" applyFont="1" applyBorder="1" applyAlignment="1" applyProtection="1">
      <alignment horizontal="left"/>
      <protection locked="0"/>
    </xf>
    <xf numFmtId="0" fontId="106" fillId="0" borderId="32" xfId="0" applyFont="1" applyBorder="1" applyAlignment="1" applyProtection="1">
      <alignment horizontal="left" vertical="center"/>
      <protection locked="0"/>
    </xf>
    <xf numFmtId="1" fontId="91" fillId="0" borderId="32" xfId="0" applyNumberFormat="1" applyFont="1" applyBorder="1" applyAlignment="1">
      <alignment horizontal="center"/>
    </xf>
    <xf numFmtId="0" fontId="91" fillId="85" borderId="32" xfId="0" applyFont="1" applyFill="1" applyBorder="1" applyAlignment="1" applyProtection="1">
      <alignment horizontal="center"/>
      <protection locked="0"/>
    </xf>
    <xf numFmtId="184" fontId="106" fillId="0" borderId="32" xfId="0" applyNumberFormat="1" applyFont="1" applyBorder="1" applyAlignment="1" applyProtection="1">
      <alignment horizontal="left" vertical="center"/>
      <protection locked="0"/>
    </xf>
    <xf numFmtId="1" fontId="106" fillId="0" borderId="32" xfId="0" applyNumberFormat="1" applyFont="1" applyBorder="1" applyAlignment="1">
      <alignment horizontal="left"/>
    </xf>
    <xf numFmtId="0" fontId="91" fillId="0" borderId="32" xfId="0" applyFont="1" applyBorder="1" applyAlignment="1" applyProtection="1">
      <alignment horizontal="center" vertical="center"/>
      <protection locked="0"/>
    </xf>
    <xf numFmtId="182" fontId="91" fillId="0" borderId="32" xfId="5" applyNumberFormat="1" applyFont="1" applyFill="1" applyBorder="1" applyAlignment="1">
      <alignment horizontal="center" vertical="center"/>
    </xf>
    <xf numFmtId="0" fontId="109" fillId="0" borderId="32" xfId="0" applyFont="1" applyFill="1" applyBorder="1" applyAlignment="1"/>
    <xf numFmtId="0" fontId="110" fillId="0" borderId="32" xfId="0" applyFont="1" applyFill="1" applyBorder="1" applyAlignment="1"/>
    <xf numFmtId="14" fontId="109" fillId="0" borderId="32" xfId="0" applyNumberFormat="1" applyFont="1" applyFill="1" applyBorder="1" applyAlignment="1">
      <alignment horizontal="left" vertical="center"/>
    </xf>
    <xf numFmtId="14" fontId="109" fillId="0" borderId="32" xfId="0" applyNumberFormat="1" applyFont="1" applyFill="1" applyBorder="1" applyAlignment="1">
      <alignment horizontal="left"/>
    </xf>
    <xf numFmtId="0" fontId="109" fillId="0" borderId="32" xfId="0" applyFont="1" applyFill="1" applyBorder="1" applyAlignment="1">
      <alignment horizontal="left"/>
    </xf>
    <xf numFmtId="0" fontId="106" fillId="0" borderId="31" xfId="0" applyFont="1" applyBorder="1"/>
    <xf numFmtId="184" fontId="106" fillId="0" borderId="31" xfId="0" applyNumberFormat="1" applyFont="1" applyBorder="1" applyAlignment="1" applyProtection="1">
      <alignment horizontal="left" vertical="center"/>
      <protection locked="0"/>
    </xf>
    <xf numFmtId="182" fontId="91" fillId="0" borderId="31" xfId="5" applyNumberFormat="1" applyFont="1" applyFill="1" applyBorder="1" applyAlignment="1">
      <alignment horizontal="center" vertical="center"/>
    </xf>
    <xf numFmtId="187" fontId="103" fillId="0" borderId="30" xfId="0" applyNumberFormat="1" applyFont="1" applyBorder="1" applyAlignment="1">
      <alignment horizontal="center" vertical="center"/>
    </xf>
  </cellXfs>
  <cellStyles count="39247">
    <cellStyle name="20% - Accent1" xfId="82" xr:uid="{00000000-0005-0000-0000-000000000000}"/>
    <cellStyle name="20% - Accent1 2" xfId="83" xr:uid="{00000000-0005-0000-0000-000001000000}"/>
    <cellStyle name="20% - Accent1 3" xfId="84" xr:uid="{00000000-0005-0000-0000-000002000000}"/>
    <cellStyle name="20% - Accent1 4" xfId="85" xr:uid="{00000000-0005-0000-0000-000003000000}"/>
    <cellStyle name="20% - Accent1 5" xfId="86" xr:uid="{00000000-0005-0000-0000-000004000000}"/>
    <cellStyle name="20% - Accent2" xfId="87" xr:uid="{00000000-0005-0000-0000-000005000000}"/>
    <cellStyle name="20% - Accent2 2" xfId="88" xr:uid="{00000000-0005-0000-0000-000006000000}"/>
    <cellStyle name="20% - Accent2 3" xfId="89" xr:uid="{00000000-0005-0000-0000-000007000000}"/>
    <cellStyle name="20% - Accent2 4" xfId="90" xr:uid="{00000000-0005-0000-0000-000008000000}"/>
    <cellStyle name="20% - Accent2 5" xfId="91" xr:uid="{00000000-0005-0000-0000-000009000000}"/>
    <cellStyle name="20% - Accent3" xfId="92" xr:uid="{00000000-0005-0000-0000-00000A000000}"/>
    <cellStyle name="20% - Accent3 2" xfId="93" xr:uid="{00000000-0005-0000-0000-00000B000000}"/>
    <cellStyle name="20% - Accent3 3" xfId="94" xr:uid="{00000000-0005-0000-0000-00000C000000}"/>
    <cellStyle name="20% - Accent3 4" xfId="95" xr:uid="{00000000-0005-0000-0000-00000D000000}"/>
    <cellStyle name="20% - Accent3 5" xfId="96" xr:uid="{00000000-0005-0000-0000-00000E000000}"/>
    <cellStyle name="20% - Accent4" xfId="97" xr:uid="{00000000-0005-0000-0000-00000F000000}"/>
    <cellStyle name="20% - Accent4 2" xfId="98" xr:uid="{00000000-0005-0000-0000-000010000000}"/>
    <cellStyle name="20% - Accent4 3" xfId="99" xr:uid="{00000000-0005-0000-0000-000011000000}"/>
    <cellStyle name="20% - Accent4 4" xfId="100" xr:uid="{00000000-0005-0000-0000-000012000000}"/>
    <cellStyle name="20% - Accent4 5" xfId="101" xr:uid="{00000000-0005-0000-0000-000013000000}"/>
    <cellStyle name="20% - Accent5" xfId="102" xr:uid="{00000000-0005-0000-0000-000014000000}"/>
    <cellStyle name="20% - Accent5 2" xfId="103" xr:uid="{00000000-0005-0000-0000-000015000000}"/>
    <cellStyle name="20% - Accent5 3" xfId="104" xr:uid="{00000000-0005-0000-0000-000016000000}"/>
    <cellStyle name="20% - Accent5 4" xfId="105" xr:uid="{00000000-0005-0000-0000-000017000000}"/>
    <cellStyle name="20% - Accent5 5" xfId="106" xr:uid="{00000000-0005-0000-0000-000018000000}"/>
    <cellStyle name="20% - Accent6" xfId="107" xr:uid="{00000000-0005-0000-0000-000019000000}"/>
    <cellStyle name="20% - Accent6 2" xfId="108" xr:uid="{00000000-0005-0000-0000-00001A000000}"/>
    <cellStyle name="20% - Accent6 3" xfId="109" xr:uid="{00000000-0005-0000-0000-00001B000000}"/>
    <cellStyle name="20% - Accent6 4" xfId="110" xr:uid="{00000000-0005-0000-0000-00001C000000}"/>
    <cellStyle name="20% - Accent6 5" xfId="111" xr:uid="{00000000-0005-0000-0000-00001D000000}"/>
    <cellStyle name="20% - Énfasis1 2" xfId="112" xr:uid="{00000000-0005-0000-0000-00001E000000}"/>
    <cellStyle name="20% - Énfasis1 2 2" xfId="113" xr:uid="{00000000-0005-0000-0000-00001F000000}"/>
    <cellStyle name="20% - Énfasis1 3" xfId="114" xr:uid="{00000000-0005-0000-0000-000020000000}"/>
    <cellStyle name="20% - Énfasis1 4" xfId="115" xr:uid="{00000000-0005-0000-0000-000021000000}"/>
    <cellStyle name="20% - Énfasis1 5" xfId="116" xr:uid="{00000000-0005-0000-0000-000022000000}"/>
    <cellStyle name="20% - Énfasis1 6" xfId="117" xr:uid="{00000000-0005-0000-0000-000023000000}"/>
    <cellStyle name="20% - Énfasis1 7" xfId="118" xr:uid="{00000000-0005-0000-0000-000024000000}"/>
    <cellStyle name="20% - Énfasis1 8" xfId="119" xr:uid="{00000000-0005-0000-0000-000025000000}"/>
    <cellStyle name="20% - Énfasis2 2" xfId="120" xr:uid="{00000000-0005-0000-0000-000026000000}"/>
    <cellStyle name="20% - Énfasis2 2 2" xfId="121" xr:uid="{00000000-0005-0000-0000-000027000000}"/>
    <cellStyle name="20% - Énfasis2 3" xfId="122" xr:uid="{00000000-0005-0000-0000-000028000000}"/>
    <cellStyle name="20% - Énfasis2 4" xfId="123" xr:uid="{00000000-0005-0000-0000-000029000000}"/>
    <cellStyle name="20% - Énfasis2 5" xfId="124" xr:uid="{00000000-0005-0000-0000-00002A000000}"/>
    <cellStyle name="20% - Énfasis2 6" xfId="125" xr:uid="{00000000-0005-0000-0000-00002B000000}"/>
    <cellStyle name="20% - Énfasis2 7" xfId="126" xr:uid="{00000000-0005-0000-0000-00002C000000}"/>
    <cellStyle name="20% - Énfasis2 8" xfId="127" xr:uid="{00000000-0005-0000-0000-00002D000000}"/>
    <cellStyle name="20% - Énfasis3 2" xfId="128" xr:uid="{00000000-0005-0000-0000-00002E000000}"/>
    <cellStyle name="20% - Énfasis3 2 2" xfId="129" xr:uid="{00000000-0005-0000-0000-00002F000000}"/>
    <cellStyle name="20% - Énfasis3 3" xfId="130" xr:uid="{00000000-0005-0000-0000-000030000000}"/>
    <cellStyle name="20% - Énfasis3 4" xfId="131" xr:uid="{00000000-0005-0000-0000-000031000000}"/>
    <cellStyle name="20% - Énfasis3 5" xfId="132" xr:uid="{00000000-0005-0000-0000-000032000000}"/>
    <cellStyle name="20% - Énfasis3 6" xfId="133" xr:uid="{00000000-0005-0000-0000-000033000000}"/>
    <cellStyle name="20% - Énfasis3 7" xfId="134" xr:uid="{00000000-0005-0000-0000-000034000000}"/>
    <cellStyle name="20% - Énfasis3 8" xfId="135" xr:uid="{00000000-0005-0000-0000-000035000000}"/>
    <cellStyle name="20% - Énfasis4 2" xfId="136" xr:uid="{00000000-0005-0000-0000-000036000000}"/>
    <cellStyle name="20% - Énfasis4 2 2" xfId="137" xr:uid="{00000000-0005-0000-0000-000037000000}"/>
    <cellStyle name="20% - Énfasis4 3" xfId="138" xr:uid="{00000000-0005-0000-0000-000038000000}"/>
    <cellStyle name="20% - Énfasis4 4" xfId="139" xr:uid="{00000000-0005-0000-0000-000039000000}"/>
    <cellStyle name="20% - Énfasis4 5" xfId="140" xr:uid="{00000000-0005-0000-0000-00003A000000}"/>
    <cellStyle name="20% - Énfasis4 6" xfId="141" xr:uid="{00000000-0005-0000-0000-00003B000000}"/>
    <cellStyle name="20% - Énfasis4 7" xfId="142" xr:uid="{00000000-0005-0000-0000-00003C000000}"/>
    <cellStyle name="20% - Énfasis4 8" xfId="143" xr:uid="{00000000-0005-0000-0000-00003D000000}"/>
    <cellStyle name="20% - Énfasis5 2" xfId="144" xr:uid="{00000000-0005-0000-0000-00003E000000}"/>
    <cellStyle name="20% - Énfasis5 2 2" xfId="145" xr:uid="{00000000-0005-0000-0000-00003F000000}"/>
    <cellStyle name="20% - Énfasis5 3" xfId="146" xr:uid="{00000000-0005-0000-0000-000040000000}"/>
    <cellStyle name="20% - Énfasis5 4" xfId="147" xr:uid="{00000000-0005-0000-0000-000041000000}"/>
    <cellStyle name="20% - Énfasis5 5" xfId="148" xr:uid="{00000000-0005-0000-0000-000042000000}"/>
    <cellStyle name="20% - Énfasis5 6" xfId="149" xr:uid="{00000000-0005-0000-0000-000043000000}"/>
    <cellStyle name="20% - Énfasis5 7" xfId="150" xr:uid="{00000000-0005-0000-0000-000044000000}"/>
    <cellStyle name="20% - Énfasis5 8" xfId="151" xr:uid="{00000000-0005-0000-0000-000045000000}"/>
    <cellStyle name="20% - Énfasis6 2" xfId="152" xr:uid="{00000000-0005-0000-0000-000046000000}"/>
    <cellStyle name="20% - Énfasis6 2 2" xfId="153" xr:uid="{00000000-0005-0000-0000-000047000000}"/>
    <cellStyle name="20% - Énfasis6 3" xfId="154" xr:uid="{00000000-0005-0000-0000-000048000000}"/>
    <cellStyle name="20% - Énfasis6 4" xfId="155" xr:uid="{00000000-0005-0000-0000-000049000000}"/>
    <cellStyle name="20% - Énfasis6 5" xfId="156" xr:uid="{00000000-0005-0000-0000-00004A000000}"/>
    <cellStyle name="20% - Énfasis6 6" xfId="157" xr:uid="{00000000-0005-0000-0000-00004B000000}"/>
    <cellStyle name="20% - Énfasis6 7" xfId="158" xr:uid="{00000000-0005-0000-0000-00004C000000}"/>
    <cellStyle name="20% - Énfasis6 8" xfId="159" xr:uid="{00000000-0005-0000-0000-00004D000000}"/>
    <cellStyle name="20% - 强调文字颜色 1" xfId="160" xr:uid="{00000000-0005-0000-0000-00004E000000}"/>
    <cellStyle name="20% - 强调文字颜色 2" xfId="161" xr:uid="{00000000-0005-0000-0000-00004F000000}"/>
    <cellStyle name="20% - 强调文字颜色 3" xfId="162" xr:uid="{00000000-0005-0000-0000-000050000000}"/>
    <cellStyle name="20% - 强调文字颜色 4" xfId="163" xr:uid="{00000000-0005-0000-0000-000051000000}"/>
    <cellStyle name="20% - 强调文字颜色 5" xfId="164" xr:uid="{00000000-0005-0000-0000-000052000000}"/>
    <cellStyle name="20% - 强调文字颜色 6" xfId="165" xr:uid="{00000000-0005-0000-0000-000053000000}"/>
    <cellStyle name="40% - Accent1" xfId="166" xr:uid="{00000000-0005-0000-0000-000054000000}"/>
    <cellStyle name="40% - Accent1 2" xfId="167" xr:uid="{00000000-0005-0000-0000-000055000000}"/>
    <cellStyle name="40% - Accent1 3" xfId="168" xr:uid="{00000000-0005-0000-0000-000056000000}"/>
    <cellStyle name="40% - Accent1 4" xfId="169" xr:uid="{00000000-0005-0000-0000-000057000000}"/>
    <cellStyle name="40% - Accent1 5" xfId="170" xr:uid="{00000000-0005-0000-0000-000058000000}"/>
    <cellStyle name="40% - Accent2" xfId="171" xr:uid="{00000000-0005-0000-0000-000059000000}"/>
    <cellStyle name="40% - Accent2 2" xfId="172" xr:uid="{00000000-0005-0000-0000-00005A000000}"/>
    <cellStyle name="40% - Accent2 3" xfId="173" xr:uid="{00000000-0005-0000-0000-00005B000000}"/>
    <cellStyle name="40% - Accent2 4" xfId="174" xr:uid="{00000000-0005-0000-0000-00005C000000}"/>
    <cellStyle name="40% - Accent2 5" xfId="175" xr:uid="{00000000-0005-0000-0000-00005D000000}"/>
    <cellStyle name="40% - Accent3" xfId="176" xr:uid="{00000000-0005-0000-0000-00005E000000}"/>
    <cellStyle name="40% - Accent3 2" xfId="177" xr:uid="{00000000-0005-0000-0000-00005F000000}"/>
    <cellStyle name="40% - Accent3 3" xfId="178" xr:uid="{00000000-0005-0000-0000-000060000000}"/>
    <cellStyle name="40% - Accent3 4" xfId="179" xr:uid="{00000000-0005-0000-0000-000061000000}"/>
    <cellStyle name="40% - Accent3 5" xfId="180" xr:uid="{00000000-0005-0000-0000-000062000000}"/>
    <cellStyle name="40% - Accent4" xfId="181" xr:uid="{00000000-0005-0000-0000-000063000000}"/>
    <cellStyle name="40% - Accent4 2" xfId="182" xr:uid="{00000000-0005-0000-0000-000064000000}"/>
    <cellStyle name="40% - Accent4 3" xfId="183" xr:uid="{00000000-0005-0000-0000-000065000000}"/>
    <cellStyle name="40% - Accent4 4" xfId="184" xr:uid="{00000000-0005-0000-0000-000066000000}"/>
    <cellStyle name="40% - Accent4 5" xfId="185" xr:uid="{00000000-0005-0000-0000-000067000000}"/>
    <cellStyle name="40% - Accent5" xfId="186" xr:uid="{00000000-0005-0000-0000-000068000000}"/>
    <cellStyle name="40% - Accent5 2" xfId="187" xr:uid="{00000000-0005-0000-0000-000069000000}"/>
    <cellStyle name="40% - Accent5 3" xfId="188" xr:uid="{00000000-0005-0000-0000-00006A000000}"/>
    <cellStyle name="40% - Accent5 4" xfId="189" xr:uid="{00000000-0005-0000-0000-00006B000000}"/>
    <cellStyle name="40% - Accent5 5" xfId="190" xr:uid="{00000000-0005-0000-0000-00006C000000}"/>
    <cellStyle name="40% - Accent6" xfId="191" xr:uid="{00000000-0005-0000-0000-00006D000000}"/>
    <cellStyle name="40% - Accent6 2" xfId="192" xr:uid="{00000000-0005-0000-0000-00006E000000}"/>
    <cellStyle name="40% - Accent6 3" xfId="193" xr:uid="{00000000-0005-0000-0000-00006F000000}"/>
    <cellStyle name="40% - Accent6 4" xfId="194" xr:uid="{00000000-0005-0000-0000-000070000000}"/>
    <cellStyle name="40% - Accent6 5" xfId="195" xr:uid="{00000000-0005-0000-0000-000071000000}"/>
    <cellStyle name="40% - Énfasis1 2" xfId="196" xr:uid="{00000000-0005-0000-0000-000072000000}"/>
    <cellStyle name="40% - Énfasis1 2 2" xfId="197" xr:uid="{00000000-0005-0000-0000-000073000000}"/>
    <cellStyle name="40% - Énfasis1 3" xfId="198" xr:uid="{00000000-0005-0000-0000-000074000000}"/>
    <cellStyle name="40% - Énfasis1 4" xfId="199" xr:uid="{00000000-0005-0000-0000-000075000000}"/>
    <cellStyle name="40% - Énfasis1 5" xfId="200" xr:uid="{00000000-0005-0000-0000-000076000000}"/>
    <cellStyle name="40% - Énfasis1 6" xfId="201" xr:uid="{00000000-0005-0000-0000-000077000000}"/>
    <cellStyle name="40% - Énfasis1 7" xfId="202" xr:uid="{00000000-0005-0000-0000-000078000000}"/>
    <cellStyle name="40% - Énfasis1 8" xfId="203" xr:uid="{00000000-0005-0000-0000-000079000000}"/>
    <cellStyle name="40% - Énfasis2 2" xfId="204" xr:uid="{00000000-0005-0000-0000-00007A000000}"/>
    <cellStyle name="40% - Énfasis2 2 2" xfId="205" xr:uid="{00000000-0005-0000-0000-00007B000000}"/>
    <cellStyle name="40% - Énfasis2 3" xfId="206" xr:uid="{00000000-0005-0000-0000-00007C000000}"/>
    <cellStyle name="40% - Énfasis2 4" xfId="207" xr:uid="{00000000-0005-0000-0000-00007D000000}"/>
    <cellStyle name="40% - Énfasis2 5" xfId="208" xr:uid="{00000000-0005-0000-0000-00007E000000}"/>
    <cellStyle name="40% - Énfasis2 6" xfId="209" xr:uid="{00000000-0005-0000-0000-00007F000000}"/>
    <cellStyle name="40% - Énfasis2 7" xfId="210" xr:uid="{00000000-0005-0000-0000-000080000000}"/>
    <cellStyle name="40% - Énfasis2 8" xfId="211" xr:uid="{00000000-0005-0000-0000-000081000000}"/>
    <cellStyle name="40% - Énfasis3 2" xfId="212" xr:uid="{00000000-0005-0000-0000-000082000000}"/>
    <cellStyle name="40% - Énfasis3 2 2" xfId="213" xr:uid="{00000000-0005-0000-0000-000083000000}"/>
    <cellStyle name="40% - Énfasis3 3" xfId="214" xr:uid="{00000000-0005-0000-0000-000084000000}"/>
    <cellStyle name="40% - Énfasis3 4" xfId="215" xr:uid="{00000000-0005-0000-0000-000085000000}"/>
    <cellStyle name="40% - Énfasis3 5" xfId="216" xr:uid="{00000000-0005-0000-0000-000086000000}"/>
    <cellStyle name="40% - Énfasis3 6" xfId="217" xr:uid="{00000000-0005-0000-0000-000087000000}"/>
    <cellStyle name="40% - Énfasis3 7" xfId="218" xr:uid="{00000000-0005-0000-0000-000088000000}"/>
    <cellStyle name="40% - Énfasis3 8" xfId="219" xr:uid="{00000000-0005-0000-0000-000089000000}"/>
    <cellStyle name="40% - Énfasis4 2" xfId="220" xr:uid="{00000000-0005-0000-0000-00008A000000}"/>
    <cellStyle name="40% - Énfasis4 2 2" xfId="221" xr:uid="{00000000-0005-0000-0000-00008B000000}"/>
    <cellStyle name="40% - Énfasis4 3" xfId="222" xr:uid="{00000000-0005-0000-0000-00008C000000}"/>
    <cellStyle name="40% - Énfasis4 4" xfId="223" xr:uid="{00000000-0005-0000-0000-00008D000000}"/>
    <cellStyle name="40% - Énfasis4 5" xfId="224" xr:uid="{00000000-0005-0000-0000-00008E000000}"/>
    <cellStyle name="40% - Énfasis4 6" xfId="225" xr:uid="{00000000-0005-0000-0000-00008F000000}"/>
    <cellStyle name="40% - Énfasis4 7" xfId="226" xr:uid="{00000000-0005-0000-0000-000090000000}"/>
    <cellStyle name="40% - Énfasis4 8" xfId="227" xr:uid="{00000000-0005-0000-0000-000091000000}"/>
    <cellStyle name="40% - Énfasis5 2" xfId="228" xr:uid="{00000000-0005-0000-0000-000092000000}"/>
    <cellStyle name="40% - Énfasis5 2 2" xfId="229" xr:uid="{00000000-0005-0000-0000-000093000000}"/>
    <cellStyle name="40% - Énfasis5 3" xfId="230" xr:uid="{00000000-0005-0000-0000-000094000000}"/>
    <cellStyle name="40% - Énfasis5 4" xfId="231" xr:uid="{00000000-0005-0000-0000-000095000000}"/>
    <cellStyle name="40% - Énfasis5 5" xfId="232" xr:uid="{00000000-0005-0000-0000-000096000000}"/>
    <cellStyle name="40% - Énfasis5 6" xfId="233" xr:uid="{00000000-0005-0000-0000-000097000000}"/>
    <cellStyle name="40% - Énfasis5 7" xfId="234" xr:uid="{00000000-0005-0000-0000-000098000000}"/>
    <cellStyle name="40% - Énfasis5 8" xfId="235" xr:uid="{00000000-0005-0000-0000-000099000000}"/>
    <cellStyle name="40% - Énfasis6 2" xfId="236" xr:uid="{00000000-0005-0000-0000-00009A000000}"/>
    <cellStyle name="40% - Énfasis6 2 2" xfId="237" xr:uid="{00000000-0005-0000-0000-00009B000000}"/>
    <cellStyle name="40% - Énfasis6 3" xfId="238" xr:uid="{00000000-0005-0000-0000-00009C000000}"/>
    <cellStyle name="40% - Énfasis6 4" xfId="239" xr:uid="{00000000-0005-0000-0000-00009D000000}"/>
    <cellStyle name="40% - Énfasis6 5" xfId="240" xr:uid="{00000000-0005-0000-0000-00009E000000}"/>
    <cellStyle name="40% - Énfasis6 6" xfId="241" xr:uid="{00000000-0005-0000-0000-00009F000000}"/>
    <cellStyle name="40% - Énfasis6 7" xfId="242" xr:uid="{00000000-0005-0000-0000-0000A0000000}"/>
    <cellStyle name="40% - Énfasis6 8" xfId="243" xr:uid="{00000000-0005-0000-0000-0000A1000000}"/>
    <cellStyle name="40% - 强调文字颜色 1" xfId="244" xr:uid="{00000000-0005-0000-0000-0000A2000000}"/>
    <cellStyle name="40% - 强调文字颜色 2" xfId="245" xr:uid="{00000000-0005-0000-0000-0000A3000000}"/>
    <cellStyle name="40% - 强调文字颜色 3" xfId="246" xr:uid="{00000000-0005-0000-0000-0000A4000000}"/>
    <cellStyle name="40% - 强调文字颜色 4" xfId="247" xr:uid="{00000000-0005-0000-0000-0000A5000000}"/>
    <cellStyle name="40% - 强调文字颜色 5" xfId="248" xr:uid="{00000000-0005-0000-0000-0000A6000000}"/>
    <cellStyle name="40% - 强调文字颜色 6" xfId="249" xr:uid="{00000000-0005-0000-0000-0000A7000000}"/>
    <cellStyle name="60% - Accent1" xfId="250" xr:uid="{00000000-0005-0000-0000-0000A8000000}"/>
    <cellStyle name="60% - Accent1 2" xfId="251" xr:uid="{00000000-0005-0000-0000-0000A9000000}"/>
    <cellStyle name="60% - Accent1 3" xfId="252" xr:uid="{00000000-0005-0000-0000-0000AA000000}"/>
    <cellStyle name="60% - Accent1 4" xfId="253" xr:uid="{00000000-0005-0000-0000-0000AB000000}"/>
    <cellStyle name="60% - Accent1 5" xfId="254" xr:uid="{00000000-0005-0000-0000-0000AC000000}"/>
    <cellStyle name="60% - Accent2" xfId="255" xr:uid="{00000000-0005-0000-0000-0000AD000000}"/>
    <cellStyle name="60% - Accent2 2" xfId="256" xr:uid="{00000000-0005-0000-0000-0000AE000000}"/>
    <cellStyle name="60% - Accent2 3" xfId="257" xr:uid="{00000000-0005-0000-0000-0000AF000000}"/>
    <cellStyle name="60% - Accent2 4" xfId="258" xr:uid="{00000000-0005-0000-0000-0000B0000000}"/>
    <cellStyle name="60% - Accent2 5" xfId="259" xr:uid="{00000000-0005-0000-0000-0000B1000000}"/>
    <cellStyle name="60% - Accent3" xfId="260" xr:uid="{00000000-0005-0000-0000-0000B2000000}"/>
    <cellStyle name="60% - Accent3 2" xfId="261" xr:uid="{00000000-0005-0000-0000-0000B3000000}"/>
    <cellStyle name="60% - Accent3 3" xfId="262" xr:uid="{00000000-0005-0000-0000-0000B4000000}"/>
    <cellStyle name="60% - Accent3 4" xfId="263" xr:uid="{00000000-0005-0000-0000-0000B5000000}"/>
    <cellStyle name="60% - Accent3 5" xfId="264" xr:uid="{00000000-0005-0000-0000-0000B6000000}"/>
    <cellStyle name="60% - Accent4" xfId="265" xr:uid="{00000000-0005-0000-0000-0000B7000000}"/>
    <cellStyle name="60% - Accent4 2" xfId="266" xr:uid="{00000000-0005-0000-0000-0000B8000000}"/>
    <cellStyle name="60% - Accent4 3" xfId="267" xr:uid="{00000000-0005-0000-0000-0000B9000000}"/>
    <cellStyle name="60% - Accent4 4" xfId="268" xr:uid="{00000000-0005-0000-0000-0000BA000000}"/>
    <cellStyle name="60% - Accent4 5" xfId="269" xr:uid="{00000000-0005-0000-0000-0000BB000000}"/>
    <cellStyle name="60% - Accent5" xfId="270" xr:uid="{00000000-0005-0000-0000-0000BC000000}"/>
    <cellStyle name="60% - Accent5 2" xfId="271" xr:uid="{00000000-0005-0000-0000-0000BD000000}"/>
    <cellStyle name="60% - Accent5 3" xfId="272" xr:uid="{00000000-0005-0000-0000-0000BE000000}"/>
    <cellStyle name="60% - Accent5 4" xfId="273" xr:uid="{00000000-0005-0000-0000-0000BF000000}"/>
    <cellStyle name="60% - Accent5 5" xfId="274" xr:uid="{00000000-0005-0000-0000-0000C0000000}"/>
    <cellStyle name="60% - Accent6" xfId="275" xr:uid="{00000000-0005-0000-0000-0000C1000000}"/>
    <cellStyle name="60% - Accent6 2" xfId="276" xr:uid="{00000000-0005-0000-0000-0000C2000000}"/>
    <cellStyle name="60% - Accent6 3" xfId="277" xr:uid="{00000000-0005-0000-0000-0000C3000000}"/>
    <cellStyle name="60% - Accent6 4" xfId="278" xr:uid="{00000000-0005-0000-0000-0000C4000000}"/>
    <cellStyle name="60% - Accent6 5" xfId="279" xr:uid="{00000000-0005-0000-0000-0000C5000000}"/>
    <cellStyle name="60% - Énfasis1 2" xfId="280" xr:uid="{00000000-0005-0000-0000-0000C6000000}"/>
    <cellStyle name="60% - Énfasis1 2 2" xfId="281" xr:uid="{00000000-0005-0000-0000-0000C7000000}"/>
    <cellStyle name="60% - Énfasis1 3" xfId="282" xr:uid="{00000000-0005-0000-0000-0000C8000000}"/>
    <cellStyle name="60% - Énfasis1 4" xfId="283" xr:uid="{00000000-0005-0000-0000-0000C9000000}"/>
    <cellStyle name="60% - Énfasis1 5" xfId="284" xr:uid="{00000000-0005-0000-0000-0000CA000000}"/>
    <cellStyle name="60% - Énfasis1 6" xfId="285" xr:uid="{00000000-0005-0000-0000-0000CB000000}"/>
    <cellStyle name="60% - Énfasis1 7" xfId="286" xr:uid="{00000000-0005-0000-0000-0000CC000000}"/>
    <cellStyle name="60% - Énfasis1 8" xfId="287" xr:uid="{00000000-0005-0000-0000-0000CD000000}"/>
    <cellStyle name="60% - Énfasis2 2" xfId="288" xr:uid="{00000000-0005-0000-0000-0000CE000000}"/>
    <cellStyle name="60% - Énfasis2 2 2" xfId="289" xr:uid="{00000000-0005-0000-0000-0000CF000000}"/>
    <cellStyle name="60% - Énfasis2 3" xfId="290" xr:uid="{00000000-0005-0000-0000-0000D0000000}"/>
    <cellStyle name="60% - Énfasis2 4" xfId="291" xr:uid="{00000000-0005-0000-0000-0000D1000000}"/>
    <cellStyle name="60% - Énfasis2 5" xfId="292" xr:uid="{00000000-0005-0000-0000-0000D2000000}"/>
    <cellStyle name="60% - Énfasis2 6" xfId="293" xr:uid="{00000000-0005-0000-0000-0000D3000000}"/>
    <cellStyle name="60% - Énfasis2 7" xfId="294" xr:uid="{00000000-0005-0000-0000-0000D4000000}"/>
    <cellStyle name="60% - Énfasis2 8" xfId="295" xr:uid="{00000000-0005-0000-0000-0000D5000000}"/>
    <cellStyle name="60% - Énfasis3 2" xfId="296" xr:uid="{00000000-0005-0000-0000-0000D6000000}"/>
    <cellStyle name="60% - Énfasis3 2 2" xfId="297" xr:uid="{00000000-0005-0000-0000-0000D7000000}"/>
    <cellStyle name="60% - Énfasis3 3" xfId="298" xr:uid="{00000000-0005-0000-0000-0000D8000000}"/>
    <cellStyle name="60% - Énfasis3 4" xfId="299" xr:uid="{00000000-0005-0000-0000-0000D9000000}"/>
    <cellStyle name="60% - Énfasis3 5" xfId="300" xr:uid="{00000000-0005-0000-0000-0000DA000000}"/>
    <cellStyle name="60% - Énfasis3 6" xfId="301" xr:uid="{00000000-0005-0000-0000-0000DB000000}"/>
    <cellStyle name="60% - Énfasis3 7" xfId="302" xr:uid="{00000000-0005-0000-0000-0000DC000000}"/>
    <cellStyle name="60% - Énfasis3 8" xfId="303" xr:uid="{00000000-0005-0000-0000-0000DD000000}"/>
    <cellStyle name="60% - Énfasis4 2" xfId="304" xr:uid="{00000000-0005-0000-0000-0000DE000000}"/>
    <cellStyle name="60% - Énfasis4 2 2" xfId="305" xr:uid="{00000000-0005-0000-0000-0000DF000000}"/>
    <cellStyle name="60% - Énfasis4 3" xfId="306" xr:uid="{00000000-0005-0000-0000-0000E0000000}"/>
    <cellStyle name="60% - Énfasis4 4" xfId="307" xr:uid="{00000000-0005-0000-0000-0000E1000000}"/>
    <cellStyle name="60% - Énfasis4 5" xfId="308" xr:uid="{00000000-0005-0000-0000-0000E2000000}"/>
    <cellStyle name="60% - Énfasis4 6" xfId="309" xr:uid="{00000000-0005-0000-0000-0000E3000000}"/>
    <cellStyle name="60% - Énfasis4 7" xfId="310" xr:uid="{00000000-0005-0000-0000-0000E4000000}"/>
    <cellStyle name="60% - Énfasis4 8" xfId="311" xr:uid="{00000000-0005-0000-0000-0000E5000000}"/>
    <cellStyle name="60% - Énfasis5 2" xfId="312" xr:uid="{00000000-0005-0000-0000-0000E6000000}"/>
    <cellStyle name="60% - Énfasis5 2 2" xfId="313" xr:uid="{00000000-0005-0000-0000-0000E7000000}"/>
    <cellStyle name="60% - Énfasis5 3" xfId="314" xr:uid="{00000000-0005-0000-0000-0000E8000000}"/>
    <cellStyle name="60% - Énfasis5 4" xfId="315" xr:uid="{00000000-0005-0000-0000-0000E9000000}"/>
    <cellStyle name="60% - Énfasis5 5" xfId="316" xr:uid="{00000000-0005-0000-0000-0000EA000000}"/>
    <cellStyle name="60% - Énfasis5 6" xfId="317" xr:uid="{00000000-0005-0000-0000-0000EB000000}"/>
    <cellStyle name="60% - Énfasis5 7" xfId="318" xr:uid="{00000000-0005-0000-0000-0000EC000000}"/>
    <cellStyle name="60% - Énfasis5 8" xfId="319" xr:uid="{00000000-0005-0000-0000-0000ED000000}"/>
    <cellStyle name="60% - Énfasis6 2" xfId="320" xr:uid="{00000000-0005-0000-0000-0000EE000000}"/>
    <cellStyle name="60% - Énfasis6 2 2" xfId="321" xr:uid="{00000000-0005-0000-0000-0000EF000000}"/>
    <cellStyle name="60% - Énfasis6 3" xfId="322" xr:uid="{00000000-0005-0000-0000-0000F0000000}"/>
    <cellStyle name="60% - Énfasis6 4" xfId="323" xr:uid="{00000000-0005-0000-0000-0000F1000000}"/>
    <cellStyle name="60% - Énfasis6 5" xfId="324" xr:uid="{00000000-0005-0000-0000-0000F2000000}"/>
    <cellStyle name="60% - Énfasis6 6" xfId="325" xr:uid="{00000000-0005-0000-0000-0000F3000000}"/>
    <cellStyle name="60% - Énfasis6 7" xfId="326" xr:uid="{00000000-0005-0000-0000-0000F4000000}"/>
    <cellStyle name="60% - Énfasis6 8" xfId="327" xr:uid="{00000000-0005-0000-0000-0000F5000000}"/>
    <cellStyle name="60% - 强调文字颜色 1" xfId="328" xr:uid="{00000000-0005-0000-0000-0000F6000000}"/>
    <cellStyle name="60% - 强调文字颜色 2" xfId="329" xr:uid="{00000000-0005-0000-0000-0000F7000000}"/>
    <cellStyle name="60% - 强调文字颜色 3" xfId="330" xr:uid="{00000000-0005-0000-0000-0000F8000000}"/>
    <cellStyle name="60% - 强调文字颜色 4" xfId="331" xr:uid="{00000000-0005-0000-0000-0000F9000000}"/>
    <cellStyle name="60% - 强调文字颜色 5" xfId="332" xr:uid="{00000000-0005-0000-0000-0000FA000000}"/>
    <cellStyle name="60% - 强调文字颜色 6" xfId="333" xr:uid="{00000000-0005-0000-0000-0000FB000000}"/>
    <cellStyle name="Accent1" xfId="334" xr:uid="{00000000-0005-0000-0000-0000FC000000}"/>
    <cellStyle name="Accent1 2" xfId="335" xr:uid="{00000000-0005-0000-0000-0000FD000000}"/>
    <cellStyle name="Accent1 3" xfId="336" xr:uid="{00000000-0005-0000-0000-0000FE000000}"/>
    <cellStyle name="Accent1 4" xfId="337" xr:uid="{00000000-0005-0000-0000-0000FF000000}"/>
    <cellStyle name="Accent1 5" xfId="338" xr:uid="{00000000-0005-0000-0000-000000010000}"/>
    <cellStyle name="Accent2" xfId="339" xr:uid="{00000000-0005-0000-0000-000001010000}"/>
    <cellStyle name="Accent2 2" xfId="340" xr:uid="{00000000-0005-0000-0000-000002010000}"/>
    <cellStyle name="Accent2 3" xfId="341" xr:uid="{00000000-0005-0000-0000-000003010000}"/>
    <cellStyle name="Accent2 4" xfId="342" xr:uid="{00000000-0005-0000-0000-000004010000}"/>
    <cellStyle name="Accent2 5" xfId="343" xr:uid="{00000000-0005-0000-0000-000005010000}"/>
    <cellStyle name="Accent3" xfId="344" xr:uid="{00000000-0005-0000-0000-000006010000}"/>
    <cellStyle name="Accent3 2" xfId="345" xr:uid="{00000000-0005-0000-0000-000007010000}"/>
    <cellStyle name="Accent3 3" xfId="346" xr:uid="{00000000-0005-0000-0000-000008010000}"/>
    <cellStyle name="Accent3 4" xfId="347" xr:uid="{00000000-0005-0000-0000-000009010000}"/>
    <cellStyle name="Accent3 5" xfId="348" xr:uid="{00000000-0005-0000-0000-00000A010000}"/>
    <cellStyle name="Accent4" xfId="349" xr:uid="{00000000-0005-0000-0000-00000B010000}"/>
    <cellStyle name="Accent4 2" xfId="350" xr:uid="{00000000-0005-0000-0000-00000C010000}"/>
    <cellStyle name="Accent4 3" xfId="351" xr:uid="{00000000-0005-0000-0000-00000D010000}"/>
    <cellStyle name="Accent4 4" xfId="352" xr:uid="{00000000-0005-0000-0000-00000E010000}"/>
    <cellStyle name="Accent4 5" xfId="353" xr:uid="{00000000-0005-0000-0000-00000F010000}"/>
    <cellStyle name="Accent5" xfId="354" xr:uid="{00000000-0005-0000-0000-000010010000}"/>
    <cellStyle name="Accent5 2" xfId="355" xr:uid="{00000000-0005-0000-0000-000011010000}"/>
    <cellStyle name="Accent5 3" xfId="356" xr:uid="{00000000-0005-0000-0000-000012010000}"/>
    <cellStyle name="Accent5 4" xfId="357" xr:uid="{00000000-0005-0000-0000-000013010000}"/>
    <cellStyle name="Accent5 5" xfId="358" xr:uid="{00000000-0005-0000-0000-000014010000}"/>
    <cellStyle name="Accent6" xfId="359" xr:uid="{00000000-0005-0000-0000-000015010000}"/>
    <cellStyle name="Accent6 2" xfId="360" xr:uid="{00000000-0005-0000-0000-000016010000}"/>
    <cellStyle name="Accent6 3" xfId="361" xr:uid="{00000000-0005-0000-0000-000017010000}"/>
    <cellStyle name="Accent6 4" xfId="362" xr:uid="{00000000-0005-0000-0000-000018010000}"/>
    <cellStyle name="Accent6 5" xfId="363" xr:uid="{00000000-0005-0000-0000-000019010000}"/>
    <cellStyle name="Bad" xfId="364" xr:uid="{00000000-0005-0000-0000-00001A010000}"/>
    <cellStyle name="Bad 2" xfId="365" xr:uid="{00000000-0005-0000-0000-00001B010000}"/>
    <cellStyle name="Bad 3" xfId="366" xr:uid="{00000000-0005-0000-0000-00001C010000}"/>
    <cellStyle name="Bad 4" xfId="367" xr:uid="{00000000-0005-0000-0000-00001D010000}"/>
    <cellStyle name="Bad 5" xfId="368" xr:uid="{00000000-0005-0000-0000-00001E010000}"/>
    <cellStyle name="Buena 2" xfId="369" xr:uid="{00000000-0005-0000-0000-00001F010000}"/>
    <cellStyle name="Buena 2 2" xfId="370" xr:uid="{00000000-0005-0000-0000-000020010000}"/>
    <cellStyle name="Buena 2 2 2" xfId="371" xr:uid="{00000000-0005-0000-0000-000021010000}"/>
    <cellStyle name="Buena 2 2 2 2" xfId="372" xr:uid="{00000000-0005-0000-0000-000022010000}"/>
    <cellStyle name="Buena 2 2 2 2 2" xfId="373" xr:uid="{00000000-0005-0000-0000-000023010000}"/>
    <cellStyle name="Buena 2 2 3" xfId="374" xr:uid="{00000000-0005-0000-0000-000024010000}"/>
    <cellStyle name="Buena 2 2 4" xfId="375" xr:uid="{00000000-0005-0000-0000-000025010000}"/>
    <cellStyle name="Buena 2 3" xfId="376" xr:uid="{00000000-0005-0000-0000-000026010000}"/>
    <cellStyle name="Buena 2 4" xfId="377" xr:uid="{00000000-0005-0000-0000-000027010000}"/>
    <cellStyle name="Buena 3" xfId="378" xr:uid="{00000000-0005-0000-0000-000028010000}"/>
    <cellStyle name="Buena 4" xfId="379" xr:uid="{00000000-0005-0000-0000-000029010000}"/>
    <cellStyle name="Buena 5" xfId="380" xr:uid="{00000000-0005-0000-0000-00002A010000}"/>
    <cellStyle name="Buena 6" xfId="381" xr:uid="{00000000-0005-0000-0000-00002B010000}"/>
    <cellStyle name="Buena 7" xfId="382" xr:uid="{00000000-0005-0000-0000-00002C010000}"/>
    <cellStyle name="Buena 8" xfId="383" xr:uid="{00000000-0005-0000-0000-00002D010000}"/>
    <cellStyle name="Buena 9" xfId="384" xr:uid="{00000000-0005-0000-0000-00002E010000}"/>
    <cellStyle name="Calculation" xfId="385" xr:uid="{00000000-0005-0000-0000-00002F010000}"/>
    <cellStyle name="Calculation 2" xfId="386" xr:uid="{00000000-0005-0000-0000-000030010000}"/>
    <cellStyle name="Calculation 3" xfId="387" xr:uid="{00000000-0005-0000-0000-000031010000}"/>
    <cellStyle name="Calculation 4" xfId="388" xr:uid="{00000000-0005-0000-0000-000032010000}"/>
    <cellStyle name="Calculation 5" xfId="389" xr:uid="{00000000-0005-0000-0000-000033010000}"/>
    <cellStyle name="Cálculo 2" xfId="390" xr:uid="{00000000-0005-0000-0000-000034010000}"/>
    <cellStyle name="Cálculo 2 2" xfId="391" xr:uid="{00000000-0005-0000-0000-000035010000}"/>
    <cellStyle name="Cálculo 3" xfId="392" xr:uid="{00000000-0005-0000-0000-000036010000}"/>
    <cellStyle name="Cálculo 4" xfId="393" xr:uid="{00000000-0005-0000-0000-000037010000}"/>
    <cellStyle name="Cálculo 5" xfId="394" xr:uid="{00000000-0005-0000-0000-000038010000}"/>
    <cellStyle name="Cálculo 6" xfId="395" xr:uid="{00000000-0005-0000-0000-000039010000}"/>
    <cellStyle name="Cálculo 7" xfId="396" xr:uid="{00000000-0005-0000-0000-00003A010000}"/>
    <cellStyle name="Cálculo 8" xfId="397" xr:uid="{00000000-0005-0000-0000-00003B010000}"/>
    <cellStyle name="Celda de comprobación 2" xfId="398" xr:uid="{00000000-0005-0000-0000-00003C010000}"/>
    <cellStyle name="Celda de comprobación 2 2" xfId="399" xr:uid="{00000000-0005-0000-0000-00003D010000}"/>
    <cellStyle name="Celda de comprobación 2 2 2" xfId="400" xr:uid="{00000000-0005-0000-0000-00003E010000}"/>
    <cellStyle name="Celda de comprobación 2 2 2 2" xfId="401" xr:uid="{00000000-0005-0000-0000-00003F010000}"/>
    <cellStyle name="Celda de comprobación 2 2 2 2 2" xfId="402" xr:uid="{00000000-0005-0000-0000-000040010000}"/>
    <cellStyle name="Celda de comprobación 2 2 3" xfId="403" xr:uid="{00000000-0005-0000-0000-000041010000}"/>
    <cellStyle name="Celda de comprobación 2 2 4" xfId="404" xr:uid="{00000000-0005-0000-0000-000042010000}"/>
    <cellStyle name="Celda de comprobación 2 3" xfId="405" xr:uid="{00000000-0005-0000-0000-000043010000}"/>
    <cellStyle name="Celda de comprobación 2 4" xfId="406" xr:uid="{00000000-0005-0000-0000-000044010000}"/>
    <cellStyle name="Celda de comprobación 3" xfId="407" xr:uid="{00000000-0005-0000-0000-000045010000}"/>
    <cellStyle name="Celda de comprobación 4" xfId="408" xr:uid="{00000000-0005-0000-0000-000046010000}"/>
    <cellStyle name="Celda de comprobación 5" xfId="409" xr:uid="{00000000-0005-0000-0000-000047010000}"/>
    <cellStyle name="Celda de comprobación 6" xfId="410" xr:uid="{00000000-0005-0000-0000-000048010000}"/>
    <cellStyle name="Celda de comprobación 7" xfId="411" xr:uid="{00000000-0005-0000-0000-000049010000}"/>
    <cellStyle name="Celda de comprobación 8" xfId="412" xr:uid="{00000000-0005-0000-0000-00004A010000}"/>
    <cellStyle name="Celda de comprobación 9" xfId="413" xr:uid="{00000000-0005-0000-0000-00004B010000}"/>
    <cellStyle name="Celda vinculada 2" xfId="414" xr:uid="{00000000-0005-0000-0000-00004C010000}"/>
    <cellStyle name="Celda vinculada 2 2" xfId="415" xr:uid="{00000000-0005-0000-0000-00004D010000}"/>
    <cellStyle name="Celda vinculada 2 2 2" xfId="416" xr:uid="{00000000-0005-0000-0000-00004E010000}"/>
    <cellStyle name="Celda vinculada 2 2 2 2" xfId="417" xr:uid="{00000000-0005-0000-0000-00004F010000}"/>
    <cellStyle name="Celda vinculada 2 2 2 2 2" xfId="418" xr:uid="{00000000-0005-0000-0000-000050010000}"/>
    <cellStyle name="Celda vinculada 2 2 3" xfId="419" xr:uid="{00000000-0005-0000-0000-000051010000}"/>
    <cellStyle name="Celda vinculada 2 2 4" xfId="420" xr:uid="{00000000-0005-0000-0000-000052010000}"/>
    <cellStyle name="Celda vinculada 2 3" xfId="421" xr:uid="{00000000-0005-0000-0000-000053010000}"/>
    <cellStyle name="Celda vinculada 2 4" xfId="422" xr:uid="{00000000-0005-0000-0000-000054010000}"/>
    <cellStyle name="Celda vinculada 3" xfId="423" xr:uid="{00000000-0005-0000-0000-000055010000}"/>
    <cellStyle name="Celda vinculada 4" xfId="424" xr:uid="{00000000-0005-0000-0000-000056010000}"/>
    <cellStyle name="Celda vinculada 5" xfId="425" xr:uid="{00000000-0005-0000-0000-000057010000}"/>
    <cellStyle name="Celda vinculada 6" xfId="426" xr:uid="{00000000-0005-0000-0000-000058010000}"/>
    <cellStyle name="Celda vinculada 7" xfId="427" xr:uid="{00000000-0005-0000-0000-000059010000}"/>
    <cellStyle name="Celda vinculada 8" xfId="428" xr:uid="{00000000-0005-0000-0000-00005A010000}"/>
    <cellStyle name="Celda vinculada 9" xfId="429" xr:uid="{00000000-0005-0000-0000-00005B010000}"/>
    <cellStyle name="Check Cell" xfId="430" xr:uid="{00000000-0005-0000-0000-00005C010000}"/>
    <cellStyle name="Check Cell 2" xfId="431" xr:uid="{00000000-0005-0000-0000-00005D010000}"/>
    <cellStyle name="Check Cell 3" xfId="432" xr:uid="{00000000-0005-0000-0000-00005E010000}"/>
    <cellStyle name="Check Cell 4" xfId="433" xr:uid="{00000000-0005-0000-0000-00005F010000}"/>
    <cellStyle name="Check Cell 5" xfId="434" xr:uid="{00000000-0005-0000-0000-000060010000}"/>
    <cellStyle name="Coma 2" xfId="435" xr:uid="{00000000-0005-0000-0000-000061010000}"/>
    <cellStyle name="Encabezado 4 2" xfId="436" xr:uid="{00000000-0005-0000-0000-000062010000}"/>
    <cellStyle name="Encabezado 4 2 2" xfId="437" xr:uid="{00000000-0005-0000-0000-000063010000}"/>
    <cellStyle name="Encabezado 4 2 2 2" xfId="438" xr:uid="{00000000-0005-0000-0000-000064010000}"/>
    <cellStyle name="Encabezado 4 2 2 2 2" xfId="439" xr:uid="{00000000-0005-0000-0000-000065010000}"/>
    <cellStyle name="Encabezado 4 2 2 2 2 2" xfId="440" xr:uid="{00000000-0005-0000-0000-000066010000}"/>
    <cellStyle name="Encabezado 4 2 2 3" xfId="441" xr:uid="{00000000-0005-0000-0000-000067010000}"/>
    <cellStyle name="Encabezado 4 2 2 4" xfId="442" xr:uid="{00000000-0005-0000-0000-000068010000}"/>
    <cellStyle name="Encabezado 4 2 3" xfId="443" xr:uid="{00000000-0005-0000-0000-000069010000}"/>
    <cellStyle name="Encabezado 4 2 4" xfId="444" xr:uid="{00000000-0005-0000-0000-00006A010000}"/>
    <cellStyle name="Encabezado 4 3" xfId="445" xr:uid="{00000000-0005-0000-0000-00006B010000}"/>
    <cellStyle name="Encabezado 4 4" xfId="446" xr:uid="{00000000-0005-0000-0000-00006C010000}"/>
    <cellStyle name="Encabezado 4 5" xfId="447" xr:uid="{00000000-0005-0000-0000-00006D010000}"/>
    <cellStyle name="Encabezado 4 6" xfId="448" xr:uid="{00000000-0005-0000-0000-00006E010000}"/>
    <cellStyle name="Encabezado 4 7" xfId="449" xr:uid="{00000000-0005-0000-0000-00006F010000}"/>
    <cellStyle name="Encabezado 4 8" xfId="450" xr:uid="{00000000-0005-0000-0000-000070010000}"/>
    <cellStyle name="Encabezado 4 9" xfId="451" xr:uid="{00000000-0005-0000-0000-000071010000}"/>
    <cellStyle name="Énfasis1 2" xfId="452" xr:uid="{00000000-0005-0000-0000-000072010000}"/>
    <cellStyle name="Énfasis1 2 2" xfId="453" xr:uid="{00000000-0005-0000-0000-000073010000}"/>
    <cellStyle name="Énfasis1 3" xfId="454" xr:uid="{00000000-0005-0000-0000-000074010000}"/>
    <cellStyle name="Énfasis1 4" xfId="455" xr:uid="{00000000-0005-0000-0000-000075010000}"/>
    <cellStyle name="Énfasis1 5" xfId="456" xr:uid="{00000000-0005-0000-0000-000076010000}"/>
    <cellStyle name="Énfasis1 6" xfId="457" xr:uid="{00000000-0005-0000-0000-000077010000}"/>
    <cellStyle name="Énfasis1 7" xfId="458" xr:uid="{00000000-0005-0000-0000-000078010000}"/>
    <cellStyle name="Énfasis1 8" xfId="459" xr:uid="{00000000-0005-0000-0000-000079010000}"/>
    <cellStyle name="Énfasis2 2" xfId="460" xr:uid="{00000000-0005-0000-0000-00007A010000}"/>
    <cellStyle name="Énfasis2 2 2" xfId="461" xr:uid="{00000000-0005-0000-0000-00007B010000}"/>
    <cellStyle name="Énfasis2 3" xfId="462" xr:uid="{00000000-0005-0000-0000-00007C010000}"/>
    <cellStyle name="Énfasis2 4" xfId="463" xr:uid="{00000000-0005-0000-0000-00007D010000}"/>
    <cellStyle name="Énfasis2 5" xfId="464" xr:uid="{00000000-0005-0000-0000-00007E010000}"/>
    <cellStyle name="Énfasis2 6" xfId="465" xr:uid="{00000000-0005-0000-0000-00007F010000}"/>
    <cellStyle name="Énfasis2 7" xfId="466" xr:uid="{00000000-0005-0000-0000-000080010000}"/>
    <cellStyle name="Énfasis2 8" xfId="467" xr:uid="{00000000-0005-0000-0000-000081010000}"/>
    <cellStyle name="Énfasis3 2" xfId="468" xr:uid="{00000000-0005-0000-0000-000082010000}"/>
    <cellStyle name="Énfasis3 2 2" xfId="469" xr:uid="{00000000-0005-0000-0000-000083010000}"/>
    <cellStyle name="Énfasis3 3" xfId="470" xr:uid="{00000000-0005-0000-0000-000084010000}"/>
    <cellStyle name="Énfasis3 4" xfId="471" xr:uid="{00000000-0005-0000-0000-000085010000}"/>
    <cellStyle name="Énfasis3 5" xfId="472" xr:uid="{00000000-0005-0000-0000-000086010000}"/>
    <cellStyle name="Énfasis3 6" xfId="473" xr:uid="{00000000-0005-0000-0000-000087010000}"/>
    <cellStyle name="Énfasis3 7" xfId="474" xr:uid="{00000000-0005-0000-0000-000088010000}"/>
    <cellStyle name="Énfasis3 8" xfId="475" xr:uid="{00000000-0005-0000-0000-000089010000}"/>
    <cellStyle name="Énfasis4 2" xfId="476" xr:uid="{00000000-0005-0000-0000-00008A010000}"/>
    <cellStyle name="Énfasis4 2 2" xfId="477" xr:uid="{00000000-0005-0000-0000-00008B010000}"/>
    <cellStyle name="Énfasis4 3" xfId="478" xr:uid="{00000000-0005-0000-0000-00008C010000}"/>
    <cellStyle name="Énfasis4 4" xfId="479" xr:uid="{00000000-0005-0000-0000-00008D010000}"/>
    <cellStyle name="Énfasis4 5" xfId="480" xr:uid="{00000000-0005-0000-0000-00008E010000}"/>
    <cellStyle name="Énfasis4 6" xfId="481" xr:uid="{00000000-0005-0000-0000-00008F010000}"/>
    <cellStyle name="Énfasis4 7" xfId="482" xr:uid="{00000000-0005-0000-0000-000090010000}"/>
    <cellStyle name="Énfasis4 8" xfId="483" xr:uid="{00000000-0005-0000-0000-000091010000}"/>
    <cellStyle name="Énfasis5 2" xfId="484" xr:uid="{00000000-0005-0000-0000-000092010000}"/>
    <cellStyle name="Énfasis5 2 2" xfId="485" xr:uid="{00000000-0005-0000-0000-000093010000}"/>
    <cellStyle name="Énfasis5 3" xfId="486" xr:uid="{00000000-0005-0000-0000-000094010000}"/>
    <cellStyle name="Énfasis5 4" xfId="487" xr:uid="{00000000-0005-0000-0000-000095010000}"/>
    <cellStyle name="Énfasis5 5" xfId="488" xr:uid="{00000000-0005-0000-0000-000096010000}"/>
    <cellStyle name="Énfasis5 6" xfId="489" xr:uid="{00000000-0005-0000-0000-000097010000}"/>
    <cellStyle name="Énfasis5 7" xfId="490" xr:uid="{00000000-0005-0000-0000-000098010000}"/>
    <cellStyle name="Énfasis5 8" xfId="491" xr:uid="{00000000-0005-0000-0000-000099010000}"/>
    <cellStyle name="Énfasis6 2" xfId="492" xr:uid="{00000000-0005-0000-0000-00009A010000}"/>
    <cellStyle name="Énfasis6 2 2" xfId="493" xr:uid="{00000000-0005-0000-0000-00009B010000}"/>
    <cellStyle name="Énfasis6 3" xfId="494" xr:uid="{00000000-0005-0000-0000-00009C010000}"/>
    <cellStyle name="Énfasis6 4" xfId="495" xr:uid="{00000000-0005-0000-0000-00009D010000}"/>
    <cellStyle name="Énfasis6 5" xfId="496" xr:uid="{00000000-0005-0000-0000-00009E010000}"/>
    <cellStyle name="Énfasis6 6" xfId="497" xr:uid="{00000000-0005-0000-0000-00009F010000}"/>
    <cellStyle name="Énfasis6 7" xfId="498" xr:uid="{00000000-0005-0000-0000-0000A0010000}"/>
    <cellStyle name="Énfasis6 8" xfId="499" xr:uid="{00000000-0005-0000-0000-0000A1010000}"/>
    <cellStyle name="Entrada 2" xfId="500" xr:uid="{00000000-0005-0000-0000-0000A2010000}"/>
    <cellStyle name="Entrada 2 2" xfId="501" xr:uid="{00000000-0005-0000-0000-0000A3010000}"/>
    <cellStyle name="Entrada 2 2 2" xfId="502" xr:uid="{00000000-0005-0000-0000-0000A4010000}"/>
    <cellStyle name="Entrada 2 2 2 2" xfId="503" xr:uid="{00000000-0005-0000-0000-0000A5010000}"/>
    <cellStyle name="Entrada 2 2 2 2 2" xfId="504" xr:uid="{00000000-0005-0000-0000-0000A6010000}"/>
    <cellStyle name="Entrada 2 2 3" xfId="505" xr:uid="{00000000-0005-0000-0000-0000A7010000}"/>
    <cellStyle name="Entrada 2 2 4" xfId="506" xr:uid="{00000000-0005-0000-0000-0000A8010000}"/>
    <cellStyle name="Entrada 2 3" xfId="507" xr:uid="{00000000-0005-0000-0000-0000A9010000}"/>
    <cellStyle name="Entrada 2 4" xfId="508" xr:uid="{00000000-0005-0000-0000-0000AA010000}"/>
    <cellStyle name="Entrada 3" xfId="509" xr:uid="{00000000-0005-0000-0000-0000AB010000}"/>
    <cellStyle name="Entrada 4" xfId="510" xr:uid="{00000000-0005-0000-0000-0000AC010000}"/>
    <cellStyle name="Entrada 5" xfId="511" xr:uid="{00000000-0005-0000-0000-0000AD010000}"/>
    <cellStyle name="Entrada 6" xfId="512" xr:uid="{00000000-0005-0000-0000-0000AE010000}"/>
    <cellStyle name="Entrada 7" xfId="513" xr:uid="{00000000-0005-0000-0000-0000AF010000}"/>
    <cellStyle name="Entrada 8" xfId="514" xr:uid="{00000000-0005-0000-0000-0000B0010000}"/>
    <cellStyle name="Entrada 9" xfId="515" xr:uid="{00000000-0005-0000-0000-0000B1010000}"/>
    <cellStyle name="Estilo 1" xfId="516" xr:uid="{00000000-0005-0000-0000-0000B2010000}"/>
    <cellStyle name="Estilo 1 10" xfId="517" xr:uid="{00000000-0005-0000-0000-0000B3010000}"/>
    <cellStyle name="Estilo 1 10 2" xfId="518" xr:uid="{00000000-0005-0000-0000-0000B4010000}"/>
    <cellStyle name="Estilo 1 10 3" xfId="519" xr:uid="{00000000-0005-0000-0000-0000B5010000}"/>
    <cellStyle name="Estilo 1 10_Enlaces" xfId="520" xr:uid="{00000000-0005-0000-0000-0000B6010000}"/>
    <cellStyle name="Estilo 1 100" xfId="521" xr:uid="{00000000-0005-0000-0000-0000B7010000}"/>
    <cellStyle name="Estilo 1 100 2" xfId="522" xr:uid="{00000000-0005-0000-0000-0000B8010000}"/>
    <cellStyle name="Estilo 1 101" xfId="523" xr:uid="{00000000-0005-0000-0000-0000B9010000}"/>
    <cellStyle name="Estilo 1 101 2" xfId="524" xr:uid="{00000000-0005-0000-0000-0000BA010000}"/>
    <cellStyle name="Estilo 1 102" xfId="525" xr:uid="{00000000-0005-0000-0000-0000BB010000}"/>
    <cellStyle name="Estilo 1 102 2" xfId="526" xr:uid="{00000000-0005-0000-0000-0000BC010000}"/>
    <cellStyle name="Estilo 1 103" xfId="527" xr:uid="{00000000-0005-0000-0000-0000BD010000}"/>
    <cellStyle name="Estilo 1 103 2" xfId="528" xr:uid="{00000000-0005-0000-0000-0000BE010000}"/>
    <cellStyle name="Estilo 1 104" xfId="529" xr:uid="{00000000-0005-0000-0000-0000BF010000}"/>
    <cellStyle name="Estilo 1 104 2" xfId="530" xr:uid="{00000000-0005-0000-0000-0000C0010000}"/>
    <cellStyle name="Estilo 1 105" xfId="531" xr:uid="{00000000-0005-0000-0000-0000C1010000}"/>
    <cellStyle name="Estilo 1 105 2" xfId="532" xr:uid="{00000000-0005-0000-0000-0000C2010000}"/>
    <cellStyle name="Estilo 1 106" xfId="533" xr:uid="{00000000-0005-0000-0000-0000C3010000}"/>
    <cellStyle name="Estilo 1 106 2" xfId="534" xr:uid="{00000000-0005-0000-0000-0000C4010000}"/>
    <cellStyle name="Estilo 1 107" xfId="535" xr:uid="{00000000-0005-0000-0000-0000C5010000}"/>
    <cellStyle name="Estilo 1 107 2" xfId="536" xr:uid="{00000000-0005-0000-0000-0000C6010000}"/>
    <cellStyle name="Estilo 1 108" xfId="537" xr:uid="{00000000-0005-0000-0000-0000C7010000}"/>
    <cellStyle name="Estilo 1 108 2" xfId="538" xr:uid="{00000000-0005-0000-0000-0000C8010000}"/>
    <cellStyle name="Estilo 1 109" xfId="539" xr:uid="{00000000-0005-0000-0000-0000C9010000}"/>
    <cellStyle name="Estilo 1 109 2" xfId="540" xr:uid="{00000000-0005-0000-0000-0000CA010000}"/>
    <cellStyle name="Estilo 1 11" xfId="541" xr:uid="{00000000-0005-0000-0000-0000CB010000}"/>
    <cellStyle name="Estilo 1 11 2" xfId="542" xr:uid="{00000000-0005-0000-0000-0000CC010000}"/>
    <cellStyle name="Estilo 1 11 3" xfId="543" xr:uid="{00000000-0005-0000-0000-0000CD010000}"/>
    <cellStyle name="Estilo 1 11_Enlaces" xfId="544" xr:uid="{00000000-0005-0000-0000-0000CE010000}"/>
    <cellStyle name="Estilo 1 110" xfId="545" xr:uid="{00000000-0005-0000-0000-0000CF010000}"/>
    <cellStyle name="Estilo 1 110 2" xfId="546" xr:uid="{00000000-0005-0000-0000-0000D0010000}"/>
    <cellStyle name="Estilo 1 111" xfId="547" xr:uid="{00000000-0005-0000-0000-0000D1010000}"/>
    <cellStyle name="Estilo 1 111 2" xfId="548" xr:uid="{00000000-0005-0000-0000-0000D2010000}"/>
    <cellStyle name="Estilo 1 112" xfId="549" xr:uid="{00000000-0005-0000-0000-0000D3010000}"/>
    <cellStyle name="Estilo 1 112 2" xfId="550" xr:uid="{00000000-0005-0000-0000-0000D4010000}"/>
    <cellStyle name="Estilo 1 113" xfId="551" xr:uid="{00000000-0005-0000-0000-0000D5010000}"/>
    <cellStyle name="Estilo 1 113 2" xfId="552" xr:uid="{00000000-0005-0000-0000-0000D6010000}"/>
    <cellStyle name="Estilo 1 114" xfId="553" xr:uid="{00000000-0005-0000-0000-0000D7010000}"/>
    <cellStyle name="Estilo 1 114 2" xfId="554" xr:uid="{00000000-0005-0000-0000-0000D8010000}"/>
    <cellStyle name="Estilo 1 115" xfId="555" xr:uid="{00000000-0005-0000-0000-0000D9010000}"/>
    <cellStyle name="Estilo 1 115 2" xfId="556" xr:uid="{00000000-0005-0000-0000-0000DA010000}"/>
    <cellStyle name="Estilo 1 116" xfId="557" xr:uid="{00000000-0005-0000-0000-0000DB010000}"/>
    <cellStyle name="Estilo 1 116 2" xfId="558" xr:uid="{00000000-0005-0000-0000-0000DC010000}"/>
    <cellStyle name="Estilo 1 117" xfId="559" xr:uid="{00000000-0005-0000-0000-0000DD010000}"/>
    <cellStyle name="Estilo 1 117 2" xfId="560" xr:uid="{00000000-0005-0000-0000-0000DE010000}"/>
    <cellStyle name="Estilo 1 118" xfId="561" xr:uid="{00000000-0005-0000-0000-0000DF010000}"/>
    <cellStyle name="Estilo 1 118 2" xfId="562" xr:uid="{00000000-0005-0000-0000-0000E0010000}"/>
    <cellStyle name="Estilo 1 119" xfId="563" xr:uid="{00000000-0005-0000-0000-0000E1010000}"/>
    <cellStyle name="Estilo 1 119 2" xfId="564" xr:uid="{00000000-0005-0000-0000-0000E2010000}"/>
    <cellStyle name="Estilo 1 12" xfId="565" xr:uid="{00000000-0005-0000-0000-0000E3010000}"/>
    <cellStyle name="Estilo 1 12 2" xfId="566" xr:uid="{00000000-0005-0000-0000-0000E4010000}"/>
    <cellStyle name="Estilo 1 12 3" xfId="567" xr:uid="{00000000-0005-0000-0000-0000E5010000}"/>
    <cellStyle name="Estilo 1 12_Enlaces" xfId="568" xr:uid="{00000000-0005-0000-0000-0000E6010000}"/>
    <cellStyle name="Estilo 1 120" xfId="569" xr:uid="{00000000-0005-0000-0000-0000E7010000}"/>
    <cellStyle name="Estilo 1 120 2" xfId="570" xr:uid="{00000000-0005-0000-0000-0000E8010000}"/>
    <cellStyle name="Estilo 1 121" xfId="571" xr:uid="{00000000-0005-0000-0000-0000E9010000}"/>
    <cellStyle name="Estilo 1 121 2" xfId="572" xr:uid="{00000000-0005-0000-0000-0000EA010000}"/>
    <cellStyle name="Estilo 1 122" xfId="573" xr:uid="{00000000-0005-0000-0000-0000EB010000}"/>
    <cellStyle name="Estilo 1 122 2" xfId="574" xr:uid="{00000000-0005-0000-0000-0000EC010000}"/>
    <cellStyle name="Estilo 1 123" xfId="575" xr:uid="{00000000-0005-0000-0000-0000ED010000}"/>
    <cellStyle name="Estilo 1 123 2" xfId="576" xr:uid="{00000000-0005-0000-0000-0000EE010000}"/>
    <cellStyle name="Estilo 1 124" xfId="577" xr:uid="{00000000-0005-0000-0000-0000EF010000}"/>
    <cellStyle name="Estilo 1 124 2" xfId="578" xr:uid="{00000000-0005-0000-0000-0000F0010000}"/>
    <cellStyle name="Estilo 1 125" xfId="579" xr:uid="{00000000-0005-0000-0000-0000F1010000}"/>
    <cellStyle name="Estilo 1 125 2" xfId="580" xr:uid="{00000000-0005-0000-0000-0000F2010000}"/>
    <cellStyle name="Estilo 1 126" xfId="581" xr:uid="{00000000-0005-0000-0000-0000F3010000}"/>
    <cellStyle name="Estilo 1 126 2" xfId="582" xr:uid="{00000000-0005-0000-0000-0000F4010000}"/>
    <cellStyle name="Estilo 1 127" xfId="583" xr:uid="{00000000-0005-0000-0000-0000F5010000}"/>
    <cellStyle name="Estilo 1 127 2" xfId="584" xr:uid="{00000000-0005-0000-0000-0000F6010000}"/>
    <cellStyle name="Estilo 1 128" xfId="585" xr:uid="{00000000-0005-0000-0000-0000F7010000}"/>
    <cellStyle name="Estilo 1 128 2" xfId="586" xr:uid="{00000000-0005-0000-0000-0000F8010000}"/>
    <cellStyle name="Estilo 1 129" xfId="587" xr:uid="{00000000-0005-0000-0000-0000F9010000}"/>
    <cellStyle name="Estilo 1 129 2" xfId="588" xr:uid="{00000000-0005-0000-0000-0000FA010000}"/>
    <cellStyle name="Estilo 1 13" xfId="589" xr:uid="{00000000-0005-0000-0000-0000FB010000}"/>
    <cellStyle name="Estilo 1 13 2" xfId="590" xr:uid="{00000000-0005-0000-0000-0000FC010000}"/>
    <cellStyle name="Estilo 1 13 3" xfId="591" xr:uid="{00000000-0005-0000-0000-0000FD010000}"/>
    <cellStyle name="Estilo 1 13_Enlaces" xfId="592" xr:uid="{00000000-0005-0000-0000-0000FE010000}"/>
    <cellStyle name="Estilo 1 130" xfId="593" xr:uid="{00000000-0005-0000-0000-0000FF010000}"/>
    <cellStyle name="Estilo 1 130 2" xfId="594" xr:uid="{00000000-0005-0000-0000-000000020000}"/>
    <cellStyle name="Estilo 1 131" xfId="595" xr:uid="{00000000-0005-0000-0000-000001020000}"/>
    <cellStyle name="Estilo 1 131 2" xfId="596" xr:uid="{00000000-0005-0000-0000-000002020000}"/>
    <cellStyle name="Estilo 1 132" xfId="597" xr:uid="{00000000-0005-0000-0000-000003020000}"/>
    <cellStyle name="Estilo 1 132 2" xfId="598" xr:uid="{00000000-0005-0000-0000-000004020000}"/>
    <cellStyle name="Estilo 1 133" xfId="599" xr:uid="{00000000-0005-0000-0000-000005020000}"/>
    <cellStyle name="Estilo 1 133 2" xfId="600" xr:uid="{00000000-0005-0000-0000-000006020000}"/>
    <cellStyle name="Estilo 1 134" xfId="601" xr:uid="{00000000-0005-0000-0000-000007020000}"/>
    <cellStyle name="Estilo 1 134 2" xfId="602" xr:uid="{00000000-0005-0000-0000-000008020000}"/>
    <cellStyle name="Estilo 1 135" xfId="603" xr:uid="{00000000-0005-0000-0000-000009020000}"/>
    <cellStyle name="Estilo 1 135 2" xfId="604" xr:uid="{00000000-0005-0000-0000-00000A020000}"/>
    <cellStyle name="Estilo 1 136" xfId="605" xr:uid="{00000000-0005-0000-0000-00000B020000}"/>
    <cellStyle name="Estilo 1 136 2" xfId="606" xr:uid="{00000000-0005-0000-0000-00000C020000}"/>
    <cellStyle name="Estilo 1 137" xfId="607" xr:uid="{00000000-0005-0000-0000-00000D020000}"/>
    <cellStyle name="Estilo 1 137 2" xfId="608" xr:uid="{00000000-0005-0000-0000-00000E020000}"/>
    <cellStyle name="Estilo 1 138" xfId="609" xr:uid="{00000000-0005-0000-0000-00000F020000}"/>
    <cellStyle name="Estilo 1 138 2" xfId="610" xr:uid="{00000000-0005-0000-0000-000010020000}"/>
    <cellStyle name="Estilo 1 139" xfId="611" xr:uid="{00000000-0005-0000-0000-000011020000}"/>
    <cellStyle name="Estilo 1 139 2" xfId="612" xr:uid="{00000000-0005-0000-0000-000012020000}"/>
    <cellStyle name="Estilo 1 14" xfId="613" xr:uid="{00000000-0005-0000-0000-000013020000}"/>
    <cellStyle name="Estilo 1 14 2" xfId="614" xr:uid="{00000000-0005-0000-0000-000014020000}"/>
    <cellStyle name="Estilo 1 14 3" xfId="615" xr:uid="{00000000-0005-0000-0000-000015020000}"/>
    <cellStyle name="Estilo 1 14_Enlaces" xfId="616" xr:uid="{00000000-0005-0000-0000-000016020000}"/>
    <cellStyle name="Estilo 1 140" xfId="617" xr:uid="{00000000-0005-0000-0000-000017020000}"/>
    <cellStyle name="Estilo 1 140 2" xfId="618" xr:uid="{00000000-0005-0000-0000-000018020000}"/>
    <cellStyle name="Estilo 1 141" xfId="619" xr:uid="{00000000-0005-0000-0000-000019020000}"/>
    <cellStyle name="Estilo 1 141 2" xfId="620" xr:uid="{00000000-0005-0000-0000-00001A020000}"/>
    <cellStyle name="Estilo 1 142" xfId="621" xr:uid="{00000000-0005-0000-0000-00001B020000}"/>
    <cellStyle name="Estilo 1 142 2" xfId="622" xr:uid="{00000000-0005-0000-0000-00001C020000}"/>
    <cellStyle name="Estilo 1 143" xfId="623" xr:uid="{00000000-0005-0000-0000-00001D020000}"/>
    <cellStyle name="Estilo 1 143 2" xfId="624" xr:uid="{00000000-0005-0000-0000-00001E020000}"/>
    <cellStyle name="Estilo 1 144" xfId="625" xr:uid="{00000000-0005-0000-0000-00001F020000}"/>
    <cellStyle name="Estilo 1 144 2" xfId="626" xr:uid="{00000000-0005-0000-0000-000020020000}"/>
    <cellStyle name="Estilo 1 145" xfId="627" xr:uid="{00000000-0005-0000-0000-000021020000}"/>
    <cellStyle name="Estilo 1 145 2" xfId="628" xr:uid="{00000000-0005-0000-0000-000022020000}"/>
    <cellStyle name="Estilo 1 146" xfId="629" xr:uid="{00000000-0005-0000-0000-000023020000}"/>
    <cellStyle name="Estilo 1 146 2" xfId="630" xr:uid="{00000000-0005-0000-0000-000024020000}"/>
    <cellStyle name="Estilo 1 147" xfId="631" xr:uid="{00000000-0005-0000-0000-000025020000}"/>
    <cellStyle name="Estilo 1 147 2" xfId="632" xr:uid="{00000000-0005-0000-0000-000026020000}"/>
    <cellStyle name="Estilo 1 148" xfId="633" xr:uid="{00000000-0005-0000-0000-000027020000}"/>
    <cellStyle name="Estilo 1 148 2" xfId="634" xr:uid="{00000000-0005-0000-0000-000028020000}"/>
    <cellStyle name="Estilo 1 149" xfId="635" xr:uid="{00000000-0005-0000-0000-000029020000}"/>
    <cellStyle name="Estilo 1 149 2" xfId="636" xr:uid="{00000000-0005-0000-0000-00002A020000}"/>
    <cellStyle name="Estilo 1 15" xfId="637" xr:uid="{00000000-0005-0000-0000-00002B020000}"/>
    <cellStyle name="Estilo 1 15 2" xfId="638" xr:uid="{00000000-0005-0000-0000-00002C020000}"/>
    <cellStyle name="Estilo 1 15 3" xfId="639" xr:uid="{00000000-0005-0000-0000-00002D020000}"/>
    <cellStyle name="Estilo 1 15_Enlaces" xfId="640" xr:uid="{00000000-0005-0000-0000-00002E020000}"/>
    <cellStyle name="Estilo 1 150" xfId="641" xr:uid="{00000000-0005-0000-0000-00002F020000}"/>
    <cellStyle name="Estilo 1 150 2" xfId="642" xr:uid="{00000000-0005-0000-0000-000030020000}"/>
    <cellStyle name="Estilo 1 151" xfId="643" xr:uid="{00000000-0005-0000-0000-000031020000}"/>
    <cellStyle name="Estilo 1 151 2" xfId="644" xr:uid="{00000000-0005-0000-0000-000032020000}"/>
    <cellStyle name="Estilo 1 152" xfId="645" xr:uid="{00000000-0005-0000-0000-000033020000}"/>
    <cellStyle name="Estilo 1 152 2" xfId="646" xr:uid="{00000000-0005-0000-0000-000034020000}"/>
    <cellStyle name="Estilo 1 153" xfId="647" xr:uid="{00000000-0005-0000-0000-000035020000}"/>
    <cellStyle name="Estilo 1 153 2" xfId="648" xr:uid="{00000000-0005-0000-0000-000036020000}"/>
    <cellStyle name="Estilo 1 154" xfId="649" xr:uid="{00000000-0005-0000-0000-000037020000}"/>
    <cellStyle name="Estilo 1 154 2" xfId="650" xr:uid="{00000000-0005-0000-0000-000038020000}"/>
    <cellStyle name="Estilo 1 155" xfId="651" xr:uid="{00000000-0005-0000-0000-000039020000}"/>
    <cellStyle name="Estilo 1 155 2" xfId="652" xr:uid="{00000000-0005-0000-0000-00003A020000}"/>
    <cellStyle name="Estilo 1 156" xfId="653" xr:uid="{00000000-0005-0000-0000-00003B020000}"/>
    <cellStyle name="Estilo 1 156 2" xfId="654" xr:uid="{00000000-0005-0000-0000-00003C020000}"/>
    <cellStyle name="Estilo 1 157" xfId="655" xr:uid="{00000000-0005-0000-0000-00003D020000}"/>
    <cellStyle name="Estilo 1 157 2" xfId="656" xr:uid="{00000000-0005-0000-0000-00003E020000}"/>
    <cellStyle name="Estilo 1 158" xfId="657" xr:uid="{00000000-0005-0000-0000-00003F020000}"/>
    <cellStyle name="Estilo 1 158 2" xfId="658" xr:uid="{00000000-0005-0000-0000-000040020000}"/>
    <cellStyle name="Estilo 1 159" xfId="659" xr:uid="{00000000-0005-0000-0000-000041020000}"/>
    <cellStyle name="Estilo 1 159 2" xfId="660" xr:uid="{00000000-0005-0000-0000-000042020000}"/>
    <cellStyle name="Estilo 1 16" xfId="661" xr:uid="{00000000-0005-0000-0000-000043020000}"/>
    <cellStyle name="Estilo 1 16 2" xfId="662" xr:uid="{00000000-0005-0000-0000-000044020000}"/>
    <cellStyle name="Estilo 1 16 3" xfId="663" xr:uid="{00000000-0005-0000-0000-000045020000}"/>
    <cellStyle name="Estilo 1 16_Enlaces" xfId="664" xr:uid="{00000000-0005-0000-0000-000046020000}"/>
    <cellStyle name="Estilo 1 160" xfId="665" xr:uid="{00000000-0005-0000-0000-000047020000}"/>
    <cellStyle name="Estilo 1 160 2" xfId="666" xr:uid="{00000000-0005-0000-0000-000048020000}"/>
    <cellStyle name="Estilo 1 161" xfId="667" xr:uid="{00000000-0005-0000-0000-000049020000}"/>
    <cellStyle name="Estilo 1 161 2" xfId="668" xr:uid="{00000000-0005-0000-0000-00004A020000}"/>
    <cellStyle name="Estilo 1 162" xfId="669" xr:uid="{00000000-0005-0000-0000-00004B020000}"/>
    <cellStyle name="Estilo 1 162 2" xfId="670" xr:uid="{00000000-0005-0000-0000-00004C020000}"/>
    <cellStyle name="Estilo 1 163" xfId="671" xr:uid="{00000000-0005-0000-0000-00004D020000}"/>
    <cellStyle name="Estilo 1 163 2" xfId="672" xr:uid="{00000000-0005-0000-0000-00004E020000}"/>
    <cellStyle name="Estilo 1 164" xfId="673" xr:uid="{00000000-0005-0000-0000-00004F020000}"/>
    <cellStyle name="Estilo 1 164 2" xfId="674" xr:uid="{00000000-0005-0000-0000-000050020000}"/>
    <cellStyle name="Estilo 1 165" xfId="675" xr:uid="{00000000-0005-0000-0000-000051020000}"/>
    <cellStyle name="Estilo 1 165 2" xfId="676" xr:uid="{00000000-0005-0000-0000-000052020000}"/>
    <cellStyle name="Estilo 1 166" xfId="677" xr:uid="{00000000-0005-0000-0000-000053020000}"/>
    <cellStyle name="Estilo 1 166 2" xfId="678" xr:uid="{00000000-0005-0000-0000-000054020000}"/>
    <cellStyle name="Estilo 1 167" xfId="679" xr:uid="{00000000-0005-0000-0000-000055020000}"/>
    <cellStyle name="Estilo 1 167 2" xfId="680" xr:uid="{00000000-0005-0000-0000-000056020000}"/>
    <cellStyle name="Estilo 1 168" xfId="681" xr:uid="{00000000-0005-0000-0000-000057020000}"/>
    <cellStyle name="Estilo 1 168 2" xfId="682" xr:uid="{00000000-0005-0000-0000-000058020000}"/>
    <cellStyle name="Estilo 1 169" xfId="683" xr:uid="{00000000-0005-0000-0000-000059020000}"/>
    <cellStyle name="Estilo 1 169 2" xfId="684" xr:uid="{00000000-0005-0000-0000-00005A020000}"/>
    <cellStyle name="Estilo 1 17" xfId="685" xr:uid="{00000000-0005-0000-0000-00005B020000}"/>
    <cellStyle name="Estilo 1 17 2" xfId="686" xr:uid="{00000000-0005-0000-0000-00005C020000}"/>
    <cellStyle name="Estilo 1 17 3" xfId="687" xr:uid="{00000000-0005-0000-0000-00005D020000}"/>
    <cellStyle name="Estilo 1 17_Enlaces" xfId="688" xr:uid="{00000000-0005-0000-0000-00005E020000}"/>
    <cellStyle name="Estilo 1 170" xfId="689" xr:uid="{00000000-0005-0000-0000-00005F020000}"/>
    <cellStyle name="Estilo 1 170 2" xfId="690" xr:uid="{00000000-0005-0000-0000-000060020000}"/>
    <cellStyle name="Estilo 1 171" xfId="691" xr:uid="{00000000-0005-0000-0000-000061020000}"/>
    <cellStyle name="Estilo 1 171 2" xfId="692" xr:uid="{00000000-0005-0000-0000-000062020000}"/>
    <cellStyle name="Estilo 1 172" xfId="693" xr:uid="{00000000-0005-0000-0000-000063020000}"/>
    <cellStyle name="Estilo 1 172 2" xfId="694" xr:uid="{00000000-0005-0000-0000-000064020000}"/>
    <cellStyle name="Estilo 1 173" xfId="695" xr:uid="{00000000-0005-0000-0000-000065020000}"/>
    <cellStyle name="Estilo 1 173 2" xfId="696" xr:uid="{00000000-0005-0000-0000-000066020000}"/>
    <cellStyle name="Estilo 1 174" xfId="697" xr:uid="{00000000-0005-0000-0000-000067020000}"/>
    <cellStyle name="Estilo 1 174 2" xfId="698" xr:uid="{00000000-0005-0000-0000-000068020000}"/>
    <cellStyle name="Estilo 1 175" xfId="699" xr:uid="{00000000-0005-0000-0000-000069020000}"/>
    <cellStyle name="Estilo 1 175 2" xfId="700" xr:uid="{00000000-0005-0000-0000-00006A020000}"/>
    <cellStyle name="Estilo 1 176" xfId="701" xr:uid="{00000000-0005-0000-0000-00006B020000}"/>
    <cellStyle name="Estilo 1 176 2" xfId="702" xr:uid="{00000000-0005-0000-0000-00006C020000}"/>
    <cellStyle name="Estilo 1 177" xfId="703" xr:uid="{00000000-0005-0000-0000-00006D020000}"/>
    <cellStyle name="Estilo 1 177 2" xfId="704" xr:uid="{00000000-0005-0000-0000-00006E020000}"/>
    <cellStyle name="Estilo 1 178" xfId="705" xr:uid="{00000000-0005-0000-0000-00006F020000}"/>
    <cellStyle name="Estilo 1 178 2" xfId="706" xr:uid="{00000000-0005-0000-0000-000070020000}"/>
    <cellStyle name="Estilo 1 179" xfId="707" xr:uid="{00000000-0005-0000-0000-000071020000}"/>
    <cellStyle name="Estilo 1 179 2" xfId="708" xr:uid="{00000000-0005-0000-0000-000072020000}"/>
    <cellStyle name="Estilo 1 18" xfId="709" xr:uid="{00000000-0005-0000-0000-000073020000}"/>
    <cellStyle name="Estilo 1 18 2" xfId="710" xr:uid="{00000000-0005-0000-0000-000074020000}"/>
    <cellStyle name="Estilo 1 18 3" xfId="711" xr:uid="{00000000-0005-0000-0000-000075020000}"/>
    <cellStyle name="Estilo 1 18_Enlaces" xfId="712" xr:uid="{00000000-0005-0000-0000-000076020000}"/>
    <cellStyle name="Estilo 1 180" xfId="713" xr:uid="{00000000-0005-0000-0000-000077020000}"/>
    <cellStyle name="Estilo 1 180 2" xfId="714" xr:uid="{00000000-0005-0000-0000-000078020000}"/>
    <cellStyle name="Estilo 1 181" xfId="715" xr:uid="{00000000-0005-0000-0000-000079020000}"/>
    <cellStyle name="Estilo 1 181 2" xfId="716" xr:uid="{00000000-0005-0000-0000-00007A020000}"/>
    <cellStyle name="Estilo 1 182" xfId="717" xr:uid="{00000000-0005-0000-0000-00007B020000}"/>
    <cellStyle name="Estilo 1 182 2" xfId="718" xr:uid="{00000000-0005-0000-0000-00007C020000}"/>
    <cellStyle name="Estilo 1 183" xfId="719" xr:uid="{00000000-0005-0000-0000-00007D020000}"/>
    <cellStyle name="Estilo 1 183 2" xfId="720" xr:uid="{00000000-0005-0000-0000-00007E020000}"/>
    <cellStyle name="Estilo 1 184" xfId="721" xr:uid="{00000000-0005-0000-0000-00007F020000}"/>
    <cellStyle name="Estilo 1 184 2" xfId="722" xr:uid="{00000000-0005-0000-0000-000080020000}"/>
    <cellStyle name="Estilo 1 185" xfId="723" xr:uid="{00000000-0005-0000-0000-000081020000}"/>
    <cellStyle name="Estilo 1 185 2" xfId="724" xr:uid="{00000000-0005-0000-0000-000082020000}"/>
    <cellStyle name="Estilo 1 186" xfId="725" xr:uid="{00000000-0005-0000-0000-000083020000}"/>
    <cellStyle name="Estilo 1 186 2" xfId="726" xr:uid="{00000000-0005-0000-0000-000084020000}"/>
    <cellStyle name="Estilo 1 187" xfId="727" xr:uid="{00000000-0005-0000-0000-000085020000}"/>
    <cellStyle name="Estilo 1 187 2" xfId="728" xr:uid="{00000000-0005-0000-0000-000086020000}"/>
    <cellStyle name="Estilo 1 188" xfId="729" xr:uid="{00000000-0005-0000-0000-000087020000}"/>
    <cellStyle name="Estilo 1 188 2" xfId="730" xr:uid="{00000000-0005-0000-0000-000088020000}"/>
    <cellStyle name="Estilo 1 189" xfId="731" xr:uid="{00000000-0005-0000-0000-000089020000}"/>
    <cellStyle name="Estilo 1 189 2" xfId="732" xr:uid="{00000000-0005-0000-0000-00008A020000}"/>
    <cellStyle name="Estilo 1 19" xfId="733" xr:uid="{00000000-0005-0000-0000-00008B020000}"/>
    <cellStyle name="Estilo 1 19 2" xfId="734" xr:uid="{00000000-0005-0000-0000-00008C020000}"/>
    <cellStyle name="Estilo 1 19 3" xfId="735" xr:uid="{00000000-0005-0000-0000-00008D020000}"/>
    <cellStyle name="Estilo 1 19_Enlaces" xfId="736" xr:uid="{00000000-0005-0000-0000-00008E020000}"/>
    <cellStyle name="Estilo 1 190" xfId="737" xr:uid="{00000000-0005-0000-0000-00008F020000}"/>
    <cellStyle name="Estilo 1 190 2" xfId="738" xr:uid="{00000000-0005-0000-0000-000090020000}"/>
    <cellStyle name="Estilo 1 191" xfId="739" xr:uid="{00000000-0005-0000-0000-000091020000}"/>
    <cellStyle name="Estilo 1 191 2" xfId="740" xr:uid="{00000000-0005-0000-0000-000092020000}"/>
    <cellStyle name="Estilo 1 192" xfId="741" xr:uid="{00000000-0005-0000-0000-000093020000}"/>
    <cellStyle name="Estilo 1 192 2" xfId="742" xr:uid="{00000000-0005-0000-0000-000094020000}"/>
    <cellStyle name="Estilo 1 193" xfId="743" xr:uid="{00000000-0005-0000-0000-000095020000}"/>
    <cellStyle name="Estilo 1 193 2" xfId="744" xr:uid="{00000000-0005-0000-0000-000096020000}"/>
    <cellStyle name="Estilo 1 194" xfId="745" xr:uid="{00000000-0005-0000-0000-000097020000}"/>
    <cellStyle name="Estilo 1 194 2" xfId="746" xr:uid="{00000000-0005-0000-0000-000098020000}"/>
    <cellStyle name="Estilo 1 195" xfId="747" xr:uid="{00000000-0005-0000-0000-000099020000}"/>
    <cellStyle name="Estilo 1 195 2" xfId="748" xr:uid="{00000000-0005-0000-0000-00009A020000}"/>
    <cellStyle name="Estilo 1 196" xfId="749" xr:uid="{00000000-0005-0000-0000-00009B020000}"/>
    <cellStyle name="Estilo 1 196 2" xfId="750" xr:uid="{00000000-0005-0000-0000-00009C020000}"/>
    <cellStyle name="Estilo 1 197" xfId="751" xr:uid="{00000000-0005-0000-0000-00009D020000}"/>
    <cellStyle name="Estilo 1 197 2" xfId="752" xr:uid="{00000000-0005-0000-0000-00009E020000}"/>
    <cellStyle name="Estilo 1 198" xfId="753" xr:uid="{00000000-0005-0000-0000-00009F020000}"/>
    <cellStyle name="Estilo 1 198 2" xfId="754" xr:uid="{00000000-0005-0000-0000-0000A0020000}"/>
    <cellStyle name="Estilo 1 199" xfId="755" xr:uid="{00000000-0005-0000-0000-0000A1020000}"/>
    <cellStyle name="Estilo 1 199 2" xfId="756" xr:uid="{00000000-0005-0000-0000-0000A2020000}"/>
    <cellStyle name="Estilo 1 2" xfId="757" xr:uid="{00000000-0005-0000-0000-0000A3020000}"/>
    <cellStyle name="Estilo 1 2 2" xfId="758" xr:uid="{00000000-0005-0000-0000-0000A4020000}"/>
    <cellStyle name="Estilo 1 2 2 2" xfId="759" xr:uid="{00000000-0005-0000-0000-0000A5020000}"/>
    <cellStyle name="Estilo 1 2 3" xfId="760" xr:uid="{00000000-0005-0000-0000-0000A6020000}"/>
    <cellStyle name="Estilo 1 2 3 2" xfId="761" xr:uid="{00000000-0005-0000-0000-0000A7020000}"/>
    <cellStyle name="Estilo 1 2 4" xfId="762" xr:uid="{00000000-0005-0000-0000-0000A8020000}"/>
    <cellStyle name="Estilo 1 2 4 2" xfId="763" xr:uid="{00000000-0005-0000-0000-0000A9020000}"/>
    <cellStyle name="Estilo 1 2 5" xfId="764" xr:uid="{00000000-0005-0000-0000-0000AA020000}"/>
    <cellStyle name="Estilo 1 2 6" xfId="765" xr:uid="{00000000-0005-0000-0000-0000AB020000}"/>
    <cellStyle name="Estilo 1 2 7" xfId="766" xr:uid="{00000000-0005-0000-0000-0000AC020000}"/>
    <cellStyle name="Estilo 1 2 7 2" xfId="767" xr:uid="{00000000-0005-0000-0000-0000AD020000}"/>
    <cellStyle name="Estilo 1 2_Enlaces" xfId="768" xr:uid="{00000000-0005-0000-0000-0000AE020000}"/>
    <cellStyle name="Estilo 1 20" xfId="769" xr:uid="{00000000-0005-0000-0000-0000AF020000}"/>
    <cellStyle name="Estilo 1 20 2" xfId="770" xr:uid="{00000000-0005-0000-0000-0000B0020000}"/>
    <cellStyle name="Estilo 1 20 3" xfId="771" xr:uid="{00000000-0005-0000-0000-0000B1020000}"/>
    <cellStyle name="Estilo 1 20_Enlaces" xfId="772" xr:uid="{00000000-0005-0000-0000-0000B2020000}"/>
    <cellStyle name="Estilo 1 200" xfId="773" xr:uid="{00000000-0005-0000-0000-0000B3020000}"/>
    <cellStyle name="Estilo 1 200 2" xfId="774" xr:uid="{00000000-0005-0000-0000-0000B4020000}"/>
    <cellStyle name="Estilo 1 21" xfId="775" xr:uid="{00000000-0005-0000-0000-0000B5020000}"/>
    <cellStyle name="Estilo 1 21 2" xfId="776" xr:uid="{00000000-0005-0000-0000-0000B6020000}"/>
    <cellStyle name="Estilo 1 21_Enlaces" xfId="777" xr:uid="{00000000-0005-0000-0000-0000B7020000}"/>
    <cellStyle name="Estilo 1 22" xfId="778" xr:uid="{00000000-0005-0000-0000-0000B8020000}"/>
    <cellStyle name="Estilo 1 22 2" xfId="779" xr:uid="{00000000-0005-0000-0000-0000B9020000}"/>
    <cellStyle name="Estilo 1 22_Enlaces" xfId="780" xr:uid="{00000000-0005-0000-0000-0000BA020000}"/>
    <cellStyle name="Estilo 1 23" xfId="781" xr:uid="{00000000-0005-0000-0000-0000BB020000}"/>
    <cellStyle name="Estilo 1 23 2" xfId="782" xr:uid="{00000000-0005-0000-0000-0000BC020000}"/>
    <cellStyle name="Estilo 1 23_Enlaces" xfId="783" xr:uid="{00000000-0005-0000-0000-0000BD020000}"/>
    <cellStyle name="Estilo 1 24" xfId="784" xr:uid="{00000000-0005-0000-0000-0000BE020000}"/>
    <cellStyle name="Estilo 1 24 2" xfId="785" xr:uid="{00000000-0005-0000-0000-0000BF020000}"/>
    <cellStyle name="Estilo 1 24_Enlaces" xfId="786" xr:uid="{00000000-0005-0000-0000-0000C0020000}"/>
    <cellStyle name="Estilo 1 25" xfId="787" xr:uid="{00000000-0005-0000-0000-0000C1020000}"/>
    <cellStyle name="Estilo 1 25 2" xfId="788" xr:uid="{00000000-0005-0000-0000-0000C2020000}"/>
    <cellStyle name="Estilo 1 25_Enlaces" xfId="789" xr:uid="{00000000-0005-0000-0000-0000C3020000}"/>
    <cellStyle name="Estilo 1 26" xfId="790" xr:uid="{00000000-0005-0000-0000-0000C4020000}"/>
    <cellStyle name="Estilo 1 26 2" xfId="791" xr:uid="{00000000-0005-0000-0000-0000C5020000}"/>
    <cellStyle name="Estilo 1 26_Enlaces" xfId="792" xr:uid="{00000000-0005-0000-0000-0000C6020000}"/>
    <cellStyle name="Estilo 1 27" xfId="793" xr:uid="{00000000-0005-0000-0000-0000C7020000}"/>
    <cellStyle name="Estilo 1 27 2" xfId="794" xr:uid="{00000000-0005-0000-0000-0000C8020000}"/>
    <cellStyle name="Estilo 1 27_Enlaces" xfId="795" xr:uid="{00000000-0005-0000-0000-0000C9020000}"/>
    <cellStyle name="Estilo 1 28" xfId="796" xr:uid="{00000000-0005-0000-0000-0000CA020000}"/>
    <cellStyle name="Estilo 1 29" xfId="797" xr:uid="{00000000-0005-0000-0000-0000CB020000}"/>
    <cellStyle name="Estilo 1 3" xfId="798" xr:uid="{00000000-0005-0000-0000-0000CC020000}"/>
    <cellStyle name="Estilo 1 3 2" xfId="799" xr:uid="{00000000-0005-0000-0000-0000CD020000}"/>
    <cellStyle name="Estilo 1 3 3" xfId="800" xr:uid="{00000000-0005-0000-0000-0000CE020000}"/>
    <cellStyle name="Estilo 1 3_Enlaces" xfId="801" xr:uid="{00000000-0005-0000-0000-0000CF020000}"/>
    <cellStyle name="Estilo 1 30" xfId="802" xr:uid="{00000000-0005-0000-0000-0000D0020000}"/>
    <cellStyle name="Estilo 1 31" xfId="803" xr:uid="{00000000-0005-0000-0000-0000D1020000}"/>
    <cellStyle name="Estilo 1 32" xfId="804" xr:uid="{00000000-0005-0000-0000-0000D2020000}"/>
    <cellStyle name="Estilo 1 33" xfId="805" xr:uid="{00000000-0005-0000-0000-0000D3020000}"/>
    <cellStyle name="Estilo 1 34" xfId="806" xr:uid="{00000000-0005-0000-0000-0000D4020000}"/>
    <cellStyle name="Estilo 1 35" xfId="807" xr:uid="{00000000-0005-0000-0000-0000D5020000}"/>
    <cellStyle name="Estilo 1 36" xfId="808" xr:uid="{00000000-0005-0000-0000-0000D6020000}"/>
    <cellStyle name="Estilo 1 37" xfId="809" xr:uid="{00000000-0005-0000-0000-0000D7020000}"/>
    <cellStyle name="Estilo 1 38" xfId="810" xr:uid="{00000000-0005-0000-0000-0000D8020000}"/>
    <cellStyle name="Estilo 1 39" xfId="811" xr:uid="{00000000-0005-0000-0000-0000D9020000}"/>
    <cellStyle name="Estilo 1 4" xfId="812" xr:uid="{00000000-0005-0000-0000-0000DA020000}"/>
    <cellStyle name="Estilo 1 4 2" xfId="813" xr:uid="{00000000-0005-0000-0000-0000DB020000}"/>
    <cellStyle name="Estilo 1 4 3" xfId="814" xr:uid="{00000000-0005-0000-0000-0000DC020000}"/>
    <cellStyle name="Estilo 1 4_Enlaces" xfId="815" xr:uid="{00000000-0005-0000-0000-0000DD020000}"/>
    <cellStyle name="Estilo 1 40" xfId="816" xr:uid="{00000000-0005-0000-0000-0000DE020000}"/>
    <cellStyle name="Estilo 1 41" xfId="817" xr:uid="{00000000-0005-0000-0000-0000DF020000}"/>
    <cellStyle name="Estilo 1 42" xfId="818" xr:uid="{00000000-0005-0000-0000-0000E0020000}"/>
    <cellStyle name="Estilo 1 43" xfId="819" xr:uid="{00000000-0005-0000-0000-0000E1020000}"/>
    <cellStyle name="Estilo 1 44" xfId="820" xr:uid="{00000000-0005-0000-0000-0000E2020000}"/>
    <cellStyle name="Estilo 1 45" xfId="821" xr:uid="{00000000-0005-0000-0000-0000E3020000}"/>
    <cellStyle name="Estilo 1 46" xfId="822" xr:uid="{00000000-0005-0000-0000-0000E4020000}"/>
    <cellStyle name="Estilo 1 47" xfId="823" xr:uid="{00000000-0005-0000-0000-0000E5020000}"/>
    <cellStyle name="Estilo 1 48" xfId="824" xr:uid="{00000000-0005-0000-0000-0000E6020000}"/>
    <cellStyle name="Estilo 1 49" xfId="825" xr:uid="{00000000-0005-0000-0000-0000E7020000}"/>
    <cellStyle name="Estilo 1 5" xfId="826" xr:uid="{00000000-0005-0000-0000-0000E8020000}"/>
    <cellStyle name="Estilo 1 5 2" xfId="827" xr:uid="{00000000-0005-0000-0000-0000E9020000}"/>
    <cellStyle name="Estilo 1 5 3" xfId="828" xr:uid="{00000000-0005-0000-0000-0000EA020000}"/>
    <cellStyle name="Estilo 1 5_Enlaces" xfId="829" xr:uid="{00000000-0005-0000-0000-0000EB020000}"/>
    <cellStyle name="Estilo 1 50" xfId="830" xr:uid="{00000000-0005-0000-0000-0000EC020000}"/>
    <cellStyle name="Estilo 1 51" xfId="831" xr:uid="{00000000-0005-0000-0000-0000ED020000}"/>
    <cellStyle name="Estilo 1 52" xfId="832" xr:uid="{00000000-0005-0000-0000-0000EE020000}"/>
    <cellStyle name="Estilo 1 53" xfId="833" xr:uid="{00000000-0005-0000-0000-0000EF020000}"/>
    <cellStyle name="Estilo 1 54" xfId="834" xr:uid="{00000000-0005-0000-0000-0000F0020000}"/>
    <cellStyle name="Estilo 1 55" xfId="835" xr:uid="{00000000-0005-0000-0000-0000F1020000}"/>
    <cellStyle name="Estilo 1 56" xfId="836" xr:uid="{00000000-0005-0000-0000-0000F2020000}"/>
    <cellStyle name="Estilo 1 57" xfId="837" xr:uid="{00000000-0005-0000-0000-0000F3020000}"/>
    <cellStyle name="Estilo 1 57 2" xfId="838" xr:uid="{00000000-0005-0000-0000-0000F4020000}"/>
    <cellStyle name="Estilo 1 57 3" xfId="839" xr:uid="{00000000-0005-0000-0000-0000F5020000}"/>
    <cellStyle name="Estilo 1 57 4" xfId="840" xr:uid="{00000000-0005-0000-0000-0000F6020000}"/>
    <cellStyle name="Estilo 1 57 5" xfId="841" xr:uid="{00000000-0005-0000-0000-0000F7020000}"/>
    <cellStyle name="Estilo 1 57 6" xfId="842" xr:uid="{00000000-0005-0000-0000-0000F8020000}"/>
    <cellStyle name="Estilo 1 58" xfId="843" xr:uid="{00000000-0005-0000-0000-0000F9020000}"/>
    <cellStyle name="Estilo 1 58 2" xfId="844" xr:uid="{00000000-0005-0000-0000-0000FA020000}"/>
    <cellStyle name="Estilo 1 58 3" xfId="845" xr:uid="{00000000-0005-0000-0000-0000FB020000}"/>
    <cellStyle name="Estilo 1 58 4" xfId="846" xr:uid="{00000000-0005-0000-0000-0000FC020000}"/>
    <cellStyle name="Estilo 1 58 5" xfId="847" xr:uid="{00000000-0005-0000-0000-0000FD020000}"/>
    <cellStyle name="Estilo 1 58 6" xfId="848" xr:uid="{00000000-0005-0000-0000-0000FE020000}"/>
    <cellStyle name="Estilo 1 59" xfId="849" xr:uid="{00000000-0005-0000-0000-0000FF020000}"/>
    <cellStyle name="Estilo 1 59 2" xfId="850" xr:uid="{00000000-0005-0000-0000-000000030000}"/>
    <cellStyle name="Estilo 1 59 3" xfId="851" xr:uid="{00000000-0005-0000-0000-000001030000}"/>
    <cellStyle name="Estilo 1 6" xfId="852" xr:uid="{00000000-0005-0000-0000-000002030000}"/>
    <cellStyle name="Estilo 1 6 2" xfId="853" xr:uid="{00000000-0005-0000-0000-000003030000}"/>
    <cellStyle name="Estilo 1 6 3" xfId="854" xr:uid="{00000000-0005-0000-0000-000004030000}"/>
    <cellStyle name="Estilo 1 6_Enlaces" xfId="855" xr:uid="{00000000-0005-0000-0000-000005030000}"/>
    <cellStyle name="Estilo 1 60" xfId="856" xr:uid="{00000000-0005-0000-0000-000006030000}"/>
    <cellStyle name="Estilo 1 60 2" xfId="857" xr:uid="{00000000-0005-0000-0000-000007030000}"/>
    <cellStyle name="Estilo 1 60 3" xfId="858" xr:uid="{00000000-0005-0000-0000-000008030000}"/>
    <cellStyle name="Estilo 1 61" xfId="859" xr:uid="{00000000-0005-0000-0000-000009030000}"/>
    <cellStyle name="Estilo 1 61 2" xfId="860" xr:uid="{00000000-0005-0000-0000-00000A030000}"/>
    <cellStyle name="Estilo 1 61 3" xfId="861" xr:uid="{00000000-0005-0000-0000-00000B030000}"/>
    <cellStyle name="Estilo 1 62" xfId="862" xr:uid="{00000000-0005-0000-0000-00000C030000}"/>
    <cellStyle name="Estilo 1 62 2" xfId="863" xr:uid="{00000000-0005-0000-0000-00000D030000}"/>
    <cellStyle name="Estilo 1 62 3" xfId="864" xr:uid="{00000000-0005-0000-0000-00000E030000}"/>
    <cellStyle name="Estilo 1 63" xfId="865" xr:uid="{00000000-0005-0000-0000-00000F030000}"/>
    <cellStyle name="Estilo 1 63 2" xfId="866" xr:uid="{00000000-0005-0000-0000-000010030000}"/>
    <cellStyle name="Estilo 1 63 3" xfId="867" xr:uid="{00000000-0005-0000-0000-000011030000}"/>
    <cellStyle name="Estilo 1 64" xfId="868" xr:uid="{00000000-0005-0000-0000-000012030000}"/>
    <cellStyle name="Estilo 1 64 2" xfId="869" xr:uid="{00000000-0005-0000-0000-000013030000}"/>
    <cellStyle name="Estilo 1 64 3" xfId="870" xr:uid="{00000000-0005-0000-0000-000014030000}"/>
    <cellStyle name="Estilo 1 65" xfId="871" xr:uid="{00000000-0005-0000-0000-000015030000}"/>
    <cellStyle name="Estilo 1 65 2" xfId="872" xr:uid="{00000000-0005-0000-0000-000016030000}"/>
    <cellStyle name="Estilo 1 65 3" xfId="873" xr:uid="{00000000-0005-0000-0000-000017030000}"/>
    <cellStyle name="Estilo 1 66" xfId="874" xr:uid="{00000000-0005-0000-0000-000018030000}"/>
    <cellStyle name="Estilo 1 66 2" xfId="875" xr:uid="{00000000-0005-0000-0000-000019030000}"/>
    <cellStyle name="Estilo 1 66 3" xfId="876" xr:uid="{00000000-0005-0000-0000-00001A030000}"/>
    <cellStyle name="Estilo 1 67" xfId="877" xr:uid="{00000000-0005-0000-0000-00001B030000}"/>
    <cellStyle name="Estilo 1 67 2" xfId="878" xr:uid="{00000000-0005-0000-0000-00001C030000}"/>
    <cellStyle name="Estilo 1 67 3" xfId="879" xr:uid="{00000000-0005-0000-0000-00001D030000}"/>
    <cellStyle name="Estilo 1 68" xfId="880" xr:uid="{00000000-0005-0000-0000-00001E030000}"/>
    <cellStyle name="Estilo 1 68 2" xfId="881" xr:uid="{00000000-0005-0000-0000-00001F030000}"/>
    <cellStyle name="Estilo 1 68 3" xfId="882" xr:uid="{00000000-0005-0000-0000-000020030000}"/>
    <cellStyle name="Estilo 1 69" xfId="883" xr:uid="{00000000-0005-0000-0000-000021030000}"/>
    <cellStyle name="Estilo 1 69 2" xfId="884" xr:uid="{00000000-0005-0000-0000-000022030000}"/>
    <cellStyle name="Estilo 1 69 3" xfId="885" xr:uid="{00000000-0005-0000-0000-000023030000}"/>
    <cellStyle name="Estilo 1 7" xfId="886" xr:uid="{00000000-0005-0000-0000-000024030000}"/>
    <cellStyle name="Estilo 1 7 2" xfId="887" xr:uid="{00000000-0005-0000-0000-000025030000}"/>
    <cellStyle name="Estilo 1 7 3" xfId="888" xr:uid="{00000000-0005-0000-0000-000026030000}"/>
    <cellStyle name="Estilo 1 7_Enlaces" xfId="889" xr:uid="{00000000-0005-0000-0000-000027030000}"/>
    <cellStyle name="Estilo 1 70" xfId="890" xr:uid="{00000000-0005-0000-0000-000028030000}"/>
    <cellStyle name="Estilo 1 70 2" xfId="891" xr:uid="{00000000-0005-0000-0000-000029030000}"/>
    <cellStyle name="Estilo 1 70 3" xfId="892" xr:uid="{00000000-0005-0000-0000-00002A030000}"/>
    <cellStyle name="Estilo 1 71" xfId="893" xr:uid="{00000000-0005-0000-0000-00002B030000}"/>
    <cellStyle name="Estilo 1 71 2" xfId="894" xr:uid="{00000000-0005-0000-0000-00002C030000}"/>
    <cellStyle name="Estilo 1 71 3" xfId="895" xr:uid="{00000000-0005-0000-0000-00002D030000}"/>
    <cellStyle name="Estilo 1 72" xfId="896" xr:uid="{00000000-0005-0000-0000-00002E030000}"/>
    <cellStyle name="Estilo 1 72 2" xfId="897" xr:uid="{00000000-0005-0000-0000-00002F030000}"/>
    <cellStyle name="Estilo 1 72 3" xfId="898" xr:uid="{00000000-0005-0000-0000-000030030000}"/>
    <cellStyle name="Estilo 1 73" xfId="899" xr:uid="{00000000-0005-0000-0000-000031030000}"/>
    <cellStyle name="Estilo 1 73 2" xfId="900" xr:uid="{00000000-0005-0000-0000-000032030000}"/>
    <cellStyle name="Estilo 1 73 3" xfId="901" xr:uid="{00000000-0005-0000-0000-000033030000}"/>
    <cellStyle name="Estilo 1 74" xfId="902" xr:uid="{00000000-0005-0000-0000-000034030000}"/>
    <cellStyle name="Estilo 1 74 2" xfId="903" xr:uid="{00000000-0005-0000-0000-000035030000}"/>
    <cellStyle name="Estilo 1 74 3" xfId="904" xr:uid="{00000000-0005-0000-0000-000036030000}"/>
    <cellStyle name="Estilo 1 75" xfId="905" xr:uid="{00000000-0005-0000-0000-000037030000}"/>
    <cellStyle name="Estilo 1 75 2" xfId="906" xr:uid="{00000000-0005-0000-0000-000038030000}"/>
    <cellStyle name="Estilo 1 75 3" xfId="907" xr:uid="{00000000-0005-0000-0000-000039030000}"/>
    <cellStyle name="Estilo 1 76" xfId="908" xr:uid="{00000000-0005-0000-0000-00003A030000}"/>
    <cellStyle name="Estilo 1 76 2" xfId="909" xr:uid="{00000000-0005-0000-0000-00003B030000}"/>
    <cellStyle name="Estilo 1 76 3" xfId="910" xr:uid="{00000000-0005-0000-0000-00003C030000}"/>
    <cellStyle name="Estilo 1 77" xfId="911" xr:uid="{00000000-0005-0000-0000-00003D030000}"/>
    <cellStyle name="Estilo 1 77 2" xfId="912" xr:uid="{00000000-0005-0000-0000-00003E030000}"/>
    <cellStyle name="Estilo 1 77 3" xfId="913" xr:uid="{00000000-0005-0000-0000-00003F030000}"/>
    <cellStyle name="Estilo 1 78" xfId="914" xr:uid="{00000000-0005-0000-0000-000040030000}"/>
    <cellStyle name="Estilo 1 78 2" xfId="915" xr:uid="{00000000-0005-0000-0000-000041030000}"/>
    <cellStyle name="Estilo 1 78 3" xfId="916" xr:uid="{00000000-0005-0000-0000-000042030000}"/>
    <cellStyle name="Estilo 1 79" xfId="917" xr:uid="{00000000-0005-0000-0000-000043030000}"/>
    <cellStyle name="Estilo 1 79 2" xfId="918" xr:uid="{00000000-0005-0000-0000-000044030000}"/>
    <cellStyle name="Estilo 1 79 3" xfId="919" xr:uid="{00000000-0005-0000-0000-000045030000}"/>
    <cellStyle name="Estilo 1 8" xfId="920" xr:uid="{00000000-0005-0000-0000-000046030000}"/>
    <cellStyle name="Estilo 1 8 2" xfId="921" xr:uid="{00000000-0005-0000-0000-000047030000}"/>
    <cellStyle name="Estilo 1 8 3" xfId="922" xr:uid="{00000000-0005-0000-0000-000048030000}"/>
    <cellStyle name="Estilo 1 8_Enlaces" xfId="923" xr:uid="{00000000-0005-0000-0000-000049030000}"/>
    <cellStyle name="Estilo 1 80" xfId="924" xr:uid="{00000000-0005-0000-0000-00004A030000}"/>
    <cellStyle name="Estilo 1 80 2" xfId="925" xr:uid="{00000000-0005-0000-0000-00004B030000}"/>
    <cellStyle name="Estilo 1 80 3" xfId="926" xr:uid="{00000000-0005-0000-0000-00004C030000}"/>
    <cellStyle name="Estilo 1 81" xfId="927" xr:uid="{00000000-0005-0000-0000-00004D030000}"/>
    <cellStyle name="Estilo 1 81 2" xfId="928" xr:uid="{00000000-0005-0000-0000-00004E030000}"/>
    <cellStyle name="Estilo 1 81 3" xfId="929" xr:uid="{00000000-0005-0000-0000-00004F030000}"/>
    <cellStyle name="Estilo 1 82" xfId="930" xr:uid="{00000000-0005-0000-0000-000050030000}"/>
    <cellStyle name="Estilo 1 82 2" xfId="931" xr:uid="{00000000-0005-0000-0000-000051030000}"/>
    <cellStyle name="Estilo 1 82 3" xfId="932" xr:uid="{00000000-0005-0000-0000-000052030000}"/>
    <cellStyle name="Estilo 1 83" xfId="933" xr:uid="{00000000-0005-0000-0000-000053030000}"/>
    <cellStyle name="Estilo 1 84" xfId="934" xr:uid="{00000000-0005-0000-0000-000054030000}"/>
    <cellStyle name="Estilo 1 85" xfId="935" xr:uid="{00000000-0005-0000-0000-000055030000}"/>
    <cellStyle name="Estilo 1 86" xfId="936" xr:uid="{00000000-0005-0000-0000-000056030000}"/>
    <cellStyle name="Estilo 1 87" xfId="937" xr:uid="{00000000-0005-0000-0000-000057030000}"/>
    <cellStyle name="Estilo 1 88" xfId="938" xr:uid="{00000000-0005-0000-0000-000058030000}"/>
    <cellStyle name="Estilo 1 89" xfId="939" xr:uid="{00000000-0005-0000-0000-000059030000}"/>
    <cellStyle name="Estilo 1 9" xfId="940" xr:uid="{00000000-0005-0000-0000-00005A030000}"/>
    <cellStyle name="Estilo 1 9 2" xfId="941" xr:uid="{00000000-0005-0000-0000-00005B030000}"/>
    <cellStyle name="Estilo 1 9 3" xfId="942" xr:uid="{00000000-0005-0000-0000-00005C030000}"/>
    <cellStyle name="Estilo 1 9_Enlaces" xfId="943" xr:uid="{00000000-0005-0000-0000-00005D030000}"/>
    <cellStyle name="Estilo 1 90" xfId="944" xr:uid="{00000000-0005-0000-0000-00005E030000}"/>
    <cellStyle name="Estilo 1 90 2" xfId="945" xr:uid="{00000000-0005-0000-0000-00005F030000}"/>
    <cellStyle name="Estilo 1 91" xfId="946" xr:uid="{00000000-0005-0000-0000-000060030000}"/>
    <cellStyle name="Estilo 1 91 2" xfId="947" xr:uid="{00000000-0005-0000-0000-000061030000}"/>
    <cellStyle name="Estilo 1 92" xfId="948" xr:uid="{00000000-0005-0000-0000-000062030000}"/>
    <cellStyle name="Estilo 1 92 2" xfId="949" xr:uid="{00000000-0005-0000-0000-000063030000}"/>
    <cellStyle name="Estilo 1 93" xfId="950" xr:uid="{00000000-0005-0000-0000-000064030000}"/>
    <cellStyle name="Estilo 1 93 2" xfId="951" xr:uid="{00000000-0005-0000-0000-000065030000}"/>
    <cellStyle name="Estilo 1 94" xfId="952" xr:uid="{00000000-0005-0000-0000-000066030000}"/>
    <cellStyle name="Estilo 1 94 2" xfId="953" xr:uid="{00000000-0005-0000-0000-000067030000}"/>
    <cellStyle name="Estilo 1 95" xfId="954" xr:uid="{00000000-0005-0000-0000-000068030000}"/>
    <cellStyle name="Estilo 1 95 2" xfId="955" xr:uid="{00000000-0005-0000-0000-000069030000}"/>
    <cellStyle name="Estilo 1 96" xfId="956" xr:uid="{00000000-0005-0000-0000-00006A030000}"/>
    <cellStyle name="Estilo 1 96 2" xfId="957" xr:uid="{00000000-0005-0000-0000-00006B030000}"/>
    <cellStyle name="Estilo 1 97" xfId="958" xr:uid="{00000000-0005-0000-0000-00006C030000}"/>
    <cellStyle name="Estilo 1 97 2" xfId="959" xr:uid="{00000000-0005-0000-0000-00006D030000}"/>
    <cellStyle name="Estilo 1 98" xfId="960" xr:uid="{00000000-0005-0000-0000-00006E030000}"/>
    <cellStyle name="Estilo 1 98 2" xfId="961" xr:uid="{00000000-0005-0000-0000-00006F030000}"/>
    <cellStyle name="Estilo 1 99" xfId="962" xr:uid="{00000000-0005-0000-0000-000070030000}"/>
    <cellStyle name="Estilo 1 99 2" xfId="963" xr:uid="{00000000-0005-0000-0000-000071030000}"/>
    <cellStyle name="Estilo 1_Enlaces" xfId="964" xr:uid="{00000000-0005-0000-0000-000072030000}"/>
    <cellStyle name="Euro" xfId="965" xr:uid="{00000000-0005-0000-0000-000073030000}"/>
    <cellStyle name="Euro 10" xfId="966" xr:uid="{00000000-0005-0000-0000-000074030000}"/>
    <cellStyle name="Euro 11" xfId="967" xr:uid="{00000000-0005-0000-0000-000075030000}"/>
    <cellStyle name="Euro 12" xfId="968" xr:uid="{00000000-0005-0000-0000-000076030000}"/>
    <cellStyle name="Euro 13" xfId="969" xr:uid="{00000000-0005-0000-0000-000077030000}"/>
    <cellStyle name="Euro 14" xfId="970" xr:uid="{00000000-0005-0000-0000-000078030000}"/>
    <cellStyle name="Euro 15" xfId="971" xr:uid="{00000000-0005-0000-0000-000079030000}"/>
    <cellStyle name="Euro 16" xfId="972" xr:uid="{00000000-0005-0000-0000-00007A030000}"/>
    <cellStyle name="Euro 17" xfId="973" xr:uid="{00000000-0005-0000-0000-00007B030000}"/>
    <cellStyle name="Euro 18" xfId="974" xr:uid="{00000000-0005-0000-0000-00007C030000}"/>
    <cellStyle name="Euro 19" xfId="975" xr:uid="{00000000-0005-0000-0000-00007D030000}"/>
    <cellStyle name="Euro 2" xfId="976" xr:uid="{00000000-0005-0000-0000-00007E030000}"/>
    <cellStyle name="Euro 2 2" xfId="977" xr:uid="{00000000-0005-0000-0000-00007F030000}"/>
    <cellStyle name="Euro 20" xfId="978" xr:uid="{00000000-0005-0000-0000-000080030000}"/>
    <cellStyle name="Euro 21" xfId="979" xr:uid="{00000000-0005-0000-0000-000081030000}"/>
    <cellStyle name="Euro 3" xfId="980" xr:uid="{00000000-0005-0000-0000-000082030000}"/>
    <cellStyle name="Euro 4" xfId="981" xr:uid="{00000000-0005-0000-0000-000083030000}"/>
    <cellStyle name="Euro 5" xfId="982" xr:uid="{00000000-0005-0000-0000-000084030000}"/>
    <cellStyle name="Euro 6" xfId="983" xr:uid="{00000000-0005-0000-0000-000085030000}"/>
    <cellStyle name="Euro 7" xfId="984" xr:uid="{00000000-0005-0000-0000-000086030000}"/>
    <cellStyle name="Euro 8" xfId="985" xr:uid="{00000000-0005-0000-0000-000087030000}"/>
    <cellStyle name="Euro 9" xfId="986" xr:uid="{00000000-0005-0000-0000-000088030000}"/>
    <cellStyle name="Excel Built-in Normal" xfId="9" xr:uid="{00000000-0005-0000-0000-000089030000}"/>
    <cellStyle name="Excel Built-in Normal 2" xfId="987" xr:uid="{00000000-0005-0000-0000-00008A030000}"/>
    <cellStyle name="Excel Built-in Normal 2 2" xfId="988" xr:uid="{00000000-0005-0000-0000-00008B030000}"/>
    <cellStyle name="Excel Built-in Normal 3" xfId="989" xr:uid="{00000000-0005-0000-0000-00008C030000}"/>
    <cellStyle name="Explanatory Text" xfId="990" xr:uid="{00000000-0005-0000-0000-00008D030000}"/>
    <cellStyle name="Explanatory Text 2" xfId="991" xr:uid="{00000000-0005-0000-0000-00008E030000}"/>
    <cellStyle name="Explanatory Text 3" xfId="992" xr:uid="{00000000-0005-0000-0000-00008F030000}"/>
    <cellStyle name="Explanatory Text 4" xfId="993" xr:uid="{00000000-0005-0000-0000-000090030000}"/>
    <cellStyle name="Explanatory Text 5" xfId="994" xr:uid="{00000000-0005-0000-0000-000091030000}"/>
    <cellStyle name="Good" xfId="995" xr:uid="{00000000-0005-0000-0000-000092030000}"/>
    <cellStyle name="Good 2" xfId="996" xr:uid="{00000000-0005-0000-0000-000093030000}"/>
    <cellStyle name="Good 3" xfId="997" xr:uid="{00000000-0005-0000-0000-000094030000}"/>
    <cellStyle name="Good 4" xfId="998" xr:uid="{00000000-0005-0000-0000-000095030000}"/>
    <cellStyle name="Good 5" xfId="999" xr:uid="{00000000-0005-0000-0000-000096030000}"/>
    <cellStyle name="Heading 1" xfId="1000" xr:uid="{00000000-0005-0000-0000-000097030000}"/>
    <cellStyle name="Heading 1 2" xfId="1001" xr:uid="{00000000-0005-0000-0000-000098030000}"/>
    <cellStyle name="Heading 1 3" xfId="1002" xr:uid="{00000000-0005-0000-0000-000099030000}"/>
    <cellStyle name="Heading 1 4" xfId="1003" xr:uid="{00000000-0005-0000-0000-00009A030000}"/>
    <cellStyle name="Heading 1 5" xfId="1004" xr:uid="{00000000-0005-0000-0000-00009B030000}"/>
    <cellStyle name="Heading 2" xfId="1005" xr:uid="{00000000-0005-0000-0000-00009C030000}"/>
    <cellStyle name="Heading 2 2" xfId="1006" xr:uid="{00000000-0005-0000-0000-00009D030000}"/>
    <cellStyle name="Heading 2 3" xfId="1007" xr:uid="{00000000-0005-0000-0000-00009E030000}"/>
    <cellStyle name="Heading 2 4" xfId="1008" xr:uid="{00000000-0005-0000-0000-00009F030000}"/>
    <cellStyle name="Heading 2 5" xfId="1009" xr:uid="{00000000-0005-0000-0000-0000A0030000}"/>
    <cellStyle name="Heading 3" xfId="1010" xr:uid="{00000000-0005-0000-0000-0000A1030000}"/>
    <cellStyle name="Heading 3 2" xfId="1011" xr:uid="{00000000-0005-0000-0000-0000A2030000}"/>
    <cellStyle name="Heading 3 3" xfId="1012" xr:uid="{00000000-0005-0000-0000-0000A3030000}"/>
    <cellStyle name="Heading 3 4" xfId="1013" xr:uid="{00000000-0005-0000-0000-0000A4030000}"/>
    <cellStyle name="Heading 3 5" xfId="1014" xr:uid="{00000000-0005-0000-0000-0000A5030000}"/>
    <cellStyle name="Heading 4" xfId="1015" xr:uid="{00000000-0005-0000-0000-0000A6030000}"/>
    <cellStyle name="Heading 4 2" xfId="1016" xr:uid="{00000000-0005-0000-0000-0000A7030000}"/>
    <cellStyle name="Heading 4 3" xfId="1017" xr:uid="{00000000-0005-0000-0000-0000A8030000}"/>
    <cellStyle name="Heading 4 4" xfId="1018" xr:uid="{00000000-0005-0000-0000-0000A9030000}"/>
    <cellStyle name="Heading 4 5" xfId="1019" xr:uid="{00000000-0005-0000-0000-0000AA030000}"/>
    <cellStyle name="Hipervínculo 2" xfId="1020" xr:uid="{00000000-0005-0000-0000-0000AB030000}"/>
    <cellStyle name="Hipervínculo 2 2" xfId="1021" xr:uid="{00000000-0005-0000-0000-0000AC030000}"/>
    <cellStyle name="Hipervínculo 3" xfId="1022" xr:uid="{00000000-0005-0000-0000-0000AD030000}"/>
    <cellStyle name="Hipervínculo 3 2" xfId="1023" xr:uid="{00000000-0005-0000-0000-0000AE030000}"/>
    <cellStyle name="Hipervínculo 4" xfId="1024" xr:uid="{00000000-0005-0000-0000-0000AF030000}"/>
    <cellStyle name="Hipervínculo 5" xfId="1025" xr:uid="{00000000-0005-0000-0000-0000B0030000}"/>
    <cellStyle name="Hipervínculo 6" xfId="1026" xr:uid="{00000000-0005-0000-0000-0000B1030000}"/>
    <cellStyle name="Hyperlink" xfId="43" xr:uid="{00000000-0005-0000-0000-0000B2030000}"/>
    <cellStyle name="Incorrecto 2" xfId="1027" xr:uid="{00000000-0005-0000-0000-0000B3030000}"/>
    <cellStyle name="Incorrecto 2 2" xfId="1028" xr:uid="{00000000-0005-0000-0000-0000B4030000}"/>
    <cellStyle name="Incorrecto 3" xfId="1029" xr:uid="{00000000-0005-0000-0000-0000B5030000}"/>
    <cellStyle name="Incorrecto 4" xfId="1030" xr:uid="{00000000-0005-0000-0000-0000B6030000}"/>
    <cellStyle name="Incorrecto 5" xfId="1031" xr:uid="{00000000-0005-0000-0000-0000B7030000}"/>
    <cellStyle name="Incorrecto 6" xfId="1032" xr:uid="{00000000-0005-0000-0000-0000B8030000}"/>
    <cellStyle name="Incorrecto 7" xfId="1033" xr:uid="{00000000-0005-0000-0000-0000B9030000}"/>
    <cellStyle name="Incorrecto 8" xfId="1034" xr:uid="{00000000-0005-0000-0000-0000BA030000}"/>
    <cellStyle name="Input" xfId="1035" xr:uid="{00000000-0005-0000-0000-0000BB030000}"/>
    <cellStyle name="Input 2" xfId="1036" xr:uid="{00000000-0005-0000-0000-0000BC030000}"/>
    <cellStyle name="Input 3" xfId="1037" xr:uid="{00000000-0005-0000-0000-0000BD030000}"/>
    <cellStyle name="Input 4" xfId="1038" xr:uid="{00000000-0005-0000-0000-0000BE030000}"/>
    <cellStyle name="Input 5" xfId="1039" xr:uid="{00000000-0005-0000-0000-0000BF030000}"/>
    <cellStyle name="Linked Cell" xfId="1040" xr:uid="{00000000-0005-0000-0000-0000C0030000}"/>
    <cellStyle name="Linked Cell 2" xfId="1041" xr:uid="{00000000-0005-0000-0000-0000C1030000}"/>
    <cellStyle name="Linked Cell 3" xfId="1042" xr:uid="{00000000-0005-0000-0000-0000C2030000}"/>
    <cellStyle name="Linked Cell 4" xfId="1043" xr:uid="{00000000-0005-0000-0000-0000C3030000}"/>
    <cellStyle name="Linked Cell 5" xfId="1044" xr:uid="{00000000-0005-0000-0000-0000C4030000}"/>
    <cellStyle name="Millares 10" xfId="1045" xr:uid="{00000000-0005-0000-0000-0000C5030000}"/>
    <cellStyle name="Millares 10 10" xfId="1046" xr:uid="{00000000-0005-0000-0000-0000C6030000}"/>
    <cellStyle name="Millares 10 11" xfId="1047" xr:uid="{00000000-0005-0000-0000-0000C7030000}"/>
    <cellStyle name="Millares 10 12" xfId="1048" xr:uid="{00000000-0005-0000-0000-0000C8030000}"/>
    <cellStyle name="Millares 10 13" xfId="1049" xr:uid="{00000000-0005-0000-0000-0000C9030000}"/>
    <cellStyle name="Millares 10 14" xfId="1050" xr:uid="{00000000-0005-0000-0000-0000CA030000}"/>
    <cellStyle name="Millares 10 15" xfId="1051" xr:uid="{00000000-0005-0000-0000-0000CB030000}"/>
    <cellStyle name="Millares 10 16" xfId="1052" xr:uid="{00000000-0005-0000-0000-0000CC030000}"/>
    <cellStyle name="Millares 10 17" xfId="1053" xr:uid="{00000000-0005-0000-0000-0000CD030000}"/>
    <cellStyle name="Millares 10 18" xfId="1054" xr:uid="{00000000-0005-0000-0000-0000CE030000}"/>
    <cellStyle name="Millares 10 19" xfId="1055" xr:uid="{00000000-0005-0000-0000-0000CF030000}"/>
    <cellStyle name="Millares 10 2" xfId="1056" xr:uid="{00000000-0005-0000-0000-0000D0030000}"/>
    <cellStyle name="Millares 10 2 2" xfId="1057" xr:uid="{00000000-0005-0000-0000-0000D1030000}"/>
    <cellStyle name="Millares 10 2 3" xfId="1058" xr:uid="{00000000-0005-0000-0000-0000D2030000}"/>
    <cellStyle name="Millares 10 20" xfId="1059" xr:uid="{00000000-0005-0000-0000-0000D3030000}"/>
    <cellStyle name="Millares 10 21" xfId="1060" xr:uid="{00000000-0005-0000-0000-0000D4030000}"/>
    <cellStyle name="Millares 10 22" xfId="1061" xr:uid="{00000000-0005-0000-0000-0000D5030000}"/>
    <cellStyle name="Millares 10 23" xfId="1062" xr:uid="{00000000-0005-0000-0000-0000D6030000}"/>
    <cellStyle name="Millares 10 24" xfId="1063" xr:uid="{00000000-0005-0000-0000-0000D7030000}"/>
    <cellStyle name="Millares 10 25" xfId="1064" xr:uid="{00000000-0005-0000-0000-0000D8030000}"/>
    <cellStyle name="Millares 10 3" xfId="1065" xr:uid="{00000000-0005-0000-0000-0000D9030000}"/>
    <cellStyle name="Millares 10 3 2" xfId="1066" xr:uid="{00000000-0005-0000-0000-0000DA030000}"/>
    <cellStyle name="Millares 10 3 3" xfId="1067" xr:uid="{00000000-0005-0000-0000-0000DB030000}"/>
    <cellStyle name="Millares 10 4" xfId="1068" xr:uid="{00000000-0005-0000-0000-0000DC030000}"/>
    <cellStyle name="Millares 10 5" xfId="1069" xr:uid="{00000000-0005-0000-0000-0000DD030000}"/>
    <cellStyle name="Millares 10 6" xfId="1070" xr:uid="{00000000-0005-0000-0000-0000DE030000}"/>
    <cellStyle name="Millares 10 7" xfId="1071" xr:uid="{00000000-0005-0000-0000-0000DF030000}"/>
    <cellStyle name="Millares 10 8" xfId="1072" xr:uid="{00000000-0005-0000-0000-0000E0030000}"/>
    <cellStyle name="Millares 10 9" xfId="1073" xr:uid="{00000000-0005-0000-0000-0000E1030000}"/>
    <cellStyle name="Millares 11" xfId="1074" xr:uid="{00000000-0005-0000-0000-0000E2030000}"/>
    <cellStyle name="Millares 11 2" xfId="1075" xr:uid="{00000000-0005-0000-0000-0000E3030000}"/>
    <cellStyle name="Millares 12" xfId="1076" xr:uid="{00000000-0005-0000-0000-0000E4030000}"/>
    <cellStyle name="Millares 12 2" xfId="1077" xr:uid="{00000000-0005-0000-0000-0000E5030000}"/>
    <cellStyle name="Millares 13" xfId="1078" xr:uid="{00000000-0005-0000-0000-0000E6030000}"/>
    <cellStyle name="Millares 13 2" xfId="1079" xr:uid="{00000000-0005-0000-0000-0000E7030000}"/>
    <cellStyle name="Millares 14" xfId="1080" xr:uid="{00000000-0005-0000-0000-0000E8030000}"/>
    <cellStyle name="Millares 15" xfId="1081" xr:uid="{00000000-0005-0000-0000-0000E9030000}"/>
    <cellStyle name="Millares 15 2" xfId="1082" xr:uid="{00000000-0005-0000-0000-0000EA030000}"/>
    <cellStyle name="Millares 16" xfId="1083" xr:uid="{00000000-0005-0000-0000-0000EB030000}"/>
    <cellStyle name="Millares 16 2" xfId="1084" xr:uid="{00000000-0005-0000-0000-0000EC030000}"/>
    <cellStyle name="Millares 17" xfId="1085" xr:uid="{00000000-0005-0000-0000-0000ED030000}"/>
    <cellStyle name="Millares 17 2" xfId="1086" xr:uid="{00000000-0005-0000-0000-0000EE030000}"/>
    <cellStyle name="Millares 18" xfId="1087" xr:uid="{00000000-0005-0000-0000-0000EF030000}"/>
    <cellStyle name="Millares 19" xfId="1088" xr:uid="{00000000-0005-0000-0000-0000F0030000}"/>
    <cellStyle name="Millares 19 2" xfId="1089" xr:uid="{00000000-0005-0000-0000-0000F1030000}"/>
    <cellStyle name="Millares 19 3" xfId="1090" xr:uid="{00000000-0005-0000-0000-0000F2030000}"/>
    <cellStyle name="Millares 2" xfId="17" xr:uid="{00000000-0005-0000-0000-0000F3030000}"/>
    <cellStyle name="Millares 2 10" xfId="1092" xr:uid="{00000000-0005-0000-0000-0000F4030000}"/>
    <cellStyle name="Millares 2 10 2" xfId="1093" xr:uid="{00000000-0005-0000-0000-0000F5030000}"/>
    <cellStyle name="Millares 2 10 3" xfId="1094" xr:uid="{00000000-0005-0000-0000-0000F6030000}"/>
    <cellStyle name="Millares 2 11" xfId="1095" xr:uid="{00000000-0005-0000-0000-0000F7030000}"/>
    <cellStyle name="Millares 2 12" xfId="1096" xr:uid="{00000000-0005-0000-0000-0000F8030000}"/>
    <cellStyle name="Millares 2 13" xfId="1097" xr:uid="{00000000-0005-0000-0000-0000F9030000}"/>
    <cellStyle name="Millares 2 13 2" xfId="1098" xr:uid="{00000000-0005-0000-0000-0000FA030000}"/>
    <cellStyle name="Millares 2 13 2 2" xfId="1099" xr:uid="{00000000-0005-0000-0000-0000FB030000}"/>
    <cellStyle name="Millares 2 14" xfId="1100" xr:uid="{00000000-0005-0000-0000-0000FC030000}"/>
    <cellStyle name="Millares 2 14 2" xfId="1101" xr:uid="{00000000-0005-0000-0000-0000FD030000}"/>
    <cellStyle name="Millares 2 14 3" xfId="1102" xr:uid="{00000000-0005-0000-0000-0000FE030000}"/>
    <cellStyle name="Millares 2 15" xfId="1103" xr:uid="{00000000-0005-0000-0000-0000FF030000}"/>
    <cellStyle name="Millares 2 15 2" xfId="1104" xr:uid="{00000000-0005-0000-0000-000000040000}"/>
    <cellStyle name="Millares 2 15 3" xfId="1105" xr:uid="{00000000-0005-0000-0000-000001040000}"/>
    <cellStyle name="Millares 2 16" xfId="1106" xr:uid="{00000000-0005-0000-0000-000002040000}"/>
    <cellStyle name="Millares 2 16 2" xfId="1107" xr:uid="{00000000-0005-0000-0000-000003040000}"/>
    <cellStyle name="Millares 2 17" xfId="1108" xr:uid="{00000000-0005-0000-0000-000004040000}"/>
    <cellStyle name="Millares 2 17 2" xfId="1109" xr:uid="{00000000-0005-0000-0000-000005040000}"/>
    <cellStyle name="Millares 2 18" xfId="1110" xr:uid="{00000000-0005-0000-0000-000006040000}"/>
    <cellStyle name="Millares 2 19" xfId="1111" xr:uid="{00000000-0005-0000-0000-000007040000}"/>
    <cellStyle name="Millares 2 2" xfId="29" xr:uid="{00000000-0005-0000-0000-000008040000}"/>
    <cellStyle name="Millares 2 2 10" xfId="1113" xr:uid="{00000000-0005-0000-0000-000009040000}"/>
    <cellStyle name="Millares 2 2 11" xfId="1114" xr:uid="{00000000-0005-0000-0000-00000A040000}"/>
    <cellStyle name="Millares 2 2 12" xfId="1115" xr:uid="{00000000-0005-0000-0000-00000B040000}"/>
    <cellStyle name="Millares 2 2 13" xfId="1116" xr:uid="{00000000-0005-0000-0000-00000C040000}"/>
    <cellStyle name="Millares 2 2 14" xfId="1117" xr:uid="{00000000-0005-0000-0000-00000D040000}"/>
    <cellStyle name="Millares 2 2 15" xfId="1118" xr:uid="{00000000-0005-0000-0000-00000E040000}"/>
    <cellStyle name="Millares 2 2 16" xfId="1119" xr:uid="{00000000-0005-0000-0000-00000F040000}"/>
    <cellStyle name="Millares 2 2 17" xfId="1120" xr:uid="{00000000-0005-0000-0000-000010040000}"/>
    <cellStyle name="Millares 2 2 18" xfId="1121" xr:uid="{00000000-0005-0000-0000-000011040000}"/>
    <cellStyle name="Millares 2 2 19" xfId="1122" xr:uid="{00000000-0005-0000-0000-000012040000}"/>
    <cellStyle name="Millares 2 2 2" xfId="1123" xr:uid="{00000000-0005-0000-0000-000013040000}"/>
    <cellStyle name="Millares 2 2 2 10" xfId="1124" xr:uid="{00000000-0005-0000-0000-000014040000}"/>
    <cellStyle name="Millares 2 2 2 11" xfId="1125" xr:uid="{00000000-0005-0000-0000-000015040000}"/>
    <cellStyle name="Millares 2 2 2 12" xfId="1126" xr:uid="{00000000-0005-0000-0000-000016040000}"/>
    <cellStyle name="Millares 2 2 2 13" xfId="1127" xr:uid="{00000000-0005-0000-0000-000017040000}"/>
    <cellStyle name="Millares 2 2 2 14" xfId="1128" xr:uid="{00000000-0005-0000-0000-000018040000}"/>
    <cellStyle name="Millares 2 2 2 15" xfId="1129" xr:uid="{00000000-0005-0000-0000-000019040000}"/>
    <cellStyle name="Millares 2 2 2 16" xfId="1130" xr:uid="{00000000-0005-0000-0000-00001A040000}"/>
    <cellStyle name="Millares 2 2 2 17" xfId="1131" xr:uid="{00000000-0005-0000-0000-00001B040000}"/>
    <cellStyle name="Millares 2 2 2 18" xfId="1132" xr:uid="{00000000-0005-0000-0000-00001C040000}"/>
    <cellStyle name="Millares 2 2 2 19" xfId="1133" xr:uid="{00000000-0005-0000-0000-00001D040000}"/>
    <cellStyle name="Millares 2 2 2 2" xfId="1134" xr:uid="{00000000-0005-0000-0000-00001E040000}"/>
    <cellStyle name="Millares 2 2 2 2 10" xfId="1135" xr:uid="{00000000-0005-0000-0000-00001F040000}"/>
    <cellStyle name="Millares 2 2 2 2 11" xfId="1136" xr:uid="{00000000-0005-0000-0000-000020040000}"/>
    <cellStyle name="Millares 2 2 2 2 12" xfId="1137" xr:uid="{00000000-0005-0000-0000-000021040000}"/>
    <cellStyle name="Millares 2 2 2 2 13" xfId="1138" xr:uid="{00000000-0005-0000-0000-000022040000}"/>
    <cellStyle name="Millares 2 2 2 2 14" xfId="1139" xr:uid="{00000000-0005-0000-0000-000023040000}"/>
    <cellStyle name="Millares 2 2 2 2 15" xfId="1140" xr:uid="{00000000-0005-0000-0000-000024040000}"/>
    <cellStyle name="Millares 2 2 2 2 16" xfId="1141" xr:uid="{00000000-0005-0000-0000-000025040000}"/>
    <cellStyle name="Millares 2 2 2 2 17" xfId="1142" xr:uid="{00000000-0005-0000-0000-000026040000}"/>
    <cellStyle name="Millares 2 2 2 2 18" xfId="1143" xr:uid="{00000000-0005-0000-0000-000027040000}"/>
    <cellStyle name="Millares 2 2 2 2 19" xfId="1144" xr:uid="{00000000-0005-0000-0000-000028040000}"/>
    <cellStyle name="Millares 2 2 2 2 2" xfId="1145" xr:uid="{00000000-0005-0000-0000-000029040000}"/>
    <cellStyle name="Millares 2 2 2 2 2 10" xfId="1146" xr:uid="{00000000-0005-0000-0000-00002A040000}"/>
    <cellStyle name="Millares 2 2 2 2 2 11" xfId="1147" xr:uid="{00000000-0005-0000-0000-00002B040000}"/>
    <cellStyle name="Millares 2 2 2 2 2 12" xfId="1148" xr:uid="{00000000-0005-0000-0000-00002C040000}"/>
    <cellStyle name="Millares 2 2 2 2 2 13" xfId="1149" xr:uid="{00000000-0005-0000-0000-00002D040000}"/>
    <cellStyle name="Millares 2 2 2 2 2 14" xfId="1150" xr:uid="{00000000-0005-0000-0000-00002E040000}"/>
    <cellStyle name="Millares 2 2 2 2 2 15" xfId="1151" xr:uid="{00000000-0005-0000-0000-00002F040000}"/>
    <cellStyle name="Millares 2 2 2 2 2 16" xfId="1152" xr:uid="{00000000-0005-0000-0000-000030040000}"/>
    <cellStyle name="Millares 2 2 2 2 2 17" xfId="1153" xr:uid="{00000000-0005-0000-0000-000031040000}"/>
    <cellStyle name="Millares 2 2 2 2 2 18" xfId="1154" xr:uid="{00000000-0005-0000-0000-000032040000}"/>
    <cellStyle name="Millares 2 2 2 2 2 19" xfId="1155" xr:uid="{00000000-0005-0000-0000-000033040000}"/>
    <cellStyle name="Millares 2 2 2 2 2 2" xfId="1156" xr:uid="{00000000-0005-0000-0000-000034040000}"/>
    <cellStyle name="Millares 2 2 2 2 2 2 10" xfId="1157" xr:uid="{00000000-0005-0000-0000-000035040000}"/>
    <cellStyle name="Millares 2 2 2 2 2 2 11" xfId="1158" xr:uid="{00000000-0005-0000-0000-000036040000}"/>
    <cellStyle name="Millares 2 2 2 2 2 2 12" xfId="1159" xr:uid="{00000000-0005-0000-0000-000037040000}"/>
    <cellStyle name="Millares 2 2 2 2 2 2 13" xfId="1160" xr:uid="{00000000-0005-0000-0000-000038040000}"/>
    <cellStyle name="Millares 2 2 2 2 2 2 14" xfId="1161" xr:uid="{00000000-0005-0000-0000-000039040000}"/>
    <cellStyle name="Millares 2 2 2 2 2 2 15" xfId="1162" xr:uid="{00000000-0005-0000-0000-00003A040000}"/>
    <cellStyle name="Millares 2 2 2 2 2 2 16" xfId="1163" xr:uid="{00000000-0005-0000-0000-00003B040000}"/>
    <cellStyle name="Millares 2 2 2 2 2 2 17" xfId="1164" xr:uid="{00000000-0005-0000-0000-00003C040000}"/>
    <cellStyle name="Millares 2 2 2 2 2 2 18" xfId="1165" xr:uid="{00000000-0005-0000-0000-00003D040000}"/>
    <cellStyle name="Millares 2 2 2 2 2 2 19" xfId="1166" xr:uid="{00000000-0005-0000-0000-00003E040000}"/>
    <cellStyle name="Millares 2 2 2 2 2 2 2" xfId="1167" xr:uid="{00000000-0005-0000-0000-00003F040000}"/>
    <cellStyle name="Millares 2 2 2 2 2 2 2 10" xfId="1168" xr:uid="{00000000-0005-0000-0000-000040040000}"/>
    <cellStyle name="Millares 2 2 2 2 2 2 2 11" xfId="1169" xr:uid="{00000000-0005-0000-0000-000041040000}"/>
    <cellStyle name="Millares 2 2 2 2 2 2 2 12" xfId="1170" xr:uid="{00000000-0005-0000-0000-000042040000}"/>
    <cellStyle name="Millares 2 2 2 2 2 2 2 13" xfId="1171" xr:uid="{00000000-0005-0000-0000-000043040000}"/>
    <cellStyle name="Millares 2 2 2 2 2 2 2 14" xfId="1172" xr:uid="{00000000-0005-0000-0000-000044040000}"/>
    <cellStyle name="Millares 2 2 2 2 2 2 2 15" xfId="1173" xr:uid="{00000000-0005-0000-0000-000045040000}"/>
    <cellStyle name="Millares 2 2 2 2 2 2 2 16" xfId="1174" xr:uid="{00000000-0005-0000-0000-000046040000}"/>
    <cellStyle name="Millares 2 2 2 2 2 2 2 17" xfId="1175" xr:uid="{00000000-0005-0000-0000-000047040000}"/>
    <cellStyle name="Millares 2 2 2 2 2 2 2 18" xfId="1176" xr:uid="{00000000-0005-0000-0000-000048040000}"/>
    <cellStyle name="Millares 2 2 2 2 2 2 2 19" xfId="1177" xr:uid="{00000000-0005-0000-0000-000049040000}"/>
    <cellStyle name="Millares 2 2 2 2 2 2 2 2" xfId="1178" xr:uid="{00000000-0005-0000-0000-00004A040000}"/>
    <cellStyle name="Millares 2 2 2 2 2 2 2 2 10" xfId="1179" xr:uid="{00000000-0005-0000-0000-00004B040000}"/>
    <cellStyle name="Millares 2 2 2 2 2 2 2 2 11" xfId="1180" xr:uid="{00000000-0005-0000-0000-00004C040000}"/>
    <cellStyle name="Millares 2 2 2 2 2 2 2 2 12" xfId="1181" xr:uid="{00000000-0005-0000-0000-00004D040000}"/>
    <cellStyle name="Millares 2 2 2 2 2 2 2 2 13" xfId="1182" xr:uid="{00000000-0005-0000-0000-00004E040000}"/>
    <cellStyle name="Millares 2 2 2 2 2 2 2 2 14" xfId="1183" xr:uid="{00000000-0005-0000-0000-00004F040000}"/>
    <cellStyle name="Millares 2 2 2 2 2 2 2 2 15" xfId="1184" xr:uid="{00000000-0005-0000-0000-000050040000}"/>
    <cellStyle name="Millares 2 2 2 2 2 2 2 2 2" xfId="1185" xr:uid="{00000000-0005-0000-0000-000051040000}"/>
    <cellStyle name="Millares 2 2 2 2 2 2 2 2 2 10" xfId="1186" xr:uid="{00000000-0005-0000-0000-000052040000}"/>
    <cellStyle name="Millares 2 2 2 2 2 2 2 2 2 11" xfId="1187" xr:uid="{00000000-0005-0000-0000-000053040000}"/>
    <cellStyle name="Millares 2 2 2 2 2 2 2 2 2 12" xfId="1188" xr:uid="{00000000-0005-0000-0000-000054040000}"/>
    <cellStyle name="Millares 2 2 2 2 2 2 2 2 2 13" xfId="1189" xr:uid="{00000000-0005-0000-0000-000055040000}"/>
    <cellStyle name="Millares 2 2 2 2 2 2 2 2 2 14" xfId="1190" xr:uid="{00000000-0005-0000-0000-000056040000}"/>
    <cellStyle name="Millares 2 2 2 2 2 2 2 2 2 15" xfId="1191" xr:uid="{00000000-0005-0000-0000-000057040000}"/>
    <cellStyle name="Millares 2 2 2 2 2 2 2 2 2 2" xfId="1192" xr:uid="{00000000-0005-0000-0000-000058040000}"/>
    <cellStyle name="Millares 2 2 2 2 2 2 2 2 2 2 10" xfId="1193" xr:uid="{00000000-0005-0000-0000-000059040000}"/>
    <cellStyle name="Millares 2 2 2 2 2 2 2 2 2 2 11" xfId="1194" xr:uid="{00000000-0005-0000-0000-00005A040000}"/>
    <cellStyle name="Millares 2 2 2 2 2 2 2 2 2 2 12" xfId="1195" xr:uid="{00000000-0005-0000-0000-00005B040000}"/>
    <cellStyle name="Millares 2 2 2 2 2 2 2 2 2 2 2" xfId="1196" xr:uid="{00000000-0005-0000-0000-00005C040000}"/>
    <cellStyle name="Millares 2 2 2 2 2 2 2 2 2 2 2 10" xfId="1197" xr:uid="{00000000-0005-0000-0000-00005D040000}"/>
    <cellStyle name="Millares 2 2 2 2 2 2 2 2 2 2 2 2" xfId="1198" xr:uid="{00000000-0005-0000-0000-00005E040000}"/>
    <cellStyle name="Millares 2 2 2 2 2 2 2 2 2 2 2 3" xfId="1199" xr:uid="{00000000-0005-0000-0000-00005F040000}"/>
    <cellStyle name="Millares 2 2 2 2 2 2 2 2 2 2 2 4" xfId="1200" xr:uid="{00000000-0005-0000-0000-000060040000}"/>
    <cellStyle name="Millares 2 2 2 2 2 2 2 2 2 2 2 5" xfId="1201" xr:uid="{00000000-0005-0000-0000-000061040000}"/>
    <cellStyle name="Millares 2 2 2 2 2 2 2 2 2 2 2 6" xfId="1202" xr:uid="{00000000-0005-0000-0000-000062040000}"/>
    <cellStyle name="Millares 2 2 2 2 2 2 2 2 2 2 2 7" xfId="1203" xr:uid="{00000000-0005-0000-0000-000063040000}"/>
    <cellStyle name="Millares 2 2 2 2 2 2 2 2 2 2 2 8" xfId="1204" xr:uid="{00000000-0005-0000-0000-000064040000}"/>
    <cellStyle name="Millares 2 2 2 2 2 2 2 2 2 2 2 9" xfId="1205" xr:uid="{00000000-0005-0000-0000-000065040000}"/>
    <cellStyle name="Millares 2 2 2 2 2 2 2 2 2 2 3" xfId="1206" xr:uid="{00000000-0005-0000-0000-000066040000}"/>
    <cellStyle name="Millares 2 2 2 2 2 2 2 2 2 2 4" xfId="1207" xr:uid="{00000000-0005-0000-0000-000067040000}"/>
    <cellStyle name="Millares 2 2 2 2 2 2 2 2 2 2 5" xfId="1208" xr:uid="{00000000-0005-0000-0000-000068040000}"/>
    <cellStyle name="Millares 2 2 2 2 2 2 2 2 2 2 6" xfId="1209" xr:uid="{00000000-0005-0000-0000-000069040000}"/>
    <cellStyle name="Millares 2 2 2 2 2 2 2 2 2 2 7" xfId="1210" xr:uid="{00000000-0005-0000-0000-00006A040000}"/>
    <cellStyle name="Millares 2 2 2 2 2 2 2 2 2 2 8" xfId="1211" xr:uid="{00000000-0005-0000-0000-00006B040000}"/>
    <cellStyle name="Millares 2 2 2 2 2 2 2 2 2 2 9" xfId="1212" xr:uid="{00000000-0005-0000-0000-00006C040000}"/>
    <cellStyle name="Millares 2 2 2 2 2 2 2 2 2 3" xfId="1213" xr:uid="{00000000-0005-0000-0000-00006D040000}"/>
    <cellStyle name="Millares 2 2 2 2 2 2 2 2 2 4" xfId="1214" xr:uid="{00000000-0005-0000-0000-00006E040000}"/>
    <cellStyle name="Millares 2 2 2 2 2 2 2 2 2 5" xfId="1215" xr:uid="{00000000-0005-0000-0000-00006F040000}"/>
    <cellStyle name="Millares 2 2 2 2 2 2 2 2 2 6" xfId="1216" xr:uid="{00000000-0005-0000-0000-000070040000}"/>
    <cellStyle name="Millares 2 2 2 2 2 2 2 2 2 6 10" xfId="1217" xr:uid="{00000000-0005-0000-0000-000071040000}"/>
    <cellStyle name="Millares 2 2 2 2 2 2 2 2 2 6 2" xfId="1218" xr:uid="{00000000-0005-0000-0000-000072040000}"/>
    <cellStyle name="Millares 2 2 2 2 2 2 2 2 2 6 3" xfId="1219" xr:uid="{00000000-0005-0000-0000-000073040000}"/>
    <cellStyle name="Millares 2 2 2 2 2 2 2 2 2 6 4" xfId="1220" xr:uid="{00000000-0005-0000-0000-000074040000}"/>
    <cellStyle name="Millares 2 2 2 2 2 2 2 2 2 6 5" xfId="1221" xr:uid="{00000000-0005-0000-0000-000075040000}"/>
    <cellStyle name="Millares 2 2 2 2 2 2 2 2 2 6 6" xfId="1222" xr:uid="{00000000-0005-0000-0000-000076040000}"/>
    <cellStyle name="Millares 2 2 2 2 2 2 2 2 2 6 7" xfId="1223" xr:uid="{00000000-0005-0000-0000-000077040000}"/>
    <cellStyle name="Millares 2 2 2 2 2 2 2 2 2 6 8" xfId="1224" xr:uid="{00000000-0005-0000-0000-000078040000}"/>
    <cellStyle name="Millares 2 2 2 2 2 2 2 2 2 6 9" xfId="1225" xr:uid="{00000000-0005-0000-0000-000079040000}"/>
    <cellStyle name="Millares 2 2 2 2 2 2 2 2 2 7" xfId="1226" xr:uid="{00000000-0005-0000-0000-00007A040000}"/>
    <cellStyle name="Millares 2 2 2 2 2 2 2 2 2 8" xfId="1227" xr:uid="{00000000-0005-0000-0000-00007B040000}"/>
    <cellStyle name="Millares 2 2 2 2 2 2 2 2 2 9" xfId="1228" xr:uid="{00000000-0005-0000-0000-00007C040000}"/>
    <cellStyle name="Millares 2 2 2 2 2 2 2 2 3" xfId="1229" xr:uid="{00000000-0005-0000-0000-00007D040000}"/>
    <cellStyle name="Millares 2 2 2 2 2 2 2 2 4" xfId="1230" xr:uid="{00000000-0005-0000-0000-00007E040000}"/>
    <cellStyle name="Millares 2 2 2 2 2 2 2 2 5" xfId="1231" xr:uid="{00000000-0005-0000-0000-00007F040000}"/>
    <cellStyle name="Millares 2 2 2 2 2 2 2 2 6" xfId="1232" xr:uid="{00000000-0005-0000-0000-000080040000}"/>
    <cellStyle name="Millares 2 2 2 2 2 2 2 2 6 10" xfId="1233" xr:uid="{00000000-0005-0000-0000-000081040000}"/>
    <cellStyle name="Millares 2 2 2 2 2 2 2 2 6 2" xfId="1234" xr:uid="{00000000-0005-0000-0000-000082040000}"/>
    <cellStyle name="Millares 2 2 2 2 2 2 2 2 6 3" xfId="1235" xr:uid="{00000000-0005-0000-0000-000083040000}"/>
    <cellStyle name="Millares 2 2 2 2 2 2 2 2 6 4" xfId="1236" xr:uid="{00000000-0005-0000-0000-000084040000}"/>
    <cellStyle name="Millares 2 2 2 2 2 2 2 2 6 5" xfId="1237" xr:uid="{00000000-0005-0000-0000-000085040000}"/>
    <cellStyle name="Millares 2 2 2 2 2 2 2 2 6 6" xfId="1238" xr:uid="{00000000-0005-0000-0000-000086040000}"/>
    <cellStyle name="Millares 2 2 2 2 2 2 2 2 6 7" xfId="1239" xr:uid="{00000000-0005-0000-0000-000087040000}"/>
    <cellStyle name="Millares 2 2 2 2 2 2 2 2 6 8" xfId="1240" xr:uid="{00000000-0005-0000-0000-000088040000}"/>
    <cellStyle name="Millares 2 2 2 2 2 2 2 2 6 9" xfId="1241" xr:uid="{00000000-0005-0000-0000-000089040000}"/>
    <cellStyle name="Millares 2 2 2 2 2 2 2 2 7" xfId="1242" xr:uid="{00000000-0005-0000-0000-00008A040000}"/>
    <cellStyle name="Millares 2 2 2 2 2 2 2 2 8" xfId="1243" xr:uid="{00000000-0005-0000-0000-00008B040000}"/>
    <cellStyle name="Millares 2 2 2 2 2 2 2 2 9" xfId="1244" xr:uid="{00000000-0005-0000-0000-00008C040000}"/>
    <cellStyle name="Millares 2 2 2 2 2 2 2 20" xfId="1245" xr:uid="{00000000-0005-0000-0000-00008D040000}"/>
    <cellStyle name="Millares 2 2 2 2 2 2 2 21" xfId="1246" xr:uid="{00000000-0005-0000-0000-00008E040000}"/>
    <cellStyle name="Millares 2 2 2 2 2 2 2 22" xfId="1247" xr:uid="{00000000-0005-0000-0000-00008F040000}"/>
    <cellStyle name="Millares 2 2 2 2 2 2 2 23" xfId="1248" xr:uid="{00000000-0005-0000-0000-000090040000}"/>
    <cellStyle name="Millares 2 2 2 2 2 2 2 24" xfId="1249" xr:uid="{00000000-0005-0000-0000-000091040000}"/>
    <cellStyle name="Millares 2 2 2 2 2 2 2 25" xfId="1250" xr:uid="{00000000-0005-0000-0000-000092040000}"/>
    <cellStyle name="Millares 2 2 2 2 2 2 2 25 10" xfId="1251" xr:uid="{00000000-0005-0000-0000-000093040000}"/>
    <cellStyle name="Millares 2 2 2 2 2 2 2 25 2" xfId="1252" xr:uid="{00000000-0005-0000-0000-000094040000}"/>
    <cellStyle name="Millares 2 2 2 2 2 2 2 25 3" xfId="1253" xr:uid="{00000000-0005-0000-0000-000095040000}"/>
    <cellStyle name="Millares 2 2 2 2 2 2 2 25 4" xfId="1254" xr:uid="{00000000-0005-0000-0000-000096040000}"/>
    <cellStyle name="Millares 2 2 2 2 2 2 2 25 5" xfId="1255" xr:uid="{00000000-0005-0000-0000-000097040000}"/>
    <cellStyle name="Millares 2 2 2 2 2 2 2 25 6" xfId="1256" xr:uid="{00000000-0005-0000-0000-000098040000}"/>
    <cellStyle name="Millares 2 2 2 2 2 2 2 25 7" xfId="1257" xr:uid="{00000000-0005-0000-0000-000099040000}"/>
    <cellStyle name="Millares 2 2 2 2 2 2 2 25 8" xfId="1258" xr:uid="{00000000-0005-0000-0000-00009A040000}"/>
    <cellStyle name="Millares 2 2 2 2 2 2 2 25 9" xfId="1259" xr:uid="{00000000-0005-0000-0000-00009B040000}"/>
    <cellStyle name="Millares 2 2 2 2 2 2 2 26" xfId="1260" xr:uid="{00000000-0005-0000-0000-00009C040000}"/>
    <cellStyle name="Millares 2 2 2 2 2 2 2 27" xfId="1261" xr:uid="{00000000-0005-0000-0000-00009D040000}"/>
    <cellStyle name="Millares 2 2 2 2 2 2 2 28" xfId="1262" xr:uid="{00000000-0005-0000-0000-00009E040000}"/>
    <cellStyle name="Millares 2 2 2 2 2 2 2 29" xfId="1263" xr:uid="{00000000-0005-0000-0000-00009F040000}"/>
    <cellStyle name="Millares 2 2 2 2 2 2 2 3" xfId="1264" xr:uid="{00000000-0005-0000-0000-0000A0040000}"/>
    <cellStyle name="Millares 2 2 2 2 2 2 2 30" xfId="1265" xr:uid="{00000000-0005-0000-0000-0000A1040000}"/>
    <cellStyle name="Millares 2 2 2 2 2 2 2 31" xfId="1266" xr:uid="{00000000-0005-0000-0000-0000A2040000}"/>
    <cellStyle name="Millares 2 2 2 2 2 2 2 32" xfId="1267" xr:uid="{00000000-0005-0000-0000-0000A3040000}"/>
    <cellStyle name="Millares 2 2 2 2 2 2 2 33" xfId="1268" xr:uid="{00000000-0005-0000-0000-0000A4040000}"/>
    <cellStyle name="Millares 2 2 2 2 2 2 2 34" xfId="1269" xr:uid="{00000000-0005-0000-0000-0000A5040000}"/>
    <cellStyle name="Millares 2 2 2 2 2 2 2 4" xfId="1270" xr:uid="{00000000-0005-0000-0000-0000A6040000}"/>
    <cellStyle name="Millares 2 2 2 2 2 2 2 5" xfId="1271" xr:uid="{00000000-0005-0000-0000-0000A7040000}"/>
    <cellStyle name="Millares 2 2 2 2 2 2 2 6" xfId="1272" xr:uid="{00000000-0005-0000-0000-0000A8040000}"/>
    <cellStyle name="Millares 2 2 2 2 2 2 2 7" xfId="1273" xr:uid="{00000000-0005-0000-0000-0000A9040000}"/>
    <cellStyle name="Millares 2 2 2 2 2 2 2 8" xfId="1274" xr:uid="{00000000-0005-0000-0000-0000AA040000}"/>
    <cellStyle name="Millares 2 2 2 2 2 2 2 9" xfId="1275" xr:uid="{00000000-0005-0000-0000-0000AB040000}"/>
    <cellStyle name="Millares 2 2 2 2 2 2 20" xfId="1276" xr:uid="{00000000-0005-0000-0000-0000AC040000}"/>
    <cellStyle name="Millares 2 2 2 2 2 2 21" xfId="1277" xr:uid="{00000000-0005-0000-0000-0000AD040000}"/>
    <cellStyle name="Millares 2 2 2 2 2 2 22" xfId="1278" xr:uid="{00000000-0005-0000-0000-0000AE040000}"/>
    <cellStyle name="Millares 2 2 2 2 2 2 23" xfId="1279" xr:uid="{00000000-0005-0000-0000-0000AF040000}"/>
    <cellStyle name="Millares 2 2 2 2 2 2 24" xfId="1280" xr:uid="{00000000-0005-0000-0000-0000B0040000}"/>
    <cellStyle name="Millares 2 2 2 2 2 2 25" xfId="1281" xr:uid="{00000000-0005-0000-0000-0000B1040000}"/>
    <cellStyle name="Millares 2 2 2 2 2 2 25 10" xfId="1282" xr:uid="{00000000-0005-0000-0000-0000B2040000}"/>
    <cellStyle name="Millares 2 2 2 2 2 2 25 2" xfId="1283" xr:uid="{00000000-0005-0000-0000-0000B3040000}"/>
    <cellStyle name="Millares 2 2 2 2 2 2 25 3" xfId="1284" xr:uid="{00000000-0005-0000-0000-0000B4040000}"/>
    <cellStyle name="Millares 2 2 2 2 2 2 25 4" xfId="1285" xr:uid="{00000000-0005-0000-0000-0000B5040000}"/>
    <cellStyle name="Millares 2 2 2 2 2 2 25 5" xfId="1286" xr:uid="{00000000-0005-0000-0000-0000B6040000}"/>
    <cellStyle name="Millares 2 2 2 2 2 2 25 6" xfId="1287" xr:uid="{00000000-0005-0000-0000-0000B7040000}"/>
    <cellStyle name="Millares 2 2 2 2 2 2 25 7" xfId="1288" xr:uid="{00000000-0005-0000-0000-0000B8040000}"/>
    <cellStyle name="Millares 2 2 2 2 2 2 25 8" xfId="1289" xr:uid="{00000000-0005-0000-0000-0000B9040000}"/>
    <cellStyle name="Millares 2 2 2 2 2 2 25 9" xfId="1290" xr:uid="{00000000-0005-0000-0000-0000BA040000}"/>
    <cellStyle name="Millares 2 2 2 2 2 2 26" xfId="1291" xr:uid="{00000000-0005-0000-0000-0000BB040000}"/>
    <cellStyle name="Millares 2 2 2 2 2 2 27" xfId="1292" xr:uid="{00000000-0005-0000-0000-0000BC040000}"/>
    <cellStyle name="Millares 2 2 2 2 2 2 28" xfId="1293" xr:uid="{00000000-0005-0000-0000-0000BD040000}"/>
    <cellStyle name="Millares 2 2 2 2 2 2 29" xfId="1294" xr:uid="{00000000-0005-0000-0000-0000BE040000}"/>
    <cellStyle name="Millares 2 2 2 2 2 2 3" xfId="1295" xr:uid="{00000000-0005-0000-0000-0000BF040000}"/>
    <cellStyle name="Millares 2 2 2 2 2 2 30" xfId="1296" xr:uid="{00000000-0005-0000-0000-0000C0040000}"/>
    <cellStyle name="Millares 2 2 2 2 2 2 31" xfId="1297" xr:uid="{00000000-0005-0000-0000-0000C1040000}"/>
    <cellStyle name="Millares 2 2 2 2 2 2 32" xfId="1298" xr:uid="{00000000-0005-0000-0000-0000C2040000}"/>
    <cellStyle name="Millares 2 2 2 2 2 2 33" xfId="1299" xr:uid="{00000000-0005-0000-0000-0000C3040000}"/>
    <cellStyle name="Millares 2 2 2 2 2 2 34" xfId="1300" xr:uid="{00000000-0005-0000-0000-0000C4040000}"/>
    <cellStyle name="Millares 2 2 2 2 2 2 35" xfId="1301" xr:uid="{00000000-0005-0000-0000-0000C5040000}"/>
    <cellStyle name="Millares 2 2 2 2 2 2 4" xfId="1302" xr:uid="{00000000-0005-0000-0000-0000C6040000}"/>
    <cellStyle name="Millares 2 2 2 2 2 2 5" xfId="1303" xr:uid="{00000000-0005-0000-0000-0000C7040000}"/>
    <cellStyle name="Millares 2 2 2 2 2 2 6" xfId="1304" xr:uid="{00000000-0005-0000-0000-0000C8040000}"/>
    <cellStyle name="Millares 2 2 2 2 2 2 7" xfId="1305" xr:uid="{00000000-0005-0000-0000-0000C9040000}"/>
    <cellStyle name="Millares 2 2 2 2 2 2 8" xfId="1306" xr:uid="{00000000-0005-0000-0000-0000CA040000}"/>
    <cellStyle name="Millares 2 2 2 2 2 2 9" xfId="1307" xr:uid="{00000000-0005-0000-0000-0000CB040000}"/>
    <cellStyle name="Millares 2 2 2 2 2 20" xfId="1308" xr:uid="{00000000-0005-0000-0000-0000CC040000}"/>
    <cellStyle name="Millares 2 2 2 2 2 21" xfId="1309" xr:uid="{00000000-0005-0000-0000-0000CD040000}"/>
    <cellStyle name="Millares 2 2 2 2 2 22" xfId="1310" xr:uid="{00000000-0005-0000-0000-0000CE040000}"/>
    <cellStyle name="Millares 2 2 2 2 2 23" xfId="1311" xr:uid="{00000000-0005-0000-0000-0000CF040000}"/>
    <cellStyle name="Millares 2 2 2 2 2 24" xfId="1312" xr:uid="{00000000-0005-0000-0000-0000D0040000}"/>
    <cellStyle name="Millares 2 2 2 2 2 25" xfId="1313" xr:uid="{00000000-0005-0000-0000-0000D1040000}"/>
    <cellStyle name="Millares 2 2 2 2 2 26" xfId="1314" xr:uid="{00000000-0005-0000-0000-0000D2040000}"/>
    <cellStyle name="Millares 2 2 2 2 2 27" xfId="1315" xr:uid="{00000000-0005-0000-0000-0000D3040000}"/>
    <cellStyle name="Millares 2 2 2 2 2 28" xfId="1316" xr:uid="{00000000-0005-0000-0000-0000D4040000}"/>
    <cellStyle name="Millares 2 2 2 2 2 29" xfId="1317" xr:uid="{00000000-0005-0000-0000-0000D5040000}"/>
    <cellStyle name="Millares 2 2 2 2 2 3" xfId="1318" xr:uid="{00000000-0005-0000-0000-0000D6040000}"/>
    <cellStyle name="Millares 2 2 2 2 2 30" xfId="1319" xr:uid="{00000000-0005-0000-0000-0000D7040000}"/>
    <cellStyle name="Millares 2 2 2 2 2 31" xfId="1320" xr:uid="{00000000-0005-0000-0000-0000D8040000}"/>
    <cellStyle name="Millares 2 2 2 2 2 32" xfId="1321" xr:uid="{00000000-0005-0000-0000-0000D9040000}"/>
    <cellStyle name="Millares 2 2 2 2 2 33" xfId="1322" xr:uid="{00000000-0005-0000-0000-0000DA040000}"/>
    <cellStyle name="Millares 2 2 2 2 2 34" xfId="1323" xr:uid="{00000000-0005-0000-0000-0000DB040000}"/>
    <cellStyle name="Millares 2 2 2 2 2 35" xfId="1324" xr:uid="{00000000-0005-0000-0000-0000DC040000}"/>
    <cellStyle name="Millares 2 2 2 2 2 36" xfId="1325" xr:uid="{00000000-0005-0000-0000-0000DD040000}"/>
    <cellStyle name="Millares 2 2 2 2 2 37" xfId="1326" xr:uid="{00000000-0005-0000-0000-0000DE040000}"/>
    <cellStyle name="Millares 2 2 2 2 2 38" xfId="1327" xr:uid="{00000000-0005-0000-0000-0000DF040000}"/>
    <cellStyle name="Millares 2 2 2 2 2 38 10" xfId="1328" xr:uid="{00000000-0005-0000-0000-0000E0040000}"/>
    <cellStyle name="Millares 2 2 2 2 2 38 2" xfId="1329" xr:uid="{00000000-0005-0000-0000-0000E1040000}"/>
    <cellStyle name="Millares 2 2 2 2 2 38 3" xfId="1330" xr:uid="{00000000-0005-0000-0000-0000E2040000}"/>
    <cellStyle name="Millares 2 2 2 2 2 38 4" xfId="1331" xr:uid="{00000000-0005-0000-0000-0000E3040000}"/>
    <cellStyle name="Millares 2 2 2 2 2 38 5" xfId="1332" xr:uid="{00000000-0005-0000-0000-0000E4040000}"/>
    <cellStyle name="Millares 2 2 2 2 2 38 6" xfId="1333" xr:uid="{00000000-0005-0000-0000-0000E5040000}"/>
    <cellStyle name="Millares 2 2 2 2 2 38 7" xfId="1334" xr:uid="{00000000-0005-0000-0000-0000E6040000}"/>
    <cellStyle name="Millares 2 2 2 2 2 38 8" xfId="1335" xr:uid="{00000000-0005-0000-0000-0000E7040000}"/>
    <cellStyle name="Millares 2 2 2 2 2 38 9" xfId="1336" xr:uid="{00000000-0005-0000-0000-0000E8040000}"/>
    <cellStyle name="Millares 2 2 2 2 2 39" xfId="1337" xr:uid="{00000000-0005-0000-0000-0000E9040000}"/>
    <cellStyle name="Millares 2 2 2 2 2 4" xfId="1338" xr:uid="{00000000-0005-0000-0000-0000EA040000}"/>
    <cellStyle name="Millares 2 2 2 2 2 40" xfId="1339" xr:uid="{00000000-0005-0000-0000-0000EB040000}"/>
    <cellStyle name="Millares 2 2 2 2 2 41" xfId="1340" xr:uid="{00000000-0005-0000-0000-0000EC040000}"/>
    <cellStyle name="Millares 2 2 2 2 2 42" xfId="1341" xr:uid="{00000000-0005-0000-0000-0000ED040000}"/>
    <cellStyle name="Millares 2 2 2 2 2 43" xfId="1342" xr:uid="{00000000-0005-0000-0000-0000EE040000}"/>
    <cellStyle name="Millares 2 2 2 2 2 44" xfId="1343" xr:uid="{00000000-0005-0000-0000-0000EF040000}"/>
    <cellStyle name="Millares 2 2 2 2 2 45" xfId="1344" xr:uid="{00000000-0005-0000-0000-0000F0040000}"/>
    <cellStyle name="Millares 2 2 2 2 2 46" xfId="1345" xr:uid="{00000000-0005-0000-0000-0000F1040000}"/>
    <cellStyle name="Millares 2 2 2 2 2 47" xfId="1346" xr:uid="{00000000-0005-0000-0000-0000F2040000}"/>
    <cellStyle name="Millares 2 2 2 2 2 48" xfId="1347" xr:uid="{00000000-0005-0000-0000-0000F3040000}"/>
    <cellStyle name="Millares 2 2 2 2 2 5" xfId="1348" xr:uid="{00000000-0005-0000-0000-0000F4040000}"/>
    <cellStyle name="Millares 2 2 2 2 2 6" xfId="1349" xr:uid="{00000000-0005-0000-0000-0000F5040000}"/>
    <cellStyle name="Millares 2 2 2 2 2 7" xfId="1350" xr:uid="{00000000-0005-0000-0000-0000F6040000}"/>
    <cellStyle name="Millares 2 2 2 2 2 8" xfId="1351" xr:uid="{00000000-0005-0000-0000-0000F7040000}"/>
    <cellStyle name="Millares 2 2 2 2 2 9" xfId="1352" xr:uid="{00000000-0005-0000-0000-0000F8040000}"/>
    <cellStyle name="Millares 2 2 2 2 20" xfId="1353" xr:uid="{00000000-0005-0000-0000-0000F9040000}"/>
    <cellStyle name="Millares 2 2 2 2 21" xfId="1354" xr:uid="{00000000-0005-0000-0000-0000FA040000}"/>
    <cellStyle name="Millares 2 2 2 2 22" xfId="1355" xr:uid="{00000000-0005-0000-0000-0000FB040000}"/>
    <cellStyle name="Millares 2 2 2 2 23" xfId="1356" xr:uid="{00000000-0005-0000-0000-0000FC040000}"/>
    <cellStyle name="Millares 2 2 2 2 24" xfId="1357" xr:uid="{00000000-0005-0000-0000-0000FD040000}"/>
    <cellStyle name="Millares 2 2 2 2 25" xfId="1358" xr:uid="{00000000-0005-0000-0000-0000FE040000}"/>
    <cellStyle name="Millares 2 2 2 2 26" xfId="1359" xr:uid="{00000000-0005-0000-0000-0000FF040000}"/>
    <cellStyle name="Millares 2 2 2 2 27" xfId="1360" xr:uid="{00000000-0005-0000-0000-000000050000}"/>
    <cellStyle name="Millares 2 2 2 2 28" xfId="1361" xr:uid="{00000000-0005-0000-0000-000001050000}"/>
    <cellStyle name="Millares 2 2 2 2 29" xfId="1362" xr:uid="{00000000-0005-0000-0000-000002050000}"/>
    <cellStyle name="Millares 2 2 2 2 3" xfId="1363" xr:uid="{00000000-0005-0000-0000-000003050000}"/>
    <cellStyle name="Millares 2 2 2 2 30" xfId="1364" xr:uid="{00000000-0005-0000-0000-000004050000}"/>
    <cellStyle name="Millares 2 2 2 2 31" xfId="1365" xr:uid="{00000000-0005-0000-0000-000005050000}"/>
    <cellStyle name="Millares 2 2 2 2 32" xfId="1366" xr:uid="{00000000-0005-0000-0000-000006050000}"/>
    <cellStyle name="Millares 2 2 2 2 33" xfId="1367" xr:uid="{00000000-0005-0000-0000-000007050000}"/>
    <cellStyle name="Millares 2 2 2 2 34" xfId="1368" xr:uid="{00000000-0005-0000-0000-000008050000}"/>
    <cellStyle name="Millares 2 2 2 2 35" xfId="1369" xr:uid="{00000000-0005-0000-0000-000009050000}"/>
    <cellStyle name="Millares 2 2 2 2 36" xfId="1370" xr:uid="{00000000-0005-0000-0000-00000A050000}"/>
    <cellStyle name="Millares 2 2 2 2 37" xfId="1371" xr:uid="{00000000-0005-0000-0000-00000B050000}"/>
    <cellStyle name="Millares 2 2 2 2 38" xfId="1372" xr:uid="{00000000-0005-0000-0000-00000C050000}"/>
    <cellStyle name="Millares 2 2 2 2 39" xfId="1373" xr:uid="{00000000-0005-0000-0000-00000D050000}"/>
    <cellStyle name="Millares 2 2 2 2 39 10" xfId="1374" xr:uid="{00000000-0005-0000-0000-00000E050000}"/>
    <cellStyle name="Millares 2 2 2 2 39 2" xfId="1375" xr:uid="{00000000-0005-0000-0000-00000F050000}"/>
    <cellStyle name="Millares 2 2 2 2 39 3" xfId="1376" xr:uid="{00000000-0005-0000-0000-000010050000}"/>
    <cellStyle name="Millares 2 2 2 2 39 4" xfId="1377" xr:uid="{00000000-0005-0000-0000-000011050000}"/>
    <cellStyle name="Millares 2 2 2 2 39 5" xfId="1378" xr:uid="{00000000-0005-0000-0000-000012050000}"/>
    <cellStyle name="Millares 2 2 2 2 39 6" xfId="1379" xr:uid="{00000000-0005-0000-0000-000013050000}"/>
    <cellStyle name="Millares 2 2 2 2 39 7" xfId="1380" xr:uid="{00000000-0005-0000-0000-000014050000}"/>
    <cellStyle name="Millares 2 2 2 2 39 8" xfId="1381" xr:uid="{00000000-0005-0000-0000-000015050000}"/>
    <cellStyle name="Millares 2 2 2 2 39 9" xfId="1382" xr:uid="{00000000-0005-0000-0000-000016050000}"/>
    <cellStyle name="Millares 2 2 2 2 4" xfId="1383" xr:uid="{00000000-0005-0000-0000-000017050000}"/>
    <cellStyle name="Millares 2 2 2 2 4 10" xfId="1384" xr:uid="{00000000-0005-0000-0000-000018050000}"/>
    <cellStyle name="Millares 2 2 2 2 4 11" xfId="1385" xr:uid="{00000000-0005-0000-0000-000019050000}"/>
    <cellStyle name="Millares 2 2 2 2 4 12" xfId="1386" xr:uid="{00000000-0005-0000-0000-00001A050000}"/>
    <cellStyle name="Millares 2 2 2 2 4 13" xfId="1387" xr:uid="{00000000-0005-0000-0000-00001B050000}"/>
    <cellStyle name="Millares 2 2 2 2 4 14" xfId="1388" xr:uid="{00000000-0005-0000-0000-00001C050000}"/>
    <cellStyle name="Millares 2 2 2 2 4 15" xfId="1389" xr:uid="{00000000-0005-0000-0000-00001D050000}"/>
    <cellStyle name="Millares 2 2 2 2 4 16" xfId="1390" xr:uid="{00000000-0005-0000-0000-00001E050000}"/>
    <cellStyle name="Millares 2 2 2 2 4 17" xfId="1391" xr:uid="{00000000-0005-0000-0000-00001F050000}"/>
    <cellStyle name="Millares 2 2 2 2 4 18" xfId="1392" xr:uid="{00000000-0005-0000-0000-000020050000}"/>
    <cellStyle name="Millares 2 2 2 2 4 19" xfId="1393" xr:uid="{00000000-0005-0000-0000-000021050000}"/>
    <cellStyle name="Millares 2 2 2 2 4 2" xfId="1394" xr:uid="{00000000-0005-0000-0000-000022050000}"/>
    <cellStyle name="Millares 2 2 2 2 4 2 10" xfId="1395" xr:uid="{00000000-0005-0000-0000-000023050000}"/>
    <cellStyle name="Millares 2 2 2 2 4 2 11" xfId="1396" xr:uid="{00000000-0005-0000-0000-000024050000}"/>
    <cellStyle name="Millares 2 2 2 2 4 2 12" xfId="1397" xr:uid="{00000000-0005-0000-0000-000025050000}"/>
    <cellStyle name="Millares 2 2 2 2 4 2 13" xfId="1398" xr:uid="{00000000-0005-0000-0000-000026050000}"/>
    <cellStyle name="Millares 2 2 2 2 4 2 14" xfId="1399" xr:uid="{00000000-0005-0000-0000-000027050000}"/>
    <cellStyle name="Millares 2 2 2 2 4 2 15" xfId="1400" xr:uid="{00000000-0005-0000-0000-000028050000}"/>
    <cellStyle name="Millares 2 2 2 2 4 2 16" xfId="1401" xr:uid="{00000000-0005-0000-0000-000029050000}"/>
    <cellStyle name="Millares 2 2 2 2 4 2 17" xfId="1402" xr:uid="{00000000-0005-0000-0000-00002A050000}"/>
    <cellStyle name="Millares 2 2 2 2 4 2 18" xfId="1403" xr:uid="{00000000-0005-0000-0000-00002B050000}"/>
    <cellStyle name="Millares 2 2 2 2 4 2 19" xfId="1404" xr:uid="{00000000-0005-0000-0000-00002C050000}"/>
    <cellStyle name="Millares 2 2 2 2 4 2 2" xfId="1405" xr:uid="{00000000-0005-0000-0000-00002D050000}"/>
    <cellStyle name="Millares 2 2 2 2 4 2 20" xfId="1406" xr:uid="{00000000-0005-0000-0000-00002E050000}"/>
    <cellStyle name="Millares 2 2 2 2 4 2 3" xfId="1407" xr:uid="{00000000-0005-0000-0000-00002F050000}"/>
    <cellStyle name="Millares 2 2 2 2 4 2 4" xfId="1408" xr:uid="{00000000-0005-0000-0000-000030050000}"/>
    <cellStyle name="Millares 2 2 2 2 4 2 5" xfId="1409" xr:uid="{00000000-0005-0000-0000-000031050000}"/>
    <cellStyle name="Millares 2 2 2 2 4 2 6" xfId="1410" xr:uid="{00000000-0005-0000-0000-000032050000}"/>
    <cellStyle name="Millares 2 2 2 2 4 2 7" xfId="1411" xr:uid="{00000000-0005-0000-0000-000033050000}"/>
    <cellStyle name="Millares 2 2 2 2 4 2 8" xfId="1412" xr:uid="{00000000-0005-0000-0000-000034050000}"/>
    <cellStyle name="Millares 2 2 2 2 4 2 9" xfId="1413" xr:uid="{00000000-0005-0000-0000-000035050000}"/>
    <cellStyle name="Millares 2 2 2 2 4 20" xfId="1414" xr:uid="{00000000-0005-0000-0000-000036050000}"/>
    <cellStyle name="Millares 2 2 2 2 4 3" xfId="1415" xr:uid="{00000000-0005-0000-0000-000037050000}"/>
    <cellStyle name="Millares 2 2 2 2 4 4" xfId="1416" xr:uid="{00000000-0005-0000-0000-000038050000}"/>
    <cellStyle name="Millares 2 2 2 2 4 5" xfId="1417" xr:uid="{00000000-0005-0000-0000-000039050000}"/>
    <cellStyle name="Millares 2 2 2 2 4 6" xfId="1418" xr:uid="{00000000-0005-0000-0000-00003A050000}"/>
    <cellStyle name="Millares 2 2 2 2 4 7" xfId="1419" xr:uid="{00000000-0005-0000-0000-00003B050000}"/>
    <cellStyle name="Millares 2 2 2 2 4 8" xfId="1420" xr:uid="{00000000-0005-0000-0000-00003C050000}"/>
    <cellStyle name="Millares 2 2 2 2 4 9" xfId="1421" xr:uid="{00000000-0005-0000-0000-00003D050000}"/>
    <cellStyle name="Millares 2 2 2 2 40" xfId="1422" xr:uid="{00000000-0005-0000-0000-00003E050000}"/>
    <cellStyle name="Millares 2 2 2 2 41" xfId="1423" xr:uid="{00000000-0005-0000-0000-00003F050000}"/>
    <cellStyle name="Millares 2 2 2 2 42" xfId="1424" xr:uid="{00000000-0005-0000-0000-000040050000}"/>
    <cellStyle name="Millares 2 2 2 2 43" xfId="1425" xr:uid="{00000000-0005-0000-0000-000041050000}"/>
    <cellStyle name="Millares 2 2 2 2 44" xfId="1426" xr:uid="{00000000-0005-0000-0000-000042050000}"/>
    <cellStyle name="Millares 2 2 2 2 45" xfId="1427" xr:uid="{00000000-0005-0000-0000-000043050000}"/>
    <cellStyle name="Millares 2 2 2 2 46" xfId="1428" xr:uid="{00000000-0005-0000-0000-000044050000}"/>
    <cellStyle name="Millares 2 2 2 2 47" xfId="1429" xr:uid="{00000000-0005-0000-0000-000045050000}"/>
    <cellStyle name="Millares 2 2 2 2 48" xfId="1430" xr:uid="{00000000-0005-0000-0000-000046050000}"/>
    <cellStyle name="Millares 2 2 2 2 5" xfId="1431" xr:uid="{00000000-0005-0000-0000-000047050000}"/>
    <cellStyle name="Millares 2 2 2 2 6" xfId="1432" xr:uid="{00000000-0005-0000-0000-000048050000}"/>
    <cellStyle name="Millares 2 2 2 2 7" xfId="1433" xr:uid="{00000000-0005-0000-0000-000049050000}"/>
    <cellStyle name="Millares 2 2 2 2 8" xfId="1434" xr:uid="{00000000-0005-0000-0000-00004A050000}"/>
    <cellStyle name="Millares 2 2 2 2 9" xfId="1435" xr:uid="{00000000-0005-0000-0000-00004B050000}"/>
    <cellStyle name="Millares 2 2 2 20" xfId="1436" xr:uid="{00000000-0005-0000-0000-00004C050000}"/>
    <cellStyle name="Millares 2 2 2 21" xfId="1437" xr:uid="{00000000-0005-0000-0000-00004D050000}"/>
    <cellStyle name="Millares 2 2 2 22" xfId="1438" xr:uid="{00000000-0005-0000-0000-00004E050000}"/>
    <cellStyle name="Millares 2 2 2 23" xfId="1439" xr:uid="{00000000-0005-0000-0000-00004F050000}"/>
    <cellStyle name="Millares 2 2 2 24" xfId="1440" xr:uid="{00000000-0005-0000-0000-000050050000}"/>
    <cellStyle name="Millares 2 2 2 25" xfId="1441" xr:uid="{00000000-0005-0000-0000-000051050000}"/>
    <cellStyle name="Millares 2 2 2 26" xfId="1442" xr:uid="{00000000-0005-0000-0000-000052050000}"/>
    <cellStyle name="Millares 2 2 2 27" xfId="1443" xr:uid="{00000000-0005-0000-0000-000053050000}"/>
    <cellStyle name="Millares 2 2 2 28" xfId="1444" xr:uid="{00000000-0005-0000-0000-000054050000}"/>
    <cellStyle name="Millares 2 2 2 29" xfId="1445" xr:uid="{00000000-0005-0000-0000-000055050000}"/>
    <cellStyle name="Millares 2 2 2 3" xfId="1446" xr:uid="{00000000-0005-0000-0000-000056050000}"/>
    <cellStyle name="Millares 2 2 2 3 10" xfId="1447" xr:uid="{00000000-0005-0000-0000-000057050000}"/>
    <cellStyle name="Millares 2 2 2 3 11" xfId="1448" xr:uid="{00000000-0005-0000-0000-000058050000}"/>
    <cellStyle name="Millares 2 2 2 3 12" xfId="1449" xr:uid="{00000000-0005-0000-0000-000059050000}"/>
    <cellStyle name="Millares 2 2 2 3 13" xfId="1450" xr:uid="{00000000-0005-0000-0000-00005A050000}"/>
    <cellStyle name="Millares 2 2 2 3 14" xfId="1451" xr:uid="{00000000-0005-0000-0000-00005B050000}"/>
    <cellStyle name="Millares 2 2 2 3 15" xfId="1452" xr:uid="{00000000-0005-0000-0000-00005C050000}"/>
    <cellStyle name="Millares 2 2 2 3 16" xfId="1453" xr:uid="{00000000-0005-0000-0000-00005D050000}"/>
    <cellStyle name="Millares 2 2 2 3 17" xfId="1454" xr:uid="{00000000-0005-0000-0000-00005E050000}"/>
    <cellStyle name="Millares 2 2 2 3 18" xfId="1455" xr:uid="{00000000-0005-0000-0000-00005F050000}"/>
    <cellStyle name="Millares 2 2 2 3 19" xfId="1456" xr:uid="{00000000-0005-0000-0000-000060050000}"/>
    <cellStyle name="Millares 2 2 2 3 2" xfId="1457" xr:uid="{00000000-0005-0000-0000-000061050000}"/>
    <cellStyle name="Millares 2 2 2 3 2 10" xfId="1458" xr:uid="{00000000-0005-0000-0000-000062050000}"/>
    <cellStyle name="Millares 2 2 2 3 2 11" xfId="1459" xr:uid="{00000000-0005-0000-0000-000063050000}"/>
    <cellStyle name="Millares 2 2 2 3 2 12" xfId="1460" xr:uid="{00000000-0005-0000-0000-000064050000}"/>
    <cellStyle name="Millares 2 2 2 3 2 13" xfId="1461" xr:uid="{00000000-0005-0000-0000-000065050000}"/>
    <cellStyle name="Millares 2 2 2 3 2 14" xfId="1462" xr:uid="{00000000-0005-0000-0000-000066050000}"/>
    <cellStyle name="Millares 2 2 2 3 2 15" xfId="1463" xr:uid="{00000000-0005-0000-0000-000067050000}"/>
    <cellStyle name="Millares 2 2 2 3 2 16" xfId="1464" xr:uid="{00000000-0005-0000-0000-000068050000}"/>
    <cellStyle name="Millares 2 2 2 3 2 17" xfId="1465" xr:uid="{00000000-0005-0000-0000-000069050000}"/>
    <cellStyle name="Millares 2 2 2 3 2 18" xfId="1466" xr:uid="{00000000-0005-0000-0000-00006A050000}"/>
    <cellStyle name="Millares 2 2 2 3 2 19" xfId="1467" xr:uid="{00000000-0005-0000-0000-00006B050000}"/>
    <cellStyle name="Millares 2 2 2 3 2 2" xfId="1468" xr:uid="{00000000-0005-0000-0000-00006C050000}"/>
    <cellStyle name="Millares 2 2 2 3 2 2 10" xfId="1469" xr:uid="{00000000-0005-0000-0000-00006D050000}"/>
    <cellStyle name="Millares 2 2 2 3 2 2 11" xfId="1470" xr:uid="{00000000-0005-0000-0000-00006E050000}"/>
    <cellStyle name="Millares 2 2 2 3 2 2 12" xfId="1471" xr:uid="{00000000-0005-0000-0000-00006F050000}"/>
    <cellStyle name="Millares 2 2 2 3 2 2 13" xfId="1472" xr:uid="{00000000-0005-0000-0000-000070050000}"/>
    <cellStyle name="Millares 2 2 2 3 2 2 14" xfId="1473" xr:uid="{00000000-0005-0000-0000-000071050000}"/>
    <cellStyle name="Millares 2 2 2 3 2 2 15" xfId="1474" xr:uid="{00000000-0005-0000-0000-000072050000}"/>
    <cellStyle name="Millares 2 2 2 3 2 2 16" xfId="1475" xr:uid="{00000000-0005-0000-0000-000073050000}"/>
    <cellStyle name="Millares 2 2 2 3 2 2 17" xfId="1476" xr:uid="{00000000-0005-0000-0000-000074050000}"/>
    <cellStyle name="Millares 2 2 2 3 2 2 18" xfId="1477" xr:uid="{00000000-0005-0000-0000-000075050000}"/>
    <cellStyle name="Millares 2 2 2 3 2 2 19" xfId="1478" xr:uid="{00000000-0005-0000-0000-000076050000}"/>
    <cellStyle name="Millares 2 2 2 3 2 2 2" xfId="1479" xr:uid="{00000000-0005-0000-0000-000077050000}"/>
    <cellStyle name="Millares 2 2 2 3 2 2 20" xfId="1480" xr:uid="{00000000-0005-0000-0000-000078050000}"/>
    <cellStyle name="Millares 2 2 2 3 2 2 3" xfId="1481" xr:uid="{00000000-0005-0000-0000-000079050000}"/>
    <cellStyle name="Millares 2 2 2 3 2 2 4" xfId="1482" xr:uid="{00000000-0005-0000-0000-00007A050000}"/>
    <cellStyle name="Millares 2 2 2 3 2 2 5" xfId="1483" xr:uid="{00000000-0005-0000-0000-00007B050000}"/>
    <cellStyle name="Millares 2 2 2 3 2 2 6" xfId="1484" xr:uid="{00000000-0005-0000-0000-00007C050000}"/>
    <cellStyle name="Millares 2 2 2 3 2 2 7" xfId="1485" xr:uid="{00000000-0005-0000-0000-00007D050000}"/>
    <cellStyle name="Millares 2 2 2 3 2 2 8" xfId="1486" xr:uid="{00000000-0005-0000-0000-00007E050000}"/>
    <cellStyle name="Millares 2 2 2 3 2 2 9" xfId="1487" xr:uid="{00000000-0005-0000-0000-00007F050000}"/>
    <cellStyle name="Millares 2 2 2 3 2 20" xfId="1488" xr:uid="{00000000-0005-0000-0000-000080050000}"/>
    <cellStyle name="Millares 2 2 2 3 2 3" xfId="1489" xr:uid="{00000000-0005-0000-0000-000081050000}"/>
    <cellStyle name="Millares 2 2 2 3 2 4" xfId="1490" xr:uid="{00000000-0005-0000-0000-000082050000}"/>
    <cellStyle name="Millares 2 2 2 3 2 5" xfId="1491" xr:uid="{00000000-0005-0000-0000-000083050000}"/>
    <cellStyle name="Millares 2 2 2 3 2 6" xfId="1492" xr:uid="{00000000-0005-0000-0000-000084050000}"/>
    <cellStyle name="Millares 2 2 2 3 2 7" xfId="1493" xr:uid="{00000000-0005-0000-0000-000085050000}"/>
    <cellStyle name="Millares 2 2 2 3 2 8" xfId="1494" xr:uid="{00000000-0005-0000-0000-000086050000}"/>
    <cellStyle name="Millares 2 2 2 3 2 9" xfId="1495" xr:uid="{00000000-0005-0000-0000-000087050000}"/>
    <cellStyle name="Millares 2 2 2 3 20" xfId="1496" xr:uid="{00000000-0005-0000-0000-000088050000}"/>
    <cellStyle name="Millares 2 2 2 3 21" xfId="1497" xr:uid="{00000000-0005-0000-0000-000089050000}"/>
    <cellStyle name="Millares 2 2 2 3 22" xfId="1498" xr:uid="{00000000-0005-0000-0000-00008A050000}"/>
    <cellStyle name="Millares 2 2 2 3 23" xfId="1499" xr:uid="{00000000-0005-0000-0000-00008B050000}"/>
    <cellStyle name="Millares 2 2 2 3 24" xfId="1500" xr:uid="{00000000-0005-0000-0000-00008C050000}"/>
    <cellStyle name="Millares 2 2 2 3 25" xfId="1501" xr:uid="{00000000-0005-0000-0000-00008D050000}"/>
    <cellStyle name="Millares 2 2 2 3 26" xfId="1502" xr:uid="{00000000-0005-0000-0000-00008E050000}"/>
    <cellStyle name="Millares 2 2 2 3 27" xfId="1503" xr:uid="{00000000-0005-0000-0000-00008F050000}"/>
    <cellStyle name="Millares 2 2 2 3 28" xfId="1504" xr:uid="{00000000-0005-0000-0000-000090050000}"/>
    <cellStyle name="Millares 2 2 2 3 29" xfId="1505" xr:uid="{00000000-0005-0000-0000-000091050000}"/>
    <cellStyle name="Millares 2 2 2 3 3" xfId="1506" xr:uid="{00000000-0005-0000-0000-000092050000}"/>
    <cellStyle name="Millares 2 2 2 3 30" xfId="1507" xr:uid="{00000000-0005-0000-0000-000093050000}"/>
    <cellStyle name="Millares 2 2 2 3 31" xfId="1508" xr:uid="{00000000-0005-0000-0000-000094050000}"/>
    <cellStyle name="Millares 2 2 2 3 32" xfId="1509" xr:uid="{00000000-0005-0000-0000-000095050000}"/>
    <cellStyle name="Millares 2 2 2 3 33" xfId="1510" xr:uid="{00000000-0005-0000-0000-000096050000}"/>
    <cellStyle name="Millares 2 2 2 3 4" xfId="1511" xr:uid="{00000000-0005-0000-0000-000097050000}"/>
    <cellStyle name="Millares 2 2 2 3 5" xfId="1512" xr:uid="{00000000-0005-0000-0000-000098050000}"/>
    <cellStyle name="Millares 2 2 2 3 6" xfId="1513" xr:uid="{00000000-0005-0000-0000-000099050000}"/>
    <cellStyle name="Millares 2 2 2 3 7" xfId="1514" xr:uid="{00000000-0005-0000-0000-00009A050000}"/>
    <cellStyle name="Millares 2 2 2 3 8" xfId="1515" xr:uid="{00000000-0005-0000-0000-00009B050000}"/>
    <cellStyle name="Millares 2 2 2 3 9" xfId="1516" xr:uid="{00000000-0005-0000-0000-00009C050000}"/>
    <cellStyle name="Millares 2 2 2 30" xfId="1517" xr:uid="{00000000-0005-0000-0000-00009D050000}"/>
    <cellStyle name="Millares 2 2 2 31" xfId="1518" xr:uid="{00000000-0005-0000-0000-00009E050000}"/>
    <cellStyle name="Millares 2 2 2 32" xfId="1519" xr:uid="{00000000-0005-0000-0000-00009F050000}"/>
    <cellStyle name="Millares 2 2 2 33" xfId="1520" xr:uid="{00000000-0005-0000-0000-0000A0050000}"/>
    <cellStyle name="Millares 2 2 2 34" xfId="1521" xr:uid="{00000000-0005-0000-0000-0000A1050000}"/>
    <cellStyle name="Millares 2 2 2 35" xfId="1522" xr:uid="{00000000-0005-0000-0000-0000A2050000}"/>
    <cellStyle name="Millares 2 2 2 36" xfId="1523" xr:uid="{00000000-0005-0000-0000-0000A3050000}"/>
    <cellStyle name="Millares 2 2 2 37" xfId="1524" xr:uid="{00000000-0005-0000-0000-0000A4050000}"/>
    <cellStyle name="Millares 2 2 2 38" xfId="1525" xr:uid="{00000000-0005-0000-0000-0000A5050000}"/>
    <cellStyle name="Millares 2 2 2 39" xfId="1526" xr:uid="{00000000-0005-0000-0000-0000A6050000}"/>
    <cellStyle name="Millares 2 2 2 39 10" xfId="1527" xr:uid="{00000000-0005-0000-0000-0000A7050000}"/>
    <cellStyle name="Millares 2 2 2 39 2" xfId="1528" xr:uid="{00000000-0005-0000-0000-0000A8050000}"/>
    <cellStyle name="Millares 2 2 2 39 3" xfId="1529" xr:uid="{00000000-0005-0000-0000-0000A9050000}"/>
    <cellStyle name="Millares 2 2 2 39 4" xfId="1530" xr:uid="{00000000-0005-0000-0000-0000AA050000}"/>
    <cellStyle name="Millares 2 2 2 39 5" xfId="1531" xr:uid="{00000000-0005-0000-0000-0000AB050000}"/>
    <cellStyle name="Millares 2 2 2 39 6" xfId="1532" xr:uid="{00000000-0005-0000-0000-0000AC050000}"/>
    <cellStyle name="Millares 2 2 2 39 7" xfId="1533" xr:uid="{00000000-0005-0000-0000-0000AD050000}"/>
    <cellStyle name="Millares 2 2 2 39 8" xfId="1534" xr:uid="{00000000-0005-0000-0000-0000AE050000}"/>
    <cellStyle name="Millares 2 2 2 39 9" xfId="1535" xr:uid="{00000000-0005-0000-0000-0000AF050000}"/>
    <cellStyle name="Millares 2 2 2 4" xfId="1536" xr:uid="{00000000-0005-0000-0000-0000B0050000}"/>
    <cellStyle name="Millares 2 2 2 4 10" xfId="1537" xr:uid="{00000000-0005-0000-0000-0000B1050000}"/>
    <cellStyle name="Millares 2 2 2 4 11" xfId="1538" xr:uid="{00000000-0005-0000-0000-0000B2050000}"/>
    <cellStyle name="Millares 2 2 2 4 12" xfId="1539" xr:uid="{00000000-0005-0000-0000-0000B3050000}"/>
    <cellStyle name="Millares 2 2 2 4 13" xfId="1540" xr:uid="{00000000-0005-0000-0000-0000B4050000}"/>
    <cellStyle name="Millares 2 2 2 4 14" xfId="1541" xr:uid="{00000000-0005-0000-0000-0000B5050000}"/>
    <cellStyle name="Millares 2 2 2 4 15" xfId="1542" xr:uid="{00000000-0005-0000-0000-0000B6050000}"/>
    <cellStyle name="Millares 2 2 2 4 16" xfId="1543" xr:uid="{00000000-0005-0000-0000-0000B7050000}"/>
    <cellStyle name="Millares 2 2 2 4 17" xfId="1544" xr:uid="{00000000-0005-0000-0000-0000B8050000}"/>
    <cellStyle name="Millares 2 2 2 4 18" xfId="1545" xr:uid="{00000000-0005-0000-0000-0000B9050000}"/>
    <cellStyle name="Millares 2 2 2 4 19" xfId="1546" xr:uid="{00000000-0005-0000-0000-0000BA050000}"/>
    <cellStyle name="Millares 2 2 2 4 2" xfId="1547" xr:uid="{00000000-0005-0000-0000-0000BB050000}"/>
    <cellStyle name="Millares 2 2 2 4 2 10" xfId="1548" xr:uid="{00000000-0005-0000-0000-0000BC050000}"/>
    <cellStyle name="Millares 2 2 2 4 2 11" xfId="1549" xr:uid="{00000000-0005-0000-0000-0000BD050000}"/>
    <cellStyle name="Millares 2 2 2 4 2 12" xfId="1550" xr:uid="{00000000-0005-0000-0000-0000BE050000}"/>
    <cellStyle name="Millares 2 2 2 4 2 13" xfId="1551" xr:uid="{00000000-0005-0000-0000-0000BF050000}"/>
    <cellStyle name="Millares 2 2 2 4 2 14" xfId="1552" xr:uid="{00000000-0005-0000-0000-0000C0050000}"/>
    <cellStyle name="Millares 2 2 2 4 2 15" xfId="1553" xr:uid="{00000000-0005-0000-0000-0000C1050000}"/>
    <cellStyle name="Millares 2 2 2 4 2 16" xfId="1554" xr:uid="{00000000-0005-0000-0000-0000C2050000}"/>
    <cellStyle name="Millares 2 2 2 4 2 17" xfId="1555" xr:uid="{00000000-0005-0000-0000-0000C3050000}"/>
    <cellStyle name="Millares 2 2 2 4 2 18" xfId="1556" xr:uid="{00000000-0005-0000-0000-0000C4050000}"/>
    <cellStyle name="Millares 2 2 2 4 2 19" xfId="1557" xr:uid="{00000000-0005-0000-0000-0000C5050000}"/>
    <cellStyle name="Millares 2 2 2 4 2 2" xfId="1558" xr:uid="{00000000-0005-0000-0000-0000C6050000}"/>
    <cellStyle name="Millares 2 2 2 4 2 20" xfId="1559" xr:uid="{00000000-0005-0000-0000-0000C7050000}"/>
    <cellStyle name="Millares 2 2 2 4 2 3" xfId="1560" xr:uid="{00000000-0005-0000-0000-0000C8050000}"/>
    <cellStyle name="Millares 2 2 2 4 2 4" xfId="1561" xr:uid="{00000000-0005-0000-0000-0000C9050000}"/>
    <cellStyle name="Millares 2 2 2 4 2 5" xfId="1562" xr:uid="{00000000-0005-0000-0000-0000CA050000}"/>
    <cellStyle name="Millares 2 2 2 4 2 6" xfId="1563" xr:uid="{00000000-0005-0000-0000-0000CB050000}"/>
    <cellStyle name="Millares 2 2 2 4 2 7" xfId="1564" xr:uid="{00000000-0005-0000-0000-0000CC050000}"/>
    <cellStyle name="Millares 2 2 2 4 2 8" xfId="1565" xr:uid="{00000000-0005-0000-0000-0000CD050000}"/>
    <cellStyle name="Millares 2 2 2 4 2 9" xfId="1566" xr:uid="{00000000-0005-0000-0000-0000CE050000}"/>
    <cellStyle name="Millares 2 2 2 4 20" xfId="1567" xr:uid="{00000000-0005-0000-0000-0000CF050000}"/>
    <cellStyle name="Millares 2 2 2 4 3" xfId="1568" xr:uid="{00000000-0005-0000-0000-0000D0050000}"/>
    <cellStyle name="Millares 2 2 2 4 4" xfId="1569" xr:uid="{00000000-0005-0000-0000-0000D1050000}"/>
    <cellStyle name="Millares 2 2 2 4 5" xfId="1570" xr:uid="{00000000-0005-0000-0000-0000D2050000}"/>
    <cellStyle name="Millares 2 2 2 4 6" xfId="1571" xr:uid="{00000000-0005-0000-0000-0000D3050000}"/>
    <cellStyle name="Millares 2 2 2 4 7" xfId="1572" xr:uid="{00000000-0005-0000-0000-0000D4050000}"/>
    <cellStyle name="Millares 2 2 2 4 8" xfId="1573" xr:uid="{00000000-0005-0000-0000-0000D5050000}"/>
    <cellStyle name="Millares 2 2 2 4 9" xfId="1574" xr:uid="{00000000-0005-0000-0000-0000D6050000}"/>
    <cellStyle name="Millares 2 2 2 40" xfId="1575" xr:uid="{00000000-0005-0000-0000-0000D7050000}"/>
    <cellStyle name="Millares 2 2 2 41" xfId="1576" xr:uid="{00000000-0005-0000-0000-0000D8050000}"/>
    <cellStyle name="Millares 2 2 2 42" xfId="1577" xr:uid="{00000000-0005-0000-0000-0000D9050000}"/>
    <cellStyle name="Millares 2 2 2 43" xfId="1578" xr:uid="{00000000-0005-0000-0000-0000DA050000}"/>
    <cellStyle name="Millares 2 2 2 44" xfId="1579" xr:uid="{00000000-0005-0000-0000-0000DB050000}"/>
    <cellStyle name="Millares 2 2 2 45" xfId="1580" xr:uid="{00000000-0005-0000-0000-0000DC050000}"/>
    <cellStyle name="Millares 2 2 2 46" xfId="1581" xr:uid="{00000000-0005-0000-0000-0000DD050000}"/>
    <cellStyle name="Millares 2 2 2 47" xfId="1582" xr:uid="{00000000-0005-0000-0000-0000DE050000}"/>
    <cellStyle name="Millares 2 2 2 48" xfId="1583" xr:uid="{00000000-0005-0000-0000-0000DF050000}"/>
    <cellStyle name="Millares 2 2 2 49" xfId="1584" xr:uid="{00000000-0005-0000-0000-0000E0050000}"/>
    <cellStyle name="Millares 2 2 2 5" xfId="1585" xr:uid="{00000000-0005-0000-0000-0000E1050000}"/>
    <cellStyle name="Millares 2 2 2 6" xfId="1586" xr:uid="{00000000-0005-0000-0000-0000E2050000}"/>
    <cellStyle name="Millares 2 2 2 7" xfId="1587" xr:uid="{00000000-0005-0000-0000-0000E3050000}"/>
    <cellStyle name="Millares 2 2 2 8" xfId="1588" xr:uid="{00000000-0005-0000-0000-0000E4050000}"/>
    <cellStyle name="Millares 2 2 2 9" xfId="1589" xr:uid="{00000000-0005-0000-0000-0000E5050000}"/>
    <cellStyle name="Millares 2 2 20" xfId="1590" xr:uid="{00000000-0005-0000-0000-0000E6050000}"/>
    <cellStyle name="Millares 2 2 21" xfId="1591" xr:uid="{00000000-0005-0000-0000-0000E7050000}"/>
    <cellStyle name="Millares 2 2 22" xfId="1592" xr:uid="{00000000-0005-0000-0000-0000E8050000}"/>
    <cellStyle name="Millares 2 2 23" xfId="1593" xr:uid="{00000000-0005-0000-0000-0000E9050000}"/>
    <cellStyle name="Millares 2 2 24" xfId="1594" xr:uid="{00000000-0005-0000-0000-0000EA050000}"/>
    <cellStyle name="Millares 2 2 25" xfId="1595" xr:uid="{00000000-0005-0000-0000-0000EB050000}"/>
    <cellStyle name="Millares 2 2 26" xfId="1596" xr:uid="{00000000-0005-0000-0000-0000EC050000}"/>
    <cellStyle name="Millares 2 2 27" xfId="1597" xr:uid="{00000000-0005-0000-0000-0000ED050000}"/>
    <cellStyle name="Millares 2 2 28" xfId="1598" xr:uid="{00000000-0005-0000-0000-0000EE050000}"/>
    <cellStyle name="Millares 2 2 29" xfId="1599" xr:uid="{00000000-0005-0000-0000-0000EF050000}"/>
    <cellStyle name="Millares 2 2 3" xfId="1600" xr:uid="{00000000-0005-0000-0000-0000F0050000}"/>
    <cellStyle name="Millares 2 2 3 10" xfId="1601" xr:uid="{00000000-0005-0000-0000-0000F1050000}"/>
    <cellStyle name="Millares 2 2 3 11" xfId="1602" xr:uid="{00000000-0005-0000-0000-0000F2050000}"/>
    <cellStyle name="Millares 2 2 3 12" xfId="1603" xr:uid="{00000000-0005-0000-0000-0000F3050000}"/>
    <cellStyle name="Millares 2 2 3 13" xfId="1604" xr:uid="{00000000-0005-0000-0000-0000F4050000}"/>
    <cellStyle name="Millares 2 2 3 14" xfId="1605" xr:uid="{00000000-0005-0000-0000-0000F5050000}"/>
    <cellStyle name="Millares 2 2 3 15" xfId="1606" xr:uid="{00000000-0005-0000-0000-0000F6050000}"/>
    <cellStyle name="Millares 2 2 3 16" xfId="1607" xr:uid="{00000000-0005-0000-0000-0000F7050000}"/>
    <cellStyle name="Millares 2 2 3 17" xfId="1608" xr:uid="{00000000-0005-0000-0000-0000F8050000}"/>
    <cellStyle name="Millares 2 2 3 18" xfId="1609" xr:uid="{00000000-0005-0000-0000-0000F9050000}"/>
    <cellStyle name="Millares 2 2 3 19" xfId="1610" xr:uid="{00000000-0005-0000-0000-0000FA050000}"/>
    <cellStyle name="Millares 2 2 3 2" xfId="1611" xr:uid="{00000000-0005-0000-0000-0000FB050000}"/>
    <cellStyle name="Millares 2 2 3 2 10" xfId="1612" xr:uid="{00000000-0005-0000-0000-0000FC050000}"/>
    <cellStyle name="Millares 2 2 3 2 11" xfId="1613" xr:uid="{00000000-0005-0000-0000-0000FD050000}"/>
    <cellStyle name="Millares 2 2 3 2 12" xfId="1614" xr:uid="{00000000-0005-0000-0000-0000FE050000}"/>
    <cellStyle name="Millares 2 2 3 2 13" xfId="1615" xr:uid="{00000000-0005-0000-0000-0000FF050000}"/>
    <cellStyle name="Millares 2 2 3 2 14" xfId="1616" xr:uid="{00000000-0005-0000-0000-000000060000}"/>
    <cellStyle name="Millares 2 2 3 2 15" xfId="1617" xr:uid="{00000000-0005-0000-0000-000001060000}"/>
    <cellStyle name="Millares 2 2 3 2 16" xfId="1618" xr:uid="{00000000-0005-0000-0000-000002060000}"/>
    <cellStyle name="Millares 2 2 3 2 17" xfId="1619" xr:uid="{00000000-0005-0000-0000-000003060000}"/>
    <cellStyle name="Millares 2 2 3 2 18" xfId="1620" xr:uid="{00000000-0005-0000-0000-000004060000}"/>
    <cellStyle name="Millares 2 2 3 2 19" xfId="1621" xr:uid="{00000000-0005-0000-0000-000005060000}"/>
    <cellStyle name="Millares 2 2 3 2 2" xfId="1622" xr:uid="{00000000-0005-0000-0000-000006060000}"/>
    <cellStyle name="Millares 2 2 3 2 2 10" xfId="1623" xr:uid="{00000000-0005-0000-0000-000007060000}"/>
    <cellStyle name="Millares 2 2 3 2 2 11" xfId="1624" xr:uid="{00000000-0005-0000-0000-000008060000}"/>
    <cellStyle name="Millares 2 2 3 2 2 12" xfId="1625" xr:uid="{00000000-0005-0000-0000-000009060000}"/>
    <cellStyle name="Millares 2 2 3 2 2 13" xfId="1626" xr:uid="{00000000-0005-0000-0000-00000A060000}"/>
    <cellStyle name="Millares 2 2 3 2 2 14" xfId="1627" xr:uid="{00000000-0005-0000-0000-00000B060000}"/>
    <cellStyle name="Millares 2 2 3 2 2 15" xfId="1628" xr:uid="{00000000-0005-0000-0000-00000C060000}"/>
    <cellStyle name="Millares 2 2 3 2 2 16" xfId="1629" xr:uid="{00000000-0005-0000-0000-00000D060000}"/>
    <cellStyle name="Millares 2 2 3 2 2 17" xfId="1630" xr:uid="{00000000-0005-0000-0000-00000E060000}"/>
    <cellStyle name="Millares 2 2 3 2 2 18" xfId="1631" xr:uid="{00000000-0005-0000-0000-00000F060000}"/>
    <cellStyle name="Millares 2 2 3 2 2 19" xfId="1632" xr:uid="{00000000-0005-0000-0000-000010060000}"/>
    <cellStyle name="Millares 2 2 3 2 2 2" xfId="1633" xr:uid="{00000000-0005-0000-0000-000011060000}"/>
    <cellStyle name="Millares 2 2 3 2 2 20" xfId="1634" xr:uid="{00000000-0005-0000-0000-000012060000}"/>
    <cellStyle name="Millares 2 2 3 2 2 3" xfId="1635" xr:uid="{00000000-0005-0000-0000-000013060000}"/>
    <cellStyle name="Millares 2 2 3 2 2 4" xfId="1636" xr:uid="{00000000-0005-0000-0000-000014060000}"/>
    <cellStyle name="Millares 2 2 3 2 2 5" xfId="1637" xr:uid="{00000000-0005-0000-0000-000015060000}"/>
    <cellStyle name="Millares 2 2 3 2 2 6" xfId="1638" xr:uid="{00000000-0005-0000-0000-000016060000}"/>
    <cellStyle name="Millares 2 2 3 2 2 7" xfId="1639" xr:uid="{00000000-0005-0000-0000-000017060000}"/>
    <cellStyle name="Millares 2 2 3 2 2 8" xfId="1640" xr:uid="{00000000-0005-0000-0000-000018060000}"/>
    <cellStyle name="Millares 2 2 3 2 2 9" xfId="1641" xr:uid="{00000000-0005-0000-0000-000019060000}"/>
    <cellStyle name="Millares 2 2 3 2 20" xfId="1642" xr:uid="{00000000-0005-0000-0000-00001A060000}"/>
    <cellStyle name="Millares 2 2 3 2 3" xfId="1643" xr:uid="{00000000-0005-0000-0000-00001B060000}"/>
    <cellStyle name="Millares 2 2 3 2 4" xfId="1644" xr:uid="{00000000-0005-0000-0000-00001C060000}"/>
    <cellStyle name="Millares 2 2 3 2 5" xfId="1645" xr:uid="{00000000-0005-0000-0000-00001D060000}"/>
    <cellStyle name="Millares 2 2 3 2 6" xfId="1646" xr:uid="{00000000-0005-0000-0000-00001E060000}"/>
    <cellStyle name="Millares 2 2 3 2 7" xfId="1647" xr:uid="{00000000-0005-0000-0000-00001F060000}"/>
    <cellStyle name="Millares 2 2 3 2 8" xfId="1648" xr:uid="{00000000-0005-0000-0000-000020060000}"/>
    <cellStyle name="Millares 2 2 3 2 9" xfId="1649" xr:uid="{00000000-0005-0000-0000-000021060000}"/>
    <cellStyle name="Millares 2 2 3 20" xfId="1650" xr:uid="{00000000-0005-0000-0000-000022060000}"/>
    <cellStyle name="Millares 2 2 3 21" xfId="1651" xr:uid="{00000000-0005-0000-0000-000023060000}"/>
    <cellStyle name="Millares 2 2 3 22" xfId="1652" xr:uid="{00000000-0005-0000-0000-000024060000}"/>
    <cellStyle name="Millares 2 2 3 23" xfId="1653" xr:uid="{00000000-0005-0000-0000-000025060000}"/>
    <cellStyle name="Millares 2 2 3 24" xfId="1654" xr:uid="{00000000-0005-0000-0000-000026060000}"/>
    <cellStyle name="Millares 2 2 3 25" xfId="1655" xr:uid="{00000000-0005-0000-0000-000027060000}"/>
    <cellStyle name="Millares 2 2 3 26" xfId="1656" xr:uid="{00000000-0005-0000-0000-000028060000}"/>
    <cellStyle name="Millares 2 2 3 27" xfId="1657" xr:uid="{00000000-0005-0000-0000-000029060000}"/>
    <cellStyle name="Millares 2 2 3 28" xfId="1658" xr:uid="{00000000-0005-0000-0000-00002A060000}"/>
    <cellStyle name="Millares 2 2 3 29" xfId="1659" xr:uid="{00000000-0005-0000-0000-00002B060000}"/>
    <cellStyle name="Millares 2 2 3 3" xfId="1660" xr:uid="{00000000-0005-0000-0000-00002C060000}"/>
    <cellStyle name="Millares 2 2 3 30" xfId="1661" xr:uid="{00000000-0005-0000-0000-00002D060000}"/>
    <cellStyle name="Millares 2 2 3 31" xfId="1662" xr:uid="{00000000-0005-0000-0000-00002E060000}"/>
    <cellStyle name="Millares 2 2 3 32" xfId="1663" xr:uid="{00000000-0005-0000-0000-00002F060000}"/>
    <cellStyle name="Millares 2 2 3 33" xfId="1664" xr:uid="{00000000-0005-0000-0000-000030060000}"/>
    <cellStyle name="Millares 2 2 3 34" xfId="1665" xr:uid="{00000000-0005-0000-0000-000031060000}"/>
    <cellStyle name="Millares 2 2 3 35" xfId="1666" xr:uid="{00000000-0005-0000-0000-000032060000}"/>
    <cellStyle name="Millares 2 2 3 4" xfId="1667" xr:uid="{00000000-0005-0000-0000-000033060000}"/>
    <cellStyle name="Millares 2 2 3 5" xfId="1668" xr:uid="{00000000-0005-0000-0000-000034060000}"/>
    <cellStyle name="Millares 2 2 3 6" xfId="1669" xr:uid="{00000000-0005-0000-0000-000035060000}"/>
    <cellStyle name="Millares 2 2 3 7" xfId="1670" xr:uid="{00000000-0005-0000-0000-000036060000}"/>
    <cellStyle name="Millares 2 2 3 8" xfId="1671" xr:uid="{00000000-0005-0000-0000-000037060000}"/>
    <cellStyle name="Millares 2 2 3 9" xfId="1672" xr:uid="{00000000-0005-0000-0000-000038060000}"/>
    <cellStyle name="Millares 2 2 30" xfId="1673" xr:uid="{00000000-0005-0000-0000-000039060000}"/>
    <cellStyle name="Millares 2 2 31" xfId="1674" xr:uid="{00000000-0005-0000-0000-00003A060000}"/>
    <cellStyle name="Millares 2 2 32" xfId="1675" xr:uid="{00000000-0005-0000-0000-00003B060000}"/>
    <cellStyle name="Millares 2 2 33" xfId="1676" xr:uid="{00000000-0005-0000-0000-00003C060000}"/>
    <cellStyle name="Millares 2 2 34" xfId="1677" xr:uid="{00000000-0005-0000-0000-00003D060000}"/>
    <cellStyle name="Millares 2 2 35" xfId="1678" xr:uid="{00000000-0005-0000-0000-00003E060000}"/>
    <cellStyle name="Millares 2 2 36" xfId="1679" xr:uid="{00000000-0005-0000-0000-00003F060000}"/>
    <cellStyle name="Millares 2 2 37" xfId="1680" xr:uid="{00000000-0005-0000-0000-000040060000}"/>
    <cellStyle name="Millares 2 2 38" xfId="1681" xr:uid="{00000000-0005-0000-0000-000041060000}"/>
    <cellStyle name="Millares 2 2 39" xfId="1682" xr:uid="{00000000-0005-0000-0000-000042060000}"/>
    <cellStyle name="Millares 2 2 39 10" xfId="1683" xr:uid="{00000000-0005-0000-0000-000043060000}"/>
    <cellStyle name="Millares 2 2 39 2" xfId="1684" xr:uid="{00000000-0005-0000-0000-000044060000}"/>
    <cellStyle name="Millares 2 2 39 3" xfId="1685" xr:uid="{00000000-0005-0000-0000-000045060000}"/>
    <cellStyle name="Millares 2 2 39 4" xfId="1686" xr:uid="{00000000-0005-0000-0000-000046060000}"/>
    <cellStyle name="Millares 2 2 39 5" xfId="1687" xr:uid="{00000000-0005-0000-0000-000047060000}"/>
    <cellStyle name="Millares 2 2 39 6" xfId="1688" xr:uid="{00000000-0005-0000-0000-000048060000}"/>
    <cellStyle name="Millares 2 2 39 7" xfId="1689" xr:uid="{00000000-0005-0000-0000-000049060000}"/>
    <cellStyle name="Millares 2 2 39 8" xfId="1690" xr:uid="{00000000-0005-0000-0000-00004A060000}"/>
    <cellStyle name="Millares 2 2 39 9" xfId="1691" xr:uid="{00000000-0005-0000-0000-00004B060000}"/>
    <cellStyle name="Millares 2 2 4" xfId="1692" xr:uid="{00000000-0005-0000-0000-00004C060000}"/>
    <cellStyle name="Millares 2 2 4 10" xfId="1693" xr:uid="{00000000-0005-0000-0000-00004D060000}"/>
    <cellStyle name="Millares 2 2 4 11" xfId="1694" xr:uid="{00000000-0005-0000-0000-00004E060000}"/>
    <cellStyle name="Millares 2 2 4 12" xfId="1695" xr:uid="{00000000-0005-0000-0000-00004F060000}"/>
    <cellStyle name="Millares 2 2 4 13" xfId="1696" xr:uid="{00000000-0005-0000-0000-000050060000}"/>
    <cellStyle name="Millares 2 2 4 14" xfId="1697" xr:uid="{00000000-0005-0000-0000-000051060000}"/>
    <cellStyle name="Millares 2 2 4 15" xfId="1698" xr:uid="{00000000-0005-0000-0000-000052060000}"/>
    <cellStyle name="Millares 2 2 4 16" xfId="1699" xr:uid="{00000000-0005-0000-0000-000053060000}"/>
    <cellStyle name="Millares 2 2 4 17" xfId="1700" xr:uid="{00000000-0005-0000-0000-000054060000}"/>
    <cellStyle name="Millares 2 2 4 18" xfId="1701" xr:uid="{00000000-0005-0000-0000-000055060000}"/>
    <cellStyle name="Millares 2 2 4 19" xfId="1702" xr:uid="{00000000-0005-0000-0000-000056060000}"/>
    <cellStyle name="Millares 2 2 4 2" xfId="1703" xr:uid="{00000000-0005-0000-0000-000057060000}"/>
    <cellStyle name="Millares 2 2 4 2 10" xfId="1704" xr:uid="{00000000-0005-0000-0000-000058060000}"/>
    <cellStyle name="Millares 2 2 4 2 11" xfId="1705" xr:uid="{00000000-0005-0000-0000-000059060000}"/>
    <cellStyle name="Millares 2 2 4 2 12" xfId="1706" xr:uid="{00000000-0005-0000-0000-00005A060000}"/>
    <cellStyle name="Millares 2 2 4 2 13" xfId="1707" xr:uid="{00000000-0005-0000-0000-00005B060000}"/>
    <cellStyle name="Millares 2 2 4 2 14" xfId="1708" xr:uid="{00000000-0005-0000-0000-00005C060000}"/>
    <cellStyle name="Millares 2 2 4 2 15" xfId="1709" xr:uid="{00000000-0005-0000-0000-00005D060000}"/>
    <cellStyle name="Millares 2 2 4 2 16" xfId="1710" xr:uid="{00000000-0005-0000-0000-00005E060000}"/>
    <cellStyle name="Millares 2 2 4 2 17" xfId="1711" xr:uid="{00000000-0005-0000-0000-00005F060000}"/>
    <cellStyle name="Millares 2 2 4 2 18" xfId="1712" xr:uid="{00000000-0005-0000-0000-000060060000}"/>
    <cellStyle name="Millares 2 2 4 2 19" xfId="1713" xr:uid="{00000000-0005-0000-0000-000061060000}"/>
    <cellStyle name="Millares 2 2 4 2 2" xfId="1714" xr:uid="{00000000-0005-0000-0000-000062060000}"/>
    <cellStyle name="Millares 2 2 4 2 20" xfId="1715" xr:uid="{00000000-0005-0000-0000-000063060000}"/>
    <cellStyle name="Millares 2 2 4 2 3" xfId="1716" xr:uid="{00000000-0005-0000-0000-000064060000}"/>
    <cellStyle name="Millares 2 2 4 2 4" xfId="1717" xr:uid="{00000000-0005-0000-0000-000065060000}"/>
    <cellStyle name="Millares 2 2 4 2 5" xfId="1718" xr:uid="{00000000-0005-0000-0000-000066060000}"/>
    <cellStyle name="Millares 2 2 4 2 6" xfId="1719" xr:uid="{00000000-0005-0000-0000-000067060000}"/>
    <cellStyle name="Millares 2 2 4 2 7" xfId="1720" xr:uid="{00000000-0005-0000-0000-000068060000}"/>
    <cellStyle name="Millares 2 2 4 2 8" xfId="1721" xr:uid="{00000000-0005-0000-0000-000069060000}"/>
    <cellStyle name="Millares 2 2 4 2 9" xfId="1722" xr:uid="{00000000-0005-0000-0000-00006A060000}"/>
    <cellStyle name="Millares 2 2 4 20" xfId="1723" xr:uid="{00000000-0005-0000-0000-00006B060000}"/>
    <cellStyle name="Millares 2 2 4 3" xfId="1724" xr:uid="{00000000-0005-0000-0000-00006C060000}"/>
    <cellStyle name="Millares 2 2 4 4" xfId="1725" xr:uid="{00000000-0005-0000-0000-00006D060000}"/>
    <cellStyle name="Millares 2 2 4 5" xfId="1726" xr:uid="{00000000-0005-0000-0000-00006E060000}"/>
    <cellStyle name="Millares 2 2 4 6" xfId="1727" xr:uid="{00000000-0005-0000-0000-00006F060000}"/>
    <cellStyle name="Millares 2 2 4 7" xfId="1728" xr:uid="{00000000-0005-0000-0000-000070060000}"/>
    <cellStyle name="Millares 2 2 4 8" xfId="1729" xr:uid="{00000000-0005-0000-0000-000071060000}"/>
    <cellStyle name="Millares 2 2 4 9" xfId="1730" xr:uid="{00000000-0005-0000-0000-000072060000}"/>
    <cellStyle name="Millares 2 2 40" xfId="1731" xr:uid="{00000000-0005-0000-0000-000073060000}"/>
    <cellStyle name="Millares 2 2 41" xfId="1732" xr:uid="{00000000-0005-0000-0000-000074060000}"/>
    <cellStyle name="Millares 2 2 42" xfId="1733" xr:uid="{00000000-0005-0000-0000-000075060000}"/>
    <cellStyle name="Millares 2 2 43" xfId="1734" xr:uid="{00000000-0005-0000-0000-000076060000}"/>
    <cellStyle name="Millares 2 2 44" xfId="1735" xr:uid="{00000000-0005-0000-0000-000077060000}"/>
    <cellStyle name="Millares 2 2 45" xfId="1736" xr:uid="{00000000-0005-0000-0000-000078060000}"/>
    <cellStyle name="Millares 2 2 46" xfId="1737" xr:uid="{00000000-0005-0000-0000-000079060000}"/>
    <cellStyle name="Millares 2 2 47" xfId="1738" xr:uid="{00000000-0005-0000-0000-00007A060000}"/>
    <cellStyle name="Millares 2 2 48" xfId="1739" xr:uid="{00000000-0005-0000-0000-00007B060000}"/>
    <cellStyle name="Millares 2 2 49" xfId="1112" xr:uid="{00000000-0005-0000-0000-00007C060000}"/>
    <cellStyle name="Millares 2 2 5" xfId="1740" xr:uid="{00000000-0005-0000-0000-00007D060000}"/>
    <cellStyle name="Millares 2 2 6" xfId="1741" xr:uid="{00000000-0005-0000-0000-00007E060000}"/>
    <cellStyle name="Millares 2 2 7" xfId="1742" xr:uid="{00000000-0005-0000-0000-00007F060000}"/>
    <cellStyle name="Millares 2 2 8" xfId="1743" xr:uid="{00000000-0005-0000-0000-000080060000}"/>
    <cellStyle name="Millares 2 2 9" xfId="1744" xr:uid="{00000000-0005-0000-0000-000081060000}"/>
    <cellStyle name="Millares 2 20" xfId="1745" xr:uid="{00000000-0005-0000-0000-000082060000}"/>
    <cellStyle name="Millares 2 21" xfId="1091" xr:uid="{00000000-0005-0000-0000-000083060000}"/>
    <cellStyle name="Millares 2 22" xfId="1746" xr:uid="{00000000-0005-0000-0000-000084060000}"/>
    <cellStyle name="Millares 2 24" xfId="1747" xr:uid="{00000000-0005-0000-0000-000085060000}"/>
    <cellStyle name="Millares 2 26" xfId="1748" xr:uid="{00000000-0005-0000-0000-000086060000}"/>
    <cellStyle name="Millares 2 28" xfId="1749" xr:uid="{00000000-0005-0000-0000-000087060000}"/>
    <cellStyle name="Millares 2 3" xfId="45" xr:uid="{00000000-0005-0000-0000-000088060000}"/>
    <cellStyle name="Millares 2 3 2" xfId="1751" xr:uid="{00000000-0005-0000-0000-000089060000}"/>
    <cellStyle name="Millares 2 3 3" xfId="1752" xr:uid="{00000000-0005-0000-0000-00008A060000}"/>
    <cellStyle name="Millares 2 3 4" xfId="1753" xr:uid="{00000000-0005-0000-0000-00008B060000}"/>
    <cellStyle name="Millares 2 3 5" xfId="1754" xr:uid="{00000000-0005-0000-0000-00008C060000}"/>
    <cellStyle name="Millares 2 3 6" xfId="1755" xr:uid="{00000000-0005-0000-0000-00008D060000}"/>
    <cellStyle name="Millares 2 3 7" xfId="1750" xr:uid="{00000000-0005-0000-0000-00008E060000}"/>
    <cellStyle name="Millares 2 30" xfId="1756" xr:uid="{00000000-0005-0000-0000-00008F060000}"/>
    <cellStyle name="Millares 2 32" xfId="1757" xr:uid="{00000000-0005-0000-0000-000090060000}"/>
    <cellStyle name="Millares 2 34" xfId="1758" xr:uid="{00000000-0005-0000-0000-000091060000}"/>
    <cellStyle name="Millares 2 36" xfId="1759" xr:uid="{00000000-0005-0000-0000-000092060000}"/>
    <cellStyle name="Millares 2 4" xfId="1760" xr:uid="{00000000-0005-0000-0000-000093060000}"/>
    <cellStyle name="Millares 2 4 2" xfId="1761" xr:uid="{00000000-0005-0000-0000-000094060000}"/>
    <cellStyle name="Millares 2 4 3" xfId="1762" xr:uid="{00000000-0005-0000-0000-000095060000}"/>
    <cellStyle name="Millares 2 4 4" xfId="1763" xr:uid="{00000000-0005-0000-0000-000096060000}"/>
    <cellStyle name="Millares 2 4 5" xfId="1764" xr:uid="{00000000-0005-0000-0000-000097060000}"/>
    <cellStyle name="Millares 2 4 6" xfId="1765" xr:uid="{00000000-0005-0000-0000-000098060000}"/>
    <cellStyle name="Millares 2 4 7" xfId="1766" xr:uid="{00000000-0005-0000-0000-000099060000}"/>
    <cellStyle name="Millares 2 4 8" xfId="1767" xr:uid="{00000000-0005-0000-0000-00009A060000}"/>
    <cellStyle name="Millares 2 5" xfId="1768" xr:uid="{00000000-0005-0000-0000-00009B060000}"/>
    <cellStyle name="Millares 2 6" xfId="1769" xr:uid="{00000000-0005-0000-0000-00009C060000}"/>
    <cellStyle name="Millares 2 6 2" xfId="1770" xr:uid="{00000000-0005-0000-0000-00009D060000}"/>
    <cellStyle name="Millares 2 7" xfId="1771" xr:uid="{00000000-0005-0000-0000-00009E060000}"/>
    <cellStyle name="Millares 2 7 2" xfId="1772" xr:uid="{00000000-0005-0000-0000-00009F060000}"/>
    <cellStyle name="Millares 2 7 3" xfId="1773" xr:uid="{00000000-0005-0000-0000-0000A0060000}"/>
    <cellStyle name="Millares 2 8" xfId="1774" xr:uid="{00000000-0005-0000-0000-0000A1060000}"/>
    <cellStyle name="Millares 2 8 2" xfId="1775" xr:uid="{00000000-0005-0000-0000-0000A2060000}"/>
    <cellStyle name="Millares 2 8 3" xfId="1776" xr:uid="{00000000-0005-0000-0000-0000A3060000}"/>
    <cellStyle name="Millares 2 9" xfId="1777" xr:uid="{00000000-0005-0000-0000-0000A4060000}"/>
    <cellStyle name="Millares 2 9 2" xfId="1778" xr:uid="{00000000-0005-0000-0000-0000A5060000}"/>
    <cellStyle name="Millares 2 9 3" xfId="1779" xr:uid="{00000000-0005-0000-0000-0000A6060000}"/>
    <cellStyle name="Millares 20" xfId="1780" xr:uid="{00000000-0005-0000-0000-0000A7060000}"/>
    <cellStyle name="Millares 20 2" xfId="1781" xr:uid="{00000000-0005-0000-0000-0000A8060000}"/>
    <cellStyle name="Millares 21" xfId="1782" xr:uid="{00000000-0005-0000-0000-0000A9060000}"/>
    <cellStyle name="Millares 21 2" xfId="1783" xr:uid="{00000000-0005-0000-0000-0000AA060000}"/>
    <cellStyle name="Millares 22" xfId="1784" xr:uid="{00000000-0005-0000-0000-0000AB060000}"/>
    <cellStyle name="Millares 28" xfId="1785" xr:uid="{00000000-0005-0000-0000-0000AC060000}"/>
    <cellStyle name="Millares 28 10" xfId="1786" xr:uid="{00000000-0005-0000-0000-0000AD060000}"/>
    <cellStyle name="Millares 28 11" xfId="1787" xr:uid="{00000000-0005-0000-0000-0000AE060000}"/>
    <cellStyle name="Millares 28 12" xfId="1788" xr:uid="{00000000-0005-0000-0000-0000AF060000}"/>
    <cellStyle name="Millares 28 13" xfId="1789" xr:uid="{00000000-0005-0000-0000-0000B0060000}"/>
    <cellStyle name="Millares 28 14" xfId="1790" xr:uid="{00000000-0005-0000-0000-0000B1060000}"/>
    <cellStyle name="Millares 28 15" xfId="1791" xr:uid="{00000000-0005-0000-0000-0000B2060000}"/>
    <cellStyle name="Millares 28 16" xfId="1792" xr:uid="{00000000-0005-0000-0000-0000B3060000}"/>
    <cellStyle name="Millares 28 17" xfId="1793" xr:uid="{00000000-0005-0000-0000-0000B4060000}"/>
    <cellStyle name="Millares 28 18" xfId="1794" xr:uid="{00000000-0005-0000-0000-0000B5060000}"/>
    <cellStyle name="Millares 28 19" xfId="1795" xr:uid="{00000000-0005-0000-0000-0000B6060000}"/>
    <cellStyle name="Millares 28 2" xfId="1796" xr:uid="{00000000-0005-0000-0000-0000B7060000}"/>
    <cellStyle name="Millares 28 2 2" xfId="1797" xr:uid="{00000000-0005-0000-0000-0000B8060000}"/>
    <cellStyle name="Millares 28 2 3" xfId="1798" xr:uid="{00000000-0005-0000-0000-0000B9060000}"/>
    <cellStyle name="Millares 28 20" xfId="1799" xr:uid="{00000000-0005-0000-0000-0000BA060000}"/>
    <cellStyle name="Millares 28 21" xfId="1800" xr:uid="{00000000-0005-0000-0000-0000BB060000}"/>
    <cellStyle name="Millares 28 22" xfId="1801" xr:uid="{00000000-0005-0000-0000-0000BC060000}"/>
    <cellStyle name="Millares 28 23" xfId="1802" xr:uid="{00000000-0005-0000-0000-0000BD060000}"/>
    <cellStyle name="Millares 28 24" xfId="1803" xr:uid="{00000000-0005-0000-0000-0000BE060000}"/>
    <cellStyle name="Millares 28 25" xfId="1804" xr:uid="{00000000-0005-0000-0000-0000BF060000}"/>
    <cellStyle name="Millares 28 3" xfId="1805" xr:uid="{00000000-0005-0000-0000-0000C0060000}"/>
    <cellStyle name="Millares 28 3 2" xfId="1806" xr:uid="{00000000-0005-0000-0000-0000C1060000}"/>
    <cellStyle name="Millares 28 3 3" xfId="1807" xr:uid="{00000000-0005-0000-0000-0000C2060000}"/>
    <cellStyle name="Millares 28 4" xfId="1808" xr:uid="{00000000-0005-0000-0000-0000C3060000}"/>
    <cellStyle name="Millares 28 5" xfId="1809" xr:uid="{00000000-0005-0000-0000-0000C4060000}"/>
    <cellStyle name="Millares 28 6" xfId="1810" xr:uid="{00000000-0005-0000-0000-0000C5060000}"/>
    <cellStyle name="Millares 28 7" xfId="1811" xr:uid="{00000000-0005-0000-0000-0000C6060000}"/>
    <cellStyle name="Millares 28 8" xfId="1812" xr:uid="{00000000-0005-0000-0000-0000C7060000}"/>
    <cellStyle name="Millares 28 9" xfId="1813" xr:uid="{00000000-0005-0000-0000-0000C8060000}"/>
    <cellStyle name="Millares 29" xfId="1814" xr:uid="{00000000-0005-0000-0000-0000C9060000}"/>
    <cellStyle name="Millares 29 10" xfId="1815" xr:uid="{00000000-0005-0000-0000-0000CA060000}"/>
    <cellStyle name="Millares 29 11" xfId="1816" xr:uid="{00000000-0005-0000-0000-0000CB060000}"/>
    <cellStyle name="Millares 29 12" xfId="1817" xr:uid="{00000000-0005-0000-0000-0000CC060000}"/>
    <cellStyle name="Millares 29 13" xfId="1818" xr:uid="{00000000-0005-0000-0000-0000CD060000}"/>
    <cellStyle name="Millares 29 14" xfId="1819" xr:uid="{00000000-0005-0000-0000-0000CE060000}"/>
    <cellStyle name="Millares 29 15" xfId="1820" xr:uid="{00000000-0005-0000-0000-0000CF060000}"/>
    <cellStyle name="Millares 29 16" xfId="1821" xr:uid="{00000000-0005-0000-0000-0000D0060000}"/>
    <cellStyle name="Millares 29 17" xfId="1822" xr:uid="{00000000-0005-0000-0000-0000D1060000}"/>
    <cellStyle name="Millares 29 18" xfId="1823" xr:uid="{00000000-0005-0000-0000-0000D2060000}"/>
    <cellStyle name="Millares 29 19" xfId="1824" xr:uid="{00000000-0005-0000-0000-0000D3060000}"/>
    <cellStyle name="Millares 29 2" xfId="1825" xr:uid="{00000000-0005-0000-0000-0000D4060000}"/>
    <cellStyle name="Millares 29 2 2" xfId="1826" xr:uid="{00000000-0005-0000-0000-0000D5060000}"/>
    <cellStyle name="Millares 29 2 3" xfId="1827" xr:uid="{00000000-0005-0000-0000-0000D6060000}"/>
    <cellStyle name="Millares 29 20" xfId="1828" xr:uid="{00000000-0005-0000-0000-0000D7060000}"/>
    <cellStyle name="Millares 29 21" xfId="1829" xr:uid="{00000000-0005-0000-0000-0000D8060000}"/>
    <cellStyle name="Millares 29 22" xfId="1830" xr:uid="{00000000-0005-0000-0000-0000D9060000}"/>
    <cellStyle name="Millares 29 23" xfId="1831" xr:uid="{00000000-0005-0000-0000-0000DA060000}"/>
    <cellStyle name="Millares 29 24" xfId="1832" xr:uid="{00000000-0005-0000-0000-0000DB060000}"/>
    <cellStyle name="Millares 29 25" xfId="1833" xr:uid="{00000000-0005-0000-0000-0000DC060000}"/>
    <cellStyle name="Millares 29 3" xfId="1834" xr:uid="{00000000-0005-0000-0000-0000DD060000}"/>
    <cellStyle name="Millares 29 3 2" xfId="1835" xr:uid="{00000000-0005-0000-0000-0000DE060000}"/>
    <cellStyle name="Millares 29 3 3" xfId="1836" xr:uid="{00000000-0005-0000-0000-0000DF060000}"/>
    <cellStyle name="Millares 29 4" xfId="1837" xr:uid="{00000000-0005-0000-0000-0000E0060000}"/>
    <cellStyle name="Millares 29 5" xfId="1838" xr:uid="{00000000-0005-0000-0000-0000E1060000}"/>
    <cellStyle name="Millares 29 6" xfId="1839" xr:uid="{00000000-0005-0000-0000-0000E2060000}"/>
    <cellStyle name="Millares 29 7" xfId="1840" xr:uid="{00000000-0005-0000-0000-0000E3060000}"/>
    <cellStyle name="Millares 29 8" xfId="1841" xr:uid="{00000000-0005-0000-0000-0000E4060000}"/>
    <cellStyle name="Millares 29 9" xfId="1842" xr:uid="{00000000-0005-0000-0000-0000E5060000}"/>
    <cellStyle name="Millares 3" xfId="46" xr:uid="{00000000-0005-0000-0000-0000E6060000}"/>
    <cellStyle name="Millares 3 10" xfId="1844" xr:uid="{00000000-0005-0000-0000-0000E7060000}"/>
    <cellStyle name="Millares 3 10 10" xfId="1845" xr:uid="{00000000-0005-0000-0000-0000E8060000}"/>
    <cellStyle name="Millares 3 10 11" xfId="1846" xr:uid="{00000000-0005-0000-0000-0000E9060000}"/>
    <cellStyle name="Millares 3 10 12" xfId="1847" xr:uid="{00000000-0005-0000-0000-0000EA060000}"/>
    <cellStyle name="Millares 3 10 13" xfId="1848" xr:uid="{00000000-0005-0000-0000-0000EB060000}"/>
    <cellStyle name="Millares 3 10 14" xfId="1849" xr:uid="{00000000-0005-0000-0000-0000EC060000}"/>
    <cellStyle name="Millares 3 10 15" xfId="1850" xr:uid="{00000000-0005-0000-0000-0000ED060000}"/>
    <cellStyle name="Millares 3 10 16" xfId="1851" xr:uid="{00000000-0005-0000-0000-0000EE060000}"/>
    <cellStyle name="Millares 3 10 17" xfId="1852" xr:uid="{00000000-0005-0000-0000-0000EF060000}"/>
    <cellStyle name="Millares 3 10 18" xfId="1853" xr:uid="{00000000-0005-0000-0000-0000F0060000}"/>
    <cellStyle name="Millares 3 10 19" xfId="1854" xr:uid="{00000000-0005-0000-0000-0000F1060000}"/>
    <cellStyle name="Millares 3 10 2" xfId="1855" xr:uid="{00000000-0005-0000-0000-0000F2060000}"/>
    <cellStyle name="Millares 3 10 2 10" xfId="1856" xr:uid="{00000000-0005-0000-0000-0000F3060000}"/>
    <cellStyle name="Millares 3 10 2 11" xfId="1857" xr:uid="{00000000-0005-0000-0000-0000F4060000}"/>
    <cellStyle name="Millares 3 10 2 12" xfId="1858" xr:uid="{00000000-0005-0000-0000-0000F5060000}"/>
    <cellStyle name="Millares 3 10 2 13" xfId="1859" xr:uid="{00000000-0005-0000-0000-0000F6060000}"/>
    <cellStyle name="Millares 3 10 2 14" xfId="1860" xr:uid="{00000000-0005-0000-0000-0000F7060000}"/>
    <cellStyle name="Millares 3 10 2 15" xfId="1861" xr:uid="{00000000-0005-0000-0000-0000F8060000}"/>
    <cellStyle name="Millares 3 10 2 16" xfId="1862" xr:uid="{00000000-0005-0000-0000-0000F9060000}"/>
    <cellStyle name="Millares 3 10 2 17" xfId="1863" xr:uid="{00000000-0005-0000-0000-0000FA060000}"/>
    <cellStyle name="Millares 3 10 2 2" xfId="1864" xr:uid="{00000000-0005-0000-0000-0000FB060000}"/>
    <cellStyle name="Millares 3 10 2 3" xfId="1865" xr:uid="{00000000-0005-0000-0000-0000FC060000}"/>
    <cellStyle name="Millares 3 10 2 3 2" xfId="1866" xr:uid="{00000000-0005-0000-0000-0000FD060000}"/>
    <cellStyle name="Millares 3 10 2 4" xfId="1867" xr:uid="{00000000-0005-0000-0000-0000FE060000}"/>
    <cellStyle name="Millares 3 10 2 5" xfId="1868" xr:uid="{00000000-0005-0000-0000-0000FF060000}"/>
    <cellStyle name="Millares 3 10 2 6" xfId="1869" xr:uid="{00000000-0005-0000-0000-000000070000}"/>
    <cellStyle name="Millares 3 10 2 7" xfId="1870" xr:uid="{00000000-0005-0000-0000-000001070000}"/>
    <cellStyle name="Millares 3 10 2 8" xfId="1871" xr:uid="{00000000-0005-0000-0000-000002070000}"/>
    <cellStyle name="Millares 3 10 2 9" xfId="1872" xr:uid="{00000000-0005-0000-0000-000003070000}"/>
    <cellStyle name="Millares 3 10 3" xfId="1873" xr:uid="{00000000-0005-0000-0000-000004070000}"/>
    <cellStyle name="Millares 3 10 4" xfId="1874" xr:uid="{00000000-0005-0000-0000-000005070000}"/>
    <cellStyle name="Millares 3 10 5" xfId="1875" xr:uid="{00000000-0005-0000-0000-000006070000}"/>
    <cellStyle name="Millares 3 10 6" xfId="1876" xr:uid="{00000000-0005-0000-0000-000007070000}"/>
    <cellStyle name="Millares 3 10 7" xfId="1877" xr:uid="{00000000-0005-0000-0000-000008070000}"/>
    <cellStyle name="Millares 3 10 8" xfId="1878" xr:uid="{00000000-0005-0000-0000-000009070000}"/>
    <cellStyle name="Millares 3 10 9" xfId="1879" xr:uid="{00000000-0005-0000-0000-00000A070000}"/>
    <cellStyle name="Millares 3 11" xfId="1880" xr:uid="{00000000-0005-0000-0000-00000B070000}"/>
    <cellStyle name="Millares 3 11 10" xfId="1881" xr:uid="{00000000-0005-0000-0000-00000C070000}"/>
    <cellStyle name="Millares 3 11 11" xfId="1882" xr:uid="{00000000-0005-0000-0000-00000D070000}"/>
    <cellStyle name="Millares 3 11 12" xfId="1883" xr:uid="{00000000-0005-0000-0000-00000E070000}"/>
    <cellStyle name="Millares 3 11 13" xfId="1884" xr:uid="{00000000-0005-0000-0000-00000F070000}"/>
    <cellStyle name="Millares 3 11 14" xfId="1885" xr:uid="{00000000-0005-0000-0000-000010070000}"/>
    <cellStyle name="Millares 3 11 15" xfId="1886" xr:uid="{00000000-0005-0000-0000-000011070000}"/>
    <cellStyle name="Millares 3 11 16" xfId="1887" xr:uid="{00000000-0005-0000-0000-000012070000}"/>
    <cellStyle name="Millares 3 11 17" xfId="1888" xr:uid="{00000000-0005-0000-0000-000013070000}"/>
    <cellStyle name="Millares 3 11 18" xfId="1889" xr:uid="{00000000-0005-0000-0000-000014070000}"/>
    <cellStyle name="Millares 3 11 19" xfId="1890" xr:uid="{00000000-0005-0000-0000-000015070000}"/>
    <cellStyle name="Millares 3 11 2" xfId="1891" xr:uid="{00000000-0005-0000-0000-000016070000}"/>
    <cellStyle name="Millares 3 11 2 10" xfId="1892" xr:uid="{00000000-0005-0000-0000-000017070000}"/>
    <cellStyle name="Millares 3 11 2 11" xfId="1893" xr:uid="{00000000-0005-0000-0000-000018070000}"/>
    <cellStyle name="Millares 3 11 2 12" xfId="1894" xr:uid="{00000000-0005-0000-0000-000019070000}"/>
    <cellStyle name="Millares 3 11 2 13" xfId="1895" xr:uid="{00000000-0005-0000-0000-00001A070000}"/>
    <cellStyle name="Millares 3 11 2 14" xfId="1896" xr:uid="{00000000-0005-0000-0000-00001B070000}"/>
    <cellStyle name="Millares 3 11 2 15" xfId="1897" xr:uid="{00000000-0005-0000-0000-00001C070000}"/>
    <cellStyle name="Millares 3 11 2 16" xfId="1898" xr:uid="{00000000-0005-0000-0000-00001D070000}"/>
    <cellStyle name="Millares 3 11 2 17" xfId="1899" xr:uid="{00000000-0005-0000-0000-00001E070000}"/>
    <cellStyle name="Millares 3 11 2 2" xfId="1900" xr:uid="{00000000-0005-0000-0000-00001F070000}"/>
    <cellStyle name="Millares 3 11 2 3" xfId="1901" xr:uid="{00000000-0005-0000-0000-000020070000}"/>
    <cellStyle name="Millares 3 11 2 3 2" xfId="1902" xr:uid="{00000000-0005-0000-0000-000021070000}"/>
    <cellStyle name="Millares 3 11 2 4" xfId="1903" xr:uid="{00000000-0005-0000-0000-000022070000}"/>
    <cellStyle name="Millares 3 11 2 5" xfId="1904" xr:uid="{00000000-0005-0000-0000-000023070000}"/>
    <cellStyle name="Millares 3 11 2 6" xfId="1905" xr:uid="{00000000-0005-0000-0000-000024070000}"/>
    <cellStyle name="Millares 3 11 2 7" xfId="1906" xr:uid="{00000000-0005-0000-0000-000025070000}"/>
    <cellStyle name="Millares 3 11 2 8" xfId="1907" xr:uid="{00000000-0005-0000-0000-000026070000}"/>
    <cellStyle name="Millares 3 11 2 9" xfId="1908" xr:uid="{00000000-0005-0000-0000-000027070000}"/>
    <cellStyle name="Millares 3 11 3" xfId="1909" xr:uid="{00000000-0005-0000-0000-000028070000}"/>
    <cellStyle name="Millares 3 11 4" xfId="1910" xr:uid="{00000000-0005-0000-0000-000029070000}"/>
    <cellStyle name="Millares 3 11 5" xfId="1911" xr:uid="{00000000-0005-0000-0000-00002A070000}"/>
    <cellStyle name="Millares 3 11 6" xfId="1912" xr:uid="{00000000-0005-0000-0000-00002B070000}"/>
    <cellStyle name="Millares 3 11 7" xfId="1913" xr:uid="{00000000-0005-0000-0000-00002C070000}"/>
    <cellStyle name="Millares 3 11 8" xfId="1914" xr:uid="{00000000-0005-0000-0000-00002D070000}"/>
    <cellStyle name="Millares 3 11 9" xfId="1915" xr:uid="{00000000-0005-0000-0000-00002E070000}"/>
    <cellStyle name="Millares 3 12" xfId="1916" xr:uid="{00000000-0005-0000-0000-00002F070000}"/>
    <cellStyle name="Millares 3 12 10" xfId="1917" xr:uid="{00000000-0005-0000-0000-000030070000}"/>
    <cellStyle name="Millares 3 12 11" xfId="1918" xr:uid="{00000000-0005-0000-0000-000031070000}"/>
    <cellStyle name="Millares 3 12 12" xfId="1919" xr:uid="{00000000-0005-0000-0000-000032070000}"/>
    <cellStyle name="Millares 3 12 13" xfId="1920" xr:uid="{00000000-0005-0000-0000-000033070000}"/>
    <cellStyle name="Millares 3 12 14" xfId="1921" xr:uid="{00000000-0005-0000-0000-000034070000}"/>
    <cellStyle name="Millares 3 12 15" xfId="1922" xr:uid="{00000000-0005-0000-0000-000035070000}"/>
    <cellStyle name="Millares 3 12 16" xfId="1923" xr:uid="{00000000-0005-0000-0000-000036070000}"/>
    <cellStyle name="Millares 3 12 17" xfId="1924" xr:uid="{00000000-0005-0000-0000-000037070000}"/>
    <cellStyle name="Millares 3 12 2" xfId="1925" xr:uid="{00000000-0005-0000-0000-000038070000}"/>
    <cellStyle name="Millares 3 12 3" xfId="1926" xr:uid="{00000000-0005-0000-0000-000039070000}"/>
    <cellStyle name="Millares 3 12 3 2" xfId="1927" xr:uid="{00000000-0005-0000-0000-00003A070000}"/>
    <cellStyle name="Millares 3 12 4" xfId="1928" xr:uid="{00000000-0005-0000-0000-00003B070000}"/>
    <cellStyle name="Millares 3 12 5" xfId="1929" xr:uid="{00000000-0005-0000-0000-00003C070000}"/>
    <cellStyle name="Millares 3 12 6" xfId="1930" xr:uid="{00000000-0005-0000-0000-00003D070000}"/>
    <cellStyle name="Millares 3 12 7" xfId="1931" xr:uid="{00000000-0005-0000-0000-00003E070000}"/>
    <cellStyle name="Millares 3 12 8" xfId="1932" xr:uid="{00000000-0005-0000-0000-00003F070000}"/>
    <cellStyle name="Millares 3 12 9" xfId="1933" xr:uid="{00000000-0005-0000-0000-000040070000}"/>
    <cellStyle name="Millares 3 13" xfId="1934" xr:uid="{00000000-0005-0000-0000-000041070000}"/>
    <cellStyle name="Millares 3 13 10" xfId="1935" xr:uid="{00000000-0005-0000-0000-000042070000}"/>
    <cellStyle name="Millares 3 13 11" xfId="1936" xr:uid="{00000000-0005-0000-0000-000043070000}"/>
    <cellStyle name="Millares 3 13 12" xfId="1937" xr:uid="{00000000-0005-0000-0000-000044070000}"/>
    <cellStyle name="Millares 3 13 13" xfId="1938" xr:uid="{00000000-0005-0000-0000-000045070000}"/>
    <cellStyle name="Millares 3 13 14" xfId="1939" xr:uid="{00000000-0005-0000-0000-000046070000}"/>
    <cellStyle name="Millares 3 13 15" xfId="1940" xr:uid="{00000000-0005-0000-0000-000047070000}"/>
    <cellStyle name="Millares 3 13 16" xfId="1941" xr:uid="{00000000-0005-0000-0000-000048070000}"/>
    <cellStyle name="Millares 3 13 17" xfId="1942" xr:uid="{00000000-0005-0000-0000-000049070000}"/>
    <cellStyle name="Millares 3 13 2" xfId="1943" xr:uid="{00000000-0005-0000-0000-00004A070000}"/>
    <cellStyle name="Millares 3 13 3" xfId="1944" xr:uid="{00000000-0005-0000-0000-00004B070000}"/>
    <cellStyle name="Millares 3 13 3 2" xfId="1945" xr:uid="{00000000-0005-0000-0000-00004C070000}"/>
    <cellStyle name="Millares 3 13 4" xfId="1946" xr:uid="{00000000-0005-0000-0000-00004D070000}"/>
    <cellStyle name="Millares 3 13 5" xfId="1947" xr:uid="{00000000-0005-0000-0000-00004E070000}"/>
    <cellStyle name="Millares 3 13 6" xfId="1948" xr:uid="{00000000-0005-0000-0000-00004F070000}"/>
    <cellStyle name="Millares 3 13 7" xfId="1949" xr:uid="{00000000-0005-0000-0000-000050070000}"/>
    <cellStyle name="Millares 3 13 8" xfId="1950" xr:uid="{00000000-0005-0000-0000-000051070000}"/>
    <cellStyle name="Millares 3 13 9" xfId="1951" xr:uid="{00000000-0005-0000-0000-000052070000}"/>
    <cellStyle name="Millares 3 14" xfId="1952" xr:uid="{00000000-0005-0000-0000-000053070000}"/>
    <cellStyle name="Millares 3 14 10" xfId="1953" xr:uid="{00000000-0005-0000-0000-000054070000}"/>
    <cellStyle name="Millares 3 14 11" xfId="1954" xr:uid="{00000000-0005-0000-0000-000055070000}"/>
    <cellStyle name="Millares 3 14 12" xfId="1955" xr:uid="{00000000-0005-0000-0000-000056070000}"/>
    <cellStyle name="Millares 3 14 13" xfId="1956" xr:uid="{00000000-0005-0000-0000-000057070000}"/>
    <cellStyle name="Millares 3 14 14" xfId="1957" xr:uid="{00000000-0005-0000-0000-000058070000}"/>
    <cellStyle name="Millares 3 14 15" xfId="1958" xr:uid="{00000000-0005-0000-0000-000059070000}"/>
    <cellStyle name="Millares 3 14 16" xfId="1959" xr:uid="{00000000-0005-0000-0000-00005A070000}"/>
    <cellStyle name="Millares 3 14 17" xfId="1960" xr:uid="{00000000-0005-0000-0000-00005B070000}"/>
    <cellStyle name="Millares 3 14 2" xfId="1961" xr:uid="{00000000-0005-0000-0000-00005C070000}"/>
    <cellStyle name="Millares 3 14 3" xfId="1962" xr:uid="{00000000-0005-0000-0000-00005D070000}"/>
    <cellStyle name="Millares 3 14 3 2" xfId="1963" xr:uid="{00000000-0005-0000-0000-00005E070000}"/>
    <cellStyle name="Millares 3 14 4" xfId="1964" xr:uid="{00000000-0005-0000-0000-00005F070000}"/>
    <cellStyle name="Millares 3 14 5" xfId="1965" xr:uid="{00000000-0005-0000-0000-000060070000}"/>
    <cellStyle name="Millares 3 14 6" xfId="1966" xr:uid="{00000000-0005-0000-0000-000061070000}"/>
    <cellStyle name="Millares 3 14 7" xfId="1967" xr:uid="{00000000-0005-0000-0000-000062070000}"/>
    <cellStyle name="Millares 3 14 8" xfId="1968" xr:uid="{00000000-0005-0000-0000-000063070000}"/>
    <cellStyle name="Millares 3 14 9" xfId="1969" xr:uid="{00000000-0005-0000-0000-000064070000}"/>
    <cellStyle name="Millares 3 15" xfId="1970" xr:uid="{00000000-0005-0000-0000-000065070000}"/>
    <cellStyle name="Millares 3 16" xfId="1971" xr:uid="{00000000-0005-0000-0000-000066070000}"/>
    <cellStyle name="Millares 3 17" xfId="1972" xr:uid="{00000000-0005-0000-0000-000067070000}"/>
    <cellStyle name="Millares 3 18" xfId="1973" xr:uid="{00000000-0005-0000-0000-000068070000}"/>
    <cellStyle name="Millares 3 19" xfId="1974" xr:uid="{00000000-0005-0000-0000-000069070000}"/>
    <cellStyle name="Millares 3 2" xfId="1975" xr:uid="{00000000-0005-0000-0000-00006A070000}"/>
    <cellStyle name="Millares 3 2 10" xfId="1976" xr:uid="{00000000-0005-0000-0000-00006B070000}"/>
    <cellStyle name="Millares 3 2 11" xfId="1977" xr:uid="{00000000-0005-0000-0000-00006C070000}"/>
    <cellStyle name="Millares 3 2 12" xfId="1978" xr:uid="{00000000-0005-0000-0000-00006D070000}"/>
    <cellStyle name="Millares 3 2 13" xfId="1979" xr:uid="{00000000-0005-0000-0000-00006E070000}"/>
    <cellStyle name="Millares 3 2 14" xfId="1980" xr:uid="{00000000-0005-0000-0000-00006F070000}"/>
    <cellStyle name="Millares 3 2 15" xfId="1981" xr:uid="{00000000-0005-0000-0000-000070070000}"/>
    <cellStyle name="Millares 3 2 16" xfId="1982" xr:uid="{00000000-0005-0000-0000-000071070000}"/>
    <cellStyle name="Millares 3 2 17" xfId="1983" xr:uid="{00000000-0005-0000-0000-000072070000}"/>
    <cellStyle name="Millares 3 2 18" xfId="1984" xr:uid="{00000000-0005-0000-0000-000073070000}"/>
    <cellStyle name="Millares 3 2 19" xfId="1985" xr:uid="{00000000-0005-0000-0000-000074070000}"/>
    <cellStyle name="Millares 3 2 2" xfId="1986" xr:uid="{00000000-0005-0000-0000-000075070000}"/>
    <cellStyle name="Millares 3 2 2 10" xfId="1987" xr:uid="{00000000-0005-0000-0000-000076070000}"/>
    <cellStyle name="Millares 3 2 2 11" xfId="1988" xr:uid="{00000000-0005-0000-0000-000077070000}"/>
    <cellStyle name="Millares 3 2 2 12" xfId="1989" xr:uid="{00000000-0005-0000-0000-000078070000}"/>
    <cellStyle name="Millares 3 2 2 13" xfId="1990" xr:uid="{00000000-0005-0000-0000-000079070000}"/>
    <cellStyle name="Millares 3 2 2 14" xfId="1991" xr:uid="{00000000-0005-0000-0000-00007A070000}"/>
    <cellStyle name="Millares 3 2 2 15" xfId="1992" xr:uid="{00000000-0005-0000-0000-00007B070000}"/>
    <cellStyle name="Millares 3 2 2 16" xfId="1993" xr:uid="{00000000-0005-0000-0000-00007C070000}"/>
    <cellStyle name="Millares 3 2 2 17" xfId="1994" xr:uid="{00000000-0005-0000-0000-00007D070000}"/>
    <cellStyle name="Millares 3 2 2 18" xfId="1995" xr:uid="{00000000-0005-0000-0000-00007E070000}"/>
    <cellStyle name="Millares 3 2 2 2" xfId="1996" xr:uid="{00000000-0005-0000-0000-00007F070000}"/>
    <cellStyle name="Millares 3 2 2 2 2" xfId="1997" xr:uid="{00000000-0005-0000-0000-000080070000}"/>
    <cellStyle name="Millares 3 2 2 2 2 2" xfId="1998" xr:uid="{00000000-0005-0000-0000-000081070000}"/>
    <cellStyle name="Millares 3 2 2 2 2 2 2" xfId="1999" xr:uid="{00000000-0005-0000-0000-000082070000}"/>
    <cellStyle name="Millares 3 2 2 2 2 2 2 2" xfId="2000" xr:uid="{00000000-0005-0000-0000-000083070000}"/>
    <cellStyle name="Millares 3 2 2 2 2 2 2 3" xfId="2001" xr:uid="{00000000-0005-0000-0000-000084070000}"/>
    <cellStyle name="Millares 3 2 2 2 2 2 3" xfId="2002" xr:uid="{00000000-0005-0000-0000-000085070000}"/>
    <cellStyle name="Millares 3 2 2 2 2 3" xfId="2003" xr:uid="{00000000-0005-0000-0000-000086070000}"/>
    <cellStyle name="Millares 3 2 2 2 2 4" xfId="2004" xr:uid="{00000000-0005-0000-0000-000087070000}"/>
    <cellStyle name="Millares 3 2 2 2 2 5" xfId="2005" xr:uid="{00000000-0005-0000-0000-000088070000}"/>
    <cellStyle name="Millares 3 2 2 2 3" xfId="2006" xr:uid="{00000000-0005-0000-0000-000089070000}"/>
    <cellStyle name="Millares 3 2 2 2 4" xfId="2007" xr:uid="{00000000-0005-0000-0000-00008A070000}"/>
    <cellStyle name="Millares 3 2 2 2 5" xfId="2008" xr:uid="{00000000-0005-0000-0000-00008B070000}"/>
    <cellStyle name="Millares 3 2 2 3" xfId="2009" xr:uid="{00000000-0005-0000-0000-00008C070000}"/>
    <cellStyle name="Millares 3 2 2 4" xfId="2010" xr:uid="{00000000-0005-0000-0000-00008D070000}"/>
    <cellStyle name="Millares 3 2 2 5" xfId="2011" xr:uid="{00000000-0005-0000-0000-00008E070000}"/>
    <cellStyle name="Millares 3 2 2 5 10" xfId="2012" xr:uid="{00000000-0005-0000-0000-00008F070000}"/>
    <cellStyle name="Millares 3 2 2 5 11" xfId="2013" xr:uid="{00000000-0005-0000-0000-000090070000}"/>
    <cellStyle name="Millares 3 2 2 5 12" xfId="2014" xr:uid="{00000000-0005-0000-0000-000091070000}"/>
    <cellStyle name="Millares 3 2 2 5 13" xfId="2015" xr:uid="{00000000-0005-0000-0000-000092070000}"/>
    <cellStyle name="Millares 3 2 2 5 14" xfId="2016" xr:uid="{00000000-0005-0000-0000-000093070000}"/>
    <cellStyle name="Millares 3 2 2 5 15" xfId="2017" xr:uid="{00000000-0005-0000-0000-000094070000}"/>
    <cellStyle name="Millares 3 2 2 5 16" xfId="2018" xr:uid="{00000000-0005-0000-0000-000095070000}"/>
    <cellStyle name="Millares 3 2 2 5 17" xfId="2019" xr:uid="{00000000-0005-0000-0000-000096070000}"/>
    <cellStyle name="Millares 3 2 2 5 18" xfId="2020" xr:uid="{00000000-0005-0000-0000-000097070000}"/>
    <cellStyle name="Millares 3 2 2 5 2" xfId="2021" xr:uid="{00000000-0005-0000-0000-000098070000}"/>
    <cellStyle name="Millares 3 2 2 5 2 10" xfId="2022" xr:uid="{00000000-0005-0000-0000-000099070000}"/>
    <cellStyle name="Millares 3 2 2 5 2 11" xfId="2023" xr:uid="{00000000-0005-0000-0000-00009A070000}"/>
    <cellStyle name="Millares 3 2 2 5 2 12" xfId="2024" xr:uid="{00000000-0005-0000-0000-00009B070000}"/>
    <cellStyle name="Millares 3 2 2 5 2 13" xfId="2025" xr:uid="{00000000-0005-0000-0000-00009C070000}"/>
    <cellStyle name="Millares 3 2 2 5 2 14" xfId="2026" xr:uid="{00000000-0005-0000-0000-00009D070000}"/>
    <cellStyle name="Millares 3 2 2 5 2 15" xfId="2027" xr:uid="{00000000-0005-0000-0000-00009E070000}"/>
    <cellStyle name="Millares 3 2 2 5 2 2" xfId="2028" xr:uid="{00000000-0005-0000-0000-00009F070000}"/>
    <cellStyle name="Millares 3 2 2 5 2 2 2" xfId="2029" xr:uid="{00000000-0005-0000-0000-0000A0070000}"/>
    <cellStyle name="Millares 3 2 2 5 2 2 3" xfId="2030" xr:uid="{00000000-0005-0000-0000-0000A1070000}"/>
    <cellStyle name="Millares 3 2 2 5 2 2 4" xfId="2031" xr:uid="{00000000-0005-0000-0000-0000A2070000}"/>
    <cellStyle name="Millares 3 2 2 5 2 2 5" xfId="2032" xr:uid="{00000000-0005-0000-0000-0000A3070000}"/>
    <cellStyle name="Millares 3 2 2 5 2 2 6" xfId="2033" xr:uid="{00000000-0005-0000-0000-0000A4070000}"/>
    <cellStyle name="Millares 3 2 2 5 2 3" xfId="2034" xr:uid="{00000000-0005-0000-0000-0000A5070000}"/>
    <cellStyle name="Millares 3 2 2 5 2 4" xfId="2035" xr:uid="{00000000-0005-0000-0000-0000A6070000}"/>
    <cellStyle name="Millares 3 2 2 5 2 5" xfId="2036" xr:uid="{00000000-0005-0000-0000-0000A7070000}"/>
    <cellStyle name="Millares 3 2 2 5 2 6" xfId="2037" xr:uid="{00000000-0005-0000-0000-0000A8070000}"/>
    <cellStyle name="Millares 3 2 2 5 2 7" xfId="2038" xr:uid="{00000000-0005-0000-0000-0000A9070000}"/>
    <cellStyle name="Millares 3 2 2 5 2 8" xfId="2039" xr:uid="{00000000-0005-0000-0000-0000AA070000}"/>
    <cellStyle name="Millares 3 2 2 5 2 9" xfId="2040" xr:uid="{00000000-0005-0000-0000-0000AB070000}"/>
    <cellStyle name="Millares 3 2 2 5 3" xfId="2041" xr:uid="{00000000-0005-0000-0000-0000AC070000}"/>
    <cellStyle name="Millares 3 2 2 5 3 10" xfId="2042" xr:uid="{00000000-0005-0000-0000-0000AD070000}"/>
    <cellStyle name="Millares 3 2 2 5 3 2" xfId="2043" xr:uid="{00000000-0005-0000-0000-0000AE070000}"/>
    <cellStyle name="Millares 3 2 2 5 3 3" xfId="2044" xr:uid="{00000000-0005-0000-0000-0000AF070000}"/>
    <cellStyle name="Millares 3 2 2 5 3 4" xfId="2045" xr:uid="{00000000-0005-0000-0000-0000B0070000}"/>
    <cellStyle name="Millares 3 2 2 5 3 5" xfId="2046" xr:uid="{00000000-0005-0000-0000-0000B1070000}"/>
    <cellStyle name="Millares 3 2 2 5 3 6" xfId="2047" xr:uid="{00000000-0005-0000-0000-0000B2070000}"/>
    <cellStyle name="Millares 3 2 2 5 3 7" xfId="2048" xr:uid="{00000000-0005-0000-0000-0000B3070000}"/>
    <cellStyle name="Millares 3 2 2 5 3 8" xfId="2049" xr:uid="{00000000-0005-0000-0000-0000B4070000}"/>
    <cellStyle name="Millares 3 2 2 5 3 9" xfId="2050" xr:uid="{00000000-0005-0000-0000-0000B5070000}"/>
    <cellStyle name="Millares 3 2 2 5 4" xfId="2051" xr:uid="{00000000-0005-0000-0000-0000B6070000}"/>
    <cellStyle name="Millares 3 2 2 5 5" xfId="2052" xr:uid="{00000000-0005-0000-0000-0000B7070000}"/>
    <cellStyle name="Millares 3 2 2 5 6" xfId="2053" xr:uid="{00000000-0005-0000-0000-0000B8070000}"/>
    <cellStyle name="Millares 3 2 2 5 7" xfId="2054" xr:uid="{00000000-0005-0000-0000-0000B9070000}"/>
    <cellStyle name="Millares 3 2 2 5 8" xfId="2055" xr:uid="{00000000-0005-0000-0000-0000BA070000}"/>
    <cellStyle name="Millares 3 2 2 5 9" xfId="2056" xr:uid="{00000000-0005-0000-0000-0000BB070000}"/>
    <cellStyle name="Millares 3 2 2 6" xfId="2057" xr:uid="{00000000-0005-0000-0000-0000BC070000}"/>
    <cellStyle name="Millares 3 2 2 7" xfId="2058" xr:uid="{00000000-0005-0000-0000-0000BD070000}"/>
    <cellStyle name="Millares 3 2 2 8" xfId="2059" xr:uid="{00000000-0005-0000-0000-0000BE070000}"/>
    <cellStyle name="Millares 3 2 2 9" xfId="2060" xr:uid="{00000000-0005-0000-0000-0000BF070000}"/>
    <cellStyle name="Millares 3 2 20" xfId="2061" xr:uid="{00000000-0005-0000-0000-0000C0070000}"/>
    <cellStyle name="Millares 3 2 21" xfId="2062" xr:uid="{00000000-0005-0000-0000-0000C1070000}"/>
    <cellStyle name="Millares 3 2 22" xfId="2063" xr:uid="{00000000-0005-0000-0000-0000C2070000}"/>
    <cellStyle name="Millares 3 2 23" xfId="2064" xr:uid="{00000000-0005-0000-0000-0000C3070000}"/>
    <cellStyle name="Millares 3 2 24" xfId="2065" xr:uid="{00000000-0005-0000-0000-0000C4070000}"/>
    <cellStyle name="Millares 3 2 3" xfId="2066" xr:uid="{00000000-0005-0000-0000-0000C5070000}"/>
    <cellStyle name="Millares 3 2 4" xfId="2067" xr:uid="{00000000-0005-0000-0000-0000C6070000}"/>
    <cellStyle name="Millares 3 2 5" xfId="2068" xr:uid="{00000000-0005-0000-0000-0000C7070000}"/>
    <cellStyle name="Millares 3 2 6" xfId="2069" xr:uid="{00000000-0005-0000-0000-0000C8070000}"/>
    <cellStyle name="Millares 3 2 7" xfId="2070" xr:uid="{00000000-0005-0000-0000-0000C9070000}"/>
    <cellStyle name="Millares 3 2 8" xfId="2071" xr:uid="{00000000-0005-0000-0000-0000CA070000}"/>
    <cellStyle name="Millares 3 2 9" xfId="2072" xr:uid="{00000000-0005-0000-0000-0000CB070000}"/>
    <cellStyle name="Millares 3 20" xfId="2073" xr:uid="{00000000-0005-0000-0000-0000CC070000}"/>
    <cellStyle name="Millares 3 21" xfId="2074" xr:uid="{00000000-0005-0000-0000-0000CD070000}"/>
    <cellStyle name="Millares 3 22" xfId="2075" xr:uid="{00000000-0005-0000-0000-0000CE070000}"/>
    <cellStyle name="Millares 3 23" xfId="2076" xr:uid="{00000000-0005-0000-0000-0000CF070000}"/>
    <cellStyle name="Millares 3 24" xfId="2077" xr:uid="{00000000-0005-0000-0000-0000D0070000}"/>
    <cellStyle name="Millares 3 25" xfId="2078" xr:uid="{00000000-0005-0000-0000-0000D1070000}"/>
    <cellStyle name="Millares 3 26" xfId="2079" xr:uid="{00000000-0005-0000-0000-0000D2070000}"/>
    <cellStyle name="Millares 3 27" xfId="2080" xr:uid="{00000000-0005-0000-0000-0000D3070000}"/>
    <cellStyle name="Millares 3 28" xfId="2081" xr:uid="{00000000-0005-0000-0000-0000D4070000}"/>
    <cellStyle name="Millares 3 29" xfId="2082" xr:uid="{00000000-0005-0000-0000-0000D5070000}"/>
    <cellStyle name="Millares 3 3" xfId="2083" xr:uid="{00000000-0005-0000-0000-0000D6070000}"/>
    <cellStyle name="Millares 3 30" xfId="2084" xr:uid="{00000000-0005-0000-0000-0000D7070000}"/>
    <cellStyle name="Millares 3 31" xfId="1843" xr:uid="{00000000-0005-0000-0000-0000D8070000}"/>
    <cellStyle name="Millares 3 4" xfId="2085" xr:uid="{00000000-0005-0000-0000-0000D9070000}"/>
    <cellStyle name="Millares 3 5" xfId="2086" xr:uid="{00000000-0005-0000-0000-0000DA070000}"/>
    <cellStyle name="Millares 3 6" xfId="2087" xr:uid="{00000000-0005-0000-0000-0000DB070000}"/>
    <cellStyle name="Millares 3 7" xfId="2088" xr:uid="{00000000-0005-0000-0000-0000DC070000}"/>
    <cellStyle name="Millares 3 8" xfId="2089" xr:uid="{00000000-0005-0000-0000-0000DD070000}"/>
    <cellStyle name="Millares 3 9" xfId="2090" xr:uid="{00000000-0005-0000-0000-0000DE070000}"/>
    <cellStyle name="Millares 30" xfId="2091" xr:uid="{00000000-0005-0000-0000-0000DF070000}"/>
    <cellStyle name="Millares 30 10" xfId="2092" xr:uid="{00000000-0005-0000-0000-0000E0070000}"/>
    <cellStyle name="Millares 30 11" xfId="2093" xr:uid="{00000000-0005-0000-0000-0000E1070000}"/>
    <cellStyle name="Millares 30 12" xfId="2094" xr:uid="{00000000-0005-0000-0000-0000E2070000}"/>
    <cellStyle name="Millares 30 13" xfId="2095" xr:uid="{00000000-0005-0000-0000-0000E3070000}"/>
    <cellStyle name="Millares 30 14" xfId="2096" xr:uid="{00000000-0005-0000-0000-0000E4070000}"/>
    <cellStyle name="Millares 30 15" xfId="2097" xr:uid="{00000000-0005-0000-0000-0000E5070000}"/>
    <cellStyle name="Millares 30 16" xfId="2098" xr:uid="{00000000-0005-0000-0000-0000E6070000}"/>
    <cellStyle name="Millares 30 17" xfId="2099" xr:uid="{00000000-0005-0000-0000-0000E7070000}"/>
    <cellStyle name="Millares 30 18" xfId="2100" xr:uid="{00000000-0005-0000-0000-0000E8070000}"/>
    <cellStyle name="Millares 30 19" xfId="2101" xr:uid="{00000000-0005-0000-0000-0000E9070000}"/>
    <cellStyle name="Millares 30 2" xfId="2102" xr:uid="{00000000-0005-0000-0000-0000EA070000}"/>
    <cellStyle name="Millares 30 2 2" xfId="2103" xr:uid="{00000000-0005-0000-0000-0000EB070000}"/>
    <cellStyle name="Millares 30 2 3" xfId="2104" xr:uid="{00000000-0005-0000-0000-0000EC070000}"/>
    <cellStyle name="Millares 30 20" xfId="2105" xr:uid="{00000000-0005-0000-0000-0000ED070000}"/>
    <cellStyle name="Millares 30 21" xfId="2106" xr:uid="{00000000-0005-0000-0000-0000EE070000}"/>
    <cellStyle name="Millares 30 22" xfId="2107" xr:uid="{00000000-0005-0000-0000-0000EF070000}"/>
    <cellStyle name="Millares 30 23" xfId="2108" xr:uid="{00000000-0005-0000-0000-0000F0070000}"/>
    <cellStyle name="Millares 30 24" xfId="2109" xr:uid="{00000000-0005-0000-0000-0000F1070000}"/>
    <cellStyle name="Millares 30 25" xfId="2110" xr:uid="{00000000-0005-0000-0000-0000F2070000}"/>
    <cellStyle name="Millares 30 3" xfId="2111" xr:uid="{00000000-0005-0000-0000-0000F3070000}"/>
    <cellStyle name="Millares 30 3 2" xfId="2112" xr:uid="{00000000-0005-0000-0000-0000F4070000}"/>
    <cellStyle name="Millares 30 3 3" xfId="2113" xr:uid="{00000000-0005-0000-0000-0000F5070000}"/>
    <cellStyle name="Millares 30 4" xfId="2114" xr:uid="{00000000-0005-0000-0000-0000F6070000}"/>
    <cellStyle name="Millares 30 5" xfId="2115" xr:uid="{00000000-0005-0000-0000-0000F7070000}"/>
    <cellStyle name="Millares 30 6" xfId="2116" xr:uid="{00000000-0005-0000-0000-0000F8070000}"/>
    <cellStyle name="Millares 30 7" xfId="2117" xr:uid="{00000000-0005-0000-0000-0000F9070000}"/>
    <cellStyle name="Millares 30 8" xfId="2118" xr:uid="{00000000-0005-0000-0000-0000FA070000}"/>
    <cellStyle name="Millares 30 9" xfId="2119" xr:uid="{00000000-0005-0000-0000-0000FB070000}"/>
    <cellStyle name="Millares 4" xfId="2120" xr:uid="{00000000-0005-0000-0000-0000FC070000}"/>
    <cellStyle name="Millares 4 2" xfId="2121" xr:uid="{00000000-0005-0000-0000-0000FD070000}"/>
    <cellStyle name="Millares 4 3" xfId="2122" xr:uid="{00000000-0005-0000-0000-0000FE070000}"/>
    <cellStyle name="Millares 5" xfId="2123" xr:uid="{00000000-0005-0000-0000-0000FF070000}"/>
    <cellStyle name="Millares 5 10" xfId="2124" xr:uid="{00000000-0005-0000-0000-000000080000}"/>
    <cellStyle name="Millares 5 11" xfId="2125" xr:uid="{00000000-0005-0000-0000-000001080000}"/>
    <cellStyle name="Millares 5 12" xfId="2126" xr:uid="{00000000-0005-0000-0000-000002080000}"/>
    <cellStyle name="Millares 5 13" xfId="2127" xr:uid="{00000000-0005-0000-0000-000003080000}"/>
    <cellStyle name="Millares 5 14" xfId="2128" xr:uid="{00000000-0005-0000-0000-000004080000}"/>
    <cellStyle name="Millares 5 15" xfId="2129" xr:uid="{00000000-0005-0000-0000-000005080000}"/>
    <cellStyle name="Millares 5 16" xfId="2130" xr:uid="{00000000-0005-0000-0000-000006080000}"/>
    <cellStyle name="Millares 5 17" xfId="2131" xr:uid="{00000000-0005-0000-0000-000007080000}"/>
    <cellStyle name="Millares 5 18" xfId="2132" xr:uid="{00000000-0005-0000-0000-000008080000}"/>
    <cellStyle name="Millares 5 19" xfId="2133" xr:uid="{00000000-0005-0000-0000-000009080000}"/>
    <cellStyle name="Millares 5 2" xfId="2134" xr:uid="{00000000-0005-0000-0000-00000A080000}"/>
    <cellStyle name="Millares 5 2 2" xfId="2135" xr:uid="{00000000-0005-0000-0000-00000B080000}"/>
    <cellStyle name="Millares 5 20" xfId="2136" xr:uid="{00000000-0005-0000-0000-00000C080000}"/>
    <cellStyle name="Millares 5 21" xfId="2137" xr:uid="{00000000-0005-0000-0000-00000D080000}"/>
    <cellStyle name="Millares 5 22" xfId="2138" xr:uid="{00000000-0005-0000-0000-00000E080000}"/>
    <cellStyle name="Millares 5 23" xfId="2139" xr:uid="{00000000-0005-0000-0000-00000F080000}"/>
    <cellStyle name="Millares 5 24" xfId="2140" xr:uid="{00000000-0005-0000-0000-000010080000}"/>
    <cellStyle name="Millares 5 25" xfId="2141" xr:uid="{00000000-0005-0000-0000-000011080000}"/>
    <cellStyle name="Millares 5 26" xfId="2142" xr:uid="{00000000-0005-0000-0000-000012080000}"/>
    <cellStyle name="Millares 5 3" xfId="2143" xr:uid="{00000000-0005-0000-0000-000013080000}"/>
    <cellStyle name="Millares 5 4" xfId="2144" xr:uid="{00000000-0005-0000-0000-000014080000}"/>
    <cellStyle name="Millares 5 5" xfId="2145" xr:uid="{00000000-0005-0000-0000-000015080000}"/>
    <cellStyle name="Millares 5 6" xfId="2146" xr:uid="{00000000-0005-0000-0000-000016080000}"/>
    <cellStyle name="Millares 5 7" xfId="2147" xr:uid="{00000000-0005-0000-0000-000017080000}"/>
    <cellStyle name="Millares 5 8" xfId="2148" xr:uid="{00000000-0005-0000-0000-000018080000}"/>
    <cellStyle name="Millares 5 9" xfId="2149" xr:uid="{00000000-0005-0000-0000-000019080000}"/>
    <cellStyle name="Millares 6" xfId="2150" xr:uid="{00000000-0005-0000-0000-00001A080000}"/>
    <cellStyle name="Millares 6 2" xfId="2151" xr:uid="{00000000-0005-0000-0000-00001B080000}"/>
    <cellStyle name="Millares 7" xfId="2152" xr:uid="{00000000-0005-0000-0000-00001C080000}"/>
    <cellStyle name="Millares 7 10" xfId="2153" xr:uid="{00000000-0005-0000-0000-00001D080000}"/>
    <cellStyle name="Millares 7 11" xfId="2154" xr:uid="{00000000-0005-0000-0000-00001E080000}"/>
    <cellStyle name="Millares 7 12" xfId="2155" xr:uid="{00000000-0005-0000-0000-00001F080000}"/>
    <cellStyle name="Millares 7 13" xfId="2156" xr:uid="{00000000-0005-0000-0000-000020080000}"/>
    <cellStyle name="Millares 7 14" xfId="2157" xr:uid="{00000000-0005-0000-0000-000021080000}"/>
    <cellStyle name="Millares 7 15" xfId="2158" xr:uid="{00000000-0005-0000-0000-000022080000}"/>
    <cellStyle name="Millares 7 16" xfId="2159" xr:uid="{00000000-0005-0000-0000-000023080000}"/>
    <cellStyle name="Millares 7 17" xfId="2160" xr:uid="{00000000-0005-0000-0000-000024080000}"/>
    <cellStyle name="Millares 7 18" xfId="2161" xr:uid="{00000000-0005-0000-0000-000025080000}"/>
    <cellStyle name="Millares 7 19" xfId="2162" xr:uid="{00000000-0005-0000-0000-000026080000}"/>
    <cellStyle name="Millares 7 2" xfId="2163" xr:uid="{00000000-0005-0000-0000-000027080000}"/>
    <cellStyle name="Millares 7 20" xfId="2164" xr:uid="{00000000-0005-0000-0000-000028080000}"/>
    <cellStyle name="Millares 7 21" xfId="2165" xr:uid="{00000000-0005-0000-0000-000029080000}"/>
    <cellStyle name="Millares 7 22" xfId="2166" xr:uid="{00000000-0005-0000-0000-00002A080000}"/>
    <cellStyle name="Millares 7 23" xfId="2167" xr:uid="{00000000-0005-0000-0000-00002B080000}"/>
    <cellStyle name="Millares 7 24" xfId="2168" xr:uid="{00000000-0005-0000-0000-00002C080000}"/>
    <cellStyle name="Millares 7 3" xfId="2169" xr:uid="{00000000-0005-0000-0000-00002D080000}"/>
    <cellStyle name="Millares 7 4" xfId="2170" xr:uid="{00000000-0005-0000-0000-00002E080000}"/>
    <cellStyle name="Millares 7 5" xfId="2171" xr:uid="{00000000-0005-0000-0000-00002F080000}"/>
    <cellStyle name="Millares 7 6" xfId="2172" xr:uid="{00000000-0005-0000-0000-000030080000}"/>
    <cellStyle name="Millares 7 7" xfId="2173" xr:uid="{00000000-0005-0000-0000-000031080000}"/>
    <cellStyle name="Millares 7 8" xfId="2174" xr:uid="{00000000-0005-0000-0000-000032080000}"/>
    <cellStyle name="Millares 7 9" xfId="2175" xr:uid="{00000000-0005-0000-0000-000033080000}"/>
    <cellStyle name="Millares 8" xfId="2176" xr:uid="{00000000-0005-0000-0000-000034080000}"/>
    <cellStyle name="Millares 8 10" xfId="2177" xr:uid="{00000000-0005-0000-0000-000035080000}"/>
    <cellStyle name="Millares 8 11" xfId="2178" xr:uid="{00000000-0005-0000-0000-000036080000}"/>
    <cellStyle name="Millares 8 12" xfId="2179" xr:uid="{00000000-0005-0000-0000-000037080000}"/>
    <cellStyle name="Millares 8 13" xfId="2180" xr:uid="{00000000-0005-0000-0000-000038080000}"/>
    <cellStyle name="Millares 8 14" xfId="2181" xr:uid="{00000000-0005-0000-0000-000039080000}"/>
    <cellStyle name="Millares 8 15" xfId="2182" xr:uid="{00000000-0005-0000-0000-00003A080000}"/>
    <cellStyle name="Millares 8 16" xfId="2183" xr:uid="{00000000-0005-0000-0000-00003B080000}"/>
    <cellStyle name="Millares 8 17" xfId="2184" xr:uid="{00000000-0005-0000-0000-00003C080000}"/>
    <cellStyle name="Millares 8 18" xfId="2185" xr:uid="{00000000-0005-0000-0000-00003D080000}"/>
    <cellStyle name="Millares 8 19" xfId="2186" xr:uid="{00000000-0005-0000-0000-00003E080000}"/>
    <cellStyle name="Millares 8 2" xfId="2187" xr:uid="{00000000-0005-0000-0000-00003F080000}"/>
    <cellStyle name="Millares 8 20" xfId="2188" xr:uid="{00000000-0005-0000-0000-000040080000}"/>
    <cellStyle name="Millares 8 21" xfId="2189" xr:uid="{00000000-0005-0000-0000-000041080000}"/>
    <cellStyle name="Millares 8 22" xfId="2190" xr:uid="{00000000-0005-0000-0000-000042080000}"/>
    <cellStyle name="Millares 8 23" xfId="2191" xr:uid="{00000000-0005-0000-0000-000043080000}"/>
    <cellStyle name="Millares 8 24" xfId="2192" xr:uid="{00000000-0005-0000-0000-000044080000}"/>
    <cellStyle name="Millares 8 3" xfId="2193" xr:uid="{00000000-0005-0000-0000-000045080000}"/>
    <cellStyle name="Millares 8 4" xfId="2194" xr:uid="{00000000-0005-0000-0000-000046080000}"/>
    <cellStyle name="Millares 8 5" xfId="2195" xr:uid="{00000000-0005-0000-0000-000047080000}"/>
    <cellStyle name="Millares 8 6" xfId="2196" xr:uid="{00000000-0005-0000-0000-000048080000}"/>
    <cellStyle name="Millares 8 7" xfId="2197" xr:uid="{00000000-0005-0000-0000-000049080000}"/>
    <cellStyle name="Millares 8 8" xfId="2198" xr:uid="{00000000-0005-0000-0000-00004A080000}"/>
    <cellStyle name="Millares 8 9" xfId="2199" xr:uid="{00000000-0005-0000-0000-00004B080000}"/>
    <cellStyle name="Millares 9" xfId="2200" xr:uid="{00000000-0005-0000-0000-00004C080000}"/>
    <cellStyle name="Moneda" xfId="5" builtinId="4"/>
    <cellStyle name="Moneda 2" xfId="6" xr:uid="{00000000-0005-0000-0000-00004E080000}"/>
    <cellStyle name="Moneda 2 10" xfId="31" xr:uid="{00000000-0005-0000-0000-00004F080000}"/>
    <cellStyle name="Moneda 2 10 2" xfId="75" xr:uid="{00000000-0005-0000-0000-000050080000}"/>
    <cellStyle name="Moneda 2 2" xfId="2201" xr:uid="{00000000-0005-0000-0000-000051080000}"/>
    <cellStyle name="Moneda 2 2 2" xfId="47" xr:uid="{00000000-0005-0000-0000-000052080000}"/>
    <cellStyle name="Moneda 2 2 2 2" xfId="2202" xr:uid="{00000000-0005-0000-0000-000053080000}"/>
    <cellStyle name="Moneda 2 2 3" xfId="2203" xr:uid="{00000000-0005-0000-0000-000054080000}"/>
    <cellStyle name="Moneda 2 3" xfId="2204" xr:uid="{00000000-0005-0000-0000-000055080000}"/>
    <cellStyle name="Moneda 2 3 2" xfId="2205" xr:uid="{00000000-0005-0000-0000-000056080000}"/>
    <cellStyle name="Moneda 2 4" xfId="2206" xr:uid="{00000000-0005-0000-0000-000057080000}"/>
    <cellStyle name="Moneda 2 4 2" xfId="2207" xr:uid="{00000000-0005-0000-0000-000058080000}"/>
    <cellStyle name="Moneda 2 5" xfId="2208" xr:uid="{00000000-0005-0000-0000-000059080000}"/>
    <cellStyle name="Moneda 2 5 2" xfId="2209" xr:uid="{00000000-0005-0000-0000-00005A080000}"/>
    <cellStyle name="Moneda 2 6" xfId="2210" xr:uid="{00000000-0005-0000-0000-00005B080000}"/>
    <cellStyle name="Moneda 2 6 2" xfId="2211" xr:uid="{00000000-0005-0000-0000-00005C080000}"/>
    <cellStyle name="Moneda 2 7" xfId="2212" xr:uid="{00000000-0005-0000-0000-00005D080000}"/>
    <cellStyle name="Moneda 2 7 2" xfId="2213" xr:uid="{00000000-0005-0000-0000-00005E080000}"/>
    <cellStyle name="Moneda 2 8" xfId="2214" xr:uid="{00000000-0005-0000-0000-00005F080000}"/>
    <cellStyle name="Moneda 2 8 2" xfId="2215" xr:uid="{00000000-0005-0000-0000-000060080000}"/>
    <cellStyle name="Moneda 2 9" xfId="2216" xr:uid="{00000000-0005-0000-0000-000061080000}"/>
    <cellStyle name="Moneda 26" xfId="2217" xr:uid="{00000000-0005-0000-0000-000062080000}"/>
    <cellStyle name="Moneda 26 2" xfId="2218" xr:uid="{00000000-0005-0000-0000-000063080000}"/>
    <cellStyle name="Moneda 26 2 2" xfId="2219" xr:uid="{00000000-0005-0000-0000-000064080000}"/>
    <cellStyle name="Moneda 26 2 3" xfId="2220" xr:uid="{00000000-0005-0000-0000-000065080000}"/>
    <cellStyle name="Moneda 26 3" xfId="2221" xr:uid="{00000000-0005-0000-0000-000066080000}"/>
    <cellStyle name="Moneda 26 3 2" xfId="2222" xr:uid="{00000000-0005-0000-0000-000067080000}"/>
    <cellStyle name="Moneda 26 3 3" xfId="2223" xr:uid="{00000000-0005-0000-0000-000068080000}"/>
    <cellStyle name="Moneda 26 4" xfId="2224" xr:uid="{00000000-0005-0000-0000-000069080000}"/>
    <cellStyle name="Moneda 3" xfId="48" xr:uid="{00000000-0005-0000-0000-00006A080000}"/>
    <cellStyle name="Moneda 3 2" xfId="2226" xr:uid="{00000000-0005-0000-0000-00006B080000}"/>
    <cellStyle name="Moneda 3 3" xfId="2227" xr:uid="{00000000-0005-0000-0000-00006C080000}"/>
    <cellStyle name="Moneda 3 4" xfId="2228" xr:uid="{00000000-0005-0000-0000-00006D080000}"/>
    <cellStyle name="Moneda 3 5" xfId="2229" xr:uid="{00000000-0005-0000-0000-00006E080000}"/>
    <cellStyle name="Moneda 3 6" xfId="2230" xr:uid="{00000000-0005-0000-0000-00006F080000}"/>
    <cellStyle name="Moneda 3 7" xfId="80" xr:uid="{00000000-0005-0000-0000-000070080000}"/>
    <cellStyle name="Moneda 3 7 2" xfId="2231" xr:uid="{00000000-0005-0000-0000-000071080000}"/>
    <cellStyle name="Moneda 3 8" xfId="2232" xr:uid="{00000000-0005-0000-0000-000072080000}"/>
    <cellStyle name="Moneda 3 9" xfId="2225" xr:uid="{00000000-0005-0000-0000-000073080000}"/>
    <cellStyle name="Moneda 4" xfId="32" xr:uid="{00000000-0005-0000-0000-000074080000}"/>
    <cellStyle name="Moneda 4 2" xfId="49" xr:uid="{00000000-0005-0000-0000-000075080000}"/>
    <cellStyle name="Moneda 4 3" xfId="76" xr:uid="{00000000-0005-0000-0000-000076080000}"/>
    <cellStyle name="Moneda 4 4" xfId="2233" xr:uid="{00000000-0005-0000-0000-000077080000}"/>
    <cellStyle name="Moneda 5" xfId="74" xr:uid="{00000000-0005-0000-0000-000078080000}"/>
    <cellStyle name="Moneda 6" xfId="78" xr:uid="{00000000-0005-0000-0000-000079080000}"/>
    <cellStyle name="Neutral 2" xfId="2234" xr:uid="{00000000-0005-0000-0000-00007A080000}"/>
    <cellStyle name="Neutral 3" xfId="2235" xr:uid="{00000000-0005-0000-0000-00007B080000}"/>
    <cellStyle name="Neutral 4" xfId="2236" xr:uid="{00000000-0005-0000-0000-00007C080000}"/>
    <cellStyle name="Normal" xfId="0" builtinId="0"/>
    <cellStyle name="Normal 10" xfId="33" xr:uid="{00000000-0005-0000-0000-00007E080000}"/>
    <cellStyle name="Normal 10 10" xfId="2238" xr:uid="{00000000-0005-0000-0000-00007F080000}"/>
    <cellStyle name="Normal 10 11" xfId="2239" xr:uid="{00000000-0005-0000-0000-000080080000}"/>
    <cellStyle name="Normal 10 12" xfId="2240" xr:uid="{00000000-0005-0000-0000-000081080000}"/>
    <cellStyle name="Normal 10 13" xfId="2241" xr:uid="{00000000-0005-0000-0000-000082080000}"/>
    <cellStyle name="Normal 10 14" xfId="2242" xr:uid="{00000000-0005-0000-0000-000083080000}"/>
    <cellStyle name="Normal 10 15" xfId="2243" xr:uid="{00000000-0005-0000-0000-000084080000}"/>
    <cellStyle name="Normal 10 16" xfId="2244" xr:uid="{00000000-0005-0000-0000-000085080000}"/>
    <cellStyle name="Normal 10 17" xfId="2245" xr:uid="{00000000-0005-0000-0000-000086080000}"/>
    <cellStyle name="Normal 10 18" xfId="2246" xr:uid="{00000000-0005-0000-0000-000087080000}"/>
    <cellStyle name="Normal 10 19" xfId="2247" xr:uid="{00000000-0005-0000-0000-000088080000}"/>
    <cellStyle name="Normal 10 2" xfId="2248" xr:uid="{00000000-0005-0000-0000-000089080000}"/>
    <cellStyle name="Normal 10 2 10" xfId="11" xr:uid="{00000000-0005-0000-0000-00008A080000}"/>
    <cellStyle name="Normal 10 2 10 10" xfId="2250" xr:uid="{00000000-0005-0000-0000-00008B080000}"/>
    <cellStyle name="Normal 10 2 10 10 10" xfId="2251" xr:uid="{00000000-0005-0000-0000-00008C080000}"/>
    <cellStyle name="Normal 10 2 10 10 11" xfId="2252" xr:uid="{00000000-0005-0000-0000-00008D080000}"/>
    <cellStyle name="Normal 10 2 10 10 12" xfId="2253" xr:uid="{00000000-0005-0000-0000-00008E080000}"/>
    <cellStyle name="Normal 10 2 10 10 13" xfId="2254" xr:uid="{00000000-0005-0000-0000-00008F080000}"/>
    <cellStyle name="Normal 10 2 10 10 14" xfId="2255" xr:uid="{00000000-0005-0000-0000-000090080000}"/>
    <cellStyle name="Normal 10 2 10 10 2" xfId="2256" xr:uid="{00000000-0005-0000-0000-000091080000}"/>
    <cellStyle name="Normal 10 2 10 10 2 10" xfId="2257" xr:uid="{00000000-0005-0000-0000-000092080000}"/>
    <cellStyle name="Normal 10 2 10 10 2 2" xfId="2258" xr:uid="{00000000-0005-0000-0000-000093080000}"/>
    <cellStyle name="Normal 10 2 10 10 2 3" xfId="2259" xr:uid="{00000000-0005-0000-0000-000094080000}"/>
    <cellStyle name="Normal 10 2 10 10 2 4" xfId="2260" xr:uid="{00000000-0005-0000-0000-000095080000}"/>
    <cellStyle name="Normal 10 2 10 10 2 5" xfId="2261" xr:uid="{00000000-0005-0000-0000-000096080000}"/>
    <cellStyle name="Normal 10 2 10 10 2 6" xfId="2262" xr:uid="{00000000-0005-0000-0000-000097080000}"/>
    <cellStyle name="Normal 10 2 10 10 2 7" xfId="2263" xr:uid="{00000000-0005-0000-0000-000098080000}"/>
    <cellStyle name="Normal 10 2 10 10 2 8" xfId="2264" xr:uid="{00000000-0005-0000-0000-000099080000}"/>
    <cellStyle name="Normal 10 2 10 10 2 9" xfId="2265" xr:uid="{00000000-0005-0000-0000-00009A080000}"/>
    <cellStyle name="Normal 10 2 10 10 3" xfId="2266" xr:uid="{00000000-0005-0000-0000-00009B080000}"/>
    <cellStyle name="Normal 10 2 10 10 3 10" xfId="2267" xr:uid="{00000000-0005-0000-0000-00009C080000}"/>
    <cellStyle name="Normal 10 2 10 10 3 2" xfId="2268" xr:uid="{00000000-0005-0000-0000-00009D080000}"/>
    <cellStyle name="Normal 10 2 10 10 3 3" xfId="2269" xr:uid="{00000000-0005-0000-0000-00009E080000}"/>
    <cellStyle name="Normal 10 2 10 10 3 4" xfId="2270" xr:uid="{00000000-0005-0000-0000-00009F080000}"/>
    <cellStyle name="Normal 10 2 10 10 3 5" xfId="2271" xr:uid="{00000000-0005-0000-0000-0000A0080000}"/>
    <cellStyle name="Normal 10 2 10 10 3 6" xfId="2272" xr:uid="{00000000-0005-0000-0000-0000A1080000}"/>
    <cellStyle name="Normal 10 2 10 10 3 7" xfId="2273" xr:uid="{00000000-0005-0000-0000-0000A2080000}"/>
    <cellStyle name="Normal 10 2 10 10 3 8" xfId="2274" xr:uid="{00000000-0005-0000-0000-0000A3080000}"/>
    <cellStyle name="Normal 10 2 10 10 3 9" xfId="2275" xr:uid="{00000000-0005-0000-0000-0000A4080000}"/>
    <cellStyle name="Normal 10 2 10 10 4" xfId="2276" xr:uid="{00000000-0005-0000-0000-0000A5080000}"/>
    <cellStyle name="Normal 10 2 10 10 4 10" xfId="2277" xr:uid="{00000000-0005-0000-0000-0000A6080000}"/>
    <cellStyle name="Normal 10 2 10 10 4 2" xfId="2278" xr:uid="{00000000-0005-0000-0000-0000A7080000}"/>
    <cellStyle name="Normal 10 2 10 10 4 3" xfId="2279" xr:uid="{00000000-0005-0000-0000-0000A8080000}"/>
    <cellStyle name="Normal 10 2 10 10 4 4" xfId="2280" xr:uid="{00000000-0005-0000-0000-0000A9080000}"/>
    <cellStyle name="Normal 10 2 10 10 4 5" xfId="2281" xr:uid="{00000000-0005-0000-0000-0000AA080000}"/>
    <cellStyle name="Normal 10 2 10 10 4 6" xfId="2282" xr:uid="{00000000-0005-0000-0000-0000AB080000}"/>
    <cellStyle name="Normal 10 2 10 10 4 7" xfId="2283" xr:uid="{00000000-0005-0000-0000-0000AC080000}"/>
    <cellStyle name="Normal 10 2 10 10 4 8" xfId="2284" xr:uid="{00000000-0005-0000-0000-0000AD080000}"/>
    <cellStyle name="Normal 10 2 10 10 4 9" xfId="2285" xr:uid="{00000000-0005-0000-0000-0000AE080000}"/>
    <cellStyle name="Normal 10 2 10 10 5" xfId="2286" xr:uid="{00000000-0005-0000-0000-0000AF080000}"/>
    <cellStyle name="Normal 10 2 10 10 5 10" xfId="2287" xr:uid="{00000000-0005-0000-0000-0000B0080000}"/>
    <cellStyle name="Normal 10 2 10 10 5 2" xfId="2288" xr:uid="{00000000-0005-0000-0000-0000B1080000}"/>
    <cellStyle name="Normal 10 2 10 10 5 3" xfId="2289" xr:uid="{00000000-0005-0000-0000-0000B2080000}"/>
    <cellStyle name="Normal 10 2 10 10 5 4" xfId="2290" xr:uid="{00000000-0005-0000-0000-0000B3080000}"/>
    <cellStyle name="Normal 10 2 10 10 5 5" xfId="2291" xr:uid="{00000000-0005-0000-0000-0000B4080000}"/>
    <cellStyle name="Normal 10 2 10 10 5 6" xfId="2292" xr:uid="{00000000-0005-0000-0000-0000B5080000}"/>
    <cellStyle name="Normal 10 2 10 10 5 7" xfId="2293" xr:uid="{00000000-0005-0000-0000-0000B6080000}"/>
    <cellStyle name="Normal 10 2 10 10 5 8" xfId="2294" xr:uid="{00000000-0005-0000-0000-0000B7080000}"/>
    <cellStyle name="Normal 10 2 10 10 5 9" xfId="2295" xr:uid="{00000000-0005-0000-0000-0000B8080000}"/>
    <cellStyle name="Normal 10 2 10 10 6" xfId="2296" xr:uid="{00000000-0005-0000-0000-0000B9080000}"/>
    <cellStyle name="Normal 10 2 10 10 7" xfId="2297" xr:uid="{00000000-0005-0000-0000-0000BA080000}"/>
    <cellStyle name="Normal 10 2 10 10 8" xfId="2298" xr:uid="{00000000-0005-0000-0000-0000BB080000}"/>
    <cellStyle name="Normal 10 2 10 10 9" xfId="2299" xr:uid="{00000000-0005-0000-0000-0000BC080000}"/>
    <cellStyle name="Normal 10 2 10 11" xfId="2300" xr:uid="{00000000-0005-0000-0000-0000BD080000}"/>
    <cellStyle name="Normal 10 2 10 11 10" xfId="2301" xr:uid="{00000000-0005-0000-0000-0000BE080000}"/>
    <cellStyle name="Normal 10 2 10 11 11" xfId="2302" xr:uid="{00000000-0005-0000-0000-0000BF080000}"/>
    <cellStyle name="Normal 10 2 10 11 12" xfId="2303" xr:uid="{00000000-0005-0000-0000-0000C0080000}"/>
    <cellStyle name="Normal 10 2 10 11 13" xfId="2304" xr:uid="{00000000-0005-0000-0000-0000C1080000}"/>
    <cellStyle name="Normal 10 2 10 11 14" xfId="2305" xr:uid="{00000000-0005-0000-0000-0000C2080000}"/>
    <cellStyle name="Normal 10 2 10 11 2" xfId="2306" xr:uid="{00000000-0005-0000-0000-0000C3080000}"/>
    <cellStyle name="Normal 10 2 10 11 2 10" xfId="2307" xr:uid="{00000000-0005-0000-0000-0000C4080000}"/>
    <cellStyle name="Normal 10 2 10 11 2 2" xfId="2308" xr:uid="{00000000-0005-0000-0000-0000C5080000}"/>
    <cellStyle name="Normal 10 2 10 11 2 3" xfId="2309" xr:uid="{00000000-0005-0000-0000-0000C6080000}"/>
    <cellStyle name="Normal 10 2 10 11 2 4" xfId="2310" xr:uid="{00000000-0005-0000-0000-0000C7080000}"/>
    <cellStyle name="Normal 10 2 10 11 2 5" xfId="2311" xr:uid="{00000000-0005-0000-0000-0000C8080000}"/>
    <cellStyle name="Normal 10 2 10 11 2 6" xfId="2312" xr:uid="{00000000-0005-0000-0000-0000C9080000}"/>
    <cellStyle name="Normal 10 2 10 11 2 7" xfId="2313" xr:uid="{00000000-0005-0000-0000-0000CA080000}"/>
    <cellStyle name="Normal 10 2 10 11 2 8" xfId="2314" xr:uid="{00000000-0005-0000-0000-0000CB080000}"/>
    <cellStyle name="Normal 10 2 10 11 2 9" xfId="2315" xr:uid="{00000000-0005-0000-0000-0000CC080000}"/>
    <cellStyle name="Normal 10 2 10 11 3" xfId="2316" xr:uid="{00000000-0005-0000-0000-0000CD080000}"/>
    <cellStyle name="Normal 10 2 10 11 3 10" xfId="2317" xr:uid="{00000000-0005-0000-0000-0000CE080000}"/>
    <cellStyle name="Normal 10 2 10 11 3 2" xfId="2318" xr:uid="{00000000-0005-0000-0000-0000CF080000}"/>
    <cellStyle name="Normal 10 2 10 11 3 3" xfId="2319" xr:uid="{00000000-0005-0000-0000-0000D0080000}"/>
    <cellStyle name="Normal 10 2 10 11 3 4" xfId="2320" xr:uid="{00000000-0005-0000-0000-0000D1080000}"/>
    <cellStyle name="Normal 10 2 10 11 3 5" xfId="2321" xr:uid="{00000000-0005-0000-0000-0000D2080000}"/>
    <cellStyle name="Normal 10 2 10 11 3 6" xfId="2322" xr:uid="{00000000-0005-0000-0000-0000D3080000}"/>
    <cellStyle name="Normal 10 2 10 11 3 7" xfId="2323" xr:uid="{00000000-0005-0000-0000-0000D4080000}"/>
    <cellStyle name="Normal 10 2 10 11 3 8" xfId="2324" xr:uid="{00000000-0005-0000-0000-0000D5080000}"/>
    <cellStyle name="Normal 10 2 10 11 3 9" xfId="2325" xr:uid="{00000000-0005-0000-0000-0000D6080000}"/>
    <cellStyle name="Normal 10 2 10 11 4" xfId="2326" xr:uid="{00000000-0005-0000-0000-0000D7080000}"/>
    <cellStyle name="Normal 10 2 10 11 4 10" xfId="2327" xr:uid="{00000000-0005-0000-0000-0000D8080000}"/>
    <cellStyle name="Normal 10 2 10 11 4 2" xfId="2328" xr:uid="{00000000-0005-0000-0000-0000D9080000}"/>
    <cellStyle name="Normal 10 2 10 11 4 3" xfId="2329" xr:uid="{00000000-0005-0000-0000-0000DA080000}"/>
    <cellStyle name="Normal 10 2 10 11 4 4" xfId="2330" xr:uid="{00000000-0005-0000-0000-0000DB080000}"/>
    <cellStyle name="Normal 10 2 10 11 4 5" xfId="2331" xr:uid="{00000000-0005-0000-0000-0000DC080000}"/>
    <cellStyle name="Normal 10 2 10 11 4 6" xfId="2332" xr:uid="{00000000-0005-0000-0000-0000DD080000}"/>
    <cellStyle name="Normal 10 2 10 11 4 7" xfId="2333" xr:uid="{00000000-0005-0000-0000-0000DE080000}"/>
    <cellStyle name="Normal 10 2 10 11 4 8" xfId="2334" xr:uid="{00000000-0005-0000-0000-0000DF080000}"/>
    <cellStyle name="Normal 10 2 10 11 4 9" xfId="2335" xr:uid="{00000000-0005-0000-0000-0000E0080000}"/>
    <cellStyle name="Normal 10 2 10 11 5" xfId="2336" xr:uid="{00000000-0005-0000-0000-0000E1080000}"/>
    <cellStyle name="Normal 10 2 10 11 5 10" xfId="2337" xr:uid="{00000000-0005-0000-0000-0000E2080000}"/>
    <cellStyle name="Normal 10 2 10 11 5 2" xfId="2338" xr:uid="{00000000-0005-0000-0000-0000E3080000}"/>
    <cellStyle name="Normal 10 2 10 11 5 3" xfId="2339" xr:uid="{00000000-0005-0000-0000-0000E4080000}"/>
    <cellStyle name="Normal 10 2 10 11 5 4" xfId="2340" xr:uid="{00000000-0005-0000-0000-0000E5080000}"/>
    <cellStyle name="Normal 10 2 10 11 5 5" xfId="2341" xr:uid="{00000000-0005-0000-0000-0000E6080000}"/>
    <cellStyle name="Normal 10 2 10 11 5 6" xfId="2342" xr:uid="{00000000-0005-0000-0000-0000E7080000}"/>
    <cellStyle name="Normal 10 2 10 11 5 7" xfId="2343" xr:uid="{00000000-0005-0000-0000-0000E8080000}"/>
    <cellStyle name="Normal 10 2 10 11 5 8" xfId="2344" xr:uid="{00000000-0005-0000-0000-0000E9080000}"/>
    <cellStyle name="Normal 10 2 10 11 5 9" xfId="2345" xr:uid="{00000000-0005-0000-0000-0000EA080000}"/>
    <cellStyle name="Normal 10 2 10 11 6" xfId="2346" xr:uid="{00000000-0005-0000-0000-0000EB080000}"/>
    <cellStyle name="Normal 10 2 10 11 7" xfId="2347" xr:uid="{00000000-0005-0000-0000-0000EC080000}"/>
    <cellStyle name="Normal 10 2 10 11 8" xfId="2348" xr:uid="{00000000-0005-0000-0000-0000ED080000}"/>
    <cellStyle name="Normal 10 2 10 11 9" xfId="2349" xr:uid="{00000000-0005-0000-0000-0000EE080000}"/>
    <cellStyle name="Normal 10 2 10 12" xfId="2350" xr:uid="{00000000-0005-0000-0000-0000EF080000}"/>
    <cellStyle name="Normal 10 2 10 12 10" xfId="2351" xr:uid="{00000000-0005-0000-0000-0000F0080000}"/>
    <cellStyle name="Normal 10 2 10 12 11" xfId="2352" xr:uid="{00000000-0005-0000-0000-0000F1080000}"/>
    <cellStyle name="Normal 10 2 10 12 12" xfId="2353" xr:uid="{00000000-0005-0000-0000-0000F2080000}"/>
    <cellStyle name="Normal 10 2 10 12 13" xfId="2354" xr:uid="{00000000-0005-0000-0000-0000F3080000}"/>
    <cellStyle name="Normal 10 2 10 12 14" xfId="2355" xr:uid="{00000000-0005-0000-0000-0000F4080000}"/>
    <cellStyle name="Normal 10 2 10 12 2" xfId="2356" xr:uid="{00000000-0005-0000-0000-0000F5080000}"/>
    <cellStyle name="Normal 10 2 10 12 2 10" xfId="2357" xr:uid="{00000000-0005-0000-0000-0000F6080000}"/>
    <cellStyle name="Normal 10 2 10 12 2 2" xfId="2358" xr:uid="{00000000-0005-0000-0000-0000F7080000}"/>
    <cellStyle name="Normal 10 2 10 12 2 3" xfId="2359" xr:uid="{00000000-0005-0000-0000-0000F8080000}"/>
    <cellStyle name="Normal 10 2 10 12 2 4" xfId="2360" xr:uid="{00000000-0005-0000-0000-0000F9080000}"/>
    <cellStyle name="Normal 10 2 10 12 2 5" xfId="2361" xr:uid="{00000000-0005-0000-0000-0000FA080000}"/>
    <cellStyle name="Normal 10 2 10 12 2 6" xfId="2362" xr:uid="{00000000-0005-0000-0000-0000FB080000}"/>
    <cellStyle name="Normal 10 2 10 12 2 7" xfId="2363" xr:uid="{00000000-0005-0000-0000-0000FC080000}"/>
    <cellStyle name="Normal 10 2 10 12 2 8" xfId="2364" xr:uid="{00000000-0005-0000-0000-0000FD080000}"/>
    <cellStyle name="Normal 10 2 10 12 2 9" xfId="2365" xr:uid="{00000000-0005-0000-0000-0000FE080000}"/>
    <cellStyle name="Normal 10 2 10 12 3" xfId="2366" xr:uid="{00000000-0005-0000-0000-0000FF080000}"/>
    <cellStyle name="Normal 10 2 10 12 3 10" xfId="2367" xr:uid="{00000000-0005-0000-0000-000000090000}"/>
    <cellStyle name="Normal 10 2 10 12 3 2" xfId="2368" xr:uid="{00000000-0005-0000-0000-000001090000}"/>
    <cellStyle name="Normal 10 2 10 12 3 3" xfId="2369" xr:uid="{00000000-0005-0000-0000-000002090000}"/>
    <cellStyle name="Normal 10 2 10 12 3 4" xfId="2370" xr:uid="{00000000-0005-0000-0000-000003090000}"/>
    <cellStyle name="Normal 10 2 10 12 3 5" xfId="2371" xr:uid="{00000000-0005-0000-0000-000004090000}"/>
    <cellStyle name="Normal 10 2 10 12 3 6" xfId="2372" xr:uid="{00000000-0005-0000-0000-000005090000}"/>
    <cellStyle name="Normal 10 2 10 12 3 7" xfId="2373" xr:uid="{00000000-0005-0000-0000-000006090000}"/>
    <cellStyle name="Normal 10 2 10 12 3 8" xfId="2374" xr:uid="{00000000-0005-0000-0000-000007090000}"/>
    <cellStyle name="Normal 10 2 10 12 3 9" xfId="2375" xr:uid="{00000000-0005-0000-0000-000008090000}"/>
    <cellStyle name="Normal 10 2 10 12 4" xfId="2376" xr:uid="{00000000-0005-0000-0000-000009090000}"/>
    <cellStyle name="Normal 10 2 10 12 4 10" xfId="2377" xr:uid="{00000000-0005-0000-0000-00000A090000}"/>
    <cellStyle name="Normal 10 2 10 12 4 2" xfId="2378" xr:uid="{00000000-0005-0000-0000-00000B090000}"/>
    <cellStyle name="Normal 10 2 10 12 4 3" xfId="2379" xr:uid="{00000000-0005-0000-0000-00000C090000}"/>
    <cellStyle name="Normal 10 2 10 12 4 4" xfId="2380" xr:uid="{00000000-0005-0000-0000-00000D090000}"/>
    <cellStyle name="Normal 10 2 10 12 4 5" xfId="2381" xr:uid="{00000000-0005-0000-0000-00000E090000}"/>
    <cellStyle name="Normal 10 2 10 12 4 6" xfId="2382" xr:uid="{00000000-0005-0000-0000-00000F090000}"/>
    <cellStyle name="Normal 10 2 10 12 4 7" xfId="2383" xr:uid="{00000000-0005-0000-0000-000010090000}"/>
    <cellStyle name="Normal 10 2 10 12 4 8" xfId="2384" xr:uid="{00000000-0005-0000-0000-000011090000}"/>
    <cellStyle name="Normal 10 2 10 12 4 9" xfId="2385" xr:uid="{00000000-0005-0000-0000-000012090000}"/>
    <cellStyle name="Normal 10 2 10 12 5" xfId="2386" xr:uid="{00000000-0005-0000-0000-000013090000}"/>
    <cellStyle name="Normal 10 2 10 12 5 10" xfId="2387" xr:uid="{00000000-0005-0000-0000-000014090000}"/>
    <cellStyle name="Normal 10 2 10 12 5 2" xfId="2388" xr:uid="{00000000-0005-0000-0000-000015090000}"/>
    <cellStyle name="Normal 10 2 10 12 5 3" xfId="2389" xr:uid="{00000000-0005-0000-0000-000016090000}"/>
    <cellStyle name="Normal 10 2 10 12 5 4" xfId="2390" xr:uid="{00000000-0005-0000-0000-000017090000}"/>
    <cellStyle name="Normal 10 2 10 12 5 5" xfId="2391" xr:uid="{00000000-0005-0000-0000-000018090000}"/>
    <cellStyle name="Normal 10 2 10 12 5 6" xfId="2392" xr:uid="{00000000-0005-0000-0000-000019090000}"/>
    <cellStyle name="Normal 10 2 10 12 5 7" xfId="2393" xr:uid="{00000000-0005-0000-0000-00001A090000}"/>
    <cellStyle name="Normal 10 2 10 12 5 8" xfId="2394" xr:uid="{00000000-0005-0000-0000-00001B090000}"/>
    <cellStyle name="Normal 10 2 10 12 5 9" xfId="2395" xr:uid="{00000000-0005-0000-0000-00001C090000}"/>
    <cellStyle name="Normal 10 2 10 12 6" xfId="2396" xr:uid="{00000000-0005-0000-0000-00001D090000}"/>
    <cellStyle name="Normal 10 2 10 12 7" xfId="2397" xr:uid="{00000000-0005-0000-0000-00001E090000}"/>
    <cellStyle name="Normal 10 2 10 12 8" xfId="2398" xr:uid="{00000000-0005-0000-0000-00001F090000}"/>
    <cellStyle name="Normal 10 2 10 12 9" xfId="2399" xr:uid="{00000000-0005-0000-0000-000020090000}"/>
    <cellStyle name="Normal 10 2 10 13" xfId="2400" xr:uid="{00000000-0005-0000-0000-000021090000}"/>
    <cellStyle name="Normal 10 2 10 13 10" xfId="2401" xr:uid="{00000000-0005-0000-0000-000022090000}"/>
    <cellStyle name="Normal 10 2 10 13 11" xfId="2402" xr:uid="{00000000-0005-0000-0000-000023090000}"/>
    <cellStyle name="Normal 10 2 10 13 12" xfId="2403" xr:uid="{00000000-0005-0000-0000-000024090000}"/>
    <cellStyle name="Normal 10 2 10 13 13" xfId="2404" xr:uid="{00000000-0005-0000-0000-000025090000}"/>
    <cellStyle name="Normal 10 2 10 13 14" xfId="2405" xr:uid="{00000000-0005-0000-0000-000026090000}"/>
    <cellStyle name="Normal 10 2 10 13 2" xfId="2406" xr:uid="{00000000-0005-0000-0000-000027090000}"/>
    <cellStyle name="Normal 10 2 10 13 2 10" xfId="2407" xr:uid="{00000000-0005-0000-0000-000028090000}"/>
    <cellStyle name="Normal 10 2 10 13 2 2" xfId="2408" xr:uid="{00000000-0005-0000-0000-000029090000}"/>
    <cellStyle name="Normal 10 2 10 13 2 3" xfId="2409" xr:uid="{00000000-0005-0000-0000-00002A090000}"/>
    <cellStyle name="Normal 10 2 10 13 2 4" xfId="2410" xr:uid="{00000000-0005-0000-0000-00002B090000}"/>
    <cellStyle name="Normal 10 2 10 13 2 5" xfId="2411" xr:uid="{00000000-0005-0000-0000-00002C090000}"/>
    <cellStyle name="Normal 10 2 10 13 2 6" xfId="2412" xr:uid="{00000000-0005-0000-0000-00002D090000}"/>
    <cellStyle name="Normal 10 2 10 13 2 7" xfId="2413" xr:uid="{00000000-0005-0000-0000-00002E090000}"/>
    <cellStyle name="Normal 10 2 10 13 2 8" xfId="2414" xr:uid="{00000000-0005-0000-0000-00002F090000}"/>
    <cellStyle name="Normal 10 2 10 13 2 9" xfId="2415" xr:uid="{00000000-0005-0000-0000-000030090000}"/>
    <cellStyle name="Normal 10 2 10 13 3" xfId="2416" xr:uid="{00000000-0005-0000-0000-000031090000}"/>
    <cellStyle name="Normal 10 2 10 13 3 10" xfId="2417" xr:uid="{00000000-0005-0000-0000-000032090000}"/>
    <cellStyle name="Normal 10 2 10 13 3 2" xfId="2418" xr:uid="{00000000-0005-0000-0000-000033090000}"/>
    <cellStyle name="Normal 10 2 10 13 3 3" xfId="2419" xr:uid="{00000000-0005-0000-0000-000034090000}"/>
    <cellStyle name="Normal 10 2 10 13 3 4" xfId="2420" xr:uid="{00000000-0005-0000-0000-000035090000}"/>
    <cellStyle name="Normal 10 2 10 13 3 5" xfId="2421" xr:uid="{00000000-0005-0000-0000-000036090000}"/>
    <cellStyle name="Normal 10 2 10 13 3 6" xfId="2422" xr:uid="{00000000-0005-0000-0000-000037090000}"/>
    <cellStyle name="Normal 10 2 10 13 3 7" xfId="2423" xr:uid="{00000000-0005-0000-0000-000038090000}"/>
    <cellStyle name="Normal 10 2 10 13 3 8" xfId="2424" xr:uid="{00000000-0005-0000-0000-000039090000}"/>
    <cellStyle name="Normal 10 2 10 13 3 9" xfId="2425" xr:uid="{00000000-0005-0000-0000-00003A090000}"/>
    <cellStyle name="Normal 10 2 10 13 4" xfId="2426" xr:uid="{00000000-0005-0000-0000-00003B090000}"/>
    <cellStyle name="Normal 10 2 10 13 4 10" xfId="2427" xr:uid="{00000000-0005-0000-0000-00003C090000}"/>
    <cellStyle name="Normal 10 2 10 13 4 2" xfId="2428" xr:uid="{00000000-0005-0000-0000-00003D090000}"/>
    <cellStyle name="Normal 10 2 10 13 4 3" xfId="2429" xr:uid="{00000000-0005-0000-0000-00003E090000}"/>
    <cellStyle name="Normal 10 2 10 13 4 4" xfId="2430" xr:uid="{00000000-0005-0000-0000-00003F090000}"/>
    <cellStyle name="Normal 10 2 10 13 4 5" xfId="2431" xr:uid="{00000000-0005-0000-0000-000040090000}"/>
    <cellStyle name="Normal 10 2 10 13 4 6" xfId="2432" xr:uid="{00000000-0005-0000-0000-000041090000}"/>
    <cellStyle name="Normal 10 2 10 13 4 7" xfId="2433" xr:uid="{00000000-0005-0000-0000-000042090000}"/>
    <cellStyle name="Normal 10 2 10 13 4 8" xfId="2434" xr:uid="{00000000-0005-0000-0000-000043090000}"/>
    <cellStyle name="Normal 10 2 10 13 4 9" xfId="2435" xr:uid="{00000000-0005-0000-0000-000044090000}"/>
    <cellStyle name="Normal 10 2 10 13 5" xfId="2436" xr:uid="{00000000-0005-0000-0000-000045090000}"/>
    <cellStyle name="Normal 10 2 10 13 5 10" xfId="2437" xr:uid="{00000000-0005-0000-0000-000046090000}"/>
    <cellStyle name="Normal 10 2 10 13 5 2" xfId="2438" xr:uid="{00000000-0005-0000-0000-000047090000}"/>
    <cellStyle name="Normal 10 2 10 13 5 3" xfId="2439" xr:uid="{00000000-0005-0000-0000-000048090000}"/>
    <cellStyle name="Normal 10 2 10 13 5 4" xfId="2440" xr:uid="{00000000-0005-0000-0000-000049090000}"/>
    <cellStyle name="Normal 10 2 10 13 5 5" xfId="2441" xr:uid="{00000000-0005-0000-0000-00004A090000}"/>
    <cellStyle name="Normal 10 2 10 13 5 6" xfId="2442" xr:uid="{00000000-0005-0000-0000-00004B090000}"/>
    <cellStyle name="Normal 10 2 10 13 5 7" xfId="2443" xr:uid="{00000000-0005-0000-0000-00004C090000}"/>
    <cellStyle name="Normal 10 2 10 13 5 8" xfId="2444" xr:uid="{00000000-0005-0000-0000-00004D090000}"/>
    <cellStyle name="Normal 10 2 10 13 5 9" xfId="2445" xr:uid="{00000000-0005-0000-0000-00004E090000}"/>
    <cellStyle name="Normal 10 2 10 13 6" xfId="2446" xr:uid="{00000000-0005-0000-0000-00004F090000}"/>
    <cellStyle name="Normal 10 2 10 13 7" xfId="2447" xr:uid="{00000000-0005-0000-0000-000050090000}"/>
    <cellStyle name="Normal 10 2 10 13 8" xfId="2448" xr:uid="{00000000-0005-0000-0000-000051090000}"/>
    <cellStyle name="Normal 10 2 10 13 9" xfId="2449" xr:uid="{00000000-0005-0000-0000-000052090000}"/>
    <cellStyle name="Normal 10 2 10 14" xfId="2450" xr:uid="{00000000-0005-0000-0000-000053090000}"/>
    <cellStyle name="Normal 10 2 10 14 10" xfId="2451" xr:uid="{00000000-0005-0000-0000-000054090000}"/>
    <cellStyle name="Normal 10 2 10 14 11" xfId="2452" xr:uid="{00000000-0005-0000-0000-000055090000}"/>
    <cellStyle name="Normal 10 2 10 14 12" xfId="2453" xr:uid="{00000000-0005-0000-0000-000056090000}"/>
    <cellStyle name="Normal 10 2 10 14 13" xfId="2454" xr:uid="{00000000-0005-0000-0000-000057090000}"/>
    <cellStyle name="Normal 10 2 10 14 14" xfId="2455" xr:uid="{00000000-0005-0000-0000-000058090000}"/>
    <cellStyle name="Normal 10 2 10 14 2" xfId="2456" xr:uid="{00000000-0005-0000-0000-000059090000}"/>
    <cellStyle name="Normal 10 2 10 14 2 10" xfId="2457" xr:uid="{00000000-0005-0000-0000-00005A090000}"/>
    <cellStyle name="Normal 10 2 10 14 2 2" xfId="2458" xr:uid="{00000000-0005-0000-0000-00005B090000}"/>
    <cellStyle name="Normal 10 2 10 14 2 3" xfId="2459" xr:uid="{00000000-0005-0000-0000-00005C090000}"/>
    <cellStyle name="Normal 10 2 10 14 2 4" xfId="2460" xr:uid="{00000000-0005-0000-0000-00005D090000}"/>
    <cellStyle name="Normal 10 2 10 14 2 5" xfId="2461" xr:uid="{00000000-0005-0000-0000-00005E090000}"/>
    <cellStyle name="Normal 10 2 10 14 2 6" xfId="2462" xr:uid="{00000000-0005-0000-0000-00005F090000}"/>
    <cellStyle name="Normal 10 2 10 14 2 7" xfId="2463" xr:uid="{00000000-0005-0000-0000-000060090000}"/>
    <cellStyle name="Normal 10 2 10 14 2 8" xfId="2464" xr:uid="{00000000-0005-0000-0000-000061090000}"/>
    <cellStyle name="Normal 10 2 10 14 2 9" xfId="2465" xr:uid="{00000000-0005-0000-0000-000062090000}"/>
    <cellStyle name="Normal 10 2 10 14 3" xfId="2466" xr:uid="{00000000-0005-0000-0000-000063090000}"/>
    <cellStyle name="Normal 10 2 10 14 3 10" xfId="2467" xr:uid="{00000000-0005-0000-0000-000064090000}"/>
    <cellStyle name="Normal 10 2 10 14 3 2" xfId="2468" xr:uid="{00000000-0005-0000-0000-000065090000}"/>
    <cellStyle name="Normal 10 2 10 14 3 3" xfId="2469" xr:uid="{00000000-0005-0000-0000-000066090000}"/>
    <cellStyle name="Normal 10 2 10 14 3 4" xfId="2470" xr:uid="{00000000-0005-0000-0000-000067090000}"/>
    <cellStyle name="Normal 10 2 10 14 3 5" xfId="2471" xr:uid="{00000000-0005-0000-0000-000068090000}"/>
    <cellStyle name="Normal 10 2 10 14 3 6" xfId="2472" xr:uid="{00000000-0005-0000-0000-000069090000}"/>
    <cellStyle name="Normal 10 2 10 14 3 7" xfId="2473" xr:uid="{00000000-0005-0000-0000-00006A090000}"/>
    <cellStyle name="Normal 10 2 10 14 3 8" xfId="2474" xr:uid="{00000000-0005-0000-0000-00006B090000}"/>
    <cellStyle name="Normal 10 2 10 14 3 9" xfId="2475" xr:uid="{00000000-0005-0000-0000-00006C090000}"/>
    <cellStyle name="Normal 10 2 10 14 4" xfId="2476" xr:uid="{00000000-0005-0000-0000-00006D090000}"/>
    <cellStyle name="Normal 10 2 10 14 4 10" xfId="2477" xr:uid="{00000000-0005-0000-0000-00006E090000}"/>
    <cellStyle name="Normal 10 2 10 14 4 2" xfId="2478" xr:uid="{00000000-0005-0000-0000-00006F090000}"/>
    <cellStyle name="Normal 10 2 10 14 4 3" xfId="2479" xr:uid="{00000000-0005-0000-0000-000070090000}"/>
    <cellStyle name="Normal 10 2 10 14 4 4" xfId="2480" xr:uid="{00000000-0005-0000-0000-000071090000}"/>
    <cellStyle name="Normal 10 2 10 14 4 5" xfId="2481" xr:uid="{00000000-0005-0000-0000-000072090000}"/>
    <cellStyle name="Normal 10 2 10 14 4 6" xfId="2482" xr:uid="{00000000-0005-0000-0000-000073090000}"/>
    <cellStyle name="Normal 10 2 10 14 4 7" xfId="2483" xr:uid="{00000000-0005-0000-0000-000074090000}"/>
    <cellStyle name="Normal 10 2 10 14 4 8" xfId="2484" xr:uid="{00000000-0005-0000-0000-000075090000}"/>
    <cellStyle name="Normal 10 2 10 14 4 9" xfId="2485" xr:uid="{00000000-0005-0000-0000-000076090000}"/>
    <cellStyle name="Normal 10 2 10 14 5" xfId="2486" xr:uid="{00000000-0005-0000-0000-000077090000}"/>
    <cellStyle name="Normal 10 2 10 14 5 10" xfId="2487" xr:uid="{00000000-0005-0000-0000-000078090000}"/>
    <cellStyle name="Normal 10 2 10 14 5 2" xfId="2488" xr:uid="{00000000-0005-0000-0000-000079090000}"/>
    <cellStyle name="Normal 10 2 10 14 5 3" xfId="2489" xr:uid="{00000000-0005-0000-0000-00007A090000}"/>
    <cellStyle name="Normal 10 2 10 14 5 4" xfId="2490" xr:uid="{00000000-0005-0000-0000-00007B090000}"/>
    <cellStyle name="Normal 10 2 10 14 5 5" xfId="2491" xr:uid="{00000000-0005-0000-0000-00007C090000}"/>
    <cellStyle name="Normal 10 2 10 14 5 6" xfId="2492" xr:uid="{00000000-0005-0000-0000-00007D090000}"/>
    <cellStyle name="Normal 10 2 10 14 5 7" xfId="2493" xr:uid="{00000000-0005-0000-0000-00007E090000}"/>
    <cellStyle name="Normal 10 2 10 14 5 8" xfId="2494" xr:uid="{00000000-0005-0000-0000-00007F090000}"/>
    <cellStyle name="Normal 10 2 10 14 5 9" xfId="2495" xr:uid="{00000000-0005-0000-0000-000080090000}"/>
    <cellStyle name="Normal 10 2 10 14 6" xfId="2496" xr:uid="{00000000-0005-0000-0000-000081090000}"/>
    <cellStyle name="Normal 10 2 10 14 7" xfId="2497" xr:uid="{00000000-0005-0000-0000-000082090000}"/>
    <cellStyle name="Normal 10 2 10 14 8" xfId="2498" xr:uid="{00000000-0005-0000-0000-000083090000}"/>
    <cellStyle name="Normal 10 2 10 14 9" xfId="2499" xr:uid="{00000000-0005-0000-0000-000084090000}"/>
    <cellStyle name="Normal 10 2 10 15" xfId="2500" xr:uid="{00000000-0005-0000-0000-000085090000}"/>
    <cellStyle name="Normal 10 2 10 15 10" xfId="2501" xr:uid="{00000000-0005-0000-0000-000086090000}"/>
    <cellStyle name="Normal 10 2 10 15 11" xfId="2502" xr:uid="{00000000-0005-0000-0000-000087090000}"/>
    <cellStyle name="Normal 10 2 10 15 12" xfId="2503" xr:uid="{00000000-0005-0000-0000-000088090000}"/>
    <cellStyle name="Normal 10 2 10 15 13" xfId="2504" xr:uid="{00000000-0005-0000-0000-000089090000}"/>
    <cellStyle name="Normal 10 2 10 15 14" xfId="2505" xr:uid="{00000000-0005-0000-0000-00008A090000}"/>
    <cellStyle name="Normal 10 2 10 15 2" xfId="2506" xr:uid="{00000000-0005-0000-0000-00008B090000}"/>
    <cellStyle name="Normal 10 2 10 15 2 10" xfId="2507" xr:uid="{00000000-0005-0000-0000-00008C090000}"/>
    <cellStyle name="Normal 10 2 10 15 2 2" xfId="2508" xr:uid="{00000000-0005-0000-0000-00008D090000}"/>
    <cellStyle name="Normal 10 2 10 15 2 3" xfId="2509" xr:uid="{00000000-0005-0000-0000-00008E090000}"/>
    <cellStyle name="Normal 10 2 10 15 2 4" xfId="2510" xr:uid="{00000000-0005-0000-0000-00008F090000}"/>
    <cellStyle name="Normal 10 2 10 15 2 5" xfId="2511" xr:uid="{00000000-0005-0000-0000-000090090000}"/>
    <cellStyle name="Normal 10 2 10 15 2 6" xfId="2512" xr:uid="{00000000-0005-0000-0000-000091090000}"/>
    <cellStyle name="Normal 10 2 10 15 2 7" xfId="2513" xr:uid="{00000000-0005-0000-0000-000092090000}"/>
    <cellStyle name="Normal 10 2 10 15 2 8" xfId="2514" xr:uid="{00000000-0005-0000-0000-000093090000}"/>
    <cellStyle name="Normal 10 2 10 15 2 9" xfId="2515" xr:uid="{00000000-0005-0000-0000-000094090000}"/>
    <cellStyle name="Normal 10 2 10 15 3" xfId="2516" xr:uid="{00000000-0005-0000-0000-000095090000}"/>
    <cellStyle name="Normal 10 2 10 15 3 10" xfId="2517" xr:uid="{00000000-0005-0000-0000-000096090000}"/>
    <cellStyle name="Normal 10 2 10 15 3 2" xfId="2518" xr:uid="{00000000-0005-0000-0000-000097090000}"/>
    <cellStyle name="Normal 10 2 10 15 3 3" xfId="2519" xr:uid="{00000000-0005-0000-0000-000098090000}"/>
    <cellStyle name="Normal 10 2 10 15 3 4" xfId="2520" xr:uid="{00000000-0005-0000-0000-000099090000}"/>
    <cellStyle name="Normal 10 2 10 15 3 5" xfId="2521" xr:uid="{00000000-0005-0000-0000-00009A090000}"/>
    <cellStyle name="Normal 10 2 10 15 3 6" xfId="2522" xr:uid="{00000000-0005-0000-0000-00009B090000}"/>
    <cellStyle name="Normal 10 2 10 15 3 7" xfId="2523" xr:uid="{00000000-0005-0000-0000-00009C090000}"/>
    <cellStyle name="Normal 10 2 10 15 3 8" xfId="2524" xr:uid="{00000000-0005-0000-0000-00009D090000}"/>
    <cellStyle name="Normal 10 2 10 15 3 9" xfId="2525" xr:uid="{00000000-0005-0000-0000-00009E090000}"/>
    <cellStyle name="Normal 10 2 10 15 4" xfId="2526" xr:uid="{00000000-0005-0000-0000-00009F090000}"/>
    <cellStyle name="Normal 10 2 10 15 4 10" xfId="2527" xr:uid="{00000000-0005-0000-0000-0000A0090000}"/>
    <cellStyle name="Normal 10 2 10 15 4 2" xfId="2528" xr:uid="{00000000-0005-0000-0000-0000A1090000}"/>
    <cellStyle name="Normal 10 2 10 15 4 3" xfId="2529" xr:uid="{00000000-0005-0000-0000-0000A2090000}"/>
    <cellStyle name="Normal 10 2 10 15 4 4" xfId="2530" xr:uid="{00000000-0005-0000-0000-0000A3090000}"/>
    <cellStyle name="Normal 10 2 10 15 4 5" xfId="2531" xr:uid="{00000000-0005-0000-0000-0000A4090000}"/>
    <cellStyle name="Normal 10 2 10 15 4 6" xfId="2532" xr:uid="{00000000-0005-0000-0000-0000A5090000}"/>
    <cellStyle name="Normal 10 2 10 15 4 7" xfId="2533" xr:uid="{00000000-0005-0000-0000-0000A6090000}"/>
    <cellStyle name="Normal 10 2 10 15 4 8" xfId="2534" xr:uid="{00000000-0005-0000-0000-0000A7090000}"/>
    <cellStyle name="Normal 10 2 10 15 4 9" xfId="2535" xr:uid="{00000000-0005-0000-0000-0000A8090000}"/>
    <cellStyle name="Normal 10 2 10 15 5" xfId="2536" xr:uid="{00000000-0005-0000-0000-0000A9090000}"/>
    <cellStyle name="Normal 10 2 10 15 5 10" xfId="2537" xr:uid="{00000000-0005-0000-0000-0000AA090000}"/>
    <cellStyle name="Normal 10 2 10 15 5 2" xfId="2538" xr:uid="{00000000-0005-0000-0000-0000AB090000}"/>
    <cellStyle name="Normal 10 2 10 15 5 3" xfId="2539" xr:uid="{00000000-0005-0000-0000-0000AC090000}"/>
    <cellStyle name="Normal 10 2 10 15 5 4" xfId="2540" xr:uid="{00000000-0005-0000-0000-0000AD090000}"/>
    <cellStyle name="Normal 10 2 10 15 5 5" xfId="2541" xr:uid="{00000000-0005-0000-0000-0000AE090000}"/>
    <cellStyle name="Normal 10 2 10 15 5 6" xfId="2542" xr:uid="{00000000-0005-0000-0000-0000AF090000}"/>
    <cellStyle name="Normal 10 2 10 15 5 7" xfId="2543" xr:uid="{00000000-0005-0000-0000-0000B0090000}"/>
    <cellStyle name="Normal 10 2 10 15 5 8" xfId="2544" xr:uid="{00000000-0005-0000-0000-0000B1090000}"/>
    <cellStyle name="Normal 10 2 10 15 5 9" xfId="2545" xr:uid="{00000000-0005-0000-0000-0000B2090000}"/>
    <cellStyle name="Normal 10 2 10 15 6" xfId="2546" xr:uid="{00000000-0005-0000-0000-0000B3090000}"/>
    <cellStyle name="Normal 10 2 10 15 7" xfId="2547" xr:uid="{00000000-0005-0000-0000-0000B4090000}"/>
    <cellStyle name="Normal 10 2 10 15 8" xfId="2548" xr:uid="{00000000-0005-0000-0000-0000B5090000}"/>
    <cellStyle name="Normal 10 2 10 15 9" xfId="2549" xr:uid="{00000000-0005-0000-0000-0000B6090000}"/>
    <cellStyle name="Normal 10 2 10 16" xfId="2550" xr:uid="{00000000-0005-0000-0000-0000B7090000}"/>
    <cellStyle name="Normal 10 2 10 16 10" xfId="2551" xr:uid="{00000000-0005-0000-0000-0000B8090000}"/>
    <cellStyle name="Normal 10 2 10 16 11" xfId="2552" xr:uid="{00000000-0005-0000-0000-0000B9090000}"/>
    <cellStyle name="Normal 10 2 10 16 12" xfId="2553" xr:uid="{00000000-0005-0000-0000-0000BA090000}"/>
    <cellStyle name="Normal 10 2 10 16 13" xfId="2554" xr:uid="{00000000-0005-0000-0000-0000BB090000}"/>
    <cellStyle name="Normal 10 2 10 16 14" xfId="2555" xr:uid="{00000000-0005-0000-0000-0000BC090000}"/>
    <cellStyle name="Normal 10 2 10 16 2" xfId="2556" xr:uid="{00000000-0005-0000-0000-0000BD090000}"/>
    <cellStyle name="Normal 10 2 10 16 2 10" xfId="2557" xr:uid="{00000000-0005-0000-0000-0000BE090000}"/>
    <cellStyle name="Normal 10 2 10 16 2 2" xfId="2558" xr:uid="{00000000-0005-0000-0000-0000BF090000}"/>
    <cellStyle name="Normal 10 2 10 16 2 3" xfId="2559" xr:uid="{00000000-0005-0000-0000-0000C0090000}"/>
    <cellStyle name="Normal 10 2 10 16 2 4" xfId="2560" xr:uid="{00000000-0005-0000-0000-0000C1090000}"/>
    <cellStyle name="Normal 10 2 10 16 2 5" xfId="2561" xr:uid="{00000000-0005-0000-0000-0000C2090000}"/>
    <cellStyle name="Normal 10 2 10 16 2 6" xfId="2562" xr:uid="{00000000-0005-0000-0000-0000C3090000}"/>
    <cellStyle name="Normal 10 2 10 16 2 7" xfId="2563" xr:uid="{00000000-0005-0000-0000-0000C4090000}"/>
    <cellStyle name="Normal 10 2 10 16 2 8" xfId="2564" xr:uid="{00000000-0005-0000-0000-0000C5090000}"/>
    <cellStyle name="Normal 10 2 10 16 2 9" xfId="2565" xr:uid="{00000000-0005-0000-0000-0000C6090000}"/>
    <cellStyle name="Normal 10 2 10 16 3" xfId="2566" xr:uid="{00000000-0005-0000-0000-0000C7090000}"/>
    <cellStyle name="Normal 10 2 10 16 3 10" xfId="2567" xr:uid="{00000000-0005-0000-0000-0000C8090000}"/>
    <cellStyle name="Normal 10 2 10 16 3 2" xfId="2568" xr:uid="{00000000-0005-0000-0000-0000C9090000}"/>
    <cellStyle name="Normal 10 2 10 16 3 3" xfId="2569" xr:uid="{00000000-0005-0000-0000-0000CA090000}"/>
    <cellStyle name="Normal 10 2 10 16 3 4" xfId="2570" xr:uid="{00000000-0005-0000-0000-0000CB090000}"/>
    <cellStyle name="Normal 10 2 10 16 3 5" xfId="2571" xr:uid="{00000000-0005-0000-0000-0000CC090000}"/>
    <cellStyle name="Normal 10 2 10 16 3 6" xfId="2572" xr:uid="{00000000-0005-0000-0000-0000CD090000}"/>
    <cellStyle name="Normal 10 2 10 16 3 7" xfId="2573" xr:uid="{00000000-0005-0000-0000-0000CE090000}"/>
    <cellStyle name="Normal 10 2 10 16 3 8" xfId="2574" xr:uid="{00000000-0005-0000-0000-0000CF090000}"/>
    <cellStyle name="Normal 10 2 10 16 3 9" xfId="2575" xr:uid="{00000000-0005-0000-0000-0000D0090000}"/>
    <cellStyle name="Normal 10 2 10 16 4" xfId="2576" xr:uid="{00000000-0005-0000-0000-0000D1090000}"/>
    <cellStyle name="Normal 10 2 10 16 4 10" xfId="2577" xr:uid="{00000000-0005-0000-0000-0000D2090000}"/>
    <cellStyle name="Normal 10 2 10 16 4 2" xfId="2578" xr:uid="{00000000-0005-0000-0000-0000D3090000}"/>
    <cellStyle name="Normal 10 2 10 16 4 3" xfId="2579" xr:uid="{00000000-0005-0000-0000-0000D4090000}"/>
    <cellStyle name="Normal 10 2 10 16 4 4" xfId="2580" xr:uid="{00000000-0005-0000-0000-0000D5090000}"/>
    <cellStyle name="Normal 10 2 10 16 4 5" xfId="2581" xr:uid="{00000000-0005-0000-0000-0000D6090000}"/>
    <cellStyle name="Normal 10 2 10 16 4 6" xfId="2582" xr:uid="{00000000-0005-0000-0000-0000D7090000}"/>
    <cellStyle name="Normal 10 2 10 16 4 7" xfId="2583" xr:uid="{00000000-0005-0000-0000-0000D8090000}"/>
    <cellStyle name="Normal 10 2 10 16 4 8" xfId="2584" xr:uid="{00000000-0005-0000-0000-0000D9090000}"/>
    <cellStyle name="Normal 10 2 10 16 4 9" xfId="2585" xr:uid="{00000000-0005-0000-0000-0000DA090000}"/>
    <cellStyle name="Normal 10 2 10 16 5" xfId="2586" xr:uid="{00000000-0005-0000-0000-0000DB090000}"/>
    <cellStyle name="Normal 10 2 10 16 5 10" xfId="2587" xr:uid="{00000000-0005-0000-0000-0000DC090000}"/>
    <cellStyle name="Normal 10 2 10 16 5 2" xfId="2588" xr:uid="{00000000-0005-0000-0000-0000DD090000}"/>
    <cellStyle name="Normal 10 2 10 16 5 3" xfId="2589" xr:uid="{00000000-0005-0000-0000-0000DE090000}"/>
    <cellStyle name="Normal 10 2 10 16 5 4" xfId="2590" xr:uid="{00000000-0005-0000-0000-0000DF090000}"/>
    <cellStyle name="Normal 10 2 10 16 5 5" xfId="2591" xr:uid="{00000000-0005-0000-0000-0000E0090000}"/>
    <cellStyle name="Normal 10 2 10 16 5 6" xfId="2592" xr:uid="{00000000-0005-0000-0000-0000E1090000}"/>
    <cellStyle name="Normal 10 2 10 16 5 7" xfId="2593" xr:uid="{00000000-0005-0000-0000-0000E2090000}"/>
    <cellStyle name="Normal 10 2 10 16 5 8" xfId="2594" xr:uid="{00000000-0005-0000-0000-0000E3090000}"/>
    <cellStyle name="Normal 10 2 10 16 5 9" xfId="2595" xr:uid="{00000000-0005-0000-0000-0000E4090000}"/>
    <cellStyle name="Normal 10 2 10 16 6" xfId="2596" xr:uid="{00000000-0005-0000-0000-0000E5090000}"/>
    <cellStyle name="Normal 10 2 10 16 7" xfId="2597" xr:uid="{00000000-0005-0000-0000-0000E6090000}"/>
    <cellStyle name="Normal 10 2 10 16 8" xfId="2598" xr:uid="{00000000-0005-0000-0000-0000E7090000}"/>
    <cellStyle name="Normal 10 2 10 16 9" xfId="2599" xr:uid="{00000000-0005-0000-0000-0000E8090000}"/>
    <cellStyle name="Normal 10 2 10 17" xfId="2600" xr:uid="{00000000-0005-0000-0000-0000E9090000}"/>
    <cellStyle name="Normal 10 2 10 17 10" xfId="2601" xr:uid="{00000000-0005-0000-0000-0000EA090000}"/>
    <cellStyle name="Normal 10 2 10 17 11" xfId="2602" xr:uid="{00000000-0005-0000-0000-0000EB090000}"/>
    <cellStyle name="Normal 10 2 10 17 12" xfId="2603" xr:uid="{00000000-0005-0000-0000-0000EC090000}"/>
    <cellStyle name="Normal 10 2 10 17 13" xfId="2604" xr:uid="{00000000-0005-0000-0000-0000ED090000}"/>
    <cellStyle name="Normal 10 2 10 17 14" xfId="2605" xr:uid="{00000000-0005-0000-0000-0000EE090000}"/>
    <cellStyle name="Normal 10 2 10 17 2" xfId="2606" xr:uid="{00000000-0005-0000-0000-0000EF090000}"/>
    <cellStyle name="Normal 10 2 10 17 2 10" xfId="2607" xr:uid="{00000000-0005-0000-0000-0000F0090000}"/>
    <cellStyle name="Normal 10 2 10 17 2 2" xfId="2608" xr:uid="{00000000-0005-0000-0000-0000F1090000}"/>
    <cellStyle name="Normal 10 2 10 17 2 3" xfId="2609" xr:uid="{00000000-0005-0000-0000-0000F2090000}"/>
    <cellStyle name="Normal 10 2 10 17 2 4" xfId="2610" xr:uid="{00000000-0005-0000-0000-0000F3090000}"/>
    <cellStyle name="Normal 10 2 10 17 2 5" xfId="2611" xr:uid="{00000000-0005-0000-0000-0000F4090000}"/>
    <cellStyle name="Normal 10 2 10 17 2 6" xfId="2612" xr:uid="{00000000-0005-0000-0000-0000F5090000}"/>
    <cellStyle name="Normal 10 2 10 17 2 7" xfId="2613" xr:uid="{00000000-0005-0000-0000-0000F6090000}"/>
    <cellStyle name="Normal 10 2 10 17 2 8" xfId="2614" xr:uid="{00000000-0005-0000-0000-0000F7090000}"/>
    <cellStyle name="Normal 10 2 10 17 2 9" xfId="2615" xr:uid="{00000000-0005-0000-0000-0000F8090000}"/>
    <cellStyle name="Normal 10 2 10 17 3" xfId="2616" xr:uid="{00000000-0005-0000-0000-0000F9090000}"/>
    <cellStyle name="Normal 10 2 10 17 3 10" xfId="2617" xr:uid="{00000000-0005-0000-0000-0000FA090000}"/>
    <cellStyle name="Normal 10 2 10 17 3 2" xfId="2618" xr:uid="{00000000-0005-0000-0000-0000FB090000}"/>
    <cellStyle name="Normal 10 2 10 17 3 3" xfId="2619" xr:uid="{00000000-0005-0000-0000-0000FC090000}"/>
    <cellStyle name="Normal 10 2 10 17 3 4" xfId="2620" xr:uid="{00000000-0005-0000-0000-0000FD090000}"/>
    <cellStyle name="Normal 10 2 10 17 3 5" xfId="2621" xr:uid="{00000000-0005-0000-0000-0000FE090000}"/>
    <cellStyle name="Normal 10 2 10 17 3 6" xfId="2622" xr:uid="{00000000-0005-0000-0000-0000FF090000}"/>
    <cellStyle name="Normal 10 2 10 17 3 7" xfId="2623" xr:uid="{00000000-0005-0000-0000-0000000A0000}"/>
    <cellStyle name="Normal 10 2 10 17 3 8" xfId="2624" xr:uid="{00000000-0005-0000-0000-0000010A0000}"/>
    <cellStyle name="Normal 10 2 10 17 3 9" xfId="2625" xr:uid="{00000000-0005-0000-0000-0000020A0000}"/>
    <cellStyle name="Normal 10 2 10 17 4" xfId="2626" xr:uid="{00000000-0005-0000-0000-0000030A0000}"/>
    <cellStyle name="Normal 10 2 10 17 4 10" xfId="2627" xr:uid="{00000000-0005-0000-0000-0000040A0000}"/>
    <cellStyle name="Normal 10 2 10 17 4 2" xfId="2628" xr:uid="{00000000-0005-0000-0000-0000050A0000}"/>
    <cellStyle name="Normal 10 2 10 17 4 3" xfId="2629" xr:uid="{00000000-0005-0000-0000-0000060A0000}"/>
    <cellStyle name="Normal 10 2 10 17 4 4" xfId="2630" xr:uid="{00000000-0005-0000-0000-0000070A0000}"/>
    <cellStyle name="Normal 10 2 10 17 4 5" xfId="2631" xr:uid="{00000000-0005-0000-0000-0000080A0000}"/>
    <cellStyle name="Normal 10 2 10 17 4 6" xfId="2632" xr:uid="{00000000-0005-0000-0000-0000090A0000}"/>
    <cellStyle name="Normal 10 2 10 17 4 7" xfId="2633" xr:uid="{00000000-0005-0000-0000-00000A0A0000}"/>
    <cellStyle name="Normal 10 2 10 17 4 8" xfId="2634" xr:uid="{00000000-0005-0000-0000-00000B0A0000}"/>
    <cellStyle name="Normal 10 2 10 17 4 9" xfId="2635" xr:uid="{00000000-0005-0000-0000-00000C0A0000}"/>
    <cellStyle name="Normal 10 2 10 17 5" xfId="2636" xr:uid="{00000000-0005-0000-0000-00000D0A0000}"/>
    <cellStyle name="Normal 10 2 10 17 5 10" xfId="2637" xr:uid="{00000000-0005-0000-0000-00000E0A0000}"/>
    <cellStyle name="Normal 10 2 10 17 5 2" xfId="2638" xr:uid="{00000000-0005-0000-0000-00000F0A0000}"/>
    <cellStyle name="Normal 10 2 10 17 5 3" xfId="2639" xr:uid="{00000000-0005-0000-0000-0000100A0000}"/>
    <cellStyle name="Normal 10 2 10 17 5 4" xfId="2640" xr:uid="{00000000-0005-0000-0000-0000110A0000}"/>
    <cellStyle name="Normal 10 2 10 17 5 5" xfId="2641" xr:uid="{00000000-0005-0000-0000-0000120A0000}"/>
    <cellStyle name="Normal 10 2 10 17 5 6" xfId="2642" xr:uid="{00000000-0005-0000-0000-0000130A0000}"/>
    <cellStyle name="Normal 10 2 10 17 5 7" xfId="2643" xr:uid="{00000000-0005-0000-0000-0000140A0000}"/>
    <cellStyle name="Normal 10 2 10 17 5 8" xfId="2644" xr:uid="{00000000-0005-0000-0000-0000150A0000}"/>
    <cellStyle name="Normal 10 2 10 17 5 9" xfId="2645" xr:uid="{00000000-0005-0000-0000-0000160A0000}"/>
    <cellStyle name="Normal 10 2 10 17 6" xfId="2646" xr:uid="{00000000-0005-0000-0000-0000170A0000}"/>
    <cellStyle name="Normal 10 2 10 17 7" xfId="2647" xr:uid="{00000000-0005-0000-0000-0000180A0000}"/>
    <cellStyle name="Normal 10 2 10 17 8" xfId="2648" xr:uid="{00000000-0005-0000-0000-0000190A0000}"/>
    <cellStyle name="Normal 10 2 10 17 9" xfId="2649" xr:uid="{00000000-0005-0000-0000-00001A0A0000}"/>
    <cellStyle name="Normal 10 2 10 18" xfId="2650" xr:uid="{00000000-0005-0000-0000-00001B0A0000}"/>
    <cellStyle name="Normal 10 2 10 18 10" xfId="2651" xr:uid="{00000000-0005-0000-0000-00001C0A0000}"/>
    <cellStyle name="Normal 10 2 10 18 11" xfId="2652" xr:uid="{00000000-0005-0000-0000-00001D0A0000}"/>
    <cellStyle name="Normal 10 2 10 18 12" xfId="2653" xr:uid="{00000000-0005-0000-0000-00001E0A0000}"/>
    <cellStyle name="Normal 10 2 10 18 13" xfId="2654" xr:uid="{00000000-0005-0000-0000-00001F0A0000}"/>
    <cellStyle name="Normal 10 2 10 18 14" xfId="2655" xr:uid="{00000000-0005-0000-0000-0000200A0000}"/>
    <cellStyle name="Normal 10 2 10 18 2" xfId="2656" xr:uid="{00000000-0005-0000-0000-0000210A0000}"/>
    <cellStyle name="Normal 10 2 10 18 2 10" xfId="2657" xr:uid="{00000000-0005-0000-0000-0000220A0000}"/>
    <cellStyle name="Normal 10 2 10 18 2 2" xfId="2658" xr:uid="{00000000-0005-0000-0000-0000230A0000}"/>
    <cellStyle name="Normal 10 2 10 18 2 3" xfId="2659" xr:uid="{00000000-0005-0000-0000-0000240A0000}"/>
    <cellStyle name="Normal 10 2 10 18 2 4" xfId="2660" xr:uid="{00000000-0005-0000-0000-0000250A0000}"/>
    <cellStyle name="Normal 10 2 10 18 2 5" xfId="2661" xr:uid="{00000000-0005-0000-0000-0000260A0000}"/>
    <cellStyle name="Normal 10 2 10 18 2 6" xfId="2662" xr:uid="{00000000-0005-0000-0000-0000270A0000}"/>
    <cellStyle name="Normal 10 2 10 18 2 7" xfId="2663" xr:uid="{00000000-0005-0000-0000-0000280A0000}"/>
    <cellStyle name="Normal 10 2 10 18 2 8" xfId="2664" xr:uid="{00000000-0005-0000-0000-0000290A0000}"/>
    <cellStyle name="Normal 10 2 10 18 2 9" xfId="2665" xr:uid="{00000000-0005-0000-0000-00002A0A0000}"/>
    <cellStyle name="Normal 10 2 10 18 3" xfId="2666" xr:uid="{00000000-0005-0000-0000-00002B0A0000}"/>
    <cellStyle name="Normal 10 2 10 18 3 10" xfId="2667" xr:uid="{00000000-0005-0000-0000-00002C0A0000}"/>
    <cellStyle name="Normal 10 2 10 18 3 2" xfId="2668" xr:uid="{00000000-0005-0000-0000-00002D0A0000}"/>
    <cellStyle name="Normal 10 2 10 18 3 3" xfId="2669" xr:uid="{00000000-0005-0000-0000-00002E0A0000}"/>
    <cellStyle name="Normal 10 2 10 18 3 4" xfId="2670" xr:uid="{00000000-0005-0000-0000-00002F0A0000}"/>
    <cellStyle name="Normal 10 2 10 18 3 5" xfId="2671" xr:uid="{00000000-0005-0000-0000-0000300A0000}"/>
    <cellStyle name="Normal 10 2 10 18 3 6" xfId="2672" xr:uid="{00000000-0005-0000-0000-0000310A0000}"/>
    <cellStyle name="Normal 10 2 10 18 3 7" xfId="2673" xr:uid="{00000000-0005-0000-0000-0000320A0000}"/>
    <cellStyle name="Normal 10 2 10 18 3 8" xfId="2674" xr:uid="{00000000-0005-0000-0000-0000330A0000}"/>
    <cellStyle name="Normal 10 2 10 18 3 9" xfId="2675" xr:uid="{00000000-0005-0000-0000-0000340A0000}"/>
    <cellStyle name="Normal 10 2 10 18 4" xfId="2676" xr:uid="{00000000-0005-0000-0000-0000350A0000}"/>
    <cellStyle name="Normal 10 2 10 18 4 10" xfId="2677" xr:uid="{00000000-0005-0000-0000-0000360A0000}"/>
    <cellStyle name="Normal 10 2 10 18 4 2" xfId="2678" xr:uid="{00000000-0005-0000-0000-0000370A0000}"/>
    <cellStyle name="Normal 10 2 10 18 4 3" xfId="2679" xr:uid="{00000000-0005-0000-0000-0000380A0000}"/>
    <cellStyle name="Normal 10 2 10 18 4 4" xfId="2680" xr:uid="{00000000-0005-0000-0000-0000390A0000}"/>
    <cellStyle name="Normal 10 2 10 18 4 5" xfId="2681" xr:uid="{00000000-0005-0000-0000-00003A0A0000}"/>
    <cellStyle name="Normal 10 2 10 18 4 6" xfId="2682" xr:uid="{00000000-0005-0000-0000-00003B0A0000}"/>
    <cellStyle name="Normal 10 2 10 18 4 7" xfId="2683" xr:uid="{00000000-0005-0000-0000-00003C0A0000}"/>
    <cellStyle name="Normal 10 2 10 18 4 8" xfId="2684" xr:uid="{00000000-0005-0000-0000-00003D0A0000}"/>
    <cellStyle name="Normal 10 2 10 18 4 9" xfId="2685" xr:uid="{00000000-0005-0000-0000-00003E0A0000}"/>
    <cellStyle name="Normal 10 2 10 18 5" xfId="2686" xr:uid="{00000000-0005-0000-0000-00003F0A0000}"/>
    <cellStyle name="Normal 10 2 10 18 5 10" xfId="2687" xr:uid="{00000000-0005-0000-0000-0000400A0000}"/>
    <cellStyle name="Normal 10 2 10 18 5 2" xfId="2688" xr:uid="{00000000-0005-0000-0000-0000410A0000}"/>
    <cellStyle name="Normal 10 2 10 18 5 3" xfId="2689" xr:uid="{00000000-0005-0000-0000-0000420A0000}"/>
    <cellStyle name="Normal 10 2 10 18 5 4" xfId="2690" xr:uid="{00000000-0005-0000-0000-0000430A0000}"/>
    <cellStyle name="Normal 10 2 10 18 5 5" xfId="2691" xr:uid="{00000000-0005-0000-0000-0000440A0000}"/>
    <cellStyle name="Normal 10 2 10 18 5 6" xfId="2692" xr:uid="{00000000-0005-0000-0000-0000450A0000}"/>
    <cellStyle name="Normal 10 2 10 18 5 7" xfId="2693" xr:uid="{00000000-0005-0000-0000-0000460A0000}"/>
    <cellStyle name="Normal 10 2 10 18 5 8" xfId="2694" xr:uid="{00000000-0005-0000-0000-0000470A0000}"/>
    <cellStyle name="Normal 10 2 10 18 5 9" xfId="2695" xr:uid="{00000000-0005-0000-0000-0000480A0000}"/>
    <cellStyle name="Normal 10 2 10 18 6" xfId="2696" xr:uid="{00000000-0005-0000-0000-0000490A0000}"/>
    <cellStyle name="Normal 10 2 10 18 7" xfId="2697" xr:uid="{00000000-0005-0000-0000-00004A0A0000}"/>
    <cellStyle name="Normal 10 2 10 18 8" xfId="2698" xr:uid="{00000000-0005-0000-0000-00004B0A0000}"/>
    <cellStyle name="Normal 10 2 10 18 9" xfId="2699" xr:uid="{00000000-0005-0000-0000-00004C0A0000}"/>
    <cellStyle name="Normal 10 2 10 19" xfId="2700" xr:uid="{00000000-0005-0000-0000-00004D0A0000}"/>
    <cellStyle name="Normal 10 2 10 19 10" xfId="2701" xr:uid="{00000000-0005-0000-0000-00004E0A0000}"/>
    <cellStyle name="Normal 10 2 10 19 11" xfId="2702" xr:uid="{00000000-0005-0000-0000-00004F0A0000}"/>
    <cellStyle name="Normal 10 2 10 19 12" xfId="2703" xr:uid="{00000000-0005-0000-0000-0000500A0000}"/>
    <cellStyle name="Normal 10 2 10 19 13" xfId="2704" xr:uid="{00000000-0005-0000-0000-0000510A0000}"/>
    <cellStyle name="Normal 10 2 10 19 14" xfId="2705" xr:uid="{00000000-0005-0000-0000-0000520A0000}"/>
    <cellStyle name="Normal 10 2 10 19 2" xfId="2706" xr:uid="{00000000-0005-0000-0000-0000530A0000}"/>
    <cellStyle name="Normal 10 2 10 19 2 10" xfId="2707" xr:uid="{00000000-0005-0000-0000-0000540A0000}"/>
    <cellStyle name="Normal 10 2 10 19 2 2" xfId="2708" xr:uid="{00000000-0005-0000-0000-0000550A0000}"/>
    <cellStyle name="Normal 10 2 10 19 2 3" xfId="2709" xr:uid="{00000000-0005-0000-0000-0000560A0000}"/>
    <cellStyle name="Normal 10 2 10 19 2 4" xfId="2710" xr:uid="{00000000-0005-0000-0000-0000570A0000}"/>
    <cellStyle name="Normal 10 2 10 19 2 5" xfId="2711" xr:uid="{00000000-0005-0000-0000-0000580A0000}"/>
    <cellStyle name="Normal 10 2 10 19 2 6" xfId="2712" xr:uid="{00000000-0005-0000-0000-0000590A0000}"/>
    <cellStyle name="Normal 10 2 10 19 2 7" xfId="2713" xr:uid="{00000000-0005-0000-0000-00005A0A0000}"/>
    <cellStyle name="Normal 10 2 10 19 2 8" xfId="2714" xr:uid="{00000000-0005-0000-0000-00005B0A0000}"/>
    <cellStyle name="Normal 10 2 10 19 2 9" xfId="2715" xr:uid="{00000000-0005-0000-0000-00005C0A0000}"/>
    <cellStyle name="Normal 10 2 10 19 3" xfId="2716" xr:uid="{00000000-0005-0000-0000-00005D0A0000}"/>
    <cellStyle name="Normal 10 2 10 19 3 10" xfId="2717" xr:uid="{00000000-0005-0000-0000-00005E0A0000}"/>
    <cellStyle name="Normal 10 2 10 19 3 2" xfId="2718" xr:uid="{00000000-0005-0000-0000-00005F0A0000}"/>
    <cellStyle name="Normal 10 2 10 19 3 3" xfId="2719" xr:uid="{00000000-0005-0000-0000-0000600A0000}"/>
    <cellStyle name="Normal 10 2 10 19 3 4" xfId="2720" xr:uid="{00000000-0005-0000-0000-0000610A0000}"/>
    <cellStyle name="Normal 10 2 10 19 3 5" xfId="2721" xr:uid="{00000000-0005-0000-0000-0000620A0000}"/>
    <cellStyle name="Normal 10 2 10 19 3 6" xfId="2722" xr:uid="{00000000-0005-0000-0000-0000630A0000}"/>
    <cellStyle name="Normal 10 2 10 19 3 7" xfId="2723" xr:uid="{00000000-0005-0000-0000-0000640A0000}"/>
    <cellStyle name="Normal 10 2 10 19 3 8" xfId="2724" xr:uid="{00000000-0005-0000-0000-0000650A0000}"/>
    <cellStyle name="Normal 10 2 10 19 3 9" xfId="2725" xr:uid="{00000000-0005-0000-0000-0000660A0000}"/>
    <cellStyle name="Normal 10 2 10 19 4" xfId="2726" xr:uid="{00000000-0005-0000-0000-0000670A0000}"/>
    <cellStyle name="Normal 10 2 10 19 4 10" xfId="2727" xr:uid="{00000000-0005-0000-0000-0000680A0000}"/>
    <cellStyle name="Normal 10 2 10 19 4 2" xfId="2728" xr:uid="{00000000-0005-0000-0000-0000690A0000}"/>
    <cellStyle name="Normal 10 2 10 19 4 3" xfId="2729" xr:uid="{00000000-0005-0000-0000-00006A0A0000}"/>
    <cellStyle name="Normal 10 2 10 19 4 4" xfId="2730" xr:uid="{00000000-0005-0000-0000-00006B0A0000}"/>
    <cellStyle name="Normal 10 2 10 19 4 5" xfId="2731" xr:uid="{00000000-0005-0000-0000-00006C0A0000}"/>
    <cellStyle name="Normal 10 2 10 19 4 6" xfId="2732" xr:uid="{00000000-0005-0000-0000-00006D0A0000}"/>
    <cellStyle name="Normal 10 2 10 19 4 7" xfId="2733" xr:uid="{00000000-0005-0000-0000-00006E0A0000}"/>
    <cellStyle name="Normal 10 2 10 19 4 8" xfId="2734" xr:uid="{00000000-0005-0000-0000-00006F0A0000}"/>
    <cellStyle name="Normal 10 2 10 19 4 9" xfId="2735" xr:uid="{00000000-0005-0000-0000-0000700A0000}"/>
    <cellStyle name="Normal 10 2 10 19 5" xfId="2736" xr:uid="{00000000-0005-0000-0000-0000710A0000}"/>
    <cellStyle name="Normal 10 2 10 19 5 10" xfId="2737" xr:uid="{00000000-0005-0000-0000-0000720A0000}"/>
    <cellStyle name="Normal 10 2 10 19 5 2" xfId="2738" xr:uid="{00000000-0005-0000-0000-0000730A0000}"/>
    <cellStyle name="Normal 10 2 10 19 5 3" xfId="2739" xr:uid="{00000000-0005-0000-0000-0000740A0000}"/>
    <cellStyle name="Normal 10 2 10 19 5 4" xfId="2740" xr:uid="{00000000-0005-0000-0000-0000750A0000}"/>
    <cellStyle name="Normal 10 2 10 19 5 5" xfId="2741" xr:uid="{00000000-0005-0000-0000-0000760A0000}"/>
    <cellStyle name="Normal 10 2 10 19 5 6" xfId="2742" xr:uid="{00000000-0005-0000-0000-0000770A0000}"/>
    <cellStyle name="Normal 10 2 10 19 5 7" xfId="2743" xr:uid="{00000000-0005-0000-0000-0000780A0000}"/>
    <cellStyle name="Normal 10 2 10 19 5 8" xfId="2744" xr:uid="{00000000-0005-0000-0000-0000790A0000}"/>
    <cellStyle name="Normal 10 2 10 19 5 9" xfId="2745" xr:uid="{00000000-0005-0000-0000-00007A0A0000}"/>
    <cellStyle name="Normal 10 2 10 19 6" xfId="2746" xr:uid="{00000000-0005-0000-0000-00007B0A0000}"/>
    <cellStyle name="Normal 10 2 10 19 7" xfId="2747" xr:uid="{00000000-0005-0000-0000-00007C0A0000}"/>
    <cellStyle name="Normal 10 2 10 19 8" xfId="2748" xr:uid="{00000000-0005-0000-0000-00007D0A0000}"/>
    <cellStyle name="Normal 10 2 10 19 9" xfId="2749" xr:uid="{00000000-0005-0000-0000-00007E0A0000}"/>
    <cellStyle name="Normal 10 2 10 2" xfId="50" xr:uid="{00000000-0005-0000-0000-00007F0A0000}"/>
    <cellStyle name="Normal 10 2 10 2 10" xfId="2751" xr:uid="{00000000-0005-0000-0000-0000800A0000}"/>
    <cellStyle name="Normal 10 2 10 2 10 10" xfId="2752" xr:uid="{00000000-0005-0000-0000-0000810A0000}"/>
    <cellStyle name="Normal 10 2 10 2 10 11" xfId="2753" xr:uid="{00000000-0005-0000-0000-0000820A0000}"/>
    <cellStyle name="Normal 10 2 10 2 10 12" xfId="2754" xr:uid="{00000000-0005-0000-0000-0000830A0000}"/>
    <cellStyle name="Normal 10 2 10 2 10 13" xfId="2755" xr:uid="{00000000-0005-0000-0000-0000840A0000}"/>
    <cellStyle name="Normal 10 2 10 2 10 14" xfId="2756" xr:uid="{00000000-0005-0000-0000-0000850A0000}"/>
    <cellStyle name="Normal 10 2 10 2 10 2" xfId="2757" xr:uid="{00000000-0005-0000-0000-0000860A0000}"/>
    <cellStyle name="Normal 10 2 10 2 10 2 10" xfId="2758" xr:uid="{00000000-0005-0000-0000-0000870A0000}"/>
    <cellStyle name="Normal 10 2 10 2 10 2 2" xfId="2759" xr:uid="{00000000-0005-0000-0000-0000880A0000}"/>
    <cellStyle name="Normal 10 2 10 2 10 2 3" xfId="2760" xr:uid="{00000000-0005-0000-0000-0000890A0000}"/>
    <cellStyle name="Normal 10 2 10 2 10 2 4" xfId="2761" xr:uid="{00000000-0005-0000-0000-00008A0A0000}"/>
    <cellStyle name="Normal 10 2 10 2 10 2 5" xfId="2762" xr:uid="{00000000-0005-0000-0000-00008B0A0000}"/>
    <cellStyle name="Normal 10 2 10 2 10 2 6" xfId="2763" xr:uid="{00000000-0005-0000-0000-00008C0A0000}"/>
    <cellStyle name="Normal 10 2 10 2 10 2 7" xfId="2764" xr:uid="{00000000-0005-0000-0000-00008D0A0000}"/>
    <cellStyle name="Normal 10 2 10 2 10 2 8" xfId="2765" xr:uid="{00000000-0005-0000-0000-00008E0A0000}"/>
    <cellStyle name="Normal 10 2 10 2 10 2 9" xfId="2766" xr:uid="{00000000-0005-0000-0000-00008F0A0000}"/>
    <cellStyle name="Normal 10 2 10 2 10 3" xfId="2767" xr:uid="{00000000-0005-0000-0000-0000900A0000}"/>
    <cellStyle name="Normal 10 2 10 2 10 3 10" xfId="2768" xr:uid="{00000000-0005-0000-0000-0000910A0000}"/>
    <cellStyle name="Normal 10 2 10 2 10 3 2" xfId="2769" xr:uid="{00000000-0005-0000-0000-0000920A0000}"/>
    <cellStyle name="Normal 10 2 10 2 10 3 3" xfId="2770" xr:uid="{00000000-0005-0000-0000-0000930A0000}"/>
    <cellStyle name="Normal 10 2 10 2 10 3 4" xfId="2771" xr:uid="{00000000-0005-0000-0000-0000940A0000}"/>
    <cellStyle name="Normal 10 2 10 2 10 3 5" xfId="2772" xr:uid="{00000000-0005-0000-0000-0000950A0000}"/>
    <cellStyle name="Normal 10 2 10 2 10 3 6" xfId="2773" xr:uid="{00000000-0005-0000-0000-0000960A0000}"/>
    <cellStyle name="Normal 10 2 10 2 10 3 7" xfId="2774" xr:uid="{00000000-0005-0000-0000-0000970A0000}"/>
    <cellStyle name="Normal 10 2 10 2 10 3 8" xfId="2775" xr:uid="{00000000-0005-0000-0000-0000980A0000}"/>
    <cellStyle name="Normal 10 2 10 2 10 3 9" xfId="2776" xr:uid="{00000000-0005-0000-0000-0000990A0000}"/>
    <cellStyle name="Normal 10 2 10 2 10 4" xfId="2777" xr:uid="{00000000-0005-0000-0000-00009A0A0000}"/>
    <cellStyle name="Normal 10 2 10 2 10 4 10" xfId="2778" xr:uid="{00000000-0005-0000-0000-00009B0A0000}"/>
    <cellStyle name="Normal 10 2 10 2 10 4 2" xfId="2779" xr:uid="{00000000-0005-0000-0000-00009C0A0000}"/>
    <cellStyle name="Normal 10 2 10 2 10 4 3" xfId="2780" xr:uid="{00000000-0005-0000-0000-00009D0A0000}"/>
    <cellStyle name="Normal 10 2 10 2 10 4 4" xfId="2781" xr:uid="{00000000-0005-0000-0000-00009E0A0000}"/>
    <cellStyle name="Normal 10 2 10 2 10 4 5" xfId="2782" xr:uid="{00000000-0005-0000-0000-00009F0A0000}"/>
    <cellStyle name="Normal 10 2 10 2 10 4 6" xfId="2783" xr:uid="{00000000-0005-0000-0000-0000A00A0000}"/>
    <cellStyle name="Normal 10 2 10 2 10 4 7" xfId="2784" xr:uid="{00000000-0005-0000-0000-0000A10A0000}"/>
    <cellStyle name="Normal 10 2 10 2 10 4 8" xfId="2785" xr:uid="{00000000-0005-0000-0000-0000A20A0000}"/>
    <cellStyle name="Normal 10 2 10 2 10 4 9" xfId="2786" xr:uid="{00000000-0005-0000-0000-0000A30A0000}"/>
    <cellStyle name="Normal 10 2 10 2 10 5" xfId="2787" xr:uid="{00000000-0005-0000-0000-0000A40A0000}"/>
    <cellStyle name="Normal 10 2 10 2 10 5 10" xfId="2788" xr:uid="{00000000-0005-0000-0000-0000A50A0000}"/>
    <cellStyle name="Normal 10 2 10 2 10 5 2" xfId="2789" xr:uid="{00000000-0005-0000-0000-0000A60A0000}"/>
    <cellStyle name="Normal 10 2 10 2 10 5 3" xfId="2790" xr:uid="{00000000-0005-0000-0000-0000A70A0000}"/>
    <cellStyle name="Normal 10 2 10 2 10 5 4" xfId="2791" xr:uid="{00000000-0005-0000-0000-0000A80A0000}"/>
    <cellStyle name="Normal 10 2 10 2 10 5 5" xfId="2792" xr:uid="{00000000-0005-0000-0000-0000A90A0000}"/>
    <cellStyle name="Normal 10 2 10 2 10 5 6" xfId="2793" xr:uid="{00000000-0005-0000-0000-0000AA0A0000}"/>
    <cellStyle name="Normal 10 2 10 2 10 5 7" xfId="2794" xr:uid="{00000000-0005-0000-0000-0000AB0A0000}"/>
    <cellStyle name="Normal 10 2 10 2 10 5 8" xfId="2795" xr:uid="{00000000-0005-0000-0000-0000AC0A0000}"/>
    <cellStyle name="Normal 10 2 10 2 10 5 9" xfId="2796" xr:uid="{00000000-0005-0000-0000-0000AD0A0000}"/>
    <cellStyle name="Normal 10 2 10 2 10 6" xfId="2797" xr:uid="{00000000-0005-0000-0000-0000AE0A0000}"/>
    <cellStyle name="Normal 10 2 10 2 10 7" xfId="2798" xr:uid="{00000000-0005-0000-0000-0000AF0A0000}"/>
    <cellStyle name="Normal 10 2 10 2 10 8" xfId="2799" xr:uid="{00000000-0005-0000-0000-0000B00A0000}"/>
    <cellStyle name="Normal 10 2 10 2 10 9" xfId="2800" xr:uid="{00000000-0005-0000-0000-0000B10A0000}"/>
    <cellStyle name="Normal 10 2 10 2 11" xfId="2801" xr:uid="{00000000-0005-0000-0000-0000B20A0000}"/>
    <cellStyle name="Normal 10 2 10 2 11 10" xfId="2802" xr:uid="{00000000-0005-0000-0000-0000B30A0000}"/>
    <cellStyle name="Normal 10 2 10 2 11 11" xfId="2803" xr:uid="{00000000-0005-0000-0000-0000B40A0000}"/>
    <cellStyle name="Normal 10 2 10 2 11 12" xfId="2804" xr:uid="{00000000-0005-0000-0000-0000B50A0000}"/>
    <cellStyle name="Normal 10 2 10 2 11 13" xfId="2805" xr:uid="{00000000-0005-0000-0000-0000B60A0000}"/>
    <cellStyle name="Normal 10 2 10 2 11 14" xfId="2806" xr:uid="{00000000-0005-0000-0000-0000B70A0000}"/>
    <cellStyle name="Normal 10 2 10 2 11 2" xfId="2807" xr:uid="{00000000-0005-0000-0000-0000B80A0000}"/>
    <cellStyle name="Normal 10 2 10 2 11 2 10" xfId="2808" xr:uid="{00000000-0005-0000-0000-0000B90A0000}"/>
    <cellStyle name="Normal 10 2 10 2 11 2 2" xfId="2809" xr:uid="{00000000-0005-0000-0000-0000BA0A0000}"/>
    <cellStyle name="Normal 10 2 10 2 11 2 3" xfId="2810" xr:uid="{00000000-0005-0000-0000-0000BB0A0000}"/>
    <cellStyle name="Normal 10 2 10 2 11 2 4" xfId="2811" xr:uid="{00000000-0005-0000-0000-0000BC0A0000}"/>
    <cellStyle name="Normal 10 2 10 2 11 2 5" xfId="2812" xr:uid="{00000000-0005-0000-0000-0000BD0A0000}"/>
    <cellStyle name="Normal 10 2 10 2 11 2 6" xfId="2813" xr:uid="{00000000-0005-0000-0000-0000BE0A0000}"/>
    <cellStyle name="Normal 10 2 10 2 11 2 7" xfId="2814" xr:uid="{00000000-0005-0000-0000-0000BF0A0000}"/>
    <cellStyle name="Normal 10 2 10 2 11 2 8" xfId="2815" xr:uid="{00000000-0005-0000-0000-0000C00A0000}"/>
    <cellStyle name="Normal 10 2 10 2 11 2 9" xfId="2816" xr:uid="{00000000-0005-0000-0000-0000C10A0000}"/>
    <cellStyle name="Normal 10 2 10 2 11 3" xfId="2817" xr:uid="{00000000-0005-0000-0000-0000C20A0000}"/>
    <cellStyle name="Normal 10 2 10 2 11 3 10" xfId="2818" xr:uid="{00000000-0005-0000-0000-0000C30A0000}"/>
    <cellStyle name="Normal 10 2 10 2 11 3 2" xfId="2819" xr:uid="{00000000-0005-0000-0000-0000C40A0000}"/>
    <cellStyle name="Normal 10 2 10 2 11 3 3" xfId="2820" xr:uid="{00000000-0005-0000-0000-0000C50A0000}"/>
    <cellStyle name="Normal 10 2 10 2 11 3 4" xfId="2821" xr:uid="{00000000-0005-0000-0000-0000C60A0000}"/>
    <cellStyle name="Normal 10 2 10 2 11 3 5" xfId="2822" xr:uid="{00000000-0005-0000-0000-0000C70A0000}"/>
    <cellStyle name="Normal 10 2 10 2 11 3 6" xfId="2823" xr:uid="{00000000-0005-0000-0000-0000C80A0000}"/>
    <cellStyle name="Normal 10 2 10 2 11 3 7" xfId="2824" xr:uid="{00000000-0005-0000-0000-0000C90A0000}"/>
    <cellStyle name="Normal 10 2 10 2 11 3 8" xfId="2825" xr:uid="{00000000-0005-0000-0000-0000CA0A0000}"/>
    <cellStyle name="Normal 10 2 10 2 11 3 9" xfId="2826" xr:uid="{00000000-0005-0000-0000-0000CB0A0000}"/>
    <cellStyle name="Normal 10 2 10 2 11 4" xfId="2827" xr:uid="{00000000-0005-0000-0000-0000CC0A0000}"/>
    <cellStyle name="Normal 10 2 10 2 11 4 10" xfId="2828" xr:uid="{00000000-0005-0000-0000-0000CD0A0000}"/>
    <cellStyle name="Normal 10 2 10 2 11 4 2" xfId="2829" xr:uid="{00000000-0005-0000-0000-0000CE0A0000}"/>
    <cellStyle name="Normal 10 2 10 2 11 4 3" xfId="2830" xr:uid="{00000000-0005-0000-0000-0000CF0A0000}"/>
    <cellStyle name="Normal 10 2 10 2 11 4 4" xfId="2831" xr:uid="{00000000-0005-0000-0000-0000D00A0000}"/>
    <cellStyle name="Normal 10 2 10 2 11 4 5" xfId="2832" xr:uid="{00000000-0005-0000-0000-0000D10A0000}"/>
    <cellStyle name="Normal 10 2 10 2 11 4 6" xfId="2833" xr:uid="{00000000-0005-0000-0000-0000D20A0000}"/>
    <cellStyle name="Normal 10 2 10 2 11 4 7" xfId="2834" xr:uid="{00000000-0005-0000-0000-0000D30A0000}"/>
    <cellStyle name="Normal 10 2 10 2 11 4 8" xfId="2835" xr:uid="{00000000-0005-0000-0000-0000D40A0000}"/>
    <cellStyle name="Normal 10 2 10 2 11 4 9" xfId="2836" xr:uid="{00000000-0005-0000-0000-0000D50A0000}"/>
    <cellStyle name="Normal 10 2 10 2 11 5" xfId="2837" xr:uid="{00000000-0005-0000-0000-0000D60A0000}"/>
    <cellStyle name="Normal 10 2 10 2 11 5 10" xfId="2838" xr:uid="{00000000-0005-0000-0000-0000D70A0000}"/>
    <cellStyle name="Normal 10 2 10 2 11 5 2" xfId="2839" xr:uid="{00000000-0005-0000-0000-0000D80A0000}"/>
    <cellStyle name="Normal 10 2 10 2 11 5 3" xfId="2840" xr:uid="{00000000-0005-0000-0000-0000D90A0000}"/>
    <cellStyle name="Normal 10 2 10 2 11 5 4" xfId="2841" xr:uid="{00000000-0005-0000-0000-0000DA0A0000}"/>
    <cellStyle name="Normal 10 2 10 2 11 5 5" xfId="2842" xr:uid="{00000000-0005-0000-0000-0000DB0A0000}"/>
    <cellStyle name="Normal 10 2 10 2 11 5 6" xfId="2843" xr:uid="{00000000-0005-0000-0000-0000DC0A0000}"/>
    <cellStyle name="Normal 10 2 10 2 11 5 7" xfId="2844" xr:uid="{00000000-0005-0000-0000-0000DD0A0000}"/>
    <cellStyle name="Normal 10 2 10 2 11 5 8" xfId="2845" xr:uid="{00000000-0005-0000-0000-0000DE0A0000}"/>
    <cellStyle name="Normal 10 2 10 2 11 5 9" xfId="2846" xr:uid="{00000000-0005-0000-0000-0000DF0A0000}"/>
    <cellStyle name="Normal 10 2 10 2 11 6" xfId="2847" xr:uid="{00000000-0005-0000-0000-0000E00A0000}"/>
    <cellStyle name="Normal 10 2 10 2 11 7" xfId="2848" xr:uid="{00000000-0005-0000-0000-0000E10A0000}"/>
    <cellStyle name="Normal 10 2 10 2 11 8" xfId="2849" xr:uid="{00000000-0005-0000-0000-0000E20A0000}"/>
    <cellStyle name="Normal 10 2 10 2 11 9" xfId="2850" xr:uid="{00000000-0005-0000-0000-0000E30A0000}"/>
    <cellStyle name="Normal 10 2 10 2 12" xfId="2851" xr:uid="{00000000-0005-0000-0000-0000E40A0000}"/>
    <cellStyle name="Normal 10 2 10 2 12 10" xfId="2852" xr:uid="{00000000-0005-0000-0000-0000E50A0000}"/>
    <cellStyle name="Normal 10 2 10 2 12 11" xfId="2853" xr:uid="{00000000-0005-0000-0000-0000E60A0000}"/>
    <cellStyle name="Normal 10 2 10 2 12 12" xfId="2854" xr:uid="{00000000-0005-0000-0000-0000E70A0000}"/>
    <cellStyle name="Normal 10 2 10 2 12 13" xfId="2855" xr:uid="{00000000-0005-0000-0000-0000E80A0000}"/>
    <cellStyle name="Normal 10 2 10 2 12 14" xfId="2856" xr:uid="{00000000-0005-0000-0000-0000E90A0000}"/>
    <cellStyle name="Normal 10 2 10 2 12 2" xfId="2857" xr:uid="{00000000-0005-0000-0000-0000EA0A0000}"/>
    <cellStyle name="Normal 10 2 10 2 12 2 10" xfId="2858" xr:uid="{00000000-0005-0000-0000-0000EB0A0000}"/>
    <cellStyle name="Normal 10 2 10 2 12 2 2" xfId="2859" xr:uid="{00000000-0005-0000-0000-0000EC0A0000}"/>
    <cellStyle name="Normal 10 2 10 2 12 2 3" xfId="2860" xr:uid="{00000000-0005-0000-0000-0000ED0A0000}"/>
    <cellStyle name="Normal 10 2 10 2 12 2 4" xfId="2861" xr:uid="{00000000-0005-0000-0000-0000EE0A0000}"/>
    <cellStyle name="Normal 10 2 10 2 12 2 5" xfId="2862" xr:uid="{00000000-0005-0000-0000-0000EF0A0000}"/>
    <cellStyle name="Normal 10 2 10 2 12 2 6" xfId="2863" xr:uid="{00000000-0005-0000-0000-0000F00A0000}"/>
    <cellStyle name="Normal 10 2 10 2 12 2 7" xfId="2864" xr:uid="{00000000-0005-0000-0000-0000F10A0000}"/>
    <cellStyle name="Normal 10 2 10 2 12 2 8" xfId="2865" xr:uid="{00000000-0005-0000-0000-0000F20A0000}"/>
    <cellStyle name="Normal 10 2 10 2 12 2 9" xfId="2866" xr:uid="{00000000-0005-0000-0000-0000F30A0000}"/>
    <cellStyle name="Normal 10 2 10 2 12 3" xfId="2867" xr:uid="{00000000-0005-0000-0000-0000F40A0000}"/>
    <cellStyle name="Normal 10 2 10 2 12 3 10" xfId="2868" xr:uid="{00000000-0005-0000-0000-0000F50A0000}"/>
    <cellStyle name="Normal 10 2 10 2 12 3 2" xfId="2869" xr:uid="{00000000-0005-0000-0000-0000F60A0000}"/>
    <cellStyle name="Normal 10 2 10 2 12 3 3" xfId="2870" xr:uid="{00000000-0005-0000-0000-0000F70A0000}"/>
    <cellStyle name="Normal 10 2 10 2 12 3 4" xfId="2871" xr:uid="{00000000-0005-0000-0000-0000F80A0000}"/>
    <cellStyle name="Normal 10 2 10 2 12 3 5" xfId="2872" xr:uid="{00000000-0005-0000-0000-0000F90A0000}"/>
    <cellStyle name="Normal 10 2 10 2 12 3 6" xfId="2873" xr:uid="{00000000-0005-0000-0000-0000FA0A0000}"/>
    <cellStyle name="Normal 10 2 10 2 12 3 7" xfId="2874" xr:uid="{00000000-0005-0000-0000-0000FB0A0000}"/>
    <cellStyle name="Normal 10 2 10 2 12 3 8" xfId="2875" xr:uid="{00000000-0005-0000-0000-0000FC0A0000}"/>
    <cellStyle name="Normal 10 2 10 2 12 3 9" xfId="2876" xr:uid="{00000000-0005-0000-0000-0000FD0A0000}"/>
    <cellStyle name="Normal 10 2 10 2 12 4" xfId="2877" xr:uid="{00000000-0005-0000-0000-0000FE0A0000}"/>
    <cellStyle name="Normal 10 2 10 2 12 4 10" xfId="2878" xr:uid="{00000000-0005-0000-0000-0000FF0A0000}"/>
    <cellStyle name="Normal 10 2 10 2 12 4 2" xfId="2879" xr:uid="{00000000-0005-0000-0000-0000000B0000}"/>
    <cellStyle name="Normal 10 2 10 2 12 4 3" xfId="2880" xr:uid="{00000000-0005-0000-0000-0000010B0000}"/>
    <cellStyle name="Normal 10 2 10 2 12 4 4" xfId="2881" xr:uid="{00000000-0005-0000-0000-0000020B0000}"/>
    <cellStyle name="Normal 10 2 10 2 12 4 5" xfId="2882" xr:uid="{00000000-0005-0000-0000-0000030B0000}"/>
    <cellStyle name="Normal 10 2 10 2 12 4 6" xfId="2883" xr:uid="{00000000-0005-0000-0000-0000040B0000}"/>
    <cellStyle name="Normal 10 2 10 2 12 4 7" xfId="2884" xr:uid="{00000000-0005-0000-0000-0000050B0000}"/>
    <cellStyle name="Normal 10 2 10 2 12 4 8" xfId="2885" xr:uid="{00000000-0005-0000-0000-0000060B0000}"/>
    <cellStyle name="Normal 10 2 10 2 12 4 9" xfId="2886" xr:uid="{00000000-0005-0000-0000-0000070B0000}"/>
    <cellStyle name="Normal 10 2 10 2 12 5" xfId="2887" xr:uid="{00000000-0005-0000-0000-0000080B0000}"/>
    <cellStyle name="Normal 10 2 10 2 12 5 10" xfId="2888" xr:uid="{00000000-0005-0000-0000-0000090B0000}"/>
    <cellStyle name="Normal 10 2 10 2 12 5 2" xfId="2889" xr:uid="{00000000-0005-0000-0000-00000A0B0000}"/>
    <cellStyle name="Normal 10 2 10 2 12 5 3" xfId="2890" xr:uid="{00000000-0005-0000-0000-00000B0B0000}"/>
    <cellStyle name="Normal 10 2 10 2 12 5 4" xfId="2891" xr:uid="{00000000-0005-0000-0000-00000C0B0000}"/>
    <cellStyle name="Normal 10 2 10 2 12 5 5" xfId="2892" xr:uid="{00000000-0005-0000-0000-00000D0B0000}"/>
    <cellStyle name="Normal 10 2 10 2 12 5 6" xfId="2893" xr:uid="{00000000-0005-0000-0000-00000E0B0000}"/>
    <cellStyle name="Normal 10 2 10 2 12 5 7" xfId="2894" xr:uid="{00000000-0005-0000-0000-00000F0B0000}"/>
    <cellStyle name="Normal 10 2 10 2 12 5 8" xfId="2895" xr:uid="{00000000-0005-0000-0000-0000100B0000}"/>
    <cellStyle name="Normal 10 2 10 2 12 5 9" xfId="2896" xr:uid="{00000000-0005-0000-0000-0000110B0000}"/>
    <cellStyle name="Normal 10 2 10 2 12 6" xfId="2897" xr:uid="{00000000-0005-0000-0000-0000120B0000}"/>
    <cellStyle name="Normal 10 2 10 2 12 7" xfId="2898" xr:uid="{00000000-0005-0000-0000-0000130B0000}"/>
    <cellStyle name="Normal 10 2 10 2 12 8" xfId="2899" xr:uid="{00000000-0005-0000-0000-0000140B0000}"/>
    <cellStyle name="Normal 10 2 10 2 12 9" xfId="2900" xr:uid="{00000000-0005-0000-0000-0000150B0000}"/>
    <cellStyle name="Normal 10 2 10 2 13" xfId="2901" xr:uid="{00000000-0005-0000-0000-0000160B0000}"/>
    <cellStyle name="Normal 10 2 10 2 13 10" xfId="2902" xr:uid="{00000000-0005-0000-0000-0000170B0000}"/>
    <cellStyle name="Normal 10 2 10 2 13 11" xfId="2903" xr:uid="{00000000-0005-0000-0000-0000180B0000}"/>
    <cellStyle name="Normal 10 2 10 2 13 12" xfId="2904" xr:uid="{00000000-0005-0000-0000-0000190B0000}"/>
    <cellStyle name="Normal 10 2 10 2 13 13" xfId="2905" xr:uid="{00000000-0005-0000-0000-00001A0B0000}"/>
    <cellStyle name="Normal 10 2 10 2 13 14" xfId="2906" xr:uid="{00000000-0005-0000-0000-00001B0B0000}"/>
    <cellStyle name="Normal 10 2 10 2 13 2" xfId="2907" xr:uid="{00000000-0005-0000-0000-00001C0B0000}"/>
    <cellStyle name="Normal 10 2 10 2 13 2 10" xfId="2908" xr:uid="{00000000-0005-0000-0000-00001D0B0000}"/>
    <cellStyle name="Normal 10 2 10 2 13 2 2" xfId="2909" xr:uid="{00000000-0005-0000-0000-00001E0B0000}"/>
    <cellStyle name="Normal 10 2 10 2 13 2 3" xfId="2910" xr:uid="{00000000-0005-0000-0000-00001F0B0000}"/>
    <cellStyle name="Normal 10 2 10 2 13 2 4" xfId="2911" xr:uid="{00000000-0005-0000-0000-0000200B0000}"/>
    <cellStyle name="Normal 10 2 10 2 13 2 5" xfId="2912" xr:uid="{00000000-0005-0000-0000-0000210B0000}"/>
    <cellStyle name="Normal 10 2 10 2 13 2 6" xfId="2913" xr:uid="{00000000-0005-0000-0000-0000220B0000}"/>
    <cellStyle name="Normal 10 2 10 2 13 2 7" xfId="2914" xr:uid="{00000000-0005-0000-0000-0000230B0000}"/>
    <cellStyle name="Normal 10 2 10 2 13 2 8" xfId="2915" xr:uid="{00000000-0005-0000-0000-0000240B0000}"/>
    <cellStyle name="Normal 10 2 10 2 13 2 9" xfId="2916" xr:uid="{00000000-0005-0000-0000-0000250B0000}"/>
    <cellStyle name="Normal 10 2 10 2 13 3" xfId="2917" xr:uid="{00000000-0005-0000-0000-0000260B0000}"/>
    <cellStyle name="Normal 10 2 10 2 13 3 10" xfId="2918" xr:uid="{00000000-0005-0000-0000-0000270B0000}"/>
    <cellStyle name="Normal 10 2 10 2 13 3 2" xfId="2919" xr:uid="{00000000-0005-0000-0000-0000280B0000}"/>
    <cellStyle name="Normal 10 2 10 2 13 3 3" xfId="2920" xr:uid="{00000000-0005-0000-0000-0000290B0000}"/>
    <cellStyle name="Normal 10 2 10 2 13 3 4" xfId="2921" xr:uid="{00000000-0005-0000-0000-00002A0B0000}"/>
    <cellStyle name="Normal 10 2 10 2 13 3 5" xfId="2922" xr:uid="{00000000-0005-0000-0000-00002B0B0000}"/>
    <cellStyle name="Normal 10 2 10 2 13 3 6" xfId="2923" xr:uid="{00000000-0005-0000-0000-00002C0B0000}"/>
    <cellStyle name="Normal 10 2 10 2 13 3 7" xfId="2924" xr:uid="{00000000-0005-0000-0000-00002D0B0000}"/>
    <cellStyle name="Normal 10 2 10 2 13 3 8" xfId="2925" xr:uid="{00000000-0005-0000-0000-00002E0B0000}"/>
    <cellStyle name="Normal 10 2 10 2 13 3 9" xfId="2926" xr:uid="{00000000-0005-0000-0000-00002F0B0000}"/>
    <cellStyle name="Normal 10 2 10 2 13 4" xfId="2927" xr:uid="{00000000-0005-0000-0000-0000300B0000}"/>
    <cellStyle name="Normal 10 2 10 2 13 4 10" xfId="2928" xr:uid="{00000000-0005-0000-0000-0000310B0000}"/>
    <cellStyle name="Normal 10 2 10 2 13 4 2" xfId="2929" xr:uid="{00000000-0005-0000-0000-0000320B0000}"/>
    <cellStyle name="Normal 10 2 10 2 13 4 3" xfId="2930" xr:uid="{00000000-0005-0000-0000-0000330B0000}"/>
    <cellStyle name="Normal 10 2 10 2 13 4 4" xfId="2931" xr:uid="{00000000-0005-0000-0000-0000340B0000}"/>
    <cellStyle name="Normal 10 2 10 2 13 4 5" xfId="2932" xr:uid="{00000000-0005-0000-0000-0000350B0000}"/>
    <cellStyle name="Normal 10 2 10 2 13 4 6" xfId="2933" xr:uid="{00000000-0005-0000-0000-0000360B0000}"/>
    <cellStyle name="Normal 10 2 10 2 13 4 7" xfId="2934" xr:uid="{00000000-0005-0000-0000-0000370B0000}"/>
    <cellStyle name="Normal 10 2 10 2 13 4 8" xfId="2935" xr:uid="{00000000-0005-0000-0000-0000380B0000}"/>
    <cellStyle name="Normal 10 2 10 2 13 4 9" xfId="2936" xr:uid="{00000000-0005-0000-0000-0000390B0000}"/>
    <cellStyle name="Normal 10 2 10 2 13 5" xfId="2937" xr:uid="{00000000-0005-0000-0000-00003A0B0000}"/>
    <cellStyle name="Normal 10 2 10 2 13 5 10" xfId="2938" xr:uid="{00000000-0005-0000-0000-00003B0B0000}"/>
    <cellStyle name="Normal 10 2 10 2 13 5 2" xfId="2939" xr:uid="{00000000-0005-0000-0000-00003C0B0000}"/>
    <cellStyle name="Normal 10 2 10 2 13 5 3" xfId="2940" xr:uid="{00000000-0005-0000-0000-00003D0B0000}"/>
    <cellStyle name="Normal 10 2 10 2 13 5 4" xfId="2941" xr:uid="{00000000-0005-0000-0000-00003E0B0000}"/>
    <cellStyle name="Normal 10 2 10 2 13 5 5" xfId="2942" xr:uid="{00000000-0005-0000-0000-00003F0B0000}"/>
    <cellStyle name="Normal 10 2 10 2 13 5 6" xfId="2943" xr:uid="{00000000-0005-0000-0000-0000400B0000}"/>
    <cellStyle name="Normal 10 2 10 2 13 5 7" xfId="2944" xr:uid="{00000000-0005-0000-0000-0000410B0000}"/>
    <cellStyle name="Normal 10 2 10 2 13 5 8" xfId="2945" xr:uid="{00000000-0005-0000-0000-0000420B0000}"/>
    <cellStyle name="Normal 10 2 10 2 13 5 9" xfId="2946" xr:uid="{00000000-0005-0000-0000-0000430B0000}"/>
    <cellStyle name="Normal 10 2 10 2 13 6" xfId="2947" xr:uid="{00000000-0005-0000-0000-0000440B0000}"/>
    <cellStyle name="Normal 10 2 10 2 13 7" xfId="2948" xr:uid="{00000000-0005-0000-0000-0000450B0000}"/>
    <cellStyle name="Normal 10 2 10 2 13 8" xfId="2949" xr:uid="{00000000-0005-0000-0000-0000460B0000}"/>
    <cellStyle name="Normal 10 2 10 2 13 9" xfId="2950" xr:uid="{00000000-0005-0000-0000-0000470B0000}"/>
    <cellStyle name="Normal 10 2 10 2 14" xfId="2951" xr:uid="{00000000-0005-0000-0000-0000480B0000}"/>
    <cellStyle name="Normal 10 2 10 2 14 10" xfId="2952" xr:uid="{00000000-0005-0000-0000-0000490B0000}"/>
    <cellStyle name="Normal 10 2 10 2 14 11" xfId="2953" xr:uid="{00000000-0005-0000-0000-00004A0B0000}"/>
    <cellStyle name="Normal 10 2 10 2 14 12" xfId="2954" xr:uid="{00000000-0005-0000-0000-00004B0B0000}"/>
    <cellStyle name="Normal 10 2 10 2 14 13" xfId="2955" xr:uid="{00000000-0005-0000-0000-00004C0B0000}"/>
    <cellStyle name="Normal 10 2 10 2 14 14" xfId="2956" xr:uid="{00000000-0005-0000-0000-00004D0B0000}"/>
    <cellStyle name="Normal 10 2 10 2 14 2" xfId="2957" xr:uid="{00000000-0005-0000-0000-00004E0B0000}"/>
    <cellStyle name="Normal 10 2 10 2 14 2 10" xfId="2958" xr:uid="{00000000-0005-0000-0000-00004F0B0000}"/>
    <cellStyle name="Normal 10 2 10 2 14 2 2" xfId="2959" xr:uid="{00000000-0005-0000-0000-0000500B0000}"/>
    <cellStyle name="Normal 10 2 10 2 14 2 3" xfId="2960" xr:uid="{00000000-0005-0000-0000-0000510B0000}"/>
    <cellStyle name="Normal 10 2 10 2 14 2 4" xfId="2961" xr:uid="{00000000-0005-0000-0000-0000520B0000}"/>
    <cellStyle name="Normal 10 2 10 2 14 2 5" xfId="2962" xr:uid="{00000000-0005-0000-0000-0000530B0000}"/>
    <cellStyle name="Normal 10 2 10 2 14 2 6" xfId="2963" xr:uid="{00000000-0005-0000-0000-0000540B0000}"/>
    <cellStyle name="Normal 10 2 10 2 14 2 7" xfId="2964" xr:uid="{00000000-0005-0000-0000-0000550B0000}"/>
    <cellStyle name="Normal 10 2 10 2 14 2 8" xfId="2965" xr:uid="{00000000-0005-0000-0000-0000560B0000}"/>
    <cellStyle name="Normal 10 2 10 2 14 2 9" xfId="2966" xr:uid="{00000000-0005-0000-0000-0000570B0000}"/>
    <cellStyle name="Normal 10 2 10 2 14 3" xfId="2967" xr:uid="{00000000-0005-0000-0000-0000580B0000}"/>
    <cellStyle name="Normal 10 2 10 2 14 3 10" xfId="2968" xr:uid="{00000000-0005-0000-0000-0000590B0000}"/>
    <cellStyle name="Normal 10 2 10 2 14 3 2" xfId="2969" xr:uid="{00000000-0005-0000-0000-00005A0B0000}"/>
    <cellStyle name="Normal 10 2 10 2 14 3 3" xfId="2970" xr:uid="{00000000-0005-0000-0000-00005B0B0000}"/>
    <cellStyle name="Normal 10 2 10 2 14 3 4" xfId="2971" xr:uid="{00000000-0005-0000-0000-00005C0B0000}"/>
    <cellStyle name="Normal 10 2 10 2 14 3 5" xfId="2972" xr:uid="{00000000-0005-0000-0000-00005D0B0000}"/>
    <cellStyle name="Normal 10 2 10 2 14 3 6" xfId="2973" xr:uid="{00000000-0005-0000-0000-00005E0B0000}"/>
    <cellStyle name="Normal 10 2 10 2 14 3 7" xfId="2974" xr:uid="{00000000-0005-0000-0000-00005F0B0000}"/>
    <cellStyle name="Normal 10 2 10 2 14 3 8" xfId="2975" xr:uid="{00000000-0005-0000-0000-0000600B0000}"/>
    <cellStyle name="Normal 10 2 10 2 14 3 9" xfId="2976" xr:uid="{00000000-0005-0000-0000-0000610B0000}"/>
    <cellStyle name="Normal 10 2 10 2 14 4" xfId="2977" xr:uid="{00000000-0005-0000-0000-0000620B0000}"/>
    <cellStyle name="Normal 10 2 10 2 14 4 10" xfId="2978" xr:uid="{00000000-0005-0000-0000-0000630B0000}"/>
    <cellStyle name="Normal 10 2 10 2 14 4 2" xfId="2979" xr:uid="{00000000-0005-0000-0000-0000640B0000}"/>
    <cellStyle name="Normal 10 2 10 2 14 4 3" xfId="2980" xr:uid="{00000000-0005-0000-0000-0000650B0000}"/>
    <cellStyle name="Normal 10 2 10 2 14 4 4" xfId="2981" xr:uid="{00000000-0005-0000-0000-0000660B0000}"/>
    <cellStyle name="Normal 10 2 10 2 14 4 5" xfId="2982" xr:uid="{00000000-0005-0000-0000-0000670B0000}"/>
    <cellStyle name="Normal 10 2 10 2 14 4 6" xfId="2983" xr:uid="{00000000-0005-0000-0000-0000680B0000}"/>
    <cellStyle name="Normal 10 2 10 2 14 4 7" xfId="2984" xr:uid="{00000000-0005-0000-0000-0000690B0000}"/>
    <cellStyle name="Normal 10 2 10 2 14 4 8" xfId="2985" xr:uid="{00000000-0005-0000-0000-00006A0B0000}"/>
    <cellStyle name="Normal 10 2 10 2 14 4 9" xfId="2986" xr:uid="{00000000-0005-0000-0000-00006B0B0000}"/>
    <cellStyle name="Normal 10 2 10 2 14 5" xfId="2987" xr:uid="{00000000-0005-0000-0000-00006C0B0000}"/>
    <cellStyle name="Normal 10 2 10 2 14 5 10" xfId="2988" xr:uid="{00000000-0005-0000-0000-00006D0B0000}"/>
    <cellStyle name="Normal 10 2 10 2 14 5 2" xfId="2989" xr:uid="{00000000-0005-0000-0000-00006E0B0000}"/>
    <cellStyle name="Normal 10 2 10 2 14 5 3" xfId="2990" xr:uid="{00000000-0005-0000-0000-00006F0B0000}"/>
    <cellStyle name="Normal 10 2 10 2 14 5 4" xfId="2991" xr:uid="{00000000-0005-0000-0000-0000700B0000}"/>
    <cellStyle name="Normal 10 2 10 2 14 5 5" xfId="2992" xr:uid="{00000000-0005-0000-0000-0000710B0000}"/>
    <cellStyle name="Normal 10 2 10 2 14 5 6" xfId="2993" xr:uid="{00000000-0005-0000-0000-0000720B0000}"/>
    <cellStyle name="Normal 10 2 10 2 14 5 7" xfId="2994" xr:uid="{00000000-0005-0000-0000-0000730B0000}"/>
    <cellStyle name="Normal 10 2 10 2 14 5 8" xfId="2995" xr:uid="{00000000-0005-0000-0000-0000740B0000}"/>
    <cellStyle name="Normal 10 2 10 2 14 5 9" xfId="2996" xr:uid="{00000000-0005-0000-0000-0000750B0000}"/>
    <cellStyle name="Normal 10 2 10 2 14 6" xfId="2997" xr:uid="{00000000-0005-0000-0000-0000760B0000}"/>
    <cellStyle name="Normal 10 2 10 2 14 7" xfId="2998" xr:uid="{00000000-0005-0000-0000-0000770B0000}"/>
    <cellStyle name="Normal 10 2 10 2 14 8" xfId="2999" xr:uid="{00000000-0005-0000-0000-0000780B0000}"/>
    <cellStyle name="Normal 10 2 10 2 14 9" xfId="3000" xr:uid="{00000000-0005-0000-0000-0000790B0000}"/>
    <cellStyle name="Normal 10 2 10 2 15" xfId="3001" xr:uid="{00000000-0005-0000-0000-00007A0B0000}"/>
    <cellStyle name="Normal 10 2 10 2 15 10" xfId="3002" xr:uid="{00000000-0005-0000-0000-00007B0B0000}"/>
    <cellStyle name="Normal 10 2 10 2 15 11" xfId="3003" xr:uid="{00000000-0005-0000-0000-00007C0B0000}"/>
    <cellStyle name="Normal 10 2 10 2 15 12" xfId="3004" xr:uid="{00000000-0005-0000-0000-00007D0B0000}"/>
    <cellStyle name="Normal 10 2 10 2 15 13" xfId="3005" xr:uid="{00000000-0005-0000-0000-00007E0B0000}"/>
    <cellStyle name="Normal 10 2 10 2 15 14" xfId="3006" xr:uid="{00000000-0005-0000-0000-00007F0B0000}"/>
    <cellStyle name="Normal 10 2 10 2 15 2" xfId="3007" xr:uid="{00000000-0005-0000-0000-0000800B0000}"/>
    <cellStyle name="Normal 10 2 10 2 15 2 10" xfId="3008" xr:uid="{00000000-0005-0000-0000-0000810B0000}"/>
    <cellStyle name="Normal 10 2 10 2 15 2 2" xfId="3009" xr:uid="{00000000-0005-0000-0000-0000820B0000}"/>
    <cellStyle name="Normal 10 2 10 2 15 2 3" xfId="3010" xr:uid="{00000000-0005-0000-0000-0000830B0000}"/>
    <cellStyle name="Normal 10 2 10 2 15 2 4" xfId="3011" xr:uid="{00000000-0005-0000-0000-0000840B0000}"/>
    <cellStyle name="Normal 10 2 10 2 15 2 5" xfId="3012" xr:uid="{00000000-0005-0000-0000-0000850B0000}"/>
    <cellStyle name="Normal 10 2 10 2 15 2 6" xfId="3013" xr:uid="{00000000-0005-0000-0000-0000860B0000}"/>
    <cellStyle name="Normal 10 2 10 2 15 2 7" xfId="3014" xr:uid="{00000000-0005-0000-0000-0000870B0000}"/>
    <cellStyle name="Normal 10 2 10 2 15 2 8" xfId="3015" xr:uid="{00000000-0005-0000-0000-0000880B0000}"/>
    <cellStyle name="Normal 10 2 10 2 15 2 9" xfId="3016" xr:uid="{00000000-0005-0000-0000-0000890B0000}"/>
    <cellStyle name="Normal 10 2 10 2 15 3" xfId="3017" xr:uid="{00000000-0005-0000-0000-00008A0B0000}"/>
    <cellStyle name="Normal 10 2 10 2 15 3 10" xfId="3018" xr:uid="{00000000-0005-0000-0000-00008B0B0000}"/>
    <cellStyle name="Normal 10 2 10 2 15 3 2" xfId="3019" xr:uid="{00000000-0005-0000-0000-00008C0B0000}"/>
    <cellStyle name="Normal 10 2 10 2 15 3 3" xfId="3020" xr:uid="{00000000-0005-0000-0000-00008D0B0000}"/>
    <cellStyle name="Normal 10 2 10 2 15 3 4" xfId="3021" xr:uid="{00000000-0005-0000-0000-00008E0B0000}"/>
    <cellStyle name="Normal 10 2 10 2 15 3 5" xfId="3022" xr:uid="{00000000-0005-0000-0000-00008F0B0000}"/>
    <cellStyle name="Normal 10 2 10 2 15 3 6" xfId="3023" xr:uid="{00000000-0005-0000-0000-0000900B0000}"/>
    <cellStyle name="Normal 10 2 10 2 15 3 7" xfId="3024" xr:uid="{00000000-0005-0000-0000-0000910B0000}"/>
    <cellStyle name="Normal 10 2 10 2 15 3 8" xfId="3025" xr:uid="{00000000-0005-0000-0000-0000920B0000}"/>
    <cellStyle name="Normal 10 2 10 2 15 3 9" xfId="3026" xr:uid="{00000000-0005-0000-0000-0000930B0000}"/>
    <cellStyle name="Normal 10 2 10 2 15 4" xfId="3027" xr:uid="{00000000-0005-0000-0000-0000940B0000}"/>
    <cellStyle name="Normal 10 2 10 2 15 4 10" xfId="3028" xr:uid="{00000000-0005-0000-0000-0000950B0000}"/>
    <cellStyle name="Normal 10 2 10 2 15 4 2" xfId="3029" xr:uid="{00000000-0005-0000-0000-0000960B0000}"/>
    <cellStyle name="Normal 10 2 10 2 15 4 3" xfId="3030" xr:uid="{00000000-0005-0000-0000-0000970B0000}"/>
    <cellStyle name="Normal 10 2 10 2 15 4 4" xfId="3031" xr:uid="{00000000-0005-0000-0000-0000980B0000}"/>
    <cellStyle name="Normal 10 2 10 2 15 4 5" xfId="3032" xr:uid="{00000000-0005-0000-0000-0000990B0000}"/>
    <cellStyle name="Normal 10 2 10 2 15 4 6" xfId="3033" xr:uid="{00000000-0005-0000-0000-00009A0B0000}"/>
    <cellStyle name="Normal 10 2 10 2 15 4 7" xfId="3034" xr:uid="{00000000-0005-0000-0000-00009B0B0000}"/>
    <cellStyle name="Normal 10 2 10 2 15 4 8" xfId="3035" xr:uid="{00000000-0005-0000-0000-00009C0B0000}"/>
    <cellStyle name="Normal 10 2 10 2 15 4 9" xfId="3036" xr:uid="{00000000-0005-0000-0000-00009D0B0000}"/>
    <cellStyle name="Normal 10 2 10 2 15 5" xfId="3037" xr:uid="{00000000-0005-0000-0000-00009E0B0000}"/>
    <cellStyle name="Normal 10 2 10 2 15 5 10" xfId="3038" xr:uid="{00000000-0005-0000-0000-00009F0B0000}"/>
    <cellStyle name="Normal 10 2 10 2 15 5 2" xfId="3039" xr:uid="{00000000-0005-0000-0000-0000A00B0000}"/>
    <cellStyle name="Normal 10 2 10 2 15 5 3" xfId="3040" xr:uid="{00000000-0005-0000-0000-0000A10B0000}"/>
    <cellStyle name="Normal 10 2 10 2 15 5 4" xfId="3041" xr:uid="{00000000-0005-0000-0000-0000A20B0000}"/>
    <cellStyle name="Normal 10 2 10 2 15 5 5" xfId="3042" xr:uid="{00000000-0005-0000-0000-0000A30B0000}"/>
    <cellStyle name="Normal 10 2 10 2 15 5 6" xfId="3043" xr:uid="{00000000-0005-0000-0000-0000A40B0000}"/>
    <cellStyle name="Normal 10 2 10 2 15 5 7" xfId="3044" xr:uid="{00000000-0005-0000-0000-0000A50B0000}"/>
    <cellStyle name="Normal 10 2 10 2 15 5 8" xfId="3045" xr:uid="{00000000-0005-0000-0000-0000A60B0000}"/>
    <cellStyle name="Normal 10 2 10 2 15 5 9" xfId="3046" xr:uid="{00000000-0005-0000-0000-0000A70B0000}"/>
    <cellStyle name="Normal 10 2 10 2 15 6" xfId="3047" xr:uid="{00000000-0005-0000-0000-0000A80B0000}"/>
    <cellStyle name="Normal 10 2 10 2 15 7" xfId="3048" xr:uid="{00000000-0005-0000-0000-0000A90B0000}"/>
    <cellStyle name="Normal 10 2 10 2 15 8" xfId="3049" xr:uid="{00000000-0005-0000-0000-0000AA0B0000}"/>
    <cellStyle name="Normal 10 2 10 2 15 9" xfId="3050" xr:uid="{00000000-0005-0000-0000-0000AB0B0000}"/>
    <cellStyle name="Normal 10 2 10 2 16" xfId="3051" xr:uid="{00000000-0005-0000-0000-0000AC0B0000}"/>
    <cellStyle name="Normal 10 2 10 2 16 10" xfId="3052" xr:uid="{00000000-0005-0000-0000-0000AD0B0000}"/>
    <cellStyle name="Normal 10 2 10 2 16 11" xfId="3053" xr:uid="{00000000-0005-0000-0000-0000AE0B0000}"/>
    <cellStyle name="Normal 10 2 10 2 16 12" xfId="3054" xr:uid="{00000000-0005-0000-0000-0000AF0B0000}"/>
    <cellStyle name="Normal 10 2 10 2 16 13" xfId="3055" xr:uid="{00000000-0005-0000-0000-0000B00B0000}"/>
    <cellStyle name="Normal 10 2 10 2 16 14" xfId="3056" xr:uid="{00000000-0005-0000-0000-0000B10B0000}"/>
    <cellStyle name="Normal 10 2 10 2 16 2" xfId="3057" xr:uid="{00000000-0005-0000-0000-0000B20B0000}"/>
    <cellStyle name="Normal 10 2 10 2 16 2 10" xfId="3058" xr:uid="{00000000-0005-0000-0000-0000B30B0000}"/>
    <cellStyle name="Normal 10 2 10 2 16 2 2" xfId="3059" xr:uid="{00000000-0005-0000-0000-0000B40B0000}"/>
    <cellStyle name="Normal 10 2 10 2 16 2 3" xfId="3060" xr:uid="{00000000-0005-0000-0000-0000B50B0000}"/>
    <cellStyle name="Normal 10 2 10 2 16 2 4" xfId="3061" xr:uid="{00000000-0005-0000-0000-0000B60B0000}"/>
    <cellStyle name="Normal 10 2 10 2 16 2 5" xfId="3062" xr:uid="{00000000-0005-0000-0000-0000B70B0000}"/>
    <cellStyle name="Normal 10 2 10 2 16 2 6" xfId="3063" xr:uid="{00000000-0005-0000-0000-0000B80B0000}"/>
    <cellStyle name="Normal 10 2 10 2 16 2 7" xfId="3064" xr:uid="{00000000-0005-0000-0000-0000B90B0000}"/>
    <cellStyle name="Normal 10 2 10 2 16 2 8" xfId="3065" xr:uid="{00000000-0005-0000-0000-0000BA0B0000}"/>
    <cellStyle name="Normal 10 2 10 2 16 2 9" xfId="3066" xr:uid="{00000000-0005-0000-0000-0000BB0B0000}"/>
    <cellStyle name="Normal 10 2 10 2 16 3" xfId="3067" xr:uid="{00000000-0005-0000-0000-0000BC0B0000}"/>
    <cellStyle name="Normal 10 2 10 2 16 3 10" xfId="3068" xr:uid="{00000000-0005-0000-0000-0000BD0B0000}"/>
    <cellStyle name="Normal 10 2 10 2 16 3 2" xfId="3069" xr:uid="{00000000-0005-0000-0000-0000BE0B0000}"/>
    <cellStyle name="Normal 10 2 10 2 16 3 3" xfId="3070" xr:uid="{00000000-0005-0000-0000-0000BF0B0000}"/>
    <cellStyle name="Normal 10 2 10 2 16 3 4" xfId="3071" xr:uid="{00000000-0005-0000-0000-0000C00B0000}"/>
    <cellStyle name="Normal 10 2 10 2 16 3 5" xfId="3072" xr:uid="{00000000-0005-0000-0000-0000C10B0000}"/>
    <cellStyle name="Normal 10 2 10 2 16 3 6" xfId="3073" xr:uid="{00000000-0005-0000-0000-0000C20B0000}"/>
    <cellStyle name="Normal 10 2 10 2 16 3 7" xfId="3074" xr:uid="{00000000-0005-0000-0000-0000C30B0000}"/>
    <cellStyle name="Normal 10 2 10 2 16 3 8" xfId="3075" xr:uid="{00000000-0005-0000-0000-0000C40B0000}"/>
    <cellStyle name="Normal 10 2 10 2 16 3 9" xfId="3076" xr:uid="{00000000-0005-0000-0000-0000C50B0000}"/>
    <cellStyle name="Normal 10 2 10 2 16 4" xfId="3077" xr:uid="{00000000-0005-0000-0000-0000C60B0000}"/>
    <cellStyle name="Normal 10 2 10 2 16 4 10" xfId="3078" xr:uid="{00000000-0005-0000-0000-0000C70B0000}"/>
    <cellStyle name="Normal 10 2 10 2 16 4 2" xfId="3079" xr:uid="{00000000-0005-0000-0000-0000C80B0000}"/>
    <cellStyle name="Normal 10 2 10 2 16 4 3" xfId="3080" xr:uid="{00000000-0005-0000-0000-0000C90B0000}"/>
    <cellStyle name="Normal 10 2 10 2 16 4 4" xfId="3081" xr:uid="{00000000-0005-0000-0000-0000CA0B0000}"/>
    <cellStyle name="Normal 10 2 10 2 16 4 5" xfId="3082" xr:uid="{00000000-0005-0000-0000-0000CB0B0000}"/>
    <cellStyle name="Normal 10 2 10 2 16 4 6" xfId="3083" xr:uid="{00000000-0005-0000-0000-0000CC0B0000}"/>
    <cellStyle name="Normal 10 2 10 2 16 4 7" xfId="3084" xr:uid="{00000000-0005-0000-0000-0000CD0B0000}"/>
    <cellStyle name="Normal 10 2 10 2 16 4 8" xfId="3085" xr:uid="{00000000-0005-0000-0000-0000CE0B0000}"/>
    <cellStyle name="Normal 10 2 10 2 16 4 9" xfId="3086" xr:uid="{00000000-0005-0000-0000-0000CF0B0000}"/>
    <cellStyle name="Normal 10 2 10 2 16 5" xfId="3087" xr:uid="{00000000-0005-0000-0000-0000D00B0000}"/>
    <cellStyle name="Normal 10 2 10 2 16 5 10" xfId="3088" xr:uid="{00000000-0005-0000-0000-0000D10B0000}"/>
    <cellStyle name="Normal 10 2 10 2 16 5 2" xfId="3089" xr:uid="{00000000-0005-0000-0000-0000D20B0000}"/>
    <cellStyle name="Normal 10 2 10 2 16 5 3" xfId="3090" xr:uid="{00000000-0005-0000-0000-0000D30B0000}"/>
    <cellStyle name="Normal 10 2 10 2 16 5 4" xfId="3091" xr:uid="{00000000-0005-0000-0000-0000D40B0000}"/>
    <cellStyle name="Normal 10 2 10 2 16 5 5" xfId="3092" xr:uid="{00000000-0005-0000-0000-0000D50B0000}"/>
    <cellStyle name="Normal 10 2 10 2 16 5 6" xfId="3093" xr:uid="{00000000-0005-0000-0000-0000D60B0000}"/>
    <cellStyle name="Normal 10 2 10 2 16 5 7" xfId="3094" xr:uid="{00000000-0005-0000-0000-0000D70B0000}"/>
    <cellStyle name="Normal 10 2 10 2 16 5 8" xfId="3095" xr:uid="{00000000-0005-0000-0000-0000D80B0000}"/>
    <cellStyle name="Normal 10 2 10 2 16 5 9" xfId="3096" xr:uid="{00000000-0005-0000-0000-0000D90B0000}"/>
    <cellStyle name="Normal 10 2 10 2 16 6" xfId="3097" xr:uid="{00000000-0005-0000-0000-0000DA0B0000}"/>
    <cellStyle name="Normal 10 2 10 2 16 7" xfId="3098" xr:uid="{00000000-0005-0000-0000-0000DB0B0000}"/>
    <cellStyle name="Normal 10 2 10 2 16 8" xfId="3099" xr:uid="{00000000-0005-0000-0000-0000DC0B0000}"/>
    <cellStyle name="Normal 10 2 10 2 16 9" xfId="3100" xr:uid="{00000000-0005-0000-0000-0000DD0B0000}"/>
    <cellStyle name="Normal 10 2 10 2 17" xfId="3101" xr:uid="{00000000-0005-0000-0000-0000DE0B0000}"/>
    <cellStyle name="Normal 10 2 10 2 17 10" xfId="3102" xr:uid="{00000000-0005-0000-0000-0000DF0B0000}"/>
    <cellStyle name="Normal 10 2 10 2 17 11" xfId="3103" xr:uid="{00000000-0005-0000-0000-0000E00B0000}"/>
    <cellStyle name="Normal 10 2 10 2 17 12" xfId="3104" xr:uid="{00000000-0005-0000-0000-0000E10B0000}"/>
    <cellStyle name="Normal 10 2 10 2 17 13" xfId="3105" xr:uid="{00000000-0005-0000-0000-0000E20B0000}"/>
    <cellStyle name="Normal 10 2 10 2 17 14" xfId="3106" xr:uid="{00000000-0005-0000-0000-0000E30B0000}"/>
    <cellStyle name="Normal 10 2 10 2 17 2" xfId="3107" xr:uid="{00000000-0005-0000-0000-0000E40B0000}"/>
    <cellStyle name="Normal 10 2 10 2 17 2 10" xfId="3108" xr:uid="{00000000-0005-0000-0000-0000E50B0000}"/>
    <cellStyle name="Normal 10 2 10 2 17 2 2" xfId="3109" xr:uid="{00000000-0005-0000-0000-0000E60B0000}"/>
    <cellStyle name="Normal 10 2 10 2 17 2 3" xfId="3110" xr:uid="{00000000-0005-0000-0000-0000E70B0000}"/>
    <cellStyle name="Normal 10 2 10 2 17 2 4" xfId="3111" xr:uid="{00000000-0005-0000-0000-0000E80B0000}"/>
    <cellStyle name="Normal 10 2 10 2 17 2 5" xfId="3112" xr:uid="{00000000-0005-0000-0000-0000E90B0000}"/>
    <cellStyle name="Normal 10 2 10 2 17 2 6" xfId="3113" xr:uid="{00000000-0005-0000-0000-0000EA0B0000}"/>
    <cellStyle name="Normal 10 2 10 2 17 2 7" xfId="3114" xr:uid="{00000000-0005-0000-0000-0000EB0B0000}"/>
    <cellStyle name="Normal 10 2 10 2 17 2 8" xfId="3115" xr:uid="{00000000-0005-0000-0000-0000EC0B0000}"/>
    <cellStyle name="Normal 10 2 10 2 17 2 9" xfId="3116" xr:uid="{00000000-0005-0000-0000-0000ED0B0000}"/>
    <cellStyle name="Normal 10 2 10 2 17 3" xfId="3117" xr:uid="{00000000-0005-0000-0000-0000EE0B0000}"/>
    <cellStyle name="Normal 10 2 10 2 17 3 10" xfId="3118" xr:uid="{00000000-0005-0000-0000-0000EF0B0000}"/>
    <cellStyle name="Normal 10 2 10 2 17 3 2" xfId="3119" xr:uid="{00000000-0005-0000-0000-0000F00B0000}"/>
    <cellStyle name="Normal 10 2 10 2 17 3 3" xfId="3120" xr:uid="{00000000-0005-0000-0000-0000F10B0000}"/>
    <cellStyle name="Normal 10 2 10 2 17 3 4" xfId="3121" xr:uid="{00000000-0005-0000-0000-0000F20B0000}"/>
    <cellStyle name="Normal 10 2 10 2 17 3 5" xfId="3122" xr:uid="{00000000-0005-0000-0000-0000F30B0000}"/>
    <cellStyle name="Normal 10 2 10 2 17 3 6" xfId="3123" xr:uid="{00000000-0005-0000-0000-0000F40B0000}"/>
    <cellStyle name="Normal 10 2 10 2 17 3 7" xfId="3124" xr:uid="{00000000-0005-0000-0000-0000F50B0000}"/>
    <cellStyle name="Normal 10 2 10 2 17 3 8" xfId="3125" xr:uid="{00000000-0005-0000-0000-0000F60B0000}"/>
    <cellStyle name="Normal 10 2 10 2 17 3 9" xfId="3126" xr:uid="{00000000-0005-0000-0000-0000F70B0000}"/>
    <cellStyle name="Normal 10 2 10 2 17 4" xfId="3127" xr:uid="{00000000-0005-0000-0000-0000F80B0000}"/>
    <cellStyle name="Normal 10 2 10 2 17 4 10" xfId="3128" xr:uid="{00000000-0005-0000-0000-0000F90B0000}"/>
    <cellStyle name="Normal 10 2 10 2 17 4 2" xfId="3129" xr:uid="{00000000-0005-0000-0000-0000FA0B0000}"/>
    <cellStyle name="Normal 10 2 10 2 17 4 3" xfId="3130" xr:uid="{00000000-0005-0000-0000-0000FB0B0000}"/>
    <cellStyle name="Normal 10 2 10 2 17 4 4" xfId="3131" xr:uid="{00000000-0005-0000-0000-0000FC0B0000}"/>
    <cellStyle name="Normal 10 2 10 2 17 4 5" xfId="3132" xr:uid="{00000000-0005-0000-0000-0000FD0B0000}"/>
    <cellStyle name="Normal 10 2 10 2 17 4 6" xfId="3133" xr:uid="{00000000-0005-0000-0000-0000FE0B0000}"/>
    <cellStyle name="Normal 10 2 10 2 17 4 7" xfId="3134" xr:uid="{00000000-0005-0000-0000-0000FF0B0000}"/>
    <cellStyle name="Normal 10 2 10 2 17 4 8" xfId="3135" xr:uid="{00000000-0005-0000-0000-0000000C0000}"/>
    <cellStyle name="Normal 10 2 10 2 17 4 9" xfId="3136" xr:uid="{00000000-0005-0000-0000-0000010C0000}"/>
    <cellStyle name="Normal 10 2 10 2 17 5" xfId="3137" xr:uid="{00000000-0005-0000-0000-0000020C0000}"/>
    <cellStyle name="Normal 10 2 10 2 17 5 10" xfId="3138" xr:uid="{00000000-0005-0000-0000-0000030C0000}"/>
    <cellStyle name="Normal 10 2 10 2 17 5 2" xfId="3139" xr:uid="{00000000-0005-0000-0000-0000040C0000}"/>
    <cellStyle name="Normal 10 2 10 2 17 5 3" xfId="3140" xr:uid="{00000000-0005-0000-0000-0000050C0000}"/>
    <cellStyle name="Normal 10 2 10 2 17 5 4" xfId="3141" xr:uid="{00000000-0005-0000-0000-0000060C0000}"/>
    <cellStyle name="Normal 10 2 10 2 17 5 5" xfId="3142" xr:uid="{00000000-0005-0000-0000-0000070C0000}"/>
    <cellStyle name="Normal 10 2 10 2 17 5 6" xfId="3143" xr:uid="{00000000-0005-0000-0000-0000080C0000}"/>
    <cellStyle name="Normal 10 2 10 2 17 5 7" xfId="3144" xr:uid="{00000000-0005-0000-0000-0000090C0000}"/>
    <cellStyle name="Normal 10 2 10 2 17 5 8" xfId="3145" xr:uid="{00000000-0005-0000-0000-00000A0C0000}"/>
    <cellStyle name="Normal 10 2 10 2 17 5 9" xfId="3146" xr:uid="{00000000-0005-0000-0000-00000B0C0000}"/>
    <cellStyle name="Normal 10 2 10 2 17 6" xfId="3147" xr:uid="{00000000-0005-0000-0000-00000C0C0000}"/>
    <cellStyle name="Normal 10 2 10 2 17 7" xfId="3148" xr:uid="{00000000-0005-0000-0000-00000D0C0000}"/>
    <cellStyle name="Normal 10 2 10 2 17 8" xfId="3149" xr:uid="{00000000-0005-0000-0000-00000E0C0000}"/>
    <cellStyle name="Normal 10 2 10 2 17 9" xfId="3150" xr:uid="{00000000-0005-0000-0000-00000F0C0000}"/>
    <cellStyle name="Normal 10 2 10 2 18" xfId="3151" xr:uid="{00000000-0005-0000-0000-0000100C0000}"/>
    <cellStyle name="Normal 10 2 10 2 18 10" xfId="3152" xr:uid="{00000000-0005-0000-0000-0000110C0000}"/>
    <cellStyle name="Normal 10 2 10 2 18 11" xfId="3153" xr:uid="{00000000-0005-0000-0000-0000120C0000}"/>
    <cellStyle name="Normal 10 2 10 2 18 12" xfId="3154" xr:uid="{00000000-0005-0000-0000-0000130C0000}"/>
    <cellStyle name="Normal 10 2 10 2 18 13" xfId="3155" xr:uid="{00000000-0005-0000-0000-0000140C0000}"/>
    <cellStyle name="Normal 10 2 10 2 18 14" xfId="3156" xr:uid="{00000000-0005-0000-0000-0000150C0000}"/>
    <cellStyle name="Normal 10 2 10 2 18 2" xfId="3157" xr:uid="{00000000-0005-0000-0000-0000160C0000}"/>
    <cellStyle name="Normal 10 2 10 2 18 2 10" xfId="3158" xr:uid="{00000000-0005-0000-0000-0000170C0000}"/>
    <cellStyle name="Normal 10 2 10 2 18 2 2" xfId="3159" xr:uid="{00000000-0005-0000-0000-0000180C0000}"/>
    <cellStyle name="Normal 10 2 10 2 18 2 3" xfId="3160" xr:uid="{00000000-0005-0000-0000-0000190C0000}"/>
    <cellStyle name="Normal 10 2 10 2 18 2 4" xfId="3161" xr:uid="{00000000-0005-0000-0000-00001A0C0000}"/>
    <cellStyle name="Normal 10 2 10 2 18 2 5" xfId="3162" xr:uid="{00000000-0005-0000-0000-00001B0C0000}"/>
    <cellStyle name="Normal 10 2 10 2 18 2 6" xfId="3163" xr:uid="{00000000-0005-0000-0000-00001C0C0000}"/>
    <cellStyle name="Normal 10 2 10 2 18 2 7" xfId="3164" xr:uid="{00000000-0005-0000-0000-00001D0C0000}"/>
    <cellStyle name="Normal 10 2 10 2 18 2 8" xfId="3165" xr:uid="{00000000-0005-0000-0000-00001E0C0000}"/>
    <cellStyle name="Normal 10 2 10 2 18 2 9" xfId="3166" xr:uid="{00000000-0005-0000-0000-00001F0C0000}"/>
    <cellStyle name="Normal 10 2 10 2 18 3" xfId="3167" xr:uid="{00000000-0005-0000-0000-0000200C0000}"/>
    <cellStyle name="Normal 10 2 10 2 18 3 10" xfId="3168" xr:uid="{00000000-0005-0000-0000-0000210C0000}"/>
    <cellStyle name="Normal 10 2 10 2 18 3 2" xfId="3169" xr:uid="{00000000-0005-0000-0000-0000220C0000}"/>
    <cellStyle name="Normal 10 2 10 2 18 3 3" xfId="3170" xr:uid="{00000000-0005-0000-0000-0000230C0000}"/>
    <cellStyle name="Normal 10 2 10 2 18 3 4" xfId="3171" xr:uid="{00000000-0005-0000-0000-0000240C0000}"/>
    <cellStyle name="Normal 10 2 10 2 18 3 5" xfId="3172" xr:uid="{00000000-0005-0000-0000-0000250C0000}"/>
    <cellStyle name="Normal 10 2 10 2 18 3 6" xfId="3173" xr:uid="{00000000-0005-0000-0000-0000260C0000}"/>
    <cellStyle name="Normal 10 2 10 2 18 3 7" xfId="3174" xr:uid="{00000000-0005-0000-0000-0000270C0000}"/>
    <cellStyle name="Normal 10 2 10 2 18 3 8" xfId="3175" xr:uid="{00000000-0005-0000-0000-0000280C0000}"/>
    <cellStyle name="Normal 10 2 10 2 18 3 9" xfId="3176" xr:uid="{00000000-0005-0000-0000-0000290C0000}"/>
    <cellStyle name="Normal 10 2 10 2 18 4" xfId="3177" xr:uid="{00000000-0005-0000-0000-00002A0C0000}"/>
    <cellStyle name="Normal 10 2 10 2 18 4 10" xfId="3178" xr:uid="{00000000-0005-0000-0000-00002B0C0000}"/>
    <cellStyle name="Normal 10 2 10 2 18 4 2" xfId="3179" xr:uid="{00000000-0005-0000-0000-00002C0C0000}"/>
    <cellStyle name="Normal 10 2 10 2 18 4 3" xfId="3180" xr:uid="{00000000-0005-0000-0000-00002D0C0000}"/>
    <cellStyle name="Normal 10 2 10 2 18 4 4" xfId="3181" xr:uid="{00000000-0005-0000-0000-00002E0C0000}"/>
    <cellStyle name="Normal 10 2 10 2 18 4 5" xfId="3182" xr:uid="{00000000-0005-0000-0000-00002F0C0000}"/>
    <cellStyle name="Normal 10 2 10 2 18 4 6" xfId="3183" xr:uid="{00000000-0005-0000-0000-0000300C0000}"/>
    <cellStyle name="Normal 10 2 10 2 18 4 7" xfId="3184" xr:uid="{00000000-0005-0000-0000-0000310C0000}"/>
    <cellStyle name="Normal 10 2 10 2 18 4 8" xfId="3185" xr:uid="{00000000-0005-0000-0000-0000320C0000}"/>
    <cellStyle name="Normal 10 2 10 2 18 4 9" xfId="3186" xr:uid="{00000000-0005-0000-0000-0000330C0000}"/>
    <cellStyle name="Normal 10 2 10 2 18 5" xfId="3187" xr:uid="{00000000-0005-0000-0000-0000340C0000}"/>
    <cellStyle name="Normal 10 2 10 2 18 5 10" xfId="3188" xr:uid="{00000000-0005-0000-0000-0000350C0000}"/>
    <cellStyle name="Normal 10 2 10 2 18 5 2" xfId="3189" xr:uid="{00000000-0005-0000-0000-0000360C0000}"/>
    <cellStyle name="Normal 10 2 10 2 18 5 3" xfId="3190" xr:uid="{00000000-0005-0000-0000-0000370C0000}"/>
    <cellStyle name="Normal 10 2 10 2 18 5 4" xfId="3191" xr:uid="{00000000-0005-0000-0000-0000380C0000}"/>
    <cellStyle name="Normal 10 2 10 2 18 5 5" xfId="3192" xr:uid="{00000000-0005-0000-0000-0000390C0000}"/>
    <cellStyle name="Normal 10 2 10 2 18 5 6" xfId="3193" xr:uid="{00000000-0005-0000-0000-00003A0C0000}"/>
    <cellStyle name="Normal 10 2 10 2 18 5 7" xfId="3194" xr:uid="{00000000-0005-0000-0000-00003B0C0000}"/>
    <cellStyle name="Normal 10 2 10 2 18 5 8" xfId="3195" xr:uid="{00000000-0005-0000-0000-00003C0C0000}"/>
    <cellStyle name="Normal 10 2 10 2 18 5 9" xfId="3196" xr:uid="{00000000-0005-0000-0000-00003D0C0000}"/>
    <cellStyle name="Normal 10 2 10 2 18 6" xfId="3197" xr:uid="{00000000-0005-0000-0000-00003E0C0000}"/>
    <cellStyle name="Normal 10 2 10 2 18 7" xfId="3198" xr:uid="{00000000-0005-0000-0000-00003F0C0000}"/>
    <cellStyle name="Normal 10 2 10 2 18 8" xfId="3199" xr:uid="{00000000-0005-0000-0000-0000400C0000}"/>
    <cellStyle name="Normal 10 2 10 2 18 9" xfId="3200" xr:uid="{00000000-0005-0000-0000-0000410C0000}"/>
    <cellStyle name="Normal 10 2 10 2 19" xfId="3201" xr:uid="{00000000-0005-0000-0000-0000420C0000}"/>
    <cellStyle name="Normal 10 2 10 2 19 10" xfId="3202" xr:uid="{00000000-0005-0000-0000-0000430C0000}"/>
    <cellStyle name="Normal 10 2 10 2 19 11" xfId="3203" xr:uid="{00000000-0005-0000-0000-0000440C0000}"/>
    <cellStyle name="Normal 10 2 10 2 19 12" xfId="3204" xr:uid="{00000000-0005-0000-0000-0000450C0000}"/>
    <cellStyle name="Normal 10 2 10 2 19 13" xfId="3205" xr:uid="{00000000-0005-0000-0000-0000460C0000}"/>
    <cellStyle name="Normal 10 2 10 2 19 14" xfId="3206" xr:uid="{00000000-0005-0000-0000-0000470C0000}"/>
    <cellStyle name="Normal 10 2 10 2 19 2" xfId="3207" xr:uid="{00000000-0005-0000-0000-0000480C0000}"/>
    <cellStyle name="Normal 10 2 10 2 19 2 10" xfId="3208" xr:uid="{00000000-0005-0000-0000-0000490C0000}"/>
    <cellStyle name="Normal 10 2 10 2 19 2 2" xfId="3209" xr:uid="{00000000-0005-0000-0000-00004A0C0000}"/>
    <cellStyle name="Normal 10 2 10 2 19 2 3" xfId="3210" xr:uid="{00000000-0005-0000-0000-00004B0C0000}"/>
    <cellStyle name="Normal 10 2 10 2 19 2 4" xfId="3211" xr:uid="{00000000-0005-0000-0000-00004C0C0000}"/>
    <cellStyle name="Normal 10 2 10 2 19 2 5" xfId="3212" xr:uid="{00000000-0005-0000-0000-00004D0C0000}"/>
    <cellStyle name="Normal 10 2 10 2 19 2 6" xfId="3213" xr:uid="{00000000-0005-0000-0000-00004E0C0000}"/>
    <cellStyle name="Normal 10 2 10 2 19 2 7" xfId="3214" xr:uid="{00000000-0005-0000-0000-00004F0C0000}"/>
    <cellStyle name="Normal 10 2 10 2 19 2 8" xfId="3215" xr:uid="{00000000-0005-0000-0000-0000500C0000}"/>
    <cellStyle name="Normal 10 2 10 2 19 2 9" xfId="3216" xr:uid="{00000000-0005-0000-0000-0000510C0000}"/>
    <cellStyle name="Normal 10 2 10 2 19 3" xfId="3217" xr:uid="{00000000-0005-0000-0000-0000520C0000}"/>
    <cellStyle name="Normal 10 2 10 2 19 3 10" xfId="3218" xr:uid="{00000000-0005-0000-0000-0000530C0000}"/>
    <cellStyle name="Normal 10 2 10 2 19 3 2" xfId="3219" xr:uid="{00000000-0005-0000-0000-0000540C0000}"/>
    <cellStyle name="Normal 10 2 10 2 19 3 3" xfId="3220" xr:uid="{00000000-0005-0000-0000-0000550C0000}"/>
    <cellStyle name="Normal 10 2 10 2 19 3 4" xfId="3221" xr:uid="{00000000-0005-0000-0000-0000560C0000}"/>
    <cellStyle name="Normal 10 2 10 2 19 3 5" xfId="3222" xr:uid="{00000000-0005-0000-0000-0000570C0000}"/>
    <cellStyle name="Normal 10 2 10 2 19 3 6" xfId="3223" xr:uid="{00000000-0005-0000-0000-0000580C0000}"/>
    <cellStyle name="Normal 10 2 10 2 19 3 7" xfId="3224" xr:uid="{00000000-0005-0000-0000-0000590C0000}"/>
    <cellStyle name="Normal 10 2 10 2 19 3 8" xfId="3225" xr:uid="{00000000-0005-0000-0000-00005A0C0000}"/>
    <cellStyle name="Normal 10 2 10 2 19 3 9" xfId="3226" xr:uid="{00000000-0005-0000-0000-00005B0C0000}"/>
    <cellStyle name="Normal 10 2 10 2 19 4" xfId="3227" xr:uid="{00000000-0005-0000-0000-00005C0C0000}"/>
    <cellStyle name="Normal 10 2 10 2 19 4 10" xfId="3228" xr:uid="{00000000-0005-0000-0000-00005D0C0000}"/>
    <cellStyle name="Normal 10 2 10 2 19 4 2" xfId="3229" xr:uid="{00000000-0005-0000-0000-00005E0C0000}"/>
    <cellStyle name="Normal 10 2 10 2 19 4 3" xfId="3230" xr:uid="{00000000-0005-0000-0000-00005F0C0000}"/>
    <cellStyle name="Normal 10 2 10 2 19 4 4" xfId="3231" xr:uid="{00000000-0005-0000-0000-0000600C0000}"/>
    <cellStyle name="Normal 10 2 10 2 19 4 5" xfId="3232" xr:uid="{00000000-0005-0000-0000-0000610C0000}"/>
    <cellStyle name="Normal 10 2 10 2 19 4 6" xfId="3233" xr:uid="{00000000-0005-0000-0000-0000620C0000}"/>
    <cellStyle name="Normal 10 2 10 2 19 4 7" xfId="3234" xr:uid="{00000000-0005-0000-0000-0000630C0000}"/>
    <cellStyle name="Normal 10 2 10 2 19 4 8" xfId="3235" xr:uid="{00000000-0005-0000-0000-0000640C0000}"/>
    <cellStyle name="Normal 10 2 10 2 19 4 9" xfId="3236" xr:uid="{00000000-0005-0000-0000-0000650C0000}"/>
    <cellStyle name="Normal 10 2 10 2 19 5" xfId="3237" xr:uid="{00000000-0005-0000-0000-0000660C0000}"/>
    <cellStyle name="Normal 10 2 10 2 19 5 10" xfId="3238" xr:uid="{00000000-0005-0000-0000-0000670C0000}"/>
    <cellStyle name="Normal 10 2 10 2 19 5 2" xfId="3239" xr:uid="{00000000-0005-0000-0000-0000680C0000}"/>
    <cellStyle name="Normal 10 2 10 2 19 5 3" xfId="3240" xr:uid="{00000000-0005-0000-0000-0000690C0000}"/>
    <cellStyle name="Normal 10 2 10 2 19 5 4" xfId="3241" xr:uid="{00000000-0005-0000-0000-00006A0C0000}"/>
    <cellStyle name="Normal 10 2 10 2 19 5 5" xfId="3242" xr:uid="{00000000-0005-0000-0000-00006B0C0000}"/>
    <cellStyle name="Normal 10 2 10 2 19 5 6" xfId="3243" xr:uid="{00000000-0005-0000-0000-00006C0C0000}"/>
    <cellStyle name="Normal 10 2 10 2 19 5 7" xfId="3244" xr:uid="{00000000-0005-0000-0000-00006D0C0000}"/>
    <cellStyle name="Normal 10 2 10 2 19 5 8" xfId="3245" xr:uid="{00000000-0005-0000-0000-00006E0C0000}"/>
    <cellStyle name="Normal 10 2 10 2 19 5 9" xfId="3246" xr:uid="{00000000-0005-0000-0000-00006F0C0000}"/>
    <cellStyle name="Normal 10 2 10 2 19 6" xfId="3247" xr:uid="{00000000-0005-0000-0000-0000700C0000}"/>
    <cellStyle name="Normal 10 2 10 2 19 7" xfId="3248" xr:uid="{00000000-0005-0000-0000-0000710C0000}"/>
    <cellStyle name="Normal 10 2 10 2 19 8" xfId="3249" xr:uid="{00000000-0005-0000-0000-0000720C0000}"/>
    <cellStyle name="Normal 10 2 10 2 19 9" xfId="3250" xr:uid="{00000000-0005-0000-0000-0000730C0000}"/>
    <cellStyle name="Normal 10 2 10 2 2" xfId="3251" xr:uid="{00000000-0005-0000-0000-0000740C0000}"/>
    <cellStyle name="Normal 10 2 10 2 2 10" xfId="3252" xr:uid="{00000000-0005-0000-0000-0000750C0000}"/>
    <cellStyle name="Normal 10 2 10 2 2 11" xfId="3253" xr:uid="{00000000-0005-0000-0000-0000760C0000}"/>
    <cellStyle name="Normal 10 2 10 2 2 12" xfId="3254" xr:uid="{00000000-0005-0000-0000-0000770C0000}"/>
    <cellStyle name="Normal 10 2 10 2 2 13" xfId="3255" xr:uid="{00000000-0005-0000-0000-0000780C0000}"/>
    <cellStyle name="Normal 10 2 10 2 2 14" xfId="3256" xr:uid="{00000000-0005-0000-0000-0000790C0000}"/>
    <cellStyle name="Normal 10 2 10 2 2 2" xfId="3257" xr:uid="{00000000-0005-0000-0000-00007A0C0000}"/>
    <cellStyle name="Normal 10 2 10 2 2 2 10" xfId="3258" xr:uid="{00000000-0005-0000-0000-00007B0C0000}"/>
    <cellStyle name="Normal 10 2 10 2 2 2 2" xfId="3259" xr:uid="{00000000-0005-0000-0000-00007C0C0000}"/>
    <cellStyle name="Normal 10 2 10 2 2 2 3" xfId="3260" xr:uid="{00000000-0005-0000-0000-00007D0C0000}"/>
    <cellStyle name="Normal 10 2 10 2 2 2 4" xfId="3261" xr:uid="{00000000-0005-0000-0000-00007E0C0000}"/>
    <cellStyle name="Normal 10 2 10 2 2 2 5" xfId="3262" xr:uid="{00000000-0005-0000-0000-00007F0C0000}"/>
    <cellStyle name="Normal 10 2 10 2 2 2 6" xfId="3263" xr:uid="{00000000-0005-0000-0000-0000800C0000}"/>
    <cellStyle name="Normal 10 2 10 2 2 2 7" xfId="3264" xr:uid="{00000000-0005-0000-0000-0000810C0000}"/>
    <cellStyle name="Normal 10 2 10 2 2 2 8" xfId="3265" xr:uid="{00000000-0005-0000-0000-0000820C0000}"/>
    <cellStyle name="Normal 10 2 10 2 2 2 9" xfId="3266" xr:uid="{00000000-0005-0000-0000-0000830C0000}"/>
    <cellStyle name="Normal 10 2 10 2 2 3" xfId="3267" xr:uid="{00000000-0005-0000-0000-0000840C0000}"/>
    <cellStyle name="Normal 10 2 10 2 2 3 10" xfId="3268" xr:uid="{00000000-0005-0000-0000-0000850C0000}"/>
    <cellStyle name="Normal 10 2 10 2 2 3 2" xfId="3269" xr:uid="{00000000-0005-0000-0000-0000860C0000}"/>
    <cellStyle name="Normal 10 2 10 2 2 3 3" xfId="3270" xr:uid="{00000000-0005-0000-0000-0000870C0000}"/>
    <cellStyle name="Normal 10 2 10 2 2 3 4" xfId="3271" xr:uid="{00000000-0005-0000-0000-0000880C0000}"/>
    <cellStyle name="Normal 10 2 10 2 2 3 5" xfId="3272" xr:uid="{00000000-0005-0000-0000-0000890C0000}"/>
    <cellStyle name="Normal 10 2 10 2 2 3 6" xfId="3273" xr:uid="{00000000-0005-0000-0000-00008A0C0000}"/>
    <cellStyle name="Normal 10 2 10 2 2 3 7" xfId="3274" xr:uid="{00000000-0005-0000-0000-00008B0C0000}"/>
    <cellStyle name="Normal 10 2 10 2 2 3 8" xfId="3275" xr:uid="{00000000-0005-0000-0000-00008C0C0000}"/>
    <cellStyle name="Normal 10 2 10 2 2 3 9" xfId="3276" xr:uid="{00000000-0005-0000-0000-00008D0C0000}"/>
    <cellStyle name="Normal 10 2 10 2 2 4" xfId="3277" xr:uid="{00000000-0005-0000-0000-00008E0C0000}"/>
    <cellStyle name="Normal 10 2 10 2 2 4 10" xfId="3278" xr:uid="{00000000-0005-0000-0000-00008F0C0000}"/>
    <cellStyle name="Normal 10 2 10 2 2 4 2" xfId="3279" xr:uid="{00000000-0005-0000-0000-0000900C0000}"/>
    <cellStyle name="Normal 10 2 10 2 2 4 3" xfId="3280" xr:uid="{00000000-0005-0000-0000-0000910C0000}"/>
    <cellStyle name="Normal 10 2 10 2 2 4 4" xfId="3281" xr:uid="{00000000-0005-0000-0000-0000920C0000}"/>
    <cellStyle name="Normal 10 2 10 2 2 4 5" xfId="3282" xr:uid="{00000000-0005-0000-0000-0000930C0000}"/>
    <cellStyle name="Normal 10 2 10 2 2 4 6" xfId="3283" xr:uid="{00000000-0005-0000-0000-0000940C0000}"/>
    <cellStyle name="Normal 10 2 10 2 2 4 7" xfId="3284" xr:uid="{00000000-0005-0000-0000-0000950C0000}"/>
    <cellStyle name="Normal 10 2 10 2 2 4 8" xfId="3285" xr:uid="{00000000-0005-0000-0000-0000960C0000}"/>
    <cellStyle name="Normal 10 2 10 2 2 4 9" xfId="3286" xr:uid="{00000000-0005-0000-0000-0000970C0000}"/>
    <cellStyle name="Normal 10 2 10 2 2 5" xfId="3287" xr:uid="{00000000-0005-0000-0000-0000980C0000}"/>
    <cellStyle name="Normal 10 2 10 2 2 5 10" xfId="3288" xr:uid="{00000000-0005-0000-0000-0000990C0000}"/>
    <cellStyle name="Normal 10 2 10 2 2 5 2" xfId="3289" xr:uid="{00000000-0005-0000-0000-00009A0C0000}"/>
    <cellStyle name="Normal 10 2 10 2 2 5 3" xfId="3290" xr:uid="{00000000-0005-0000-0000-00009B0C0000}"/>
    <cellStyle name="Normal 10 2 10 2 2 5 4" xfId="3291" xr:uid="{00000000-0005-0000-0000-00009C0C0000}"/>
    <cellStyle name="Normal 10 2 10 2 2 5 5" xfId="3292" xr:uid="{00000000-0005-0000-0000-00009D0C0000}"/>
    <cellStyle name="Normal 10 2 10 2 2 5 6" xfId="3293" xr:uid="{00000000-0005-0000-0000-00009E0C0000}"/>
    <cellStyle name="Normal 10 2 10 2 2 5 7" xfId="3294" xr:uid="{00000000-0005-0000-0000-00009F0C0000}"/>
    <cellStyle name="Normal 10 2 10 2 2 5 8" xfId="3295" xr:uid="{00000000-0005-0000-0000-0000A00C0000}"/>
    <cellStyle name="Normal 10 2 10 2 2 5 9" xfId="3296" xr:uid="{00000000-0005-0000-0000-0000A10C0000}"/>
    <cellStyle name="Normal 10 2 10 2 2 6" xfId="3297" xr:uid="{00000000-0005-0000-0000-0000A20C0000}"/>
    <cellStyle name="Normal 10 2 10 2 2 7" xfId="3298" xr:uid="{00000000-0005-0000-0000-0000A30C0000}"/>
    <cellStyle name="Normal 10 2 10 2 2 8" xfId="3299" xr:uid="{00000000-0005-0000-0000-0000A40C0000}"/>
    <cellStyle name="Normal 10 2 10 2 2 9" xfId="3300" xr:uid="{00000000-0005-0000-0000-0000A50C0000}"/>
    <cellStyle name="Normal 10 2 10 2 20" xfId="3301" xr:uid="{00000000-0005-0000-0000-0000A60C0000}"/>
    <cellStyle name="Normal 10 2 10 2 20 10" xfId="3302" xr:uid="{00000000-0005-0000-0000-0000A70C0000}"/>
    <cellStyle name="Normal 10 2 10 2 20 11" xfId="3303" xr:uid="{00000000-0005-0000-0000-0000A80C0000}"/>
    <cellStyle name="Normal 10 2 10 2 20 12" xfId="3304" xr:uid="{00000000-0005-0000-0000-0000A90C0000}"/>
    <cellStyle name="Normal 10 2 10 2 20 13" xfId="3305" xr:uid="{00000000-0005-0000-0000-0000AA0C0000}"/>
    <cellStyle name="Normal 10 2 10 2 20 14" xfId="3306" xr:uid="{00000000-0005-0000-0000-0000AB0C0000}"/>
    <cellStyle name="Normal 10 2 10 2 20 2" xfId="3307" xr:uid="{00000000-0005-0000-0000-0000AC0C0000}"/>
    <cellStyle name="Normal 10 2 10 2 20 2 10" xfId="3308" xr:uid="{00000000-0005-0000-0000-0000AD0C0000}"/>
    <cellStyle name="Normal 10 2 10 2 20 2 2" xfId="3309" xr:uid="{00000000-0005-0000-0000-0000AE0C0000}"/>
    <cellStyle name="Normal 10 2 10 2 20 2 3" xfId="3310" xr:uid="{00000000-0005-0000-0000-0000AF0C0000}"/>
    <cellStyle name="Normal 10 2 10 2 20 2 4" xfId="3311" xr:uid="{00000000-0005-0000-0000-0000B00C0000}"/>
    <cellStyle name="Normal 10 2 10 2 20 2 5" xfId="3312" xr:uid="{00000000-0005-0000-0000-0000B10C0000}"/>
    <cellStyle name="Normal 10 2 10 2 20 2 6" xfId="3313" xr:uid="{00000000-0005-0000-0000-0000B20C0000}"/>
    <cellStyle name="Normal 10 2 10 2 20 2 7" xfId="3314" xr:uid="{00000000-0005-0000-0000-0000B30C0000}"/>
    <cellStyle name="Normal 10 2 10 2 20 2 8" xfId="3315" xr:uid="{00000000-0005-0000-0000-0000B40C0000}"/>
    <cellStyle name="Normal 10 2 10 2 20 2 9" xfId="3316" xr:uid="{00000000-0005-0000-0000-0000B50C0000}"/>
    <cellStyle name="Normal 10 2 10 2 20 3" xfId="3317" xr:uid="{00000000-0005-0000-0000-0000B60C0000}"/>
    <cellStyle name="Normal 10 2 10 2 20 3 10" xfId="3318" xr:uid="{00000000-0005-0000-0000-0000B70C0000}"/>
    <cellStyle name="Normal 10 2 10 2 20 3 2" xfId="3319" xr:uid="{00000000-0005-0000-0000-0000B80C0000}"/>
    <cellStyle name="Normal 10 2 10 2 20 3 3" xfId="3320" xr:uid="{00000000-0005-0000-0000-0000B90C0000}"/>
    <cellStyle name="Normal 10 2 10 2 20 3 4" xfId="3321" xr:uid="{00000000-0005-0000-0000-0000BA0C0000}"/>
    <cellStyle name="Normal 10 2 10 2 20 3 5" xfId="3322" xr:uid="{00000000-0005-0000-0000-0000BB0C0000}"/>
    <cellStyle name="Normal 10 2 10 2 20 3 6" xfId="3323" xr:uid="{00000000-0005-0000-0000-0000BC0C0000}"/>
    <cellStyle name="Normal 10 2 10 2 20 3 7" xfId="3324" xr:uid="{00000000-0005-0000-0000-0000BD0C0000}"/>
    <cellStyle name="Normal 10 2 10 2 20 3 8" xfId="3325" xr:uid="{00000000-0005-0000-0000-0000BE0C0000}"/>
    <cellStyle name="Normal 10 2 10 2 20 3 9" xfId="3326" xr:uid="{00000000-0005-0000-0000-0000BF0C0000}"/>
    <cellStyle name="Normal 10 2 10 2 20 4" xfId="3327" xr:uid="{00000000-0005-0000-0000-0000C00C0000}"/>
    <cellStyle name="Normal 10 2 10 2 20 4 10" xfId="3328" xr:uid="{00000000-0005-0000-0000-0000C10C0000}"/>
    <cellStyle name="Normal 10 2 10 2 20 4 2" xfId="3329" xr:uid="{00000000-0005-0000-0000-0000C20C0000}"/>
    <cellStyle name="Normal 10 2 10 2 20 4 3" xfId="3330" xr:uid="{00000000-0005-0000-0000-0000C30C0000}"/>
    <cellStyle name="Normal 10 2 10 2 20 4 4" xfId="3331" xr:uid="{00000000-0005-0000-0000-0000C40C0000}"/>
    <cellStyle name="Normal 10 2 10 2 20 4 5" xfId="3332" xr:uid="{00000000-0005-0000-0000-0000C50C0000}"/>
    <cellStyle name="Normal 10 2 10 2 20 4 6" xfId="3333" xr:uid="{00000000-0005-0000-0000-0000C60C0000}"/>
    <cellStyle name="Normal 10 2 10 2 20 4 7" xfId="3334" xr:uid="{00000000-0005-0000-0000-0000C70C0000}"/>
    <cellStyle name="Normal 10 2 10 2 20 4 8" xfId="3335" xr:uid="{00000000-0005-0000-0000-0000C80C0000}"/>
    <cellStyle name="Normal 10 2 10 2 20 4 9" xfId="3336" xr:uid="{00000000-0005-0000-0000-0000C90C0000}"/>
    <cellStyle name="Normal 10 2 10 2 20 5" xfId="3337" xr:uid="{00000000-0005-0000-0000-0000CA0C0000}"/>
    <cellStyle name="Normal 10 2 10 2 20 5 10" xfId="3338" xr:uid="{00000000-0005-0000-0000-0000CB0C0000}"/>
    <cellStyle name="Normal 10 2 10 2 20 5 2" xfId="3339" xr:uid="{00000000-0005-0000-0000-0000CC0C0000}"/>
    <cellStyle name="Normal 10 2 10 2 20 5 3" xfId="3340" xr:uid="{00000000-0005-0000-0000-0000CD0C0000}"/>
    <cellStyle name="Normal 10 2 10 2 20 5 4" xfId="3341" xr:uid="{00000000-0005-0000-0000-0000CE0C0000}"/>
    <cellStyle name="Normal 10 2 10 2 20 5 5" xfId="3342" xr:uid="{00000000-0005-0000-0000-0000CF0C0000}"/>
    <cellStyle name="Normal 10 2 10 2 20 5 6" xfId="3343" xr:uid="{00000000-0005-0000-0000-0000D00C0000}"/>
    <cellStyle name="Normal 10 2 10 2 20 5 7" xfId="3344" xr:uid="{00000000-0005-0000-0000-0000D10C0000}"/>
    <cellStyle name="Normal 10 2 10 2 20 5 8" xfId="3345" xr:uid="{00000000-0005-0000-0000-0000D20C0000}"/>
    <cellStyle name="Normal 10 2 10 2 20 5 9" xfId="3346" xr:uid="{00000000-0005-0000-0000-0000D30C0000}"/>
    <cellStyle name="Normal 10 2 10 2 20 6" xfId="3347" xr:uid="{00000000-0005-0000-0000-0000D40C0000}"/>
    <cellStyle name="Normal 10 2 10 2 20 7" xfId="3348" xr:uid="{00000000-0005-0000-0000-0000D50C0000}"/>
    <cellStyle name="Normal 10 2 10 2 20 8" xfId="3349" xr:uid="{00000000-0005-0000-0000-0000D60C0000}"/>
    <cellStyle name="Normal 10 2 10 2 20 9" xfId="3350" xr:uid="{00000000-0005-0000-0000-0000D70C0000}"/>
    <cellStyle name="Normal 10 2 10 2 21" xfId="3351" xr:uid="{00000000-0005-0000-0000-0000D80C0000}"/>
    <cellStyle name="Normal 10 2 10 2 21 10" xfId="3352" xr:uid="{00000000-0005-0000-0000-0000D90C0000}"/>
    <cellStyle name="Normal 10 2 10 2 21 11" xfId="3353" xr:uid="{00000000-0005-0000-0000-0000DA0C0000}"/>
    <cellStyle name="Normal 10 2 10 2 21 12" xfId="3354" xr:uid="{00000000-0005-0000-0000-0000DB0C0000}"/>
    <cellStyle name="Normal 10 2 10 2 21 13" xfId="3355" xr:uid="{00000000-0005-0000-0000-0000DC0C0000}"/>
    <cellStyle name="Normal 10 2 10 2 21 14" xfId="3356" xr:uid="{00000000-0005-0000-0000-0000DD0C0000}"/>
    <cellStyle name="Normal 10 2 10 2 21 2" xfId="3357" xr:uid="{00000000-0005-0000-0000-0000DE0C0000}"/>
    <cellStyle name="Normal 10 2 10 2 21 2 10" xfId="3358" xr:uid="{00000000-0005-0000-0000-0000DF0C0000}"/>
    <cellStyle name="Normal 10 2 10 2 21 2 2" xfId="3359" xr:uid="{00000000-0005-0000-0000-0000E00C0000}"/>
    <cellStyle name="Normal 10 2 10 2 21 2 3" xfId="3360" xr:uid="{00000000-0005-0000-0000-0000E10C0000}"/>
    <cellStyle name="Normal 10 2 10 2 21 2 4" xfId="3361" xr:uid="{00000000-0005-0000-0000-0000E20C0000}"/>
    <cellStyle name="Normal 10 2 10 2 21 2 5" xfId="3362" xr:uid="{00000000-0005-0000-0000-0000E30C0000}"/>
    <cellStyle name="Normal 10 2 10 2 21 2 6" xfId="3363" xr:uid="{00000000-0005-0000-0000-0000E40C0000}"/>
    <cellStyle name="Normal 10 2 10 2 21 2 7" xfId="3364" xr:uid="{00000000-0005-0000-0000-0000E50C0000}"/>
    <cellStyle name="Normal 10 2 10 2 21 2 8" xfId="3365" xr:uid="{00000000-0005-0000-0000-0000E60C0000}"/>
    <cellStyle name="Normal 10 2 10 2 21 2 9" xfId="3366" xr:uid="{00000000-0005-0000-0000-0000E70C0000}"/>
    <cellStyle name="Normal 10 2 10 2 21 3" xfId="3367" xr:uid="{00000000-0005-0000-0000-0000E80C0000}"/>
    <cellStyle name="Normal 10 2 10 2 21 3 10" xfId="3368" xr:uid="{00000000-0005-0000-0000-0000E90C0000}"/>
    <cellStyle name="Normal 10 2 10 2 21 3 2" xfId="3369" xr:uid="{00000000-0005-0000-0000-0000EA0C0000}"/>
    <cellStyle name="Normal 10 2 10 2 21 3 3" xfId="3370" xr:uid="{00000000-0005-0000-0000-0000EB0C0000}"/>
    <cellStyle name="Normal 10 2 10 2 21 3 4" xfId="3371" xr:uid="{00000000-0005-0000-0000-0000EC0C0000}"/>
    <cellStyle name="Normal 10 2 10 2 21 3 5" xfId="3372" xr:uid="{00000000-0005-0000-0000-0000ED0C0000}"/>
    <cellStyle name="Normal 10 2 10 2 21 3 6" xfId="3373" xr:uid="{00000000-0005-0000-0000-0000EE0C0000}"/>
    <cellStyle name="Normal 10 2 10 2 21 3 7" xfId="3374" xr:uid="{00000000-0005-0000-0000-0000EF0C0000}"/>
    <cellStyle name="Normal 10 2 10 2 21 3 8" xfId="3375" xr:uid="{00000000-0005-0000-0000-0000F00C0000}"/>
    <cellStyle name="Normal 10 2 10 2 21 3 9" xfId="3376" xr:uid="{00000000-0005-0000-0000-0000F10C0000}"/>
    <cellStyle name="Normal 10 2 10 2 21 4" xfId="3377" xr:uid="{00000000-0005-0000-0000-0000F20C0000}"/>
    <cellStyle name="Normal 10 2 10 2 21 4 10" xfId="3378" xr:uid="{00000000-0005-0000-0000-0000F30C0000}"/>
    <cellStyle name="Normal 10 2 10 2 21 4 2" xfId="3379" xr:uid="{00000000-0005-0000-0000-0000F40C0000}"/>
    <cellStyle name="Normal 10 2 10 2 21 4 3" xfId="3380" xr:uid="{00000000-0005-0000-0000-0000F50C0000}"/>
    <cellStyle name="Normal 10 2 10 2 21 4 4" xfId="3381" xr:uid="{00000000-0005-0000-0000-0000F60C0000}"/>
    <cellStyle name="Normal 10 2 10 2 21 4 5" xfId="3382" xr:uid="{00000000-0005-0000-0000-0000F70C0000}"/>
    <cellStyle name="Normal 10 2 10 2 21 4 6" xfId="3383" xr:uid="{00000000-0005-0000-0000-0000F80C0000}"/>
    <cellStyle name="Normal 10 2 10 2 21 4 7" xfId="3384" xr:uid="{00000000-0005-0000-0000-0000F90C0000}"/>
    <cellStyle name="Normal 10 2 10 2 21 4 8" xfId="3385" xr:uid="{00000000-0005-0000-0000-0000FA0C0000}"/>
    <cellStyle name="Normal 10 2 10 2 21 4 9" xfId="3386" xr:uid="{00000000-0005-0000-0000-0000FB0C0000}"/>
    <cellStyle name="Normal 10 2 10 2 21 5" xfId="3387" xr:uid="{00000000-0005-0000-0000-0000FC0C0000}"/>
    <cellStyle name="Normal 10 2 10 2 21 5 10" xfId="3388" xr:uid="{00000000-0005-0000-0000-0000FD0C0000}"/>
    <cellStyle name="Normal 10 2 10 2 21 5 2" xfId="3389" xr:uid="{00000000-0005-0000-0000-0000FE0C0000}"/>
    <cellStyle name="Normal 10 2 10 2 21 5 3" xfId="3390" xr:uid="{00000000-0005-0000-0000-0000FF0C0000}"/>
    <cellStyle name="Normal 10 2 10 2 21 5 4" xfId="3391" xr:uid="{00000000-0005-0000-0000-0000000D0000}"/>
    <cellStyle name="Normal 10 2 10 2 21 5 5" xfId="3392" xr:uid="{00000000-0005-0000-0000-0000010D0000}"/>
    <cellStyle name="Normal 10 2 10 2 21 5 6" xfId="3393" xr:uid="{00000000-0005-0000-0000-0000020D0000}"/>
    <cellStyle name="Normal 10 2 10 2 21 5 7" xfId="3394" xr:uid="{00000000-0005-0000-0000-0000030D0000}"/>
    <cellStyle name="Normal 10 2 10 2 21 5 8" xfId="3395" xr:uid="{00000000-0005-0000-0000-0000040D0000}"/>
    <cellStyle name="Normal 10 2 10 2 21 5 9" xfId="3396" xr:uid="{00000000-0005-0000-0000-0000050D0000}"/>
    <cellStyle name="Normal 10 2 10 2 21 6" xfId="3397" xr:uid="{00000000-0005-0000-0000-0000060D0000}"/>
    <cellStyle name="Normal 10 2 10 2 21 7" xfId="3398" xr:uid="{00000000-0005-0000-0000-0000070D0000}"/>
    <cellStyle name="Normal 10 2 10 2 21 8" xfId="3399" xr:uid="{00000000-0005-0000-0000-0000080D0000}"/>
    <cellStyle name="Normal 10 2 10 2 21 9" xfId="3400" xr:uid="{00000000-0005-0000-0000-0000090D0000}"/>
    <cellStyle name="Normal 10 2 10 2 22" xfId="3401" xr:uid="{00000000-0005-0000-0000-00000A0D0000}"/>
    <cellStyle name="Normal 10 2 10 2 22 10" xfId="3402" xr:uid="{00000000-0005-0000-0000-00000B0D0000}"/>
    <cellStyle name="Normal 10 2 10 2 22 11" xfId="3403" xr:uid="{00000000-0005-0000-0000-00000C0D0000}"/>
    <cellStyle name="Normal 10 2 10 2 22 12" xfId="3404" xr:uid="{00000000-0005-0000-0000-00000D0D0000}"/>
    <cellStyle name="Normal 10 2 10 2 22 13" xfId="3405" xr:uid="{00000000-0005-0000-0000-00000E0D0000}"/>
    <cellStyle name="Normal 10 2 10 2 22 14" xfId="3406" xr:uid="{00000000-0005-0000-0000-00000F0D0000}"/>
    <cellStyle name="Normal 10 2 10 2 22 2" xfId="3407" xr:uid="{00000000-0005-0000-0000-0000100D0000}"/>
    <cellStyle name="Normal 10 2 10 2 22 2 10" xfId="3408" xr:uid="{00000000-0005-0000-0000-0000110D0000}"/>
    <cellStyle name="Normal 10 2 10 2 22 2 2" xfId="3409" xr:uid="{00000000-0005-0000-0000-0000120D0000}"/>
    <cellStyle name="Normal 10 2 10 2 22 2 3" xfId="3410" xr:uid="{00000000-0005-0000-0000-0000130D0000}"/>
    <cellStyle name="Normal 10 2 10 2 22 2 4" xfId="3411" xr:uid="{00000000-0005-0000-0000-0000140D0000}"/>
    <cellStyle name="Normal 10 2 10 2 22 2 5" xfId="3412" xr:uid="{00000000-0005-0000-0000-0000150D0000}"/>
    <cellStyle name="Normal 10 2 10 2 22 2 6" xfId="3413" xr:uid="{00000000-0005-0000-0000-0000160D0000}"/>
    <cellStyle name="Normal 10 2 10 2 22 2 7" xfId="3414" xr:uid="{00000000-0005-0000-0000-0000170D0000}"/>
    <cellStyle name="Normal 10 2 10 2 22 2 8" xfId="3415" xr:uid="{00000000-0005-0000-0000-0000180D0000}"/>
    <cellStyle name="Normal 10 2 10 2 22 2 9" xfId="3416" xr:uid="{00000000-0005-0000-0000-0000190D0000}"/>
    <cellStyle name="Normal 10 2 10 2 22 3" xfId="3417" xr:uid="{00000000-0005-0000-0000-00001A0D0000}"/>
    <cellStyle name="Normal 10 2 10 2 22 3 10" xfId="3418" xr:uid="{00000000-0005-0000-0000-00001B0D0000}"/>
    <cellStyle name="Normal 10 2 10 2 22 3 2" xfId="3419" xr:uid="{00000000-0005-0000-0000-00001C0D0000}"/>
    <cellStyle name="Normal 10 2 10 2 22 3 3" xfId="3420" xr:uid="{00000000-0005-0000-0000-00001D0D0000}"/>
    <cellStyle name="Normal 10 2 10 2 22 3 4" xfId="3421" xr:uid="{00000000-0005-0000-0000-00001E0D0000}"/>
    <cellStyle name="Normal 10 2 10 2 22 3 5" xfId="3422" xr:uid="{00000000-0005-0000-0000-00001F0D0000}"/>
    <cellStyle name="Normal 10 2 10 2 22 3 6" xfId="3423" xr:uid="{00000000-0005-0000-0000-0000200D0000}"/>
    <cellStyle name="Normal 10 2 10 2 22 3 7" xfId="3424" xr:uid="{00000000-0005-0000-0000-0000210D0000}"/>
    <cellStyle name="Normal 10 2 10 2 22 3 8" xfId="3425" xr:uid="{00000000-0005-0000-0000-0000220D0000}"/>
    <cellStyle name="Normal 10 2 10 2 22 3 9" xfId="3426" xr:uid="{00000000-0005-0000-0000-0000230D0000}"/>
    <cellStyle name="Normal 10 2 10 2 22 4" xfId="3427" xr:uid="{00000000-0005-0000-0000-0000240D0000}"/>
    <cellStyle name="Normal 10 2 10 2 22 4 10" xfId="3428" xr:uid="{00000000-0005-0000-0000-0000250D0000}"/>
    <cellStyle name="Normal 10 2 10 2 22 4 2" xfId="3429" xr:uid="{00000000-0005-0000-0000-0000260D0000}"/>
    <cellStyle name="Normal 10 2 10 2 22 4 3" xfId="3430" xr:uid="{00000000-0005-0000-0000-0000270D0000}"/>
    <cellStyle name="Normal 10 2 10 2 22 4 4" xfId="3431" xr:uid="{00000000-0005-0000-0000-0000280D0000}"/>
    <cellStyle name="Normal 10 2 10 2 22 4 5" xfId="3432" xr:uid="{00000000-0005-0000-0000-0000290D0000}"/>
    <cellStyle name="Normal 10 2 10 2 22 4 6" xfId="3433" xr:uid="{00000000-0005-0000-0000-00002A0D0000}"/>
    <cellStyle name="Normal 10 2 10 2 22 4 7" xfId="3434" xr:uid="{00000000-0005-0000-0000-00002B0D0000}"/>
    <cellStyle name="Normal 10 2 10 2 22 4 8" xfId="3435" xr:uid="{00000000-0005-0000-0000-00002C0D0000}"/>
    <cellStyle name="Normal 10 2 10 2 22 4 9" xfId="3436" xr:uid="{00000000-0005-0000-0000-00002D0D0000}"/>
    <cellStyle name="Normal 10 2 10 2 22 5" xfId="3437" xr:uid="{00000000-0005-0000-0000-00002E0D0000}"/>
    <cellStyle name="Normal 10 2 10 2 22 5 10" xfId="3438" xr:uid="{00000000-0005-0000-0000-00002F0D0000}"/>
    <cellStyle name="Normal 10 2 10 2 22 5 2" xfId="3439" xr:uid="{00000000-0005-0000-0000-0000300D0000}"/>
    <cellStyle name="Normal 10 2 10 2 22 5 3" xfId="3440" xr:uid="{00000000-0005-0000-0000-0000310D0000}"/>
    <cellStyle name="Normal 10 2 10 2 22 5 4" xfId="3441" xr:uid="{00000000-0005-0000-0000-0000320D0000}"/>
    <cellStyle name="Normal 10 2 10 2 22 5 5" xfId="3442" xr:uid="{00000000-0005-0000-0000-0000330D0000}"/>
    <cellStyle name="Normal 10 2 10 2 22 5 6" xfId="3443" xr:uid="{00000000-0005-0000-0000-0000340D0000}"/>
    <cellStyle name="Normal 10 2 10 2 22 5 7" xfId="3444" xr:uid="{00000000-0005-0000-0000-0000350D0000}"/>
    <cellStyle name="Normal 10 2 10 2 22 5 8" xfId="3445" xr:uid="{00000000-0005-0000-0000-0000360D0000}"/>
    <cellStyle name="Normal 10 2 10 2 22 5 9" xfId="3446" xr:uid="{00000000-0005-0000-0000-0000370D0000}"/>
    <cellStyle name="Normal 10 2 10 2 22 6" xfId="3447" xr:uid="{00000000-0005-0000-0000-0000380D0000}"/>
    <cellStyle name="Normal 10 2 10 2 22 7" xfId="3448" xr:uid="{00000000-0005-0000-0000-0000390D0000}"/>
    <cellStyle name="Normal 10 2 10 2 22 8" xfId="3449" xr:uid="{00000000-0005-0000-0000-00003A0D0000}"/>
    <cellStyle name="Normal 10 2 10 2 22 9" xfId="3450" xr:uid="{00000000-0005-0000-0000-00003B0D0000}"/>
    <cellStyle name="Normal 10 2 10 2 23" xfId="3451" xr:uid="{00000000-0005-0000-0000-00003C0D0000}"/>
    <cellStyle name="Normal 10 2 10 2 23 10" xfId="3452" xr:uid="{00000000-0005-0000-0000-00003D0D0000}"/>
    <cellStyle name="Normal 10 2 10 2 23 11" xfId="3453" xr:uid="{00000000-0005-0000-0000-00003E0D0000}"/>
    <cellStyle name="Normal 10 2 10 2 23 12" xfId="3454" xr:uid="{00000000-0005-0000-0000-00003F0D0000}"/>
    <cellStyle name="Normal 10 2 10 2 23 13" xfId="3455" xr:uid="{00000000-0005-0000-0000-0000400D0000}"/>
    <cellStyle name="Normal 10 2 10 2 23 14" xfId="3456" xr:uid="{00000000-0005-0000-0000-0000410D0000}"/>
    <cellStyle name="Normal 10 2 10 2 23 2" xfId="3457" xr:uid="{00000000-0005-0000-0000-0000420D0000}"/>
    <cellStyle name="Normal 10 2 10 2 23 2 10" xfId="3458" xr:uid="{00000000-0005-0000-0000-0000430D0000}"/>
    <cellStyle name="Normal 10 2 10 2 23 2 2" xfId="3459" xr:uid="{00000000-0005-0000-0000-0000440D0000}"/>
    <cellStyle name="Normal 10 2 10 2 23 2 3" xfId="3460" xr:uid="{00000000-0005-0000-0000-0000450D0000}"/>
    <cellStyle name="Normal 10 2 10 2 23 2 4" xfId="3461" xr:uid="{00000000-0005-0000-0000-0000460D0000}"/>
    <cellStyle name="Normal 10 2 10 2 23 2 5" xfId="3462" xr:uid="{00000000-0005-0000-0000-0000470D0000}"/>
    <cellStyle name="Normal 10 2 10 2 23 2 6" xfId="3463" xr:uid="{00000000-0005-0000-0000-0000480D0000}"/>
    <cellStyle name="Normal 10 2 10 2 23 2 7" xfId="3464" xr:uid="{00000000-0005-0000-0000-0000490D0000}"/>
    <cellStyle name="Normal 10 2 10 2 23 2 8" xfId="3465" xr:uid="{00000000-0005-0000-0000-00004A0D0000}"/>
    <cellStyle name="Normal 10 2 10 2 23 2 9" xfId="3466" xr:uid="{00000000-0005-0000-0000-00004B0D0000}"/>
    <cellStyle name="Normal 10 2 10 2 23 3" xfId="3467" xr:uid="{00000000-0005-0000-0000-00004C0D0000}"/>
    <cellStyle name="Normal 10 2 10 2 23 3 10" xfId="3468" xr:uid="{00000000-0005-0000-0000-00004D0D0000}"/>
    <cellStyle name="Normal 10 2 10 2 23 3 2" xfId="3469" xr:uid="{00000000-0005-0000-0000-00004E0D0000}"/>
    <cellStyle name="Normal 10 2 10 2 23 3 3" xfId="3470" xr:uid="{00000000-0005-0000-0000-00004F0D0000}"/>
    <cellStyle name="Normal 10 2 10 2 23 3 4" xfId="3471" xr:uid="{00000000-0005-0000-0000-0000500D0000}"/>
    <cellStyle name="Normal 10 2 10 2 23 3 5" xfId="3472" xr:uid="{00000000-0005-0000-0000-0000510D0000}"/>
    <cellStyle name="Normal 10 2 10 2 23 3 6" xfId="3473" xr:uid="{00000000-0005-0000-0000-0000520D0000}"/>
    <cellStyle name="Normal 10 2 10 2 23 3 7" xfId="3474" xr:uid="{00000000-0005-0000-0000-0000530D0000}"/>
    <cellStyle name="Normal 10 2 10 2 23 3 8" xfId="3475" xr:uid="{00000000-0005-0000-0000-0000540D0000}"/>
    <cellStyle name="Normal 10 2 10 2 23 3 9" xfId="3476" xr:uid="{00000000-0005-0000-0000-0000550D0000}"/>
    <cellStyle name="Normal 10 2 10 2 23 4" xfId="3477" xr:uid="{00000000-0005-0000-0000-0000560D0000}"/>
    <cellStyle name="Normal 10 2 10 2 23 4 10" xfId="3478" xr:uid="{00000000-0005-0000-0000-0000570D0000}"/>
    <cellStyle name="Normal 10 2 10 2 23 4 2" xfId="3479" xr:uid="{00000000-0005-0000-0000-0000580D0000}"/>
    <cellStyle name="Normal 10 2 10 2 23 4 3" xfId="3480" xr:uid="{00000000-0005-0000-0000-0000590D0000}"/>
    <cellStyle name="Normal 10 2 10 2 23 4 4" xfId="3481" xr:uid="{00000000-0005-0000-0000-00005A0D0000}"/>
    <cellStyle name="Normal 10 2 10 2 23 4 5" xfId="3482" xr:uid="{00000000-0005-0000-0000-00005B0D0000}"/>
    <cellStyle name="Normal 10 2 10 2 23 4 6" xfId="3483" xr:uid="{00000000-0005-0000-0000-00005C0D0000}"/>
    <cellStyle name="Normal 10 2 10 2 23 4 7" xfId="3484" xr:uid="{00000000-0005-0000-0000-00005D0D0000}"/>
    <cellStyle name="Normal 10 2 10 2 23 4 8" xfId="3485" xr:uid="{00000000-0005-0000-0000-00005E0D0000}"/>
    <cellStyle name="Normal 10 2 10 2 23 4 9" xfId="3486" xr:uid="{00000000-0005-0000-0000-00005F0D0000}"/>
    <cellStyle name="Normal 10 2 10 2 23 5" xfId="3487" xr:uid="{00000000-0005-0000-0000-0000600D0000}"/>
    <cellStyle name="Normal 10 2 10 2 23 5 10" xfId="3488" xr:uid="{00000000-0005-0000-0000-0000610D0000}"/>
    <cellStyle name="Normal 10 2 10 2 23 5 2" xfId="3489" xr:uid="{00000000-0005-0000-0000-0000620D0000}"/>
    <cellStyle name="Normal 10 2 10 2 23 5 3" xfId="3490" xr:uid="{00000000-0005-0000-0000-0000630D0000}"/>
    <cellStyle name="Normal 10 2 10 2 23 5 4" xfId="3491" xr:uid="{00000000-0005-0000-0000-0000640D0000}"/>
    <cellStyle name="Normal 10 2 10 2 23 5 5" xfId="3492" xr:uid="{00000000-0005-0000-0000-0000650D0000}"/>
    <cellStyle name="Normal 10 2 10 2 23 5 6" xfId="3493" xr:uid="{00000000-0005-0000-0000-0000660D0000}"/>
    <cellStyle name="Normal 10 2 10 2 23 5 7" xfId="3494" xr:uid="{00000000-0005-0000-0000-0000670D0000}"/>
    <cellStyle name="Normal 10 2 10 2 23 5 8" xfId="3495" xr:uid="{00000000-0005-0000-0000-0000680D0000}"/>
    <cellStyle name="Normal 10 2 10 2 23 5 9" xfId="3496" xr:uid="{00000000-0005-0000-0000-0000690D0000}"/>
    <cellStyle name="Normal 10 2 10 2 23 6" xfId="3497" xr:uid="{00000000-0005-0000-0000-00006A0D0000}"/>
    <cellStyle name="Normal 10 2 10 2 23 7" xfId="3498" xr:uid="{00000000-0005-0000-0000-00006B0D0000}"/>
    <cellStyle name="Normal 10 2 10 2 23 8" xfId="3499" xr:uid="{00000000-0005-0000-0000-00006C0D0000}"/>
    <cellStyle name="Normal 10 2 10 2 23 9" xfId="3500" xr:uid="{00000000-0005-0000-0000-00006D0D0000}"/>
    <cellStyle name="Normal 10 2 10 2 24" xfId="3501" xr:uid="{00000000-0005-0000-0000-00006E0D0000}"/>
    <cellStyle name="Normal 10 2 10 2 24 10" xfId="3502" xr:uid="{00000000-0005-0000-0000-00006F0D0000}"/>
    <cellStyle name="Normal 10 2 10 2 24 11" xfId="3503" xr:uid="{00000000-0005-0000-0000-0000700D0000}"/>
    <cellStyle name="Normal 10 2 10 2 24 12" xfId="3504" xr:uid="{00000000-0005-0000-0000-0000710D0000}"/>
    <cellStyle name="Normal 10 2 10 2 24 13" xfId="3505" xr:uid="{00000000-0005-0000-0000-0000720D0000}"/>
    <cellStyle name="Normal 10 2 10 2 24 14" xfId="3506" xr:uid="{00000000-0005-0000-0000-0000730D0000}"/>
    <cellStyle name="Normal 10 2 10 2 24 2" xfId="3507" xr:uid="{00000000-0005-0000-0000-0000740D0000}"/>
    <cellStyle name="Normal 10 2 10 2 24 2 10" xfId="3508" xr:uid="{00000000-0005-0000-0000-0000750D0000}"/>
    <cellStyle name="Normal 10 2 10 2 24 2 2" xfId="3509" xr:uid="{00000000-0005-0000-0000-0000760D0000}"/>
    <cellStyle name="Normal 10 2 10 2 24 2 3" xfId="3510" xr:uid="{00000000-0005-0000-0000-0000770D0000}"/>
    <cellStyle name="Normal 10 2 10 2 24 2 4" xfId="3511" xr:uid="{00000000-0005-0000-0000-0000780D0000}"/>
    <cellStyle name="Normal 10 2 10 2 24 2 5" xfId="3512" xr:uid="{00000000-0005-0000-0000-0000790D0000}"/>
    <cellStyle name="Normal 10 2 10 2 24 2 6" xfId="3513" xr:uid="{00000000-0005-0000-0000-00007A0D0000}"/>
    <cellStyle name="Normal 10 2 10 2 24 2 7" xfId="3514" xr:uid="{00000000-0005-0000-0000-00007B0D0000}"/>
    <cellStyle name="Normal 10 2 10 2 24 2 8" xfId="3515" xr:uid="{00000000-0005-0000-0000-00007C0D0000}"/>
    <cellStyle name="Normal 10 2 10 2 24 2 9" xfId="3516" xr:uid="{00000000-0005-0000-0000-00007D0D0000}"/>
    <cellStyle name="Normal 10 2 10 2 24 3" xfId="3517" xr:uid="{00000000-0005-0000-0000-00007E0D0000}"/>
    <cellStyle name="Normal 10 2 10 2 24 3 10" xfId="3518" xr:uid="{00000000-0005-0000-0000-00007F0D0000}"/>
    <cellStyle name="Normal 10 2 10 2 24 3 2" xfId="3519" xr:uid="{00000000-0005-0000-0000-0000800D0000}"/>
    <cellStyle name="Normal 10 2 10 2 24 3 3" xfId="3520" xr:uid="{00000000-0005-0000-0000-0000810D0000}"/>
    <cellStyle name="Normal 10 2 10 2 24 3 4" xfId="3521" xr:uid="{00000000-0005-0000-0000-0000820D0000}"/>
    <cellStyle name="Normal 10 2 10 2 24 3 5" xfId="3522" xr:uid="{00000000-0005-0000-0000-0000830D0000}"/>
    <cellStyle name="Normal 10 2 10 2 24 3 6" xfId="3523" xr:uid="{00000000-0005-0000-0000-0000840D0000}"/>
    <cellStyle name="Normal 10 2 10 2 24 3 7" xfId="3524" xr:uid="{00000000-0005-0000-0000-0000850D0000}"/>
    <cellStyle name="Normal 10 2 10 2 24 3 8" xfId="3525" xr:uid="{00000000-0005-0000-0000-0000860D0000}"/>
    <cellStyle name="Normal 10 2 10 2 24 3 9" xfId="3526" xr:uid="{00000000-0005-0000-0000-0000870D0000}"/>
    <cellStyle name="Normal 10 2 10 2 24 4" xfId="3527" xr:uid="{00000000-0005-0000-0000-0000880D0000}"/>
    <cellStyle name="Normal 10 2 10 2 24 4 10" xfId="3528" xr:uid="{00000000-0005-0000-0000-0000890D0000}"/>
    <cellStyle name="Normal 10 2 10 2 24 4 2" xfId="3529" xr:uid="{00000000-0005-0000-0000-00008A0D0000}"/>
    <cellStyle name="Normal 10 2 10 2 24 4 3" xfId="3530" xr:uid="{00000000-0005-0000-0000-00008B0D0000}"/>
    <cellStyle name="Normal 10 2 10 2 24 4 4" xfId="3531" xr:uid="{00000000-0005-0000-0000-00008C0D0000}"/>
    <cellStyle name="Normal 10 2 10 2 24 4 5" xfId="3532" xr:uid="{00000000-0005-0000-0000-00008D0D0000}"/>
    <cellStyle name="Normal 10 2 10 2 24 4 6" xfId="3533" xr:uid="{00000000-0005-0000-0000-00008E0D0000}"/>
    <cellStyle name="Normal 10 2 10 2 24 4 7" xfId="3534" xr:uid="{00000000-0005-0000-0000-00008F0D0000}"/>
    <cellStyle name="Normal 10 2 10 2 24 4 8" xfId="3535" xr:uid="{00000000-0005-0000-0000-0000900D0000}"/>
    <cellStyle name="Normal 10 2 10 2 24 4 9" xfId="3536" xr:uid="{00000000-0005-0000-0000-0000910D0000}"/>
    <cellStyle name="Normal 10 2 10 2 24 5" xfId="3537" xr:uid="{00000000-0005-0000-0000-0000920D0000}"/>
    <cellStyle name="Normal 10 2 10 2 24 5 10" xfId="3538" xr:uid="{00000000-0005-0000-0000-0000930D0000}"/>
    <cellStyle name="Normal 10 2 10 2 24 5 2" xfId="3539" xr:uid="{00000000-0005-0000-0000-0000940D0000}"/>
    <cellStyle name="Normal 10 2 10 2 24 5 3" xfId="3540" xr:uid="{00000000-0005-0000-0000-0000950D0000}"/>
    <cellStyle name="Normal 10 2 10 2 24 5 4" xfId="3541" xr:uid="{00000000-0005-0000-0000-0000960D0000}"/>
    <cellStyle name="Normal 10 2 10 2 24 5 5" xfId="3542" xr:uid="{00000000-0005-0000-0000-0000970D0000}"/>
    <cellStyle name="Normal 10 2 10 2 24 5 6" xfId="3543" xr:uid="{00000000-0005-0000-0000-0000980D0000}"/>
    <cellStyle name="Normal 10 2 10 2 24 5 7" xfId="3544" xr:uid="{00000000-0005-0000-0000-0000990D0000}"/>
    <cellStyle name="Normal 10 2 10 2 24 5 8" xfId="3545" xr:uid="{00000000-0005-0000-0000-00009A0D0000}"/>
    <cellStyle name="Normal 10 2 10 2 24 5 9" xfId="3546" xr:uid="{00000000-0005-0000-0000-00009B0D0000}"/>
    <cellStyle name="Normal 10 2 10 2 24 6" xfId="3547" xr:uid="{00000000-0005-0000-0000-00009C0D0000}"/>
    <cellStyle name="Normal 10 2 10 2 24 7" xfId="3548" xr:uid="{00000000-0005-0000-0000-00009D0D0000}"/>
    <cellStyle name="Normal 10 2 10 2 24 8" xfId="3549" xr:uid="{00000000-0005-0000-0000-00009E0D0000}"/>
    <cellStyle name="Normal 10 2 10 2 24 9" xfId="3550" xr:uid="{00000000-0005-0000-0000-00009F0D0000}"/>
    <cellStyle name="Normal 10 2 10 2 25" xfId="3551" xr:uid="{00000000-0005-0000-0000-0000A00D0000}"/>
    <cellStyle name="Normal 10 2 10 2 25 10" xfId="3552" xr:uid="{00000000-0005-0000-0000-0000A10D0000}"/>
    <cellStyle name="Normal 10 2 10 2 25 11" xfId="3553" xr:uid="{00000000-0005-0000-0000-0000A20D0000}"/>
    <cellStyle name="Normal 10 2 10 2 25 12" xfId="3554" xr:uid="{00000000-0005-0000-0000-0000A30D0000}"/>
    <cellStyle name="Normal 10 2 10 2 25 13" xfId="3555" xr:uid="{00000000-0005-0000-0000-0000A40D0000}"/>
    <cellStyle name="Normal 10 2 10 2 25 14" xfId="3556" xr:uid="{00000000-0005-0000-0000-0000A50D0000}"/>
    <cellStyle name="Normal 10 2 10 2 25 2" xfId="3557" xr:uid="{00000000-0005-0000-0000-0000A60D0000}"/>
    <cellStyle name="Normal 10 2 10 2 25 2 10" xfId="3558" xr:uid="{00000000-0005-0000-0000-0000A70D0000}"/>
    <cellStyle name="Normal 10 2 10 2 25 2 2" xfId="3559" xr:uid="{00000000-0005-0000-0000-0000A80D0000}"/>
    <cellStyle name="Normal 10 2 10 2 25 2 3" xfId="3560" xr:uid="{00000000-0005-0000-0000-0000A90D0000}"/>
    <cellStyle name="Normal 10 2 10 2 25 2 4" xfId="3561" xr:uid="{00000000-0005-0000-0000-0000AA0D0000}"/>
    <cellStyle name="Normal 10 2 10 2 25 2 5" xfId="3562" xr:uid="{00000000-0005-0000-0000-0000AB0D0000}"/>
    <cellStyle name="Normal 10 2 10 2 25 2 6" xfId="3563" xr:uid="{00000000-0005-0000-0000-0000AC0D0000}"/>
    <cellStyle name="Normal 10 2 10 2 25 2 7" xfId="3564" xr:uid="{00000000-0005-0000-0000-0000AD0D0000}"/>
    <cellStyle name="Normal 10 2 10 2 25 2 8" xfId="3565" xr:uid="{00000000-0005-0000-0000-0000AE0D0000}"/>
    <cellStyle name="Normal 10 2 10 2 25 2 9" xfId="3566" xr:uid="{00000000-0005-0000-0000-0000AF0D0000}"/>
    <cellStyle name="Normal 10 2 10 2 25 3" xfId="3567" xr:uid="{00000000-0005-0000-0000-0000B00D0000}"/>
    <cellStyle name="Normal 10 2 10 2 25 3 10" xfId="3568" xr:uid="{00000000-0005-0000-0000-0000B10D0000}"/>
    <cellStyle name="Normal 10 2 10 2 25 3 2" xfId="3569" xr:uid="{00000000-0005-0000-0000-0000B20D0000}"/>
    <cellStyle name="Normal 10 2 10 2 25 3 3" xfId="3570" xr:uid="{00000000-0005-0000-0000-0000B30D0000}"/>
    <cellStyle name="Normal 10 2 10 2 25 3 4" xfId="3571" xr:uid="{00000000-0005-0000-0000-0000B40D0000}"/>
    <cellStyle name="Normal 10 2 10 2 25 3 5" xfId="3572" xr:uid="{00000000-0005-0000-0000-0000B50D0000}"/>
    <cellStyle name="Normal 10 2 10 2 25 3 6" xfId="3573" xr:uid="{00000000-0005-0000-0000-0000B60D0000}"/>
    <cellStyle name="Normal 10 2 10 2 25 3 7" xfId="3574" xr:uid="{00000000-0005-0000-0000-0000B70D0000}"/>
    <cellStyle name="Normal 10 2 10 2 25 3 8" xfId="3575" xr:uid="{00000000-0005-0000-0000-0000B80D0000}"/>
    <cellStyle name="Normal 10 2 10 2 25 3 9" xfId="3576" xr:uid="{00000000-0005-0000-0000-0000B90D0000}"/>
    <cellStyle name="Normal 10 2 10 2 25 4" xfId="3577" xr:uid="{00000000-0005-0000-0000-0000BA0D0000}"/>
    <cellStyle name="Normal 10 2 10 2 25 4 10" xfId="3578" xr:uid="{00000000-0005-0000-0000-0000BB0D0000}"/>
    <cellStyle name="Normal 10 2 10 2 25 4 2" xfId="3579" xr:uid="{00000000-0005-0000-0000-0000BC0D0000}"/>
    <cellStyle name="Normal 10 2 10 2 25 4 3" xfId="3580" xr:uid="{00000000-0005-0000-0000-0000BD0D0000}"/>
    <cellStyle name="Normal 10 2 10 2 25 4 4" xfId="3581" xr:uid="{00000000-0005-0000-0000-0000BE0D0000}"/>
    <cellStyle name="Normal 10 2 10 2 25 4 5" xfId="3582" xr:uid="{00000000-0005-0000-0000-0000BF0D0000}"/>
    <cellStyle name="Normal 10 2 10 2 25 4 6" xfId="3583" xr:uid="{00000000-0005-0000-0000-0000C00D0000}"/>
    <cellStyle name="Normal 10 2 10 2 25 4 7" xfId="3584" xr:uid="{00000000-0005-0000-0000-0000C10D0000}"/>
    <cellStyle name="Normal 10 2 10 2 25 4 8" xfId="3585" xr:uid="{00000000-0005-0000-0000-0000C20D0000}"/>
    <cellStyle name="Normal 10 2 10 2 25 4 9" xfId="3586" xr:uid="{00000000-0005-0000-0000-0000C30D0000}"/>
    <cellStyle name="Normal 10 2 10 2 25 5" xfId="3587" xr:uid="{00000000-0005-0000-0000-0000C40D0000}"/>
    <cellStyle name="Normal 10 2 10 2 25 5 10" xfId="3588" xr:uid="{00000000-0005-0000-0000-0000C50D0000}"/>
    <cellStyle name="Normal 10 2 10 2 25 5 2" xfId="3589" xr:uid="{00000000-0005-0000-0000-0000C60D0000}"/>
    <cellStyle name="Normal 10 2 10 2 25 5 3" xfId="3590" xr:uid="{00000000-0005-0000-0000-0000C70D0000}"/>
    <cellStyle name="Normal 10 2 10 2 25 5 4" xfId="3591" xr:uid="{00000000-0005-0000-0000-0000C80D0000}"/>
    <cellStyle name="Normal 10 2 10 2 25 5 5" xfId="3592" xr:uid="{00000000-0005-0000-0000-0000C90D0000}"/>
    <cellStyle name="Normal 10 2 10 2 25 5 6" xfId="3593" xr:uid="{00000000-0005-0000-0000-0000CA0D0000}"/>
    <cellStyle name="Normal 10 2 10 2 25 5 7" xfId="3594" xr:uid="{00000000-0005-0000-0000-0000CB0D0000}"/>
    <cellStyle name="Normal 10 2 10 2 25 5 8" xfId="3595" xr:uid="{00000000-0005-0000-0000-0000CC0D0000}"/>
    <cellStyle name="Normal 10 2 10 2 25 5 9" xfId="3596" xr:uid="{00000000-0005-0000-0000-0000CD0D0000}"/>
    <cellStyle name="Normal 10 2 10 2 25 6" xfId="3597" xr:uid="{00000000-0005-0000-0000-0000CE0D0000}"/>
    <cellStyle name="Normal 10 2 10 2 25 7" xfId="3598" xr:uid="{00000000-0005-0000-0000-0000CF0D0000}"/>
    <cellStyle name="Normal 10 2 10 2 25 8" xfId="3599" xr:uid="{00000000-0005-0000-0000-0000D00D0000}"/>
    <cellStyle name="Normal 10 2 10 2 25 9" xfId="3600" xr:uid="{00000000-0005-0000-0000-0000D10D0000}"/>
    <cellStyle name="Normal 10 2 10 2 26" xfId="3601" xr:uid="{00000000-0005-0000-0000-0000D20D0000}"/>
    <cellStyle name="Normal 10 2 10 2 26 10" xfId="3602" xr:uid="{00000000-0005-0000-0000-0000D30D0000}"/>
    <cellStyle name="Normal 10 2 10 2 26 11" xfId="3603" xr:uid="{00000000-0005-0000-0000-0000D40D0000}"/>
    <cellStyle name="Normal 10 2 10 2 26 12" xfId="3604" xr:uid="{00000000-0005-0000-0000-0000D50D0000}"/>
    <cellStyle name="Normal 10 2 10 2 26 13" xfId="3605" xr:uid="{00000000-0005-0000-0000-0000D60D0000}"/>
    <cellStyle name="Normal 10 2 10 2 26 14" xfId="3606" xr:uid="{00000000-0005-0000-0000-0000D70D0000}"/>
    <cellStyle name="Normal 10 2 10 2 26 2" xfId="3607" xr:uid="{00000000-0005-0000-0000-0000D80D0000}"/>
    <cellStyle name="Normal 10 2 10 2 26 2 10" xfId="3608" xr:uid="{00000000-0005-0000-0000-0000D90D0000}"/>
    <cellStyle name="Normal 10 2 10 2 26 2 2" xfId="3609" xr:uid="{00000000-0005-0000-0000-0000DA0D0000}"/>
    <cellStyle name="Normal 10 2 10 2 26 2 3" xfId="3610" xr:uid="{00000000-0005-0000-0000-0000DB0D0000}"/>
    <cellStyle name="Normal 10 2 10 2 26 2 4" xfId="3611" xr:uid="{00000000-0005-0000-0000-0000DC0D0000}"/>
    <cellStyle name="Normal 10 2 10 2 26 2 5" xfId="3612" xr:uid="{00000000-0005-0000-0000-0000DD0D0000}"/>
    <cellStyle name="Normal 10 2 10 2 26 2 6" xfId="3613" xr:uid="{00000000-0005-0000-0000-0000DE0D0000}"/>
    <cellStyle name="Normal 10 2 10 2 26 2 7" xfId="3614" xr:uid="{00000000-0005-0000-0000-0000DF0D0000}"/>
    <cellStyle name="Normal 10 2 10 2 26 2 8" xfId="3615" xr:uid="{00000000-0005-0000-0000-0000E00D0000}"/>
    <cellStyle name="Normal 10 2 10 2 26 2 9" xfId="3616" xr:uid="{00000000-0005-0000-0000-0000E10D0000}"/>
    <cellStyle name="Normal 10 2 10 2 26 3" xfId="3617" xr:uid="{00000000-0005-0000-0000-0000E20D0000}"/>
    <cellStyle name="Normal 10 2 10 2 26 3 10" xfId="3618" xr:uid="{00000000-0005-0000-0000-0000E30D0000}"/>
    <cellStyle name="Normal 10 2 10 2 26 3 2" xfId="3619" xr:uid="{00000000-0005-0000-0000-0000E40D0000}"/>
    <cellStyle name="Normal 10 2 10 2 26 3 3" xfId="3620" xr:uid="{00000000-0005-0000-0000-0000E50D0000}"/>
    <cellStyle name="Normal 10 2 10 2 26 3 4" xfId="3621" xr:uid="{00000000-0005-0000-0000-0000E60D0000}"/>
    <cellStyle name="Normal 10 2 10 2 26 3 5" xfId="3622" xr:uid="{00000000-0005-0000-0000-0000E70D0000}"/>
    <cellStyle name="Normal 10 2 10 2 26 3 6" xfId="3623" xr:uid="{00000000-0005-0000-0000-0000E80D0000}"/>
    <cellStyle name="Normal 10 2 10 2 26 3 7" xfId="3624" xr:uid="{00000000-0005-0000-0000-0000E90D0000}"/>
    <cellStyle name="Normal 10 2 10 2 26 3 8" xfId="3625" xr:uid="{00000000-0005-0000-0000-0000EA0D0000}"/>
    <cellStyle name="Normal 10 2 10 2 26 3 9" xfId="3626" xr:uid="{00000000-0005-0000-0000-0000EB0D0000}"/>
    <cellStyle name="Normal 10 2 10 2 26 4" xfId="3627" xr:uid="{00000000-0005-0000-0000-0000EC0D0000}"/>
    <cellStyle name="Normal 10 2 10 2 26 4 10" xfId="3628" xr:uid="{00000000-0005-0000-0000-0000ED0D0000}"/>
    <cellStyle name="Normal 10 2 10 2 26 4 2" xfId="3629" xr:uid="{00000000-0005-0000-0000-0000EE0D0000}"/>
    <cellStyle name="Normal 10 2 10 2 26 4 3" xfId="3630" xr:uid="{00000000-0005-0000-0000-0000EF0D0000}"/>
    <cellStyle name="Normal 10 2 10 2 26 4 4" xfId="3631" xr:uid="{00000000-0005-0000-0000-0000F00D0000}"/>
    <cellStyle name="Normal 10 2 10 2 26 4 5" xfId="3632" xr:uid="{00000000-0005-0000-0000-0000F10D0000}"/>
    <cellStyle name="Normal 10 2 10 2 26 4 6" xfId="3633" xr:uid="{00000000-0005-0000-0000-0000F20D0000}"/>
    <cellStyle name="Normal 10 2 10 2 26 4 7" xfId="3634" xr:uid="{00000000-0005-0000-0000-0000F30D0000}"/>
    <cellStyle name="Normal 10 2 10 2 26 4 8" xfId="3635" xr:uid="{00000000-0005-0000-0000-0000F40D0000}"/>
    <cellStyle name="Normal 10 2 10 2 26 4 9" xfId="3636" xr:uid="{00000000-0005-0000-0000-0000F50D0000}"/>
    <cellStyle name="Normal 10 2 10 2 26 5" xfId="3637" xr:uid="{00000000-0005-0000-0000-0000F60D0000}"/>
    <cellStyle name="Normal 10 2 10 2 26 5 10" xfId="3638" xr:uid="{00000000-0005-0000-0000-0000F70D0000}"/>
    <cellStyle name="Normal 10 2 10 2 26 5 2" xfId="3639" xr:uid="{00000000-0005-0000-0000-0000F80D0000}"/>
    <cellStyle name="Normal 10 2 10 2 26 5 3" xfId="3640" xr:uid="{00000000-0005-0000-0000-0000F90D0000}"/>
    <cellStyle name="Normal 10 2 10 2 26 5 4" xfId="3641" xr:uid="{00000000-0005-0000-0000-0000FA0D0000}"/>
    <cellStyle name="Normal 10 2 10 2 26 5 5" xfId="3642" xr:uid="{00000000-0005-0000-0000-0000FB0D0000}"/>
    <cellStyle name="Normal 10 2 10 2 26 5 6" xfId="3643" xr:uid="{00000000-0005-0000-0000-0000FC0D0000}"/>
    <cellStyle name="Normal 10 2 10 2 26 5 7" xfId="3644" xr:uid="{00000000-0005-0000-0000-0000FD0D0000}"/>
    <cellStyle name="Normal 10 2 10 2 26 5 8" xfId="3645" xr:uid="{00000000-0005-0000-0000-0000FE0D0000}"/>
    <cellStyle name="Normal 10 2 10 2 26 5 9" xfId="3646" xr:uid="{00000000-0005-0000-0000-0000FF0D0000}"/>
    <cellStyle name="Normal 10 2 10 2 26 6" xfId="3647" xr:uid="{00000000-0005-0000-0000-0000000E0000}"/>
    <cellStyle name="Normal 10 2 10 2 26 7" xfId="3648" xr:uid="{00000000-0005-0000-0000-0000010E0000}"/>
    <cellStyle name="Normal 10 2 10 2 26 8" xfId="3649" xr:uid="{00000000-0005-0000-0000-0000020E0000}"/>
    <cellStyle name="Normal 10 2 10 2 26 9" xfId="3650" xr:uid="{00000000-0005-0000-0000-0000030E0000}"/>
    <cellStyle name="Normal 10 2 10 2 27" xfId="3651" xr:uid="{00000000-0005-0000-0000-0000040E0000}"/>
    <cellStyle name="Normal 10 2 10 2 27 10" xfId="3652" xr:uid="{00000000-0005-0000-0000-0000050E0000}"/>
    <cellStyle name="Normal 10 2 10 2 27 11" xfId="3653" xr:uid="{00000000-0005-0000-0000-0000060E0000}"/>
    <cellStyle name="Normal 10 2 10 2 27 12" xfId="3654" xr:uid="{00000000-0005-0000-0000-0000070E0000}"/>
    <cellStyle name="Normal 10 2 10 2 27 13" xfId="3655" xr:uid="{00000000-0005-0000-0000-0000080E0000}"/>
    <cellStyle name="Normal 10 2 10 2 27 14" xfId="3656" xr:uid="{00000000-0005-0000-0000-0000090E0000}"/>
    <cellStyle name="Normal 10 2 10 2 27 2" xfId="3657" xr:uid="{00000000-0005-0000-0000-00000A0E0000}"/>
    <cellStyle name="Normal 10 2 10 2 27 2 10" xfId="3658" xr:uid="{00000000-0005-0000-0000-00000B0E0000}"/>
    <cellStyle name="Normal 10 2 10 2 27 2 2" xfId="3659" xr:uid="{00000000-0005-0000-0000-00000C0E0000}"/>
    <cellStyle name="Normal 10 2 10 2 27 2 3" xfId="3660" xr:uid="{00000000-0005-0000-0000-00000D0E0000}"/>
    <cellStyle name="Normal 10 2 10 2 27 2 4" xfId="3661" xr:uid="{00000000-0005-0000-0000-00000E0E0000}"/>
    <cellStyle name="Normal 10 2 10 2 27 2 5" xfId="3662" xr:uid="{00000000-0005-0000-0000-00000F0E0000}"/>
    <cellStyle name="Normal 10 2 10 2 27 2 6" xfId="3663" xr:uid="{00000000-0005-0000-0000-0000100E0000}"/>
    <cellStyle name="Normal 10 2 10 2 27 2 7" xfId="3664" xr:uid="{00000000-0005-0000-0000-0000110E0000}"/>
    <cellStyle name="Normal 10 2 10 2 27 2 8" xfId="3665" xr:uid="{00000000-0005-0000-0000-0000120E0000}"/>
    <cellStyle name="Normal 10 2 10 2 27 2 9" xfId="3666" xr:uid="{00000000-0005-0000-0000-0000130E0000}"/>
    <cellStyle name="Normal 10 2 10 2 27 3" xfId="3667" xr:uid="{00000000-0005-0000-0000-0000140E0000}"/>
    <cellStyle name="Normal 10 2 10 2 27 3 10" xfId="3668" xr:uid="{00000000-0005-0000-0000-0000150E0000}"/>
    <cellStyle name="Normal 10 2 10 2 27 3 2" xfId="3669" xr:uid="{00000000-0005-0000-0000-0000160E0000}"/>
    <cellStyle name="Normal 10 2 10 2 27 3 3" xfId="3670" xr:uid="{00000000-0005-0000-0000-0000170E0000}"/>
    <cellStyle name="Normal 10 2 10 2 27 3 4" xfId="3671" xr:uid="{00000000-0005-0000-0000-0000180E0000}"/>
    <cellStyle name="Normal 10 2 10 2 27 3 5" xfId="3672" xr:uid="{00000000-0005-0000-0000-0000190E0000}"/>
    <cellStyle name="Normal 10 2 10 2 27 3 6" xfId="3673" xr:uid="{00000000-0005-0000-0000-00001A0E0000}"/>
    <cellStyle name="Normal 10 2 10 2 27 3 7" xfId="3674" xr:uid="{00000000-0005-0000-0000-00001B0E0000}"/>
    <cellStyle name="Normal 10 2 10 2 27 3 8" xfId="3675" xr:uid="{00000000-0005-0000-0000-00001C0E0000}"/>
    <cellStyle name="Normal 10 2 10 2 27 3 9" xfId="3676" xr:uid="{00000000-0005-0000-0000-00001D0E0000}"/>
    <cellStyle name="Normal 10 2 10 2 27 4" xfId="3677" xr:uid="{00000000-0005-0000-0000-00001E0E0000}"/>
    <cellStyle name="Normal 10 2 10 2 27 4 10" xfId="3678" xr:uid="{00000000-0005-0000-0000-00001F0E0000}"/>
    <cellStyle name="Normal 10 2 10 2 27 4 2" xfId="3679" xr:uid="{00000000-0005-0000-0000-0000200E0000}"/>
    <cellStyle name="Normal 10 2 10 2 27 4 3" xfId="3680" xr:uid="{00000000-0005-0000-0000-0000210E0000}"/>
    <cellStyle name="Normal 10 2 10 2 27 4 4" xfId="3681" xr:uid="{00000000-0005-0000-0000-0000220E0000}"/>
    <cellStyle name="Normal 10 2 10 2 27 4 5" xfId="3682" xr:uid="{00000000-0005-0000-0000-0000230E0000}"/>
    <cellStyle name="Normal 10 2 10 2 27 4 6" xfId="3683" xr:uid="{00000000-0005-0000-0000-0000240E0000}"/>
    <cellStyle name="Normal 10 2 10 2 27 4 7" xfId="3684" xr:uid="{00000000-0005-0000-0000-0000250E0000}"/>
    <cellStyle name="Normal 10 2 10 2 27 4 8" xfId="3685" xr:uid="{00000000-0005-0000-0000-0000260E0000}"/>
    <cellStyle name="Normal 10 2 10 2 27 4 9" xfId="3686" xr:uid="{00000000-0005-0000-0000-0000270E0000}"/>
    <cellStyle name="Normal 10 2 10 2 27 5" xfId="3687" xr:uid="{00000000-0005-0000-0000-0000280E0000}"/>
    <cellStyle name="Normal 10 2 10 2 27 5 10" xfId="3688" xr:uid="{00000000-0005-0000-0000-0000290E0000}"/>
    <cellStyle name="Normal 10 2 10 2 27 5 2" xfId="3689" xr:uid="{00000000-0005-0000-0000-00002A0E0000}"/>
    <cellStyle name="Normal 10 2 10 2 27 5 3" xfId="3690" xr:uid="{00000000-0005-0000-0000-00002B0E0000}"/>
    <cellStyle name="Normal 10 2 10 2 27 5 4" xfId="3691" xr:uid="{00000000-0005-0000-0000-00002C0E0000}"/>
    <cellStyle name="Normal 10 2 10 2 27 5 5" xfId="3692" xr:uid="{00000000-0005-0000-0000-00002D0E0000}"/>
    <cellStyle name="Normal 10 2 10 2 27 5 6" xfId="3693" xr:uid="{00000000-0005-0000-0000-00002E0E0000}"/>
    <cellStyle name="Normal 10 2 10 2 27 5 7" xfId="3694" xr:uid="{00000000-0005-0000-0000-00002F0E0000}"/>
    <cellStyle name="Normal 10 2 10 2 27 5 8" xfId="3695" xr:uid="{00000000-0005-0000-0000-0000300E0000}"/>
    <cellStyle name="Normal 10 2 10 2 27 5 9" xfId="3696" xr:uid="{00000000-0005-0000-0000-0000310E0000}"/>
    <cellStyle name="Normal 10 2 10 2 27 6" xfId="3697" xr:uid="{00000000-0005-0000-0000-0000320E0000}"/>
    <cellStyle name="Normal 10 2 10 2 27 7" xfId="3698" xr:uid="{00000000-0005-0000-0000-0000330E0000}"/>
    <cellStyle name="Normal 10 2 10 2 27 8" xfId="3699" xr:uid="{00000000-0005-0000-0000-0000340E0000}"/>
    <cellStyle name="Normal 10 2 10 2 27 9" xfId="3700" xr:uid="{00000000-0005-0000-0000-0000350E0000}"/>
    <cellStyle name="Normal 10 2 10 2 28" xfId="3701" xr:uid="{00000000-0005-0000-0000-0000360E0000}"/>
    <cellStyle name="Normal 10 2 10 2 28 10" xfId="3702" xr:uid="{00000000-0005-0000-0000-0000370E0000}"/>
    <cellStyle name="Normal 10 2 10 2 28 11" xfId="3703" xr:uid="{00000000-0005-0000-0000-0000380E0000}"/>
    <cellStyle name="Normal 10 2 10 2 28 12" xfId="3704" xr:uid="{00000000-0005-0000-0000-0000390E0000}"/>
    <cellStyle name="Normal 10 2 10 2 28 13" xfId="3705" xr:uid="{00000000-0005-0000-0000-00003A0E0000}"/>
    <cellStyle name="Normal 10 2 10 2 28 14" xfId="3706" xr:uid="{00000000-0005-0000-0000-00003B0E0000}"/>
    <cellStyle name="Normal 10 2 10 2 28 2" xfId="3707" xr:uid="{00000000-0005-0000-0000-00003C0E0000}"/>
    <cellStyle name="Normal 10 2 10 2 28 2 10" xfId="3708" xr:uid="{00000000-0005-0000-0000-00003D0E0000}"/>
    <cellStyle name="Normal 10 2 10 2 28 2 2" xfId="3709" xr:uid="{00000000-0005-0000-0000-00003E0E0000}"/>
    <cellStyle name="Normal 10 2 10 2 28 2 3" xfId="3710" xr:uid="{00000000-0005-0000-0000-00003F0E0000}"/>
    <cellStyle name="Normal 10 2 10 2 28 2 4" xfId="3711" xr:uid="{00000000-0005-0000-0000-0000400E0000}"/>
    <cellStyle name="Normal 10 2 10 2 28 2 5" xfId="3712" xr:uid="{00000000-0005-0000-0000-0000410E0000}"/>
    <cellStyle name="Normal 10 2 10 2 28 2 6" xfId="3713" xr:uid="{00000000-0005-0000-0000-0000420E0000}"/>
    <cellStyle name="Normal 10 2 10 2 28 2 7" xfId="3714" xr:uid="{00000000-0005-0000-0000-0000430E0000}"/>
    <cellStyle name="Normal 10 2 10 2 28 2 8" xfId="3715" xr:uid="{00000000-0005-0000-0000-0000440E0000}"/>
    <cellStyle name="Normal 10 2 10 2 28 2 9" xfId="3716" xr:uid="{00000000-0005-0000-0000-0000450E0000}"/>
    <cellStyle name="Normal 10 2 10 2 28 3" xfId="3717" xr:uid="{00000000-0005-0000-0000-0000460E0000}"/>
    <cellStyle name="Normal 10 2 10 2 28 3 10" xfId="3718" xr:uid="{00000000-0005-0000-0000-0000470E0000}"/>
    <cellStyle name="Normal 10 2 10 2 28 3 2" xfId="3719" xr:uid="{00000000-0005-0000-0000-0000480E0000}"/>
    <cellStyle name="Normal 10 2 10 2 28 3 3" xfId="3720" xr:uid="{00000000-0005-0000-0000-0000490E0000}"/>
    <cellStyle name="Normal 10 2 10 2 28 3 4" xfId="3721" xr:uid="{00000000-0005-0000-0000-00004A0E0000}"/>
    <cellStyle name="Normal 10 2 10 2 28 3 5" xfId="3722" xr:uid="{00000000-0005-0000-0000-00004B0E0000}"/>
    <cellStyle name="Normal 10 2 10 2 28 3 6" xfId="3723" xr:uid="{00000000-0005-0000-0000-00004C0E0000}"/>
    <cellStyle name="Normal 10 2 10 2 28 3 7" xfId="3724" xr:uid="{00000000-0005-0000-0000-00004D0E0000}"/>
    <cellStyle name="Normal 10 2 10 2 28 3 8" xfId="3725" xr:uid="{00000000-0005-0000-0000-00004E0E0000}"/>
    <cellStyle name="Normal 10 2 10 2 28 3 9" xfId="3726" xr:uid="{00000000-0005-0000-0000-00004F0E0000}"/>
    <cellStyle name="Normal 10 2 10 2 28 4" xfId="3727" xr:uid="{00000000-0005-0000-0000-0000500E0000}"/>
    <cellStyle name="Normal 10 2 10 2 28 4 10" xfId="3728" xr:uid="{00000000-0005-0000-0000-0000510E0000}"/>
    <cellStyle name="Normal 10 2 10 2 28 4 2" xfId="3729" xr:uid="{00000000-0005-0000-0000-0000520E0000}"/>
    <cellStyle name="Normal 10 2 10 2 28 4 3" xfId="3730" xr:uid="{00000000-0005-0000-0000-0000530E0000}"/>
    <cellStyle name="Normal 10 2 10 2 28 4 4" xfId="3731" xr:uid="{00000000-0005-0000-0000-0000540E0000}"/>
    <cellStyle name="Normal 10 2 10 2 28 4 5" xfId="3732" xr:uid="{00000000-0005-0000-0000-0000550E0000}"/>
    <cellStyle name="Normal 10 2 10 2 28 4 6" xfId="3733" xr:uid="{00000000-0005-0000-0000-0000560E0000}"/>
    <cellStyle name="Normal 10 2 10 2 28 4 7" xfId="3734" xr:uid="{00000000-0005-0000-0000-0000570E0000}"/>
    <cellStyle name="Normal 10 2 10 2 28 4 8" xfId="3735" xr:uid="{00000000-0005-0000-0000-0000580E0000}"/>
    <cellStyle name="Normal 10 2 10 2 28 4 9" xfId="3736" xr:uid="{00000000-0005-0000-0000-0000590E0000}"/>
    <cellStyle name="Normal 10 2 10 2 28 5" xfId="3737" xr:uid="{00000000-0005-0000-0000-00005A0E0000}"/>
    <cellStyle name="Normal 10 2 10 2 28 5 10" xfId="3738" xr:uid="{00000000-0005-0000-0000-00005B0E0000}"/>
    <cellStyle name="Normal 10 2 10 2 28 5 2" xfId="3739" xr:uid="{00000000-0005-0000-0000-00005C0E0000}"/>
    <cellStyle name="Normal 10 2 10 2 28 5 3" xfId="3740" xr:uid="{00000000-0005-0000-0000-00005D0E0000}"/>
    <cellStyle name="Normal 10 2 10 2 28 5 4" xfId="3741" xr:uid="{00000000-0005-0000-0000-00005E0E0000}"/>
    <cellStyle name="Normal 10 2 10 2 28 5 5" xfId="3742" xr:uid="{00000000-0005-0000-0000-00005F0E0000}"/>
    <cellStyle name="Normal 10 2 10 2 28 5 6" xfId="3743" xr:uid="{00000000-0005-0000-0000-0000600E0000}"/>
    <cellStyle name="Normal 10 2 10 2 28 5 7" xfId="3744" xr:uid="{00000000-0005-0000-0000-0000610E0000}"/>
    <cellStyle name="Normal 10 2 10 2 28 5 8" xfId="3745" xr:uid="{00000000-0005-0000-0000-0000620E0000}"/>
    <cellStyle name="Normal 10 2 10 2 28 5 9" xfId="3746" xr:uid="{00000000-0005-0000-0000-0000630E0000}"/>
    <cellStyle name="Normal 10 2 10 2 28 6" xfId="3747" xr:uid="{00000000-0005-0000-0000-0000640E0000}"/>
    <cellStyle name="Normal 10 2 10 2 28 7" xfId="3748" xr:uid="{00000000-0005-0000-0000-0000650E0000}"/>
    <cellStyle name="Normal 10 2 10 2 28 8" xfId="3749" xr:uid="{00000000-0005-0000-0000-0000660E0000}"/>
    <cellStyle name="Normal 10 2 10 2 28 9" xfId="3750" xr:uid="{00000000-0005-0000-0000-0000670E0000}"/>
    <cellStyle name="Normal 10 2 10 2 29" xfId="3751" xr:uid="{00000000-0005-0000-0000-0000680E0000}"/>
    <cellStyle name="Normal 10 2 10 2 29 10" xfId="3752" xr:uid="{00000000-0005-0000-0000-0000690E0000}"/>
    <cellStyle name="Normal 10 2 10 2 29 11" xfId="3753" xr:uid="{00000000-0005-0000-0000-00006A0E0000}"/>
    <cellStyle name="Normal 10 2 10 2 29 12" xfId="3754" xr:uid="{00000000-0005-0000-0000-00006B0E0000}"/>
    <cellStyle name="Normal 10 2 10 2 29 13" xfId="3755" xr:uid="{00000000-0005-0000-0000-00006C0E0000}"/>
    <cellStyle name="Normal 10 2 10 2 29 14" xfId="3756" xr:uid="{00000000-0005-0000-0000-00006D0E0000}"/>
    <cellStyle name="Normal 10 2 10 2 29 2" xfId="3757" xr:uid="{00000000-0005-0000-0000-00006E0E0000}"/>
    <cellStyle name="Normal 10 2 10 2 29 2 10" xfId="3758" xr:uid="{00000000-0005-0000-0000-00006F0E0000}"/>
    <cellStyle name="Normal 10 2 10 2 29 2 2" xfId="3759" xr:uid="{00000000-0005-0000-0000-0000700E0000}"/>
    <cellStyle name="Normal 10 2 10 2 29 2 3" xfId="3760" xr:uid="{00000000-0005-0000-0000-0000710E0000}"/>
    <cellStyle name="Normal 10 2 10 2 29 2 4" xfId="3761" xr:uid="{00000000-0005-0000-0000-0000720E0000}"/>
    <cellStyle name="Normal 10 2 10 2 29 2 5" xfId="3762" xr:uid="{00000000-0005-0000-0000-0000730E0000}"/>
    <cellStyle name="Normal 10 2 10 2 29 2 6" xfId="3763" xr:uid="{00000000-0005-0000-0000-0000740E0000}"/>
    <cellStyle name="Normal 10 2 10 2 29 2 7" xfId="3764" xr:uid="{00000000-0005-0000-0000-0000750E0000}"/>
    <cellStyle name="Normal 10 2 10 2 29 2 8" xfId="3765" xr:uid="{00000000-0005-0000-0000-0000760E0000}"/>
    <cellStyle name="Normal 10 2 10 2 29 2 9" xfId="3766" xr:uid="{00000000-0005-0000-0000-0000770E0000}"/>
    <cellStyle name="Normal 10 2 10 2 29 3" xfId="3767" xr:uid="{00000000-0005-0000-0000-0000780E0000}"/>
    <cellStyle name="Normal 10 2 10 2 29 3 10" xfId="3768" xr:uid="{00000000-0005-0000-0000-0000790E0000}"/>
    <cellStyle name="Normal 10 2 10 2 29 3 2" xfId="3769" xr:uid="{00000000-0005-0000-0000-00007A0E0000}"/>
    <cellStyle name="Normal 10 2 10 2 29 3 3" xfId="3770" xr:uid="{00000000-0005-0000-0000-00007B0E0000}"/>
    <cellStyle name="Normal 10 2 10 2 29 3 4" xfId="3771" xr:uid="{00000000-0005-0000-0000-00007C0E0000}"/>
    <cellStyle name="Normal 10 2 10 2 29 3 5" xfId="3772" xr:uid="{00000000-0005-0000-0000-00007D0E0000}"/>
    <cellStyle name="Normal 10 2 10 2 29 3 6" xfId="3773" xr:uid="{00000000-0005-0000-0000-00007E0E0000}"/>
    <cellStyle name="Normal 10 2 10 2 29 3 7" xfId="3774" xr:uid="{00000000-0005-0000-0000-00007F0E0000}"/>
    <cellStyle name="Normal 10 2 10 2 29 3 8" xfId="3775" xr:uid="{00000000-0005-0000-0000-0000800E0000}"/>
    <cellStyle name="Normal 10 2 10 2 29 3 9" xfId="3776" xr:uid="{00000000-0005-0000-0000-0000810E0000}"/>
    <cellStyle name="Normal 10 2 10 2 29 4" xfId="3777" xr:uid="{00000000-0005-0000-0000-0000820E0000}"/>
    <cellStyle name="Normal 10 2 10 2 29 4 10" xfId="3778" xr:uid="{00000000-0005-0000-0000-0000830E0000}"/>
    <cellStyle name="Normal 10 2 10 2 29 4 2" xfId="3779" xr:uid="{00000000-0005-0000-0000-0000840E0000}"/>
    <cellStyle name="Normal 10 2 10 2 29 4 3" xfId="3780" xr:uid="{00000000-0005-0000-0000-0000850E0000}"/>
    <cellStyle name="Normal 10 2 10 2 29 4 4" xfId="3781" xr:uid="{00000000-0005-0000-0000-0000860E0000}"/>
    <cellStyle name="Normal 10 2 10 2 29 4 5" xfId="3782" xr:uid="{00000000-0005-0000-0000-0000870E0000}"/>
    <cellStyle name="Normal 10 2 10 2 29 4 6" xfId="3783" xr:uid="{00000000-0005-0000-0000-0000880E0000}"/>
    <cellStyle name="Normal 10 2 10 2 29 4 7" xfId="3784" xr:uid="{00000000-0005-0000-0000-0000890E0000}"/>
    <cellStyle name="Normal 10 2 10 2 29 4 8" xfId="3785" xr:uid="{00000000-0005-0000-0000-00008A0E0000}"/>
    <cellStyle name="Normal 10 2 10 2 29 4 9" xfId="3786" xr:uid="{00000000-0005-0000-0000-00008B0E0000}"/>
    <cellStyle name="Normal 10 2 10 2 29 5" xfId="3787" xr:uid="{00000000-0005-0000-0000-00008C0E0000}"/>
    <cellStyle name="Normal 10 2 10 2 29 5 10" xfId="3788" xr:uid="{00000000-0005-0000-0000-00008D0E0000}"/>
    <cellStyle name="Normal 10 2 10 2 29 5 2" xfId="3789" xr:uid="{00000000-0005-0000-0000-00008E0E0000}"/>
    <cellStyle name="Normal 10 2 10 2 29 5 3" xfId="3790" xr:uid="{00000000-0005-0000-0000-00008F0E0000}"/>
    <cellStyle name="Normal 10 2 10 2 29 5 4" xfId="3791" xr:uid="{00000000-0005-0000-0000-0000900E0000}"/>
    <cellStyle name="Normal 10 2 10 2 29 5 5" xfId="3792" xr:uid="{00000000-0005-0000-0000-0000910E0000}"/>
    <cellStyle name="Normal 10 2 10 2 29 5 6" xfId="3793" xr:uid="{00000000-0005-0000-0000-0000920E0000}"/>
    <cellStyle name="Normal 10 2 10 2 29 5 7" xfId="3794" xr:uid="{00000000-0005-0000-0000-0000930E0000}"/>
    <cellStyle name="Normal 10 2 10 2 29 5 8" xfId="3795" xr:uid="{00000000-0005-0000-0000-0000940E0000}"/>
    <cellStyle name="Normal 10 2 10 2 29 5 9" xfId="3796" xr:uid="{00000000-0005-0000-0000-0000950E0000}"/>
    <cellStyle name="Normal 10 2 10 2 29 6" xfId="3797" xr:uid="{00000000-0005-0000-0000-0000960E0000}"/>
    <cellStyle name="Normal 10 2 10 2 29 7" xfId="3798" xr:uid="{00000000-0005-0000-0000-0000970E0000}"/>
    <cellStyle name="Normal 10 2 10 2 29 8" xfId="3799" xr:uid="{00000000-0005-0000-0000-0000980E0000}"/>
    <cellStyle name="Normal 10 2 10 2 29 9" xfId="3800" xr:uid="{00000000-0005-0000-0000-0000990E0000}"/>
    <cellStyle name="Normal 10 2 10 2 3" xfId="3801" xr:uid="{00000000-0005-0000-0000-00009A0E0000}"/>
    <cellStyle name="Normal 10 2 10 2 3 10" xfId="3802" xr:uid="{00000000-0005-0000-0000-00009B0E0000}"/>
    <cellStyle name="Normal 10 2 10 2 3 11" xfId="3803" xr:uid="{00000000-0005-0000-0000-00009C0E0000}"/>
    <cellStyle name="Normal 10 2 10 2 3 12" xfId="3804" xr:uid="{00000000-0005-0000-0000-00009D0E0000}"/>
    <cellStyle name="Normal 10 2 10 2 3 13" xfId="3805" xr:uid="{00000000-0005-0000-0000-00009E0E0000}"/>
    <cellStyle name="Normal 10 2 10 2 3 14" xfId="3806" xr:uid="{00000000-0005-0000-0000-00009F0E0000}"/>
    <cellStyle name="Normal 10 2 10 2 3 2" xfId="3807" xr:uid="{00000000-0005-0000-0000-0000A00E0000}"/>
    <cellStyle name="Normal 10 2 10 2 3 2 10" xfId="3808" xr:uid="{00000000-0005-0000-0000-0000A10E0000}"/>
    <cellStyle name="Normal 10 2 10 2 3 2 2" xfId="3809" xr:uid="{00000000-0005-0000-0000-0000A20E0000}"/>
    <cellStyle name="Normal 10 2 10 2 3 2 3" xfId="3810" xr:uid="{00000000-0005-0000-0000-0000A30E0000}"/>
    <cellStyle name="Normal 10 2 10 2 3 2 4" xfId="3811" xr:uid="{00000000-0005-0000-0000-0000A40E0000}"/>
    <cellStyle name="Normal 10 2 10 2 3 2 5" xfId="3812" xr:uid="{00000000-0005-0000-0000-0000A50E0000}"/>
    <cellStyle name="Normal 10 2 10 2 3 2 6" xfId="3813" xr:uid="{00000000-0005-0000-0000-0000A60E0000}"/>
    <cellStyle name="Normal 10 2 10 2 3 2 7" xfId="3814" xr:uid="{00000000-0005-0000-0000-0000A70E0000}"/>
    <cellStyle name="Normal 10 2 10 2 3 2 8" xfId="3815" xr:uid="{00000000-0005-0000-0000-0000A80E0000}"/>
    <cellStyle name="Normal 10 2 10 2 3 2 9" xfId="3816" xr:uid="{00000000-0005-0000-0000-0000A90E0000}"/>
    <cellStyle name="Normal 10 2 10 2 3 3" xfId="3817" xr:uid="{00000000-0005-0000-0000-0000AA0E0000}"/>
    <cellStyle name="Normal 10 2 10 2 3 3 10" xfId="3818" xr:uid="{00000000-0005-0000-0000-0000AB0E0000}"/>
    <cellStyle name="Normal 10 2 10 2 3 3 2" xfId="3819" xr:uid="{00000000-0005-0000-0000-0000AC0E0000}"/>
    <cellStyle name="Normal 10 2 10 2 3 3 3" xfId="3820" xr:uid="{00000000-0005-0000-0000-0000AD0E0000}"/>
    <cellStyle name="Normal 10 2 10 2 3 3 4" xfId="3821" xr:uid="{00000000-0005-0000-0000-0000AE0E0000}"/>
    <cellStyle name="Normal 10 2 10 2 3 3 5" xfId="3822" xr:uid="{00000000-0005-0000-0000-0000AF0E0000}"/>
    <cellStyle name="Normal 10 2 10 2 3 3 6" xfId="3823" xr:uid="{00000000-0005-0000-0000-0000B00E0000}"/>
    <cellStyle name="Normal 10 2 10 2 3 3 7" xfId="3824" xr:uid="{00000000-0005-0000-0000-0000B10E0000}"/>
    <cellStyle name="Normal 10 2 10 2 3 3 8" xfId="3825" xr:uid="{00000000-0005-0000-0000-0000B20E0000}"/>
    <cellStyle name="Normal 10 2 10 2 3 3 9" xfId="3826" xr:uid="{00000000-0005-0000-0000-0000B30E0000}"/>
    <cellStyle name="Normal 10 2 10 2 3 4" xfId="3827" xr:uid="{00000000-0005-0000-0000-0000B40E0000}"/>
    <cellStyle name="Normal 10 2 10 2 3 4 10" xfId="3828" xr:uid="{00000000-0005-0000-0000-0000B50E0000}"/>
    <cellStyle name="Normal 10 2 10 2 3 4 2" xfId="3829" xr:uid="{00000000-0005-0000-0000-0000B60E0000}"/>
    <cellStyle name="Normal 10 2 10 2 3 4 3" xfId="3830" xr:uid="{00000000-0005-0000-0000-0000B70E0000}"/>
    <cellStyle name="Normal 10 2 10 2 3 4 4" xfId="3831" xr:uid="{00000000-0005-0000-0000-0000B80E0000}"/>
    <cellStyle name="Normal 10 2 10 2 3 4 5" xfId="3832" xr:uid="{00000000-0005-0000-0000-0000B90E0000}"/>
    <cellStyle name="Normal 10 2 10 2 3 4 6" xfId="3833" xr:uid="{00000000-0005-0000-0000-0000BA0E0000}"/>
    <cellStyle name="Normal 10 2 10 2 3 4 7" xfId="3834" xr:uid="{00000000-0005-0000-0000-0000BB0E0000}"/>
    <cellStyle name="Normal 10 2 10 2 3 4 8" xfId="3835" xr:uid="{00000000-0005-0000-0000-0000BC0E0000}"/>
    <cellStyle name="Normal 10 2 10 2 3 4 9" xfId="3836" xr:uid="{00000000-0005-0000-0000-0000BD0E0000}"/>
    <cellStyle name="Normal 10 2 10 2 3 5" xfId="3837" xr:uid="{00000000-0005-0000-0000-0000BE0E0000}"/>
    <cellStyle name="Normal 10 2 10 2 3 5 10" xfId="3838" xr:uid="{00000000-0005-0000-0000-0000BF0E0000}"/>
    <cellStyle name="Normal 10 2 10 2 3 5 2" xfId="3839" xr:uid="{00000000-0005-0000-0000-0000C00E0000}"/>
    <cellStyle name="Normal 10 2 10 2 3 5 3" xfId="3840" xr:uid="{00000000-0005-0000-0000-0000C10E0000}"/>
    <cellStyle name="Normal 10 2 10 2 3 5 4" xfId="3841" xr:uid="{00000000-0005-0000-0000-0000C20E0000}"/>
    <cellStyle name="Normal 10 2 10 2 3 5 5" xfId="3842" xr:uid="{00000000-0005-0000-0000-0000C30E0000}"/>
    <cellStyle name="Normal 10 2 10 2 3 5 6" xfId="3843" xr:uid="{00000000-0005-0000-0000-0000C40E0000}"/>
    <cellStyle name="Normal 10 2 10 2 3 5 7" xfId="3844" xr:uid="{00000000-0005-0000-0000-0000C50E0000}"/>
    <cellStyle name="Normal 10 2 10 2 3 5 8" xfId="3845" xr:uid="{00000000-0005-0000-0000-0000C60E0000}"/>
    <cellStyle name="Normal 10 2 10 2 3 5 9" xfId="3846" xr:uid="{00000000-0005-0000-0000-0000C70E0000}"/>
    <cellStyle name="Normal 10 2 10 2 3 6" xfId="3847" xr:uid="{00000000-0005-0000-0000-0000C80E0000}"/>
    <cellStyle name="Normal 10 2 10 2 3 7" xfId="3848" xr:uid="{00000000-0005-0000-0000-0000C90E0000}"/>
    <cellStyle name="Normal 10 2 10 2 3 8" xfId="3849" xr:uid="{00000000-0005-0000-0000-0000CA0E0000}"/>
    <cellStyle name="Normal 10 2 10 2 3 9" xfId="3850" xr:uid="{00000000-0005-0000-0000-0000CB0E0000}"/>
    <cellStyle name="Normal 10 2 10 2 30" xfId="3851" xr:uid="{00000000-0005-0000-0000-0000CC0E0000}"/>
    <cellStyle name="Normal 10 2 10 2 30 10" xfId="3852" xr:uid="{00000000-0005-0000-0000-0000CD0E0000}"/>
    <cellStyle name="Normal 10 2 10 2 30 11" xfId="3853" xr:uid="{00000000-0005-0000-0000-0000CE0E0000}"/>
    <cellStyle name="Normal 10 2 10 2 30 12" xfId="3854" xr:uid="{00000000-0005-0000-0000-0000CF0E0000}"/>
    <cellStyle name="Normal 10 2 10 2 30 13" xfId="3855" xr:uid="{00000000-0005-0000-0000-0000D00E0000}"/>
    <cellStyle name="Normal 10 2 10 2 30 14" xfId="3856" xr:uid="{00000000-0005-0000-0000-0000D10E0000}"/>
    <cellStyle name="Normal 10 2 10 2 30 2" xfId="3857" xr:uid="{00000000-0005-0000-0000-0000D20E0000}"/>
    <cellStyle name="Normal 10 2 10 2 30 2 10" xfId="3858" xr:uid="{00000000-0005-0000-0000-0000D30E0000}"/>
    <cellStyle name="Normal 10 2 10 2 30 2 2" xfId="3859" xr:uid="{00000000-0005-0000-0000-0000D40E0000}"/>
    <cellStyle name="Normal 10 2 10 2 30 2 3" xfId="3860" xr:uid="{00000000-0005-0000-0000-0000D50E0000}"/>
    <cellStyle name="Normal 10 2 10 2 30 2 4" xfId="3861" xr:uid="{00000000-0005-0000-0000-0000D60E0000}"/>
    <cellStyle name="Normal 10 2 10 2 30 2 5" xfId="3862" xr:uid="{00000000-0005-0000-0000-0000D70E0000}"/>
    <cellStyle name="Normal 10 2 10 2 30 2 6" xfId="3863" xr:uid="{00000000-0005-0000-0000-0000D80E0000}"/>
    <cellStyle name="Normal 10 2 10 2 30 2 7" xfId="3864" xr:uid="{00000000-0005-0000-0000-0000D90E0000}"/>
    <cellStyle name="Normal 10 2 10 2 30 2 8" xfId="3865" xr:uid="{00000000-0005-0000-0000-0000DA0E0000}"/>
    <cellStyle name="Normal 10 2 10 2 30 2 9" xfId="3866" xr:uid="{00000000-0005-0000-0000-0000DB0E0000}"/>
    <cellStyle name="Normal 10 2 10 2 30 3" xfId="3867" xr:uid="{00000000-0005-0000-0000-0000DC0E0000}"/>
    <cellStyle name="Normal 10 2 10 2 30 3 10" xfId="3868" xr:uid="{00000000-0005-0000-0000-0000DD0E0000}"/>
    <cellStyle name="Normal 10 2 10 2 30 3 2" xfId="3869" xr:uid="{00000000-0005-0000-0000-0000DE0E0000}"/>
    <cellStyle name="Normal 10 2 10 2 30 3 3" xfId="3870" xr:uid="{00000000-0005-0000-0000-0000DF0E0000}"/>
    <cellStyle name="Normal 10 2 10 2 30 3 4" xfId="3871" xr:uid="{00000000-0005-0000-0000-0000E00E0000}"/>
    <cellStyle name="Normal 10 2 10 2 30 3 5" xfId="3872" xr:uid="{00000000-0005-0000-0000-0000E10E0000}"/>
    <cellStyle name="Normal 10 2 10 2 30 3 6" xfId="3873" xr:uid="{00000000-0005-0000-0000-0000E20E0000}"/>
    <cellStyle name="Normal 10 2 10 2 30 3 7" xfId="3874" xr:uid="{00000000-0005-0000-0000-0000E30E0000}"/>
    <cellStyle name="Normal 10 2 10 2 30 3 8" xfId="3875" xr:uid="{00000000-0005-0000-0000-0000E40E0000}"/>
    <cellStyle name="Normal 10 2 10 2 30 3 9" xfId="3876" xr:uid="{00000000-0005-0000-0000-0000E50E0000}"/>
    <cellStyle name="Normal 10 2 10 2 30 4" xfId="3877" xr:uid="{00000000-0005-0000-0000-0000E60E0000}"/>
    <cellStyle name="Normal 10 2 10 2 30 4 10" xfId="3878" xr:uid="{00000000-0005-0000-0000-0000E70E0000}"/>
    <cellStyle name="Normal 10 2 10 2 30 4 2" xfId="3879" xr:uid="{00000000-0005-0000-0000-0000E80E0000}"/>
    <cellStyle name="Normal 10 2 10 2 30 4 3" xfId="3880" xr:uid="{00000000-0005-0000-0000-0000E90E0000}"/>
    <cellStyle name="Normal 10 2 10 2 30 4 4" xfId="3881" xr:uid="{00000000-0005-0000-0000-0000EA0E0000}"/>
    <cellStyle name="Normal 10 2 10 2 30 4 5" xfId="3882" xr:uid="{00000000-0005-0000-0000-0000EB0E0000}"/>
    <cellStyle name="Normal 10 2 10 2 30 4 6" xfId="3883" xr:uid="{00000000-0005-0000-0000-0000EC0E0000}"/>
    <cellStyle name="Normal 10 2 10 2 30 4 7" xfId="3884" xr:uid="{00000000-0005-0000-0000-0000ED0E0000}"/>
    <cellStyle name="Normal 10 2 10 2 30 4 8" xfId="3885" xr:uid="{00000000-0005-0000-0000-0000EE0E0000}"/>
    <cellStyle name="Normal 10 2 10 2 30 4 9" xfId="3886" xr:uid="{00000000-0005-0000-0000-0000EF0E0000}"/>
    <cellStyle name="Normal 10 2 10 2 30 5" xfId="3887" xr:uid="{00000000-0005-0000-0000-0000F00E0000}"/>
    <cellStyle name="Normal 10 2 10 2 30 5 10" xfId="3888" xr:uid="{00000000-0005-0000-0000-0000F10E0000}"/>
    <cellStyle name="Normal 10 2 10 2 30 5 2" xfId="3889" xr:uid="{00000000-0005-0000-0000-0000F20E0000}"/>
    <cellStyle name="Normal 10 2 10 2 30 5 3" xfId="3890" xr:uid="{00000000-0005-0000-0000-0000F30E0000}"/>
    <cellStyle name="Normal 10 2 10 2 30 5 4" xfId="3891" xr:uid="{00000000-0005-0000-0000-0000F40E0000}"/>
    <cellStyle name="Normal 10 2 10 2 30 5 5" xfId="3892" xr:uid="{00000000-0005-0000-0000-0000F50E0000}"/>
    <cellStyle name="Normal 10 2 10 2 30 5 6" xfId="3893" xr:uid="{00000000-0005-0000-0000-0000F60E0000}"/>
    <cellStyle name="Normal 10 2 10 2 30 5 7" xfId="3894" xr:uid="{00000000-0005-0000-0000-0000F70E0000}"/>
    <cellStyle name="Normal 10 2 10 2 30 5 8" xfId="3895" xr:uid="{00000000-0005-0000-0000-0000F80E0000}"/>
    <cellStyle name="Normal 10 2 10 2 30 5 9" xfId="3896" xr:uid="{00000000-0005-0000-0000-0000F90E0000}"/>
    <cellStyle name="Normal 10 2 10 2 30 6" xfId="3897" xr:uid="{00000000-0005-0000-0000-0000FA0E0000}"/>
    <cellStyle name="Normal 10 2 10 2 30 7" xfId="3898" xr:uid="{00000000-0005-0000-0000-0000FB0E0000}"/>
    <cellStyle name="Normal 10 2 10 2 30 8" xfId="3899" xr:uid="{00000000-0005-0000-0000-0000FC0E0000}"/>
    <cellStyle name="Normal 10 2 10 2 30 9" xfId="3900" xr:uid="{00000000-0005-0000-0000-0000FD0E0000}"/>
    <cellStyle name="Normal 10 2 10 2 31" xfId="3901" xr:uid="{00000000-0005-0000-0000-0000FE0E0000}"/>
    <cellStyle name="Normal 10 2 10 2 31 10" xfId="3902" xr:uid="{00000000-0005-0000-0000-0000FF0E0000}"/>
    <cellStyle name="Normal 10 2 10 2 31 11" xfId="3903" xr:uid="{00000000-0005-0000-0000-0000000F0000}"/>
    <cellStyle name="Normal 10 2 10 2 31 12" xfId="3904" xr:uid="{00000000-0005-0000-0000-0000010F0000}"/>
    <cellStyle name="Normal 10 2 10 2 31 13" xfId="3905" xr:uid="{00000000-0005-0000-0000-0000020F0000}"/>
    <cellStyle name="Normal 10 2 10 2 31 14" xfId="3906" xr:uid="{00000000-0005-0000-0000-0000030F0000}"/>
    <cellStyle name="Normal 10 2 10 2 31 2" xfId="3907" xr:uid="{00000000-0005-0000-0000-0000040F0000}"/>
    <cellStyle name="Normal 10 2 10 2 31 2 10" xfId="3908" xr:uid="{00000000-0005-0000-0000-0000050F0000}"/>
    <cellStyle name="Normal 10 2 10 2 31 2 2" xfId="3909" xr:uid="{00000000-0005-0000-0000-0000060F0000}"/>
    <cellStyle name="Normal 10 2 10 2 31 2 3" xfId="3910" xr:uid="{00000000-0005-0000-0000-0000070F0000}"/>
    <cellStyle name="Normal 10 2 10 2 31 2 4" xfId="3911" xr:uid="{00000000-0005-0000-0000-0000080F0000}"/>
    <cellStyle name="Normal 10 2 10 2 31 2 5" xfId="3912" xr:uid="{00000000-0005-0000-0000-0000090F0000}"/>
    <cellStyle name="Normal 10 2 10 2 31 2 6" xfId="3913" xr:uid="{00000000-0005-0000-0000-00000A0F0000}"/>
    <cellStyle name="Normal 10 2 10 2 31 2 7" xfId="3914" xr:uid="{00000000-0005-0000-0000-00000B0F0000}"/>
    <cellStyle name="Normal 10 2 10 2 31 2 8" xfId="3915" xr:uid="{00000000-0005-0000-0000-00000C0F0000}"/>
    <cellStyle name="Normal 10 2 10 2 31 2 9" xfId="3916" xr:uid="{00000000-0005-0000-0000-00000D0F0000}"/>
    <cellStyle name="Normal 10 2 10 2 31 3" xfId="3917" xr:uid="{00000000-0005-0000-0000-00000E0F0000}"/>
    <cellStyle name="Normal 10 2 10 2 31 3 10" xfId="3918" xr:uid="{00000000-0005-0000-0000-00000F0F0000}"/>
    <cellStyle name="Normal 10 2 10 2 31 3 2" xfId="3919" xr:uid="{00000000-0005-0000-0000-0000100F0000}"/>
    <cellStyle name="Normal 10 2 10 2 31 3 3" xfId="3920" xr:uid="{00000000-0005-0000-0000-0000110F0000}"/>
    <cellStyle name="Normal 10 2 10 2 31 3 4" xfId="3921" xr:uid="{00000000-0005-0000-0000-0000120F0000}"/>
    <cellStyle name="Normal 10 2 10 2 31 3 5" xfId="3922" xr:uid="{00000000-0005-0000-0000-0000130F0000}"/>
    <cellStyle name="Normal 10 2 10 2 31 3 6" xfId="3923" xr:uid="{00000000-0005-0000-0000-0000140F0000}"/>
    <cellStyle name="Normal 10 2 10 2 31 3 7" xfId="3924" xr:uid="{00000000-0005-0000-0000-0000150F0000}"/>
    <cellStyle name="Normal 10 2 10 2 31 3 8" xfId="3925" xr:uid="{00000000-0005-0000-0000-0000160F0000}"/>
    <cellStyle name="Normal 10 2 10 2 31 3 9" xfId="3926" xr:uid="{00000000-0005-0000-0000-0000170F0000}"/>
    <cellStyle name="Normal 10 2 10 2 31 4" xfId="3927" xr:uid="{00000000-0005-0000-0000-0000180F0000}"/>
    <cellStyle name="Normal 10 2 10 2 31 4 10" xfId="3928" xr:uid="{00000000-0005-0000-0000-0000190F0000}"/>
    <cellStyle name="Normal 10 2 10 2 31 4 2" xfId="3929" xr:uid="{00000000-0005-0000-0000-00001A0F0000}"/>
    <cellStyle name="Normal 10 2 10 2 31 4 3" xfId="3930" xr:uid="{00000000-0005-0000-0000-00001B0F0000}"/>
    <cellStyle name="Normal 10 2 10 2 31 4 4" xfId="3931" xr:uid="{00000000-0005-0000-0000-00001C0F0000}"/>
    <cellStyle name="Normal 10 2 10 2 31 4 5" xfId="3932" xr:uid="{00000000-0005-0000-0000-00001D0F0000}"/>
    <cellStyle name="Normal 10 2 10 2 31 4 6" xfId="3933" xr:uid="{00000000-0005-0000-0000-00001E0F0000}"/>
    <cellStyle name="Normal 10 2 10 2 31 4 7" xfId="3934" xr:uid="{00000000-0005-0000-0000-00001F0F0000}"/>
    <cellStyle name="Normal 10 2 10 2 31 4 8" xfId="3935" xr:uid="{00000000-0005-0000-0000-0000200F0000}"/>
    <cellStyle name="Normal 10 2 10 2 31 4 9" xfId="3936" xr:uid="{00000000-0005-0000-0000-0000210F0000}"/>
    <cellStyle name="Normal 10 2 10 2 31 5" xfId="3937" xr:uid="{00000000-0005-0000-0000-0000220F0000}"/>
    <cellStyle name="Normal 10 2 10 2 31 5 10" xfId="3938" xr:uid="{00000000-0005-0000-0000-0000230F0000}"/>
    <cellStyle name="Normal 10 2 10 2 31 5 2" xfId="3939" xr:uid="{00000000-0005-0000-0000-0000240F0000}"/>
    <cellStyle name="Normal 10 2 10 2 31 5 3" xfId="3940" xr:uid="{00000000-0005-0000-0000-0000250F0000}"/>
    <cellStyle name="Normal 10 2 10 2 31 5 4" xfId="3941" xr:uid="{00000000-0005-0000-0000-0000260F0000}"/>
    <cellStyle name="Normal 10 2 10 2 31 5 5" xfId="3942" xr:uid="{00000000-0005-0000-0000-0000270F0000}"/>
    <cellStyle name="Normal 10 2 10 2 31 5 6" xfId="3943" xr:uid="{00000000-0005-0000-0000-0000280F0000}"/>
    <cellStyle name="Normal 10 2 10 2 31 5 7" xfId="3944" xr:uid="{00000000-0005-0000-0000-0000290F0000}"/>
    <cellStyle name="Normal 10 2 10 2 31 5 8" xfId="3945" xr:uid="{00000000-0005-0000-0000-00002A0F0000}"/>
    <cellStyle name="Normal 10 2 10 2 31 5 9" xfId="3946" xr:uid="{00000000-0005-0000-0000-00002B0F0000}"/>
    <cellStyle name="Normal 10 2 10 2 31 6" xfId="3947" xr:uid="{00000000-0005-0000-0000-00002C0F0000}"/>
    <cellStyle name="Normal 10 2 10 2 31 7" xfId="3948" xr:uid="{00000000-0005-0000-0000-00002D0F0000}"/>
    <cellStyle name="Normal 10 2 10 2 31 8" xfId="3949" xr:uid="{00000000-0005-0000-0000-00002E0F0000}"/>
    <cellStyle name="Normal 10 2 10 2 31 9" xfId="3950" xr:uid="{00000000-0005-0000-0000-00002F0F0000}"/>
    <cellStyle name="Normal 10 2 10 2 32" xfId="3951" xr:uid="{00000000-0005-0000-0000-0000300F0000}"/>
    <cellStyle name="Normal 10 2 10 2 32 10" xfId="3952" xr:uid="{00000000-0005-0000-0000-0000310F0000}"/>
    <cellStyle name="Normal 10 2 10 2 32 11" xfId="3953" xr:uid="{00000000-0005-0000-0000-0000320F0000}"/>
    <cellStyle name="Normal 10 2 10 2 32 12" xfId="3954" xr:uid="{00000000-0005-0000-0000-0000330F0000}"/>
    <cellStyle name="Normal 10 2 10 2 32 13" xfId="3955" xr:uid="{00000000-0005-0000-0000-0000340F0000}"/>
    <cellStyle name="Normal 10 2 10 2 32 14" xfId="3956" xr:uid="{00000000-0005-0000-0000-0000350F0000}"/>
    <cellStyle name="Normal 10 2 10 2 32 2" xfId="3957" xr:uid="{00000000-0005-0000-0000-0000360F0000}"/>
    <cellStyle name="Normal 10 2 10 2 32 2 10" xfId="3958" xr:uid="{00000000-0005-0000-0000-0000370F0000}"/>
    <cellStyle name="Normal 10 2 10 2 32 2 2" xfId="3959" xr:uid="{00000000-0005-0000-0000-0000380F0000}"/>
    <cellStyle name="Normal 10 2 10 2 32 2 3" xfId="3960" xr:uid="{00000000-0005-0000-0000-0000390F0000}"/>
    <cellStyle name="Normal 10 2 10 2 32 2 4" xfId="3961" xr:uid="{00000000-0005-0000-0000-00003A0F0000}"/>
    <cellStyle name="Normal 10 2 10 2 32 2 5" xfId="3962" xr:uid="{00000000-0005-0000-0000-00003B0F0000}"/>
    <cellStyle name="Normal 10 2 10 2 32 2 6" xfId="3963" xr:uid="{00000000-0005-0000-0000-00003C0F0000}"/>
    <cellStyle name="Normal 10 2 10 2 32 2 7" xfId="3964" xr:uid="{00000000-0005-0000-0000-00003D0F0000}"/>
    <cellStyle name="Normal 10 2 10 2 32 2 8" xfId="3965" xr:uid="{00000000-0005-0000-0000-00003E0F0000}"/>
    <cellStyle name="Normal 10 2 10 2 32 2 9" xfId="3966" xr:uid="{00000000-0005-0000-0000-00003F0F0000}"/>
    <cellStyle name="Normal 10 2 10 2 32 3" xfId="3967" xr:uid="{00000000-0005-0000-0000-0000400F0000}"/>
    <cellStyle name="Normal 10 2 10 2 32 3 10" xfId="3968" xr:uid="{00000000-0005-0000-0000-0000410F0000}"/>
    <cellStyle name="Normal 10 2 10 2 32 3 2" xfId="3969" xr:uid="{00000000-0005-0000-0000-0000420F0000}"/>
    <cellStyle name="Normal 10 2 10 2 32 3 3" xfId="3970" xr:uid="{00000000-0005-0000-0000-0000430F0000}"/>
    <cellStyle name="Normal 10 2 10 2 32 3 4" xfId="3971" xr:uid="{00000000-0005-0000-0000-0000440F0000}"/>
    <cellStyle name="Normal 10 2 10 2 32 3 5" xfId="3972" xr:uid="{00000000-0005-0000-0000-0000450F0000}"/>
    <cellStyle name="Normal 10 2 10 2 32 3 6" xfId="3973" xr:uid="{00000000-0005-0000-0000-0000460F0000}"/>
    <cellStyle name="Normal 10 2 10 2 32 3 7" xfId="3974" xr:uid="{00000000-0005-0000-0000-0000470F0000}"/>
    <cellStyle name="Normal 10 2 10 2 32 3 8" xfId="3975" xr:uid="{00000000-0005-0000-0000-0000480F0000}"/>
    <cellStyle name="Normal 10 2 10 2 32 3 9" xfId="3976" xr:uid="{00000000-0005-0000-0000-0000490F0000}"/>
    <cellStyle name="Normal 10 2 10 2 32 4" xfId="3977" xr:uid="{00000000-0005-0000-0000-00004A0F0000}"/>
    <cellStyle name="Normal 10 2 10 2 32 4 10" xfId="3978" xr:uid="{00000000-0005-0000-0000-00004B0F0000}"/>
    <cellStyle name="Normal 10 2 10 2 32 4 2" xfId="3979" xr:uid="{00000000-0005-0000-0000-00004C0F0000}"/>
    <cellStyle name="Normal 10 2 10 2 32 4 3" xfId="3980" xr:uid="{00000000-0005-0000-0000-00004D0F0000}"/>
    <cellStyle name="Normal 10 2 10 2 32 4 4" xfId="3981" xr:uid="{00000000-0005-0000-0000-00004E0F0000}"/>
    <cellStyle name="Normal 10 2 10 2 32 4 5" xfId="3982" xr:uid="{00000000-0005-0000-0000-00004F0F0000}"/>
    <cellStyle name="Normal 10 2 10 2 32 4 6" xfId="3983" xr:uid="{00000000-0005-0000-0000-0000500F0000}"/>
    <cellStyle name="Normal 10 2 10 2 32 4 7" xfId="3984" xr:uid="{00000000-0005-0000-0000-0000510F0000}"/>
    <cellStyle name="Normal 10 2 10 2 32 4 8" xfId="3985" xr:uid="{00000000-0005-0000-0000-0000520F0000}"/>
    <cellStyle name="Normal 10 2 10 2 32 4 9" xfId="3986" xr:uid="{00000000-0005-0000-0000-0000530F0000}"/>
    <cellStyle name="Normal 10 2 10 2 32 5" xfId="3987" xr:uid="{00000000-0005-0000-0000-0000540F0000}"/>
    <cellStyle name="Normal 10 2 10 2 32 5 10" xfId="3988" xr:uid="{00000000-0005-0000-0000-0000550F0000}"/>
    <cellStyle name="Normal 10 2 10 2 32 5 2" xfId="3989" xr:uid="{00000000-0005-0000-0000-0000560F0000}"/>
    <cellStyle name="Normal 10 2 10 2 32 5 3" xfId="3990" xr:uid="{00000000-0005-0000-0000-0000570F0000}"/>
    <cellStyle name="Normal 10 2 10 2 32 5 4" xfId="3991" xr:uid="{00000000-0005-0000-0000-0000580F0000}"/>
    <cellStyle name="Normal 10 2 10 2 32 5 5" xfId="3992" xr:uid="{00000000-0005-0000-0000-0000590F0000}"/>
    <cellStyle name="Normal 10 2 10 2 32 5 6" xfId="3993" xr:uid="{00000000-0005-0000-0000-00005A0F0000}"/>
    <cellStyle name="Normal 10 2 10 2 32 5 7" xfId="3994" xr:uid="{00000000-0005-0000-0000-00005B0F0000}"/>
    <cellStyle name="Normal 10 2 10 2 32 5 8" xfId="3995" xr:uid="{00000000-0005-0000-0000-00005C0F0000}"/>
    <cellStyle name="Normal 10 2 10 2 32 5 9" xfId="3996" xr:uid="{00000000-0005-0000-0000-00005D0F0000}"/>
    <cellStyle name="Normal 10 2 10 2 32 6" xfId="3997" xr:uid="{00000000-0005-0000-0000-00005E0F0000}"/>
    <cellStyle name="Normal 10 2 10 2 32 7" xfId="3998" xr:uid="{00000000-0005-0000-0000-00005F0F0000}"/>
    <cellStyle name="Normal 10 2 10 2 32 8" xfId="3999" xr:uid="{00000000-0005-0000-0000-0000600F0000}"/>
    <cellStyle name="Normal 10 2 10 2 32 9" xfId="4000" xr:uid="{00000000-0005-0000-0000-0000610F0000}"/>
    <cellStyle name="Normal 10 2 10 2 33" xfId="4001" xr:uid="{00000000-0005-0000-0000-0000620F0000}"/>
    <cellStyle name="Normal 10 2 10 2 33 10" xfId="4002" xr:uid="{00000000-0005-0000-0000-0000630F0000}"/>
    <cellStyle name="Normal 10 2 10 2 33 11" xfId="4003" xr:uid="{00000000-0005-0000-0000-0000640F0000}"/>
    <cellStyle name="Normal 10 2 10 2 33 12" xfId="4004" xr:uid="{00000000-0005-0000-0000-0000650F0000}"/>
    <cellStyle name="Normal 10 2 10 2 33 13" xfId="4005" xr:uid="{00000000-0005-0000-0000-0000660F0000}"/>
    <cellStyle name="Normal 10 2 10 2 33 14" xfId="4006" xr:uid="{00000000-0005-0000-0000-0000670F0000}"/>
    <cellStyle name="Normal 10 2 10 2 33 2" xfId="4007" xr:uid="{00000000-0005-0000-0000-0000680F0000}"/>
    <cellStyle name="Normal 10 2 10 2 33 2 10" xfId="4008" xr:uid="{00000000-0005-0000-0000-0000690F0000}"/>
    <cellStyle name="Normal 10 2 10 2 33 2 2" xfId="4009" xr:uid="{00000000-0005-0000-0000-00006A0F0000}"/>
    <cellStyle name="Normal 10 2 10 2 33 2 3" xfId="4010" xr:uid="{00000000-0005-0000-0000-00006B0F0000}"/>
    <cellStyle name="Normal 10 2 10 2 33 2 4" xfId="4011" xr:uid="{00000000-0005-0000-0000-00006C0F0000}"/>
    <cellStyle name="Normal 10 2 10 2 33 2 5" xfId="4012" xr:uid="{00000000-0005-0000-0000-00006D0F0000}"/>
    <cellStyle name="Normal 10 2 10 2 33 2 6" xfId="4013" xr:uid="{00000000-0005-0000-0000-00006E0F0000}"/>
    <cellStyle name="Normal 10 2 10 2 33 2 7" xfId="4014" xr:uid="{00000000-0005-0000-0000-00006F0F0000}"/>
    <cellStyle name="Normal 10 2 10 2 33 2 8" xfId="4015" xr:uid="{00000000-0005-0000-0000-0000700F0000}"/>
    <cellStyle name="Normal 10 2 10 2 33 2 9" xfId="4016" xr:uid="{00000000-0005-0000-0000-0000710F0000}"/>
    <cellStyle name="Normal 10 2 10 2 33 3" xfId="4017" xr:uid="{00000000-0005-0000-0000-0000720F0000}"/>
    <cellStyle name="Normal 10 2 10 2 33 3 10" xfId="4018" xr:uid="{00000000-0005-0000-0000-0000730F0000}"/>
    <cellStyle name="Normal 10 2 10 2 33 3 2" xfId="4019" xr:uid="{00000000-0005-0000-0000-0000740F0000}"/>
    <cellStyle name="Normal 10 2 10 2 33 3 3" xfId="4020" xr:uid="{00000000-0005-0000-0000-0000750F0000}"/>
    <cellStyle name="Normal 10 2 10 2 33 3 4" xfId="4021" xr:uid="{00000000-0005-0000-0000-0000760F0000}"/>
    <cellStyle name="Normal 10 2 10 2 33 3 5" xfId="4022" xr:uid="{00000000-0005-0000-0000-0000770F0000}"/>
    <cellStyle name="Normal 10 2 10 2 33 3 6" xfId="4023" xr:uid="{00000000-0005-0000-0000-0000780F0000}"/>
    <cellStyle name="Normal 10 2 10 2 33 3 7" xfId="4024" xr:uid="{00000000-0005-0000-0000-0000790F0000}"/>
    <cellStyle name="Normal 10 2 10 2 33 3 8" xfId="4025" xr:uid="{00000000-0005-0000-0000-00007A0F0000}"/>
    <cellStyle name="Normal 10 2 10 2 33 3 9" xfId="4026" xr:uid="{00000000-0005-0000-0000-00007B0F0000}"/>
    <cellStyle name="Normal 10 2 10 2 33 4" xfId="4027" xr:uid="{00000000-0005-0000-0000-00007C0F0000}"/>
    <cellStyle name="Normal 10 2 10 2 33 4 10" xfId="4028" xr:uid="{00000000-0005-0000-0000-00007D0F0000}"/>
    <cellStyle name="Normal 10 2 10 2 33 4 2" xfId="4029" xr:uid="{00000000-0005-0000-0000-00007E0F0000}"/>
    <cellStyle name="Normal 10 2 10 2 33 4 3" xfId="4030" xr:uid="{00000000-0005-0000-0000-00007F0F0000}"/>
    <cellStyle name="Normal 10 2 10 2 33 4 4" xfId="4031" xr:uid="{00000000-0005-0000-0000-0000800F0000}"/>
    <cellStyle name="Normal 10 2 10 2 33 4 5" xfId="4032" xr:uid="{00000000-0005-0000-0000-0000810F0000}"/>
    <cellStyle name="Normal 10 2 10 2 33 4 6" xfId="4033" xr:uid="{00000000-0005-0000-0000-0000820F0000}"/>
    <cellStyle name="Normal 10 2 10 2 33 4 7" xfId="4034" xr:uid="{00000000-0005-0000-0000-0000830F0000}"/>
    <cellStyle name="Normal 10 2 10 2 33 4 8" xfId="4035" xr:uid="{00000000-0005-0000-0000-0000840F0000}"/>
    <cellStyle name="Normal 10 2 10 2 33 4 9" xfId="4036" xr:uid="{00000000-0005-0000-0000-0000850F0000}"/>
    <cellStyle name="Normal 10 2 10 2 33 5" xfId="4037" xr:uid="{00000000-0005-0000-0000-0000860F0000}"/>
    <cellStyle name="Normal 10 2 10 2 33 5 10" xfId="4038" xr:uid="{00000000-0005-0000-0000-0000870F0000}"/>
    <cellStyle name="Normal 10 2 10 2 33 5 2" xfId="4039" xr:uid="{00000000-0005-0000-0000-0000880F0000}"/>
    <cellStyle name="Normal 10 2 10 2 33 5 3" xfId="4040" xr:uid="{00000000-0005-0000-0000-0000890F0000}"/>
    <cellStyle name="Normal 10 2 10 2 33 5 4" xfId="4041" xr:uid="{00000000-0005-0000-0000-00008A0F0000}"/>
    <cellStyle name="Normal 10 2 10 2 33 5 5" xfId="4042" xr:uid="{00000000-0005-0000-0000-00008B0F0000}"/>
    <cellStyle name="Normal 10 2 10 2 33 5 6" xfId="4043" xr:uid="{00000000-0005-0000-0000-00008C0F0000}"/>
    <cellStyle name="Normal 10 2 10 2 33 5 7" xfId="4044" xr:uid="{00000000-0005-0000-0000-00008D0F0000}"/>
    <cellStyle name="Normal 10 2 10 2 33 5 8" xfId="4045" xr:uid="{00000000-0005-0000-0000-00008E0F0000}"/>
    <cellStyle name="Normal 10 2 10 2 33 5 9" xfId="4046" xr:uid="{00000000-0005-0000-0000-00008F0F0000}"/>
    <cellStyle name="Normal 10 2 10 2 33 6" xfId="4047" xr:uid="{00000000-0005-0000-0000-0000900F0000}"/>
    <cellStyle name="Normal 10 2 10 2 33 7" xfId="4048" xr:uid="{00000000-0005-0000-0000-0000910F0000}"/>
    <cellStyle name="Normal 10 2 10 2 33 8" xfId="4049" xr:uid="{00000000-0005-0000-0000-0000920F0000}"/>
    <cellStyle name="Normal 10 2 10 2 33 9" xfId="4050" xr:uid="{00000000-0005-0000-0000-0000930F0000}"/>
    <cellStyle name="Normal 10 2 10 2 34" xfId="4051" xr:uid="{00000000-0005-0000-0000-0000940F0000}"/>
    <cellStyle name="Normal 10 2 10 2 34 10" xfId="4052" xr:uid="{00000000-0005-0000-0000-0000950F0000}"/>
    <cellStyle name="Normal 10 2 10 2 34 2" xfId="4053" xr:uid="{00000000-0005-0000-0000-0000960F0000}"/>
    <cellStyle name="Normal 10 2 10 2 34 3" xfId="4054" xr:uid="{00000000-0005-0000-0000-0000970F0000}"/>
    <cellStyle name="Normal 10 2 10 2 34 4" xfId="4055" xr:uid="{00000000-0005-0000-0000-0000980F0000}"/>
    <cellStyle name="Normal 10 2 10 2 34 5" xfId="4056" xr:uid="{00000000-0005-0000-0000-0000990F0000}"/>
    <cellStyle name="Normal 10 2 10 2 34 6" xfId="4057" xr:uid="{00000000-0005-0000-0000-00009A0F0000}"/>
    <cellStyle name="Normal 10 2 10 2 34 7" xfId="4058" xr:uid="{00000000-0005-0000-0000-00009B0F0000}"/>
    <cellStyle name="Normal 10 2 10 2 34 8" xfId="4059" xr:uid="{00000000-0005-0000-0000-00009C0F0000}"/>
    <cellStyle name="Normal 10 2 10 2 34 9" xfId="4060" xr:uid="{00000000-0005-0000-0000-00009D0F0000}"/>
    <cellStyle name="Normal 10 2 10 2 35" xfId="4061" xr:uid="{00000000-0005-0000-0000-00009E0F0000}"/>
    <cellStyle name="Normal 10 2 10 2 35 10" xfId="4062" xr:uid="{00000000-0005-0000-0000-00009F0F0000}"/>
    <cellStyle name="Normal 10 2 10 2 35 2" xfId="4063" xr:uid="{00000000-0005-0000-0000-0000A00F0000}"/>
    <cellStyle name="Normal 10 2 10 2 35 3" xfId="4064" xr:uid="{00000000-0005-0000-0000-0000A10F0000}"/>
    <cellStyle name="Normal 10 2 10 2 35 4" xfId="4065" xr:uid="{00000000-0005-0000-0000-0000A20F0000}"/>
    <cellStyle name="Normal 10 2 10 2 35 5" xfId="4066" xr:uid="{00000000-0005-0000-0000-0000A30F0000}"/>
    <cellStyle name="Normal 10 2 10 2 35 6" xfId="4067" xr:uid="{00000000-0005-0000-0000-0000A40F0000}"/>
    <cellStyle name="Normal 10 2 10 2 35 7" xfId="4068" xr:uid="{00000000-0005-0000-0000-0000A50F0000}"/>
    <cellStyle name="Normal 10 2 10 2 35 8" xfId="4069" xr:uid="{00000000-0005-0000-0000-0000A60F0000}"/>
    <cellStyle name="Normal 10 2 10 2 35 9" xfId="4070" xr:uid="{00000000-0005-0000-0000-0000A70F0000}"/>
    <cellStyle name="Normal 10 2 10 2 36" xfId="4071" xr:uid="{00000000-0005-0000-0000-0000A80F0000}"/>
    <cellStyle name="Normal 10 2 10 2 36 10" xfId="4072" xr:uid="{00000000-0005-0000-0000-0000A90F0000}"/>
    <cellStyle name="Normal 10 2 10 2 36 2" xfId="4073" xr:uid="{00000000-0005-0000-0000-0000AA0F0000}"/>
    <cellStyle name="Normal 10 2 10 2 36 3" xfId="4074" xr:uid="{00000000-0005-0000-0000-0000AB0F0000}"/>
    <cellStyle name="Normal 10 2 10 2 36 4" xfId="4075" xr:uid="{00000000-0005-0000-0000-0000AC0F0000}"/>
    <cellStyle name="Normal 10 2 10 2 36 5" xfId="4076" xr:uid="{00000000-0005-0000-0000-0000AD0F0000}"/>
    <cellStyle name="Normal 10 2 10 2 36 6" xfId="4077" xr:uid="{00000000-0005-0000-0000-0000AE0F0000}"/>
    <cellStyle name="Normal 10 2 10 2 36 7" xfId="4078" xr:uid="{00000000-0005-0000-0000-0000AF0F0000}"/>
    <cellStyle name="Normal 10 2 10 2 36 8" xfId="4079" xr:uid="{00000000-0005-0000-0000-0000B00F0000}"/>
    <cellStyle name="Normal 10 2 10 2 36 9" xfId="4080" xr:uid="{00000000-0005-0000-0000-0000B10F0000}"/>
    <cellStyle name="Normal 10 2 10 2 37" xfId="4081" xr:uid="{00000000-0005-0000-0000-0000B20F0000}"/>
    <cellStyle name="Normal 10 2 10 2 37 10" xfId="4082" xr:uid="{00000000-0005-0000-0000-0000B30F0000}"/>
    <cellStyle name="Normal 10 2 10 2 37 2" xfId="4083" xr:uid="{00000000-0005-0000-0000-0000B40F0000}"/>
    <cellStyle name="Normal 10 2 10 2 37 3" xfId="4084" xr:uid="{00000000-0005-0000-0000-0000B50F0000}"/>
    <cellStyle name="Normal 10 2 10 2 37 4" xfId="4085" xr:uid="{00000000-0005-0000-0000-0000B60F0000}"/>
    <cellStyle name="Normal 10 2 10 2 37 5" xfId="4086" xr:uid="{00000000-0005-0000-0000-0000B70F0000}"/>
    <cellStyle name="Normal 10 2 10 2 37 6" xfId="4087" xr:uid="{00000000-0005-0000-0000-0000B80F0000}"/>
    <cellStyle name="Normal 10 2 10 2 37 7" xfId="4088" xr:uid="{00000000-0005-0000-0000-0000B90F0000}"/>
    <cellStyle name="Normal 10 2 10 2 37 8" xfId="4089" xr:uid="{00000000-0005-0000-0000-0000BA0F0000}"/>
    <cellStyle name="Normal 10 2 10 2 37 9" xfId="4090" xr:uid="{00000000-0005-0000-0000-0000BB0F0000}"/>
    <cellStyle name="Normal 10 2 10 2 38" xfId="4091" xr:uid="{00000000-0005-0000-0000-0000BC0F0000}"/>
    <cellStyle name="Normal 10 2 10 2 39" xfId="4092" xr:uid="{00000000-0005-0000-0000-0000BD0F0000}"/>
    <cellStyle name="Normal 10 2 10 2 4" xfId="4093" xr:uid="{00000000-0005-0000-0000-0000BE0F0000}"/>
    <cellStyle name="Normal 10 2 10 2 4 10" xfId="4094" xr:uid="{00000000-0005-0000-0000-0000BF0F0000}"/>
    <cellStyle name="Normal 10 2 10 2 4 11" xfId="4095" xr:uid="{00000000-0005-0000-0000-0000C00F0000}"/>
    <cellStyle name="Normal 10 2 10 2 4 12" xfId="4096" xr:uid="{00000000-0005-0000-0000-0000C10F0000}"/>
    <cellStyle name="Normal 10 2 10 2 4 13" xfId="4097" xr:uid="{00000000-0005-0000-0000-0000C20F0000}"/>
    <cellStyle name="Normal 10 2 10 2 4 14" xfId="4098" xr:uid="{00000000-0005-0000-0000-0000C30F0000}"/>
    <cellStyle name="Normal 10 2 10 2 4 2" xfId="4099" xr:uid="{00000000-0005-0000-0000-0000C40F0000}"/>
    <cellStyle name="Normal 10 2 10 2 4 2 10" xfId="4100" xr:uid="{00000000-0005-0000-0000-0000C50F0000}"/>
    <cellStyle name="Normal 10 2 10 2 4 2 2" xfId="4101" xr:uid="{00000000-0005-0000-0000-0000C60F0000}"/>
    <cellStyle name="Normal 10 2 10 2 4 2 3" xfId="4102" xr:uid="{00000000-0005-0000-0000-0000C70F0000}"/>
    <cellStyle name="Normal 10 2 10 2 4 2 4" xfId="4103" xr:uid="{00000000-0005-0000-0000-0000C80F0000}"/>
    <cellStyle name="Normal 10 2 10 2 4 2 5" xfId="4104" xr:uid="{00000000-0005-0000-0000-0000C90F0000}"/>
    <cellStyle name="Normal 10 2 10 2 4 2 6" xfId="4105" xr:uid="{00000000-0005-0000-0000-0000CA0F0000}"/>
    <cellStyle name="Normal 10 2 10 2 4 2 7" xfId="4106" xr:uid="{00000000-0005-0000-0000-0000CB0F0000}"/>
    <cellStyle name="Normal 10 2 10 2 4 2 8" xfId="4107" xr:uid="{00000000-0005-0000-0000-0000CC0F0000}"/>
    <cellStyle name="Normal 10 2 10 2 4 2 9" xfId="4108" xr:uid="{00000000-0005-0000-0000-0000CD0F0000}"/>
    <cellStyle name="Normal 10 2 10 2 4 3" xfId="4109" xr:uid="{00000000-0005-0000-0000-0000CE0F0000}"/>
    <cellStyle name="Normal 10 2 10 2 4 3 10" xfId="4110" xr:uid="{00000000-0005-0000-0000-0000CF0F0000}"/>
    <cellStyle name="Normal 10 2 10 2 4 3 2" xfId="4111" xr:uid="{00000000-0005-0000-0000-0000D00F0000}"/>
    <cellStyle name="Normal 10 2 10 2 4 3 3" xfId="4112" xr:uid="{00000000-0005-0000-0000-0000D10F0000}"/>
    <cellStyle name="Normal 10 2 10 2 4 3 4" xfId="4113" xr:uid="{00000000-0005-0000-0000-0000D20F0000}"/>
    <cellStyle name="Normal 10 2 10 2 4 3 5" xfId="4114" xr:uid="{00000000-0005-0000-0000-0000D30F0000}"/>
    <cellStyle name="Normal 10 2 10 2 4 3 6" xfId="4115" xr:uid="{00000000-0005-0000-0000-0000D40F0000}"/>
    <cellStyle name="Normal 10 2 10 2 4 3 7" xfId="4116" xr:uid="{00000000-0005-0000-0000-0000D50F0000}"/>
    <cellStyle name="Normal 10 2 10 2 4 3 8" xfId="4117" xr:uid="{00000000-0005-0000-0000-0000D60F0000}"/>
    <cellStyle name="Normal 10 2 10 2 4 3 9" xfId="4118" xr:uid="{00000000-0005-0000-0000-0000D70F0000}"/>
    <cellStyle name="Normal 10 2 10 2 4 4" xfId="4119" xr:uid="{00000000-0005-0000-0000-0000D80F0000}"/>
    <cellStyle name="Normal 10 2 10 2 4 4 10" xfId="4120" xr:uid="{00000000-0005-0000-0000-0000D90F0000}"/>
    <cellStyle name="Normal 10 2 10 2 4 4 2" xfId="4121" xr:uid="{00000000-0005-0000-0000-0000DA0F0000}"/>
    <cellStyle name="Normal 10 2 10 2 4 4 3" xfId="4122" xr:uid="{00000000-0005-0000-0000-0000DB0F0000}"/>
    <cellStyle name="Normal 10 2 10 2 4 4 4" xfId="4123" xr:uid="{00000000-0005-0000-0000-0000DC0F0000}"/>
    <cellStyle name="Normal 10 2 10 2 4 4 5" xfId="4124" xr:uid="{00000000-0005-0000-0000-0000DD0F0000}"/>
    <cellStyle name="Normal 10 2 10 2 4 4 6" xfId="4125" xr:uid="{00000000-0005-0000-0000-0000DE0F0000}"/>
    <cellStyle name="Normal 10 2 10 2 4 4 7" xfId="4126" xr:uid="{00000000-0005-0000-0000-0000DF0F0000}"/>
    <cellStyle name="Normal 10 2 10 2 4 4 8" xfId="4127" xr:uid="{00000000-0005-0000-0000-0000E00F0000}"/>
    <cellStyle name="Normal 10 2 10 2 4 4 9" xfId="4128" xr:uid="{00000000-0005-0000-0000-0000E10F0000}"/>
    <cellStyle name="Normal 10 2 10 2 4 5" xfId="4129" xr:uid="{00000000-0005-0000-0000-0000E20F0000}"/>
    <cellStyle name="Normal 10 2 10 2 4 5 10" xfId="4130" xr:uid="{00000000-0005-0000-0000-0000E30F0000}"/>
    <cellStyle name="Normal 10 2 10 2 4 5 2" xfId="4131" xr:uid="{00000000-0005-0000-0000-0000E40F0000}"/>
    <cellStyle name="Normal 10 2 10 2 4 5 3" xfId="4132" xr:uid="{00000000-0005-0000-0000-0000E50F0000}"/>
    <cellStyle name="Normal 10 2 10 2 4 5 4" xfId="4133" xr:uid="{00000000-0005-0000-0000-0000E60F0000}"/>
    <cellStyle name="Normal 10 2 10 2 4 5 5" xfId="4134" xr:uid="{00000000-0005-0000-0000-0000E70F0000}"/>
    <cellStyle name="Normal 10 2 10 2 4 5 6" xfId="4135" xr:uid="{00000000-0005-0000-0000-0000E80F0000}"/>
    <cellStyle name="Normal 10 2 10 2 4 5 7" xfId="4136" xr:uid="{00000000-0005-0000-0000-0000E90F0000}"/>
    <cellStyle name="Normal 10 2 10 2 4 5 8" xfId="4137" xr:uid="{00000000-0005-0000-0000-0000EA0F0000}"/>
    <cellStyle name="Normal 10 2 10 2 4 5 9" xfId="4138" xr:uid="{00000000-0005-0000-0000-0000EB0F0000}"/>
    <cellStyle name="Normal 10 2 10 2 4 6" xfId="4139" xr:uid="{00000000-0005-0000-0000-0000EC0F0000}"/>
    <cellStyle name="Normal 10 2 10 2 4 7" xfId="4140" xr:uid="{00000000-0005-0000-0000-0000ED0F0000}"/>
    <cellStyle name="Normal 10 2 10 2 4 8" xfId="4141" xr:uid="{00000000-0005-0000-0000-0000EE0F0000}"/>
    <cellStyle name="Normal 10 2 10 2 4 9" xfId="4142" xr:uid="{00000000-0005-0000-0000-0000EF0F0000}"/>
    <cellStyle name="Normal 10 2 10 2 40" xfId="4143" xr:uid="{00000000-0005-0000-0000-0000F00F0000}"/>
    <cellStyle name="Normal 10 2 10 2 41" xfId="4144" xr:uid="{00000000-0005-0000-0000-0000F10F0000}"/>
    <cellStyle name="Normal 10 2 10 2 42" xfId="4145" xr:uid="{00000000-0005-0000-0000-0000F20F0000}"/>
    <cellStyle name="Normal 10 2 10 2 43" xfId="4146" xr:uid="{00000000-0005-0000-0000-0000F30F0000}"/>
    <cellStyle name="Normal 10 2 10 2 44" xfId="4147" xr:uid="{00000000-0005-0000-0000-0000F40F0000}"/>
    <cellStyle name="Normal 10 2 10 2 45" xfId="4148" xr:uid="{00000000-0005-0000-0000-0000F50F0000}"/>
    <cellStyle name="Normal 10 2 10 2 46" xfId="4149" xr:uid="{00000000-0005-0000-0000-0000F60F0000}"/>
    <cellStyle name="Normal 10 2 10 2 47" xfId="4150" xr:uid="{00000000-0005-0000-0000-0000F70F0000}"/>
    <cellStyle name="Normal 10 2 10 2 48" xfId="4151" xr:uid="{00000000-0005-0000-0000-0000F80F0000}"/>
    <cellStyle name="Normal 10 2 10 2 49" xfId="2750" xr:uid="{00000000-0005-0000-0000-0000F90F0000}"/>
    <cellStyle name="Normal 10 2 10 2 5" xfId="4152" xr:uid="{00000000-0005-0000-0000-0000FA0F0000}"/>
    <cellStyle name="Normal 10 2 10 2 5 10" xfId="4153" xr:uid="{00000000-0005-0000-0000-0000FB0F0000}"/>
    <cellStyle name="Normal 10 2 10 2 5 11" xfId="4154" xr:uid="{00000000-0005-0000-0000-0000FC0F0000}"/>
    <cellStyle name="Normal 10 2 10 2 5 12" xfId="4155" xr:uid="{00000000-0005-0000-0000-0000FD0F0000}"/>
    <cellStyle name="Normal 10 2 10 2 5 13" xfId="4156" xr:uid="{00000000-0005-0000-0000-0000FE0F0000}"/>
    <cellStyle name="Normal 10 2 10 2 5 14" xfId="4157" xr:uid="{00000000-0005-0000-0000-0000FF0F0000}"/>
    <cellStyle name="Normal 10 2 10 2 5 2" xfId="4158" xr:uid="{00000000-0005-0000-0000-000000100000}"/>
    <cellStyle name="Normal 10 2 10 2 5 2 10" xfId="4159" xr:uid="{00000000-0005-0000-0000-000001100000}"/>
    <cellStyle name="Normal 10 2 10 2 5 2 2" xfId="4160" xr:uid="{00000000-0005-0000-0000-000002100000}"/>
    <cellStyle name="Normal 10 2 10 2 5 2 3" xfId="4161" xr:uid="{00000000-0005-0000-0000-000003100000}"/>
    <cellStyle name="Normal 10 2 10 2 5 2 4" xfId="4162" xr:uid="{00000000-0005-0000-0000-000004100000}"/>
    <cellStyle name="Normal 10 2 10 2 5 2 5" xfId="4163" xr:uid="{00000000-0005-0000-0000-000005100000}"/>
    <cellStyle name="Normal 10 2 10 2 5 2 6" xfId="4164" xr:uid="{00000000-0005-0000-0000-000006100000}"/>
    <cellStyle name="Normal 10 2 10 2 5 2 7" xfId="4165" xr:uid="{00000000-0005-0000-0000-000007100000}"/>
    <cellStyle name="Normal 10 2 10 2 5 2 8" xfId="4166" xr:uid="{00000000-0005-0000-0000-000008100000}"/>
    <cellStyle name="Normal 10 2 10 2 5 2 9" xfId="4167" xr:uid="{00000000-0005-0000-0000-000009100000}"/>
    <cellStyle name="Normal 10 2 10 2 5 3" xfId="4168" xr:uid="{00000000-0005-0000-0000-00000A100000}"/>
    <cellStyle name="Normal 10 2 10 2 5 3 10" xfId="4169" xr:uid="{00000000-0005-0000-0000-00000B100000}"/>
    <cellStyle name="Normal 10 2 10 2 5 3 2" xfId="4170" xr:uid="{00000000-0005-0000-0000-00000C100000}"/>
    <cellStyle name="Normal 10 2 10 2 5 3 3" xfId="4171" xr:uid="{00000000-0005-0000-0000-00000D100000}"/>
    <cellStyle name="Normal 10 2 10 2 5 3 4" xfId="4172" xr:uid="{00000000-0005-0000-0000-00000E100000}"/>
    <cellStyle name="Normal 10 2 10 2 5 3 5" xfId="4173" xr:uid="{00000000-0005-0000-0000-00000F100000}"/>
    <cellStyle name="Normal 10 2 10 2 5 3 6" xfId="4174" xr:uid="{00000000-0005-0000-0000-000010100000}"/>
    <cellStyle name="Normal 10 2 10 2 5 3 7" xfId="4175" xr:uid="{00000000-0005-0000-0000-000011100000}"/>
    <cellStyle name="Normal 10 2 10 2 5 3 8" xfId="4176" xr:uid="{00000000-0005-0000-0000-000012100000}"/>
    <cellStyle name="Normal 10 2 10 2 5 3 9" xfId="4177" xr:uid="{00000000-0005-0000-0000-000013100000}"/>
    <cellStyle name="Normal 10 2 10 2 5 4" xfId="4178" xr:uid="{00000000-0005-0000-0000-000014100000}"/>
    <cellStyle name="Normal 10 2 10 2 5 4 10" xfId="4179" xr:uid="{00000000-0005-0000-0000-000015100000}"/>
    <cellStyle name="Normal 10 2 10 2 5 4 2" xfId="4180" xr:uid="{00000000-0005-0000-0000-000016100000}"/>
    <cellStyle name="Normal 10 2 10 2 5 4 3" xfId="4181" xr:uid="{00000000-0005-0000-0000-000017100000}"/>
    <cellStyle name="Normal 10 2 10 2 5 4 4" xfId="4182" xr:uid="{00000000-0005-0000-0000-000018100000}"/>
    <cellStyle name="Normal 10 2 10 2 5 4 5" xfId="4183" xr:uid="{00000000-0005-0000-0000-000019100000}"/>
    <cellStyle name="Normal 10 2 10 2 5 4 6" xfId="4184" xr:uid="{00000000-0005-0000-0000-00001A100000}"/>
    <cellStyle name="Normal 10 2 10 2 5 4 7" xfId="4185" xr:uid="{00000000-0005-0000-0000-00001B100000}"/>
    <cellStyle name="Normal 10 2 10 2 5 4 8" xfId="4186" xr:uid="{00000000-0005-0000-0000-00001C100000}"/>
    <cellStyle name="Normal 10 2 10 2 5 4 9" xfId="4187" xr:uid="{00000000-0005-0000-0000-00001D100000}"/>
    <cellStyle name="Normal 10 2 10 2 5 5" xfId="4188" xr:uid="{00000000-0005-0000-0000-00001E100000}"/>
    <cellStyle name="Normal 10 2 10 2 5 5 10" xfId="4189" xr:uid="{00000000-0005-0000-0000-00001F100000}"/>
    <cellStyle name="Normal 10 2 10 2 5 5 2" xfId="4190" xr:uid="{00000000-0005-0000-0000-000020100000}"/>
    <cellStyle name="Normal 10 2 10 2 5 5 3" xfId="4191" xr:uid="{00000000-0005-0000-0000-000021100000}"/>
    <cellStyle name="Normal 10 2 10 2 5 5 4" xfId="4192" xr:uid="{00000000-0005-0000-0000-000022100000}"/>
    <cellStyle name="Normal 10 2 10 2 5 5 5" xfId="4193" xr:uid="{00000000-0005-0000-0000-000023100000}"/>
    <cellStyle name="Normal 10 2 10 2 5 5 6" xfId="4194" xr:uid="{00000000-0005-0000-0000-000024100000}"/>
    <cellStyle name="Normal 10 2 10 2 5 5 7" xfId="4195" xr:uid="{00000000-0005-0000-0000-000025100000}"/>
    <cellStyle name="Normal 10 2 10 2 5 5 8" xfId="4196" xr:uid="{00000000-0005-0000-0000-000026100000}"/>
    <cellStyle name="Normal 10 2 10 2 5 5 9" xfId="4197" xr:uid="{00000000-0005-0000-0000-000027100000}"/>
    <cellStyle name="Normal 10 2 10 2 5 6" xfId="4198" xr:uid="{00000000-0005-0000-0000-000028100000}"/>
    <cellStyle name="Normal 10 2 10 2 5 7" xfId="4199" xr:uid="{00000000-0005-0000-0000-000029100000}"/>
    <cellStyle name="Normal 10 2 10 2 5 8" xfId="4200" xr:uid="{00000000-0005-0000-0000-00002A100000}"/>
    <cellStyle name="Normal 10 2 10 2 5 9" xfId="4201" xr:uid="{00000000-0005-0000-0000-00002B100000}"/>
    <cellStyle name="Normal 10 2 10 2 6" xfId="4202" xr:uid="{00000000-0005-0000-0000-00002C100000}"/>
    <cellStyle name="Normal 10 2 10 2 6 10" xfId="4203" xr:uid="{00000000-0005-0000-0000-00002D100000}"/>
    <cellStyle name="Normal 10 2 10 2 6 11" xfId="4204" xr:uid="{00000000-0005-0000-0000-00002E100000}"/>
    <cellStyle name="Normal 10 2 10 2 6 12" xfId="4205" xr:uid="{00000000-0005-0000-0000-00002F100000}"/>
    <cellStyle name="Normal 10 2 10 2 6 13" xfId="4206" xr:uid="{00000000-0005-0000-0000-000030100000}"/>
    <cellStyle name="Normal 10 2 10 2 6 14" xfId="4207" xr:uid="{00000000-0005-0000-0000-000031100000}"/>
    <cellStyle name="Normal 10 2 10 2 6 2" xfId="4208" xr:uid="{00000000-0005-0000-0000-000032100000}"/>
    <cellStyle name="Normal 10 2 10 2 6 2 10" xfId="4209" xr:uid="{00000000-0005-0000-0000-000033100000}"/>
    <cellStyle name="Normal 10 2 10 2 6 2 2" xfId="4210" xr:uid="{00000000-0005-0000-0000-000034100000}"/>
    <cellStyle name="Normal 10 2 10 2 6 2 3" xfId="4211" xr:uid="{00000000-0005-0000-0000-000035100000}"/>
    <cellStyle name="Normal 10 2 10 2 6 2 4" xfId="4212" xr:uid="{00000000-0005-0000-0000-000036100000}"/>
    <cellStyle name="Normal 10 2 10 2 6 2 5" xfId="4213" xr:uid="{00000000-0005-0000-0000-000037100000}"/>
    <cellStyle name="Normal 10 2 10 2 6 2 6" xfId="4214" xr:uid="{00000000-0005-0000-0000-000038100000}"/>
    <cellStyle name="Normal 10 2 10 2 6 2 7" xfId="4215" xr:uid="{00000000-0005-0000-0000-000039100000}"/>
    <cellStyle name="Normal 10 2 10 2 6 2 8" xfId="4216" xr:uid="{00000000-0005-0000-0000-00003A100000}"/>
    <cellStyle name="Normal 10 2 10 2 6 2 9" xfId="4217" xr:uid="{00000000-0005-0000-0000-00003B100000}"/>
    <cellStyle name="Normal 10 2 10 2 6 3" xfId="4218" xr:uid="{00000000-0005-0000-0000-00003C100000}"/>
    <cellStyle name="Normal 10 2 10 2 6 3 10" xfId="4219" xr:uid="{00000000-0005-0000-0000-00003D100000}"/>
    <cellStyle name="Normal 10 2 10 2 6 3 2" xfId="4220" xr:uid="{00000000-0005-0000-0000-00003E100000}"/>
    <cellStyle name="Normal 10 2 10 2 6 3 3" xfId="4221" xr:uid="{00000000-0005-0000-0000-00003F100000}"/>
    <cellStyle name="Normal 10 2 10 2 6 3 4" xfId="4222" xr:uid="{00000000-0005-0000-0000-000040100000}"/>
    <cellStyle name="Normal 10 2 10 2 6 3 5" xfId="4223" xr:uid="{00000000-0005-0000-0000-000041100000}"/>
    <cellStyle name="Normal 10 2 10 2 6 3 6" xfId="4224" xr:uid="{00000000-0005-0000-0000-000042100000}"/>
    <cellStyle name="Normal 10 2 10 2 6 3 7" xfId="4225" xr:uid="{00000000-0005-0000-0000-000043100000}"/>
    <cellStyle name="Normal 10 2 10 2 6 3 8" xfId="4226" xr:uid="{00000000-0005-0000-0000-000044100000}"/>
    <cellStyle name="Normal 10 2 10 2 6 3 9" xfId="4227" xr:uid="{00000000-0005-0000-0000-000045100000}"/>
    <cellStyle name="Normal 10 2 10 2 6 4" xfId="4228" xr:uid="{00000000-0005-0000-0000-000046100000}"/>
    <cellStyle name="Normal 10 2 10 2 6 4 10" xfId="4229" xr:uid="{00000000-0005-0000-0000-000047100000}"/>
    <cellStyle name="Normal 10 2 10 2 6 4 2" xfId="4230" xr:uid="{00000000-0005-0000-0000-000048100000}"/>
    <cellStyle name="Normal 10 2 10 2 6 4 3" xfId="4231" xr:uid="{00000000-0005-0000-0000-000049100000}"/>
    <cellStyle name="Normal 10 2 10 2 6 4 4" xfId="4232" xr:uid="{00000000-0005-0000-0000-00004A100000}"/>
    <cellStyle name="Normal 10 2 10 2 6 4 5" xfId="4233" xr:uid="{00000000-0005-0000-0000-00004B100000}"/>
    <cellStyle name="Normal 10 2 10 2 6 4 6" xfId="4234" xr:uid="{00000000-0005-0000-0000-00004C100000}"/>
    <cellStyle name="Normal 10 2 10 2 6 4 7" xfId="4235" xr:uid="{00000000-0005-0000-0000-00004D100000}"/>
    <cellStyle name="Normal 10 2 10 2 6 4 8" xfId="4236" xr:uid="{00000000-0005-0000-0000-00004E100000}"/>
    <cellStyle name="Normal 10 2 10 2 6 4 9" xfId="4237" xr:uid="{00000000-0005-0000-0000-00004F100000}"/>
    <cellStyle name="Normal 10 2 10 2 6 5" xfId="4238" xr:uid="{00000000-0005-0000-0000-000050100000}"/>
    <cellStyle name="Normal 10 2 10 2 6 5 10" xfId="4239" xr:uid="{00000000-0005-0000-0000-000051100000}"/>
    <cellStyle name="Normal 10 2 10 2 6 5 2" xfId="4240" xr:uid="{00000000-0005-0000-0000-000052100000}"/>
    <cellStyle name="Normal 10 2 10 2 6 5 3" xfId="4241" xr:uid="{00000000-0005-0000-0000-000053100000}"/>
    <cellStyle name="Normal 10 2 10 2 6 5 4" xfId="4242" xr:uid="{00000000-0005-0000-0000-000054100000}"/>
    <cellStyle name="Normal 10 2 10 2 6 5 5" xfId="4243" xr:uid="{00000000-0005-0000-0000-000055100000}"/>
    <cellStyle name="Normal 10 2 10 2 6 5 6" xfId="4244" xr:uid="{00000000-0005-0000-0000-000056100000}"/>
    <cellStyle name="Normal 10 2 10 2 6 5 7" xfId="4245" xr:uid="{00000000-0005-0000-0000-000057100000}"/>
    <cellStyle name="Normal 10 2 10 2 6 5 8" xfId="4246" xr:uid="{00000000-0005-0000-0000-000058100000}"/>
    <cellStyle name="Normal 10 2 10 2 6 5 9" xfId="4247" xr:uid="{00000000-0005-0000-0000-000059100000}"/>
    <cellStyle name="Normal 10 2 10 2 6 6" xfId="4248" xr:uid="{00000000-0005-0000-0000-00005A100000}"/>
    <cellStyle name="Normal 10 2 10 2 6 7" xfId="4249" xr:uid="{00000000-0005-0000-0000-00005B100000}"/>
    <cellStyle name="Normal 10 2 10 2 6 8" xfId="4250" xr:uid="{00000000-0005-0000-0000-00005C100000}"/>
    <cellStyle name="Normal 10 2 10 2 6 9" xfId="4251" xr:uid="{00000000-0005-0000-0000-00005D100000}"/>
    <cellStyle name="Normal 10 2 10 2 7" xfId="4252" xr:uid="{00000000-0005-0000-0000-00005E100000}"/>
    <cellStyle name="Normal 10 2 10 2 7 10" xfId="4253" xr:uid="{00000000-0005-0000-0000-00005F100000}"/>
    <cellStyle name="Normal 10 2 10 2 7 11" xfId="4254" xr:uid="{00000000-0005-0000-0000-000060100000}"/>
    <cellStyle name="Normal 10 2 10 2 7 12" xfId="4255" xr:uid="{00000000-0005-0000-0000-000061100000}"/>
    <cellStyle name="Normal 10 2 10 2 7 13" xfId="4256" xr:uid="{00000000-0005-0000-0000-000062100000}"/>
    <cellStyle name="Normal 10 2 10 2 7 14" xfId="4257" xr:uid="{00000000-0005-0000-0000-000063100000}"/>
    <cellStyle name="Normal 10 2 10 2 7 2" xfId="4258" xr:uid="{00000000-0005-0000-0000-000064100000}"/>
    <cellStyle name="Normal 10 2 10 2 7 2 10" xfId="4259" xr:uid="{00000000-0005-0000-0000-000065100000}"/>
    <cellStyle name="Normal 10 2 10 2 7 2 2" xfId="4260" xr:uid="{00000000-0005-0000-0000-000066100000}"/>
    <cellStyle name="Normal 10 2 10 2 7 2 3" xfId="4261" xr:uid="{00000000-0005-0000-0000-000067100000}"/>
    <cellStyle name="Normal 10 2 10 2 7 2 4" xfId="4262" xr:uid="{00000000-0005-0000-0000-000068100000}"/>
    <cellStyle name="Normal 10 2 10 2 7 2 5" xfId="4263" xr:uid="{00000000-0005-0000-0000-000069100000}"/>
    <cellStyle name="Normal 10 2 10 2 7 2 6" xfId="4264" xr:uid="{00000000-0005-0000-0000-00006A100000}"/>
    <cellStyle name="Normal 10 2 10 2 7 2 7" xfId="4265" xr:uid="{00000000-0005-0000-0000-00006B100000}"/>
    <cellStyle name="Normal 10 2 10 2 7 2 8" xfId="4266" xr:uid="{00000000-0005-0000-0000-00006C100000}"/>
    <cellStyle name="Normal 10 2 10 2 7 2 9" xfId="4267" xr:uid="{00000000-0005-0000-0000-00006D100000}"/>
    <cellStyle name="Normal 10 2 10 2 7 3" xfId="4268" xr:uid="{00000000-0005-0000-0000-00006E100000}"/>
    <cellStyle name="Normal 10 2 10 2 7 3 10" xfId="4269" xr:uid="{00000000-0005-0000-0000-00006F100000}"/>
    <cellStyle name="Normal 10 2 10 2 7 3 2" xfId="4270" xr:uid="{00000000-0005-0000-0000-000070100000}"/>
    <cellStyle name="Normal 10 2 10 2 7 3 3" xfId="4271" xr:uid="{00000000-0005-0000-0000-000071100000}"/>
    <cellStyle name="Normal 10 2 10 2 7 3 4" xfId="4272" xr:uid="{00000000-0005-0000-0000-000072100000}"/>
    <cellStyle name="Normal 10 2 10 2 7 3 5" xfId="4273" xr:uid="{00000000-0005-0000-0000-000073100000}"/>
    <cellStyle name="Normal 10 2 10 2 7 3 6" xfId="4274" xr:uid="{00000000-0005-0000-0000-000074100000}"/>
    <cellStyle name="Normal 10 2 10 2 7 3 7" xfId="4275" xr:uid="{00000000-0005-0000-0000-000075100000}"/>
    <cellStyle name="Normal 10 2 10 2 7 3 8" xfId="4276" xr:uid="{00000000-0005-0000-0000-000076100000}"/>
    <cellStyle name="Normal 10 2 10 2 7 3 9" xfId="4277" xr:uid="{00000000-0005-0000-0000-000077100000}"/>
    <cellStyle name="Normal 10 2 10 2 7 4" xfId="4278" xr:uid="{00000000-0005-0000-0000-000078100000}"/>
    <cellStyle name="Normal 10 2 10 2 7 4 10" xfId="4279" xr:uid="{00000000-0005-0000-0000-000079100000}"/>
    <cellStyle name="Normal 10 2 10 2 7 4 2" xfId="4280" xr:uid="{00000000-0005-0000-0000-00007A100000}"/>
    <cellStyle name="Normal 10 2 10 2 7 4 3" xfId="4281" xr:uid="{00000000-0005-0000-0000-00007B100000}"/>
    <cellStyle name="Normal 10 2 10 2 7 4 4" xfId="4282" xr:uid="{00000000-0005-0000-0000-00007C100000}"/>
    <cellStyle name="Normal 10 2 10 2 7 4 5" xfId="4283" xr:uid="{00000000-0005-0000-0000-00007D100000}"/>
    <cellStyle name="Normal 10 2 10 2 7 4 6" xfId="4284" xr:uid="{00000000-0005-0000-0000-00007E100000}"/>
    <cellStyle name="Normal 10 2 10 2 7 4 7" xfId="4285" xr:uid="{00000000-0005-0000-0000-00007F100000}"/>
    <cellStyle name="Normal 10 2 10 2 7 4 8" xfId="4286" xr:uid="{00000000-0005-0000-0000-000080100000}"/>
    <cellStyle name="Normal 10 2 10 2 7 4 9" xfId="4287" xr:uid="{00000000-0005-0000-0000-000081100000}"/>
    <cellStyle name="Normal 10 2 10 2 7 5" xfId="4288" xr:uid="{00000000-0005-0000-0000-000082100000}"/>
    <cellStyle name="Normal 10 2 10 2 7 5 10" xfId="4289" xr:uid="{00000000-0005-0000-0000-000083100000}"/>
    <cellStyle name="Normal 10 2 10 2 7 5 2" xfId="4290" xr:uid="{00000000-0005-0000-0000-000084100000}"/>
    <cellStyle name="Normal 10 2 10 2 7 5 3" xfId="4291" xr:uid="{00000000-0005-0000-0000-000085100000}"/>
    <cellStyle name="Normal 10 2 10 2 7 5 4" xfId="4292" xr:uid="{00000000-0005-0000-0000-000086100000}"/>
    <cellStyle name="Normal 10 2 10 2 7 5 5" xfId="4293" xr:uid="{00000000-0005-0000-0000-000087100000}"/>
    <cellStyle name="Normal 10 2 10 2 7 5 6" xfId="4294" xr:uid="{00000000-0005-0000-0000-000088100000}"/>
    <cellStyle name="Normal 10 2 10 2 7 5 7" xfId="4295" xr:uid="{00000000-0005-0000-0000-000089100000}"/>
    <cellStyle name="Normal 10 2 10 2 7 5 8" xfId="4296" xr:uid="{00000000-0005-0000-0000-00008A100000}"/>
    <cellStyle name="Normal 10 2 10 2 7 5 9" xfId="4297" xr:uid="{00000000-0005-0000-0000-00008B100000}"/>
    <cellStyle name="Normal 10 2 10 2 7 6" xfId="4298" xr:uid="{00000000-0005-0000-0000-00008C100000}"/>
    <cellStyle name="Normal 10 2 10 2 7 7" xfId="4299" xr:uid="{00000000-0005-0000-0000-00008D100000}"/>
    <cellStyle name="Normal 10 2 10 2 7 8" xfId="4300" xr:uid="{00000000-0005-0000-0000-00008E100000}"/>
    <cellStyle name="Normal 10 2 10 2 7 9" xfId="4301" xr:uid="{00000000-0005-0000-0000-00008F100000}"/>
    <cellStyle name="Normal 10 2 10 2 8" xfId="4302" xr:uid="{00000000-0005-0000-0000-000090100000}"/>
    <cellStyle name="Normal 10 2 10 2 8 10" xfId="4303" xr:uid="{00000000-0005-0000-0000-000091100000}"/>
    <cellStyle name="Normal 10 2 10 2 8 11" xfId="4304" xr:uid="{00000000-0005-0000-0000-000092100000}"/>
    <cellStyle name="Normal 10 2 10 2 8 12" xfId="4305" xr:uid="{00000000-0005-0000-0000-000093100000}"/>
    <cellStyle name="Normal 10 2 10 2 8 13" xfId="4306" xr:uid="{00000000-0005-0000-0000-000094100000}"/>
    <cellStyle name="Normal 10 2 10 2 8 14" xfId="4307" xr:uid="{00000000-0005-0000-0000-000095100000}"/>
    <cellStyle name="Normal 10 2 10 2 8 2" xfId="4308" xr:uid="{00000000-0005-0000-0000-000096100000}"/>
    <cellStyle name="Normal 10 2 10 2 8 2 10" xfId="4309" xr:uid="{00000000-0005-0000-0000-000097100000}"/>
    <cellStyle name="Normal 10 2 10 2 8 2 2" xfId="4310" xr:uid="{00000000-0005-0000-0000-000098100000}"/>
    <cellStyle name="Normal 10 2 10 2 8 2 3" xfId="4311" xr:uid="{00000000-0005-0000-0000-000099100000}"/>
    <cellStyle name="Normal 10 2 10 2 8 2 4" xfId="4312" xr:uid="{00000000-0005-0000-0000-00009A100000}"/>
    <cellStyle name="Normal 10 2 10 2 8 2 5" xfId="4313" xr:uid="{00000000-0005-0000-0000-00009B100000}"/>
    <cellStyle name="Normal 10 2 10 2 8 2 6" xfId="4314" xr:uid="{00000000-0005-0000-0000-00009C100000}"/>
    <cellStyle name="Normal 10 2 10 2 8 2 7" xfId="4315" xr:uid="{00000000-0005-0000-0000-00009D100000}"/>
    <cellStyle name="Normal 10 2 10 2 8 2 8" xfId="4316" xr:uid="{00000000-0005-0000-0000-00009E100000}"/>
    <cellStyle name="Normal 10 2 10 2 8 2 9" xfId="4317" xr:uid="{00000000-0005-0000-0000-00009F100000}"/>
    <cellStyle name="Normal 10 2 10 2 8 3" xfId="4318" xr:uid="{00000000-0005-0000-0000-0000A0100000}"/>
    <cellStyle name="Normal 10 2 10 2 8 3 10" xfId="4319" xr:uid="{00000000-0005-0000-0000-0000A1100000}"/>
    <cellStyle name="Normal 10 2 10 2 8 3 2" xfId="4320" xr:uid="{00000000-0005-0000-0000-0000A2100000}"/>
    <cellStyle name="Normal 10 2 10 2 8 3 3" xfId="4321" xr:uid="{00000000-0005-0000-0000-0000A3100000}"/>
    <cellStyle name="Normal 10 2 10 2 8 3 4" xfId="4322" xr:uid="{00000000-0005-0000-0000-0000A4100000}"/>
    <cellStyle name="Normal 10 2 10 2 8 3 5" xfId="4323" xr:uid="{00000000-0005-0000-0000-0000A5100000}"/>
    <cellStyle name="Normal 10 2 10 2 8 3 6" xfId="4324" xr:uid="{00000000-0005-0000-0000-0000A6100000}"/>
    <cellStyle name="Normal 10 2 10 2 8 3 7" xfId="4325" xr:uid="{00000000-0005-0000-0000-0000A7100000}"/>
    <cellStyle name="Normal 10 2 10 2 8 3 8" xfId="4326" xr:uid="{00000000-0005-0000-0000-0000A8100000}"/>
    <cellStyle name="Normal 10 2 10 2 8 3 9" xfId="4327" xr:uid="{00000000-0005-0000-0000-0000A9100000}"/>
    <cellStyle name="Normal 10 2 10 2 8 4" xfId="4328" xr:uid="{00000000-0005-0000-0000-0000AA100000}"/>
    <cellStyle name="Normal 10 2 10 2 8 4 10" xfId="4329" xr:uid="{00000000-0005-0000-0000-0000AB100000}"/>
    <cellStyle name="Normal 10 2 10 2 8 4 2" xfId="4330" xr:uid="{00000000-0005-0000-0000-0000AC100000}"/>
    <cellStyle name="Normal 10 2 10 2 8 4 3" xfId="4331" xr:uid="{00000000-0005-0000-0000-0000AD100000}"/>
    <cellStyle name="Normal 10 2 10 2 8 4 4" xfId="4332" xr:uid="{00000000-0005-0000-0000-0000AE100000}"/>
    <cellStyle name="Normal 10 2 10 2 8 4 5" xfId="4333" xr:uid="{00000000-0005-0000-0000-0000AF100000}"/>
    <cellStyle name="Normal 10 2 10 2 8 4 6" xfId="4334" xr:uid="{00000000-0005-0000-0000-0000B0100000}"/>
    <cellStyle name="Normal 10 2 10 2 8 4 7" xfId="4335" xr:uid="{00000000-0005-0000-0000-0000B1100000}"/>
    <cellStyle name="Normal 10 2 10 2 8 4 8" xfId="4336" xr:uid="{00000000-0005-0000-0000-0000B2100000}"/>
    <cellStyle name="Normal 10 2 10 2 8 4 9" xfId="4337" xr:uid="{00000000-0005-0000-0000-0000B3100000}"/>
    <cellStyle name="Normal 10 2 10 2 8 5" xfId="4338" xr:uid="{00000000-0005-0000-0000-0000B4100000}"/>
    <cellStyle name="Normal 10 2 10 2 8 5 10" xfId="4339" xr:uid="{00000000-0005-0000-0000-0000B5100000}"/>
    <cellStyle name="Normal 10 2 10 2 8 5 2" xfId="4340" xr:uid="{00000000-0005-0000-0000-0000B6100000}"/>
    <cellStyle name="Normal 10 2 10 2 8 5 3" xfId="4341" xr:uid="{00000000-0005-0000-0000-0000B7100000}"/>
    <cellStyle name="Normal 10 2 10 2 8 5 4" xfId="4342" xr:uid="{00000000-0005-0000-0000-0000B8100000}"/>
    <cellStyle name="Normal 10 2 10 2 8 5 5" xfId="4343" xr:uid="{00000000-0005-0000-0000-0000B9100000}"/>
    <cellStyle name="Normal 10 2 10 2 8 5 6" xfId="4344" xr:uid="{00000000-0005-0000-0000-0000BA100000}"/>
    <cellStyle name="Normal 10 2 10 2 8 5 7" xfId="4345" xr:uid="{00000000-0005-0000-0000-0000BB100000}"/>
    <cellStyle name="Normal 10 2 10 2 8 5 8" xfId="4346" xr:uid="{00000000-0005-0000-0000-0000BC100000}"/>
    <cellStyle name="Normal 10 2 10 2 8 5 9" xfId="4347" xr:uid="{00000000-0005-0000-0000-0000BD100000}"/>
    <cellStyle name="Normal 10 2 10 2 8 6" xfId="4348" xr:uid="{00000000-0005-0000-0000-0000BE100000}"/>
    <cellStyle name="Normal 10 2 10 2 8 7" xfId="4349" xr:uid="{00000000-0005-0000-0000-0000BF100000}"/>
    <cellStyle name="Normal 10 2 10 2 8 8" xfId="4350" xr:uid="{00000000-0005-0000-0000-0000C0100000}"/>
    <cellStyle name="Normal 10 2 10 2 8 9" xfId="4351" xr:uid="{00000000-0005-0000-0000-0000C1100000}"/>
    <cellStyle name="Normal 10 2 10 2 9" xfId="4352" xr:uid="{00000000-0005-0000-0000-0000C2100000}"/>
    <cellStyle name="Normal 10 2 10 2 9 10" xfId="4353" xr:uid="{00000000-0005-0000-0000-0000C3100000}"/>
    <cellStyle name="Normal 10 2 10 2 9 11" xfId="4354" xr:uid="{00000000-0005-0000-0000-0000C4100000}"/>
    <cellStyle name="Normal 10 2 10 2 9 12" xfId="4355" xr:uid="{00000000-0005-0000-0000-0000C5100000}"/>
    <cellStyle name="Normal 10 2 10 2 9 13" xfId="4356" xr:uid="{00000000-0005-0000-0000-0000C6100000}"/>
    <cellStyle name="Normal 10 2 10 2 9 14" xfId="4357" xr:uid="{00000000-0005-0000-0000-0000C7100000}"/>
    <cellStyle name="Normal 10 2 10 2 9 2" xfId="4358" xr:uid="{00000000-0005-0000-0000-0000C8100000}"/>
    <cellStyle name="Normal 10 2 10 2 9 2 10" xfId="4359" xr:uid="{00000000-0005-0000-0000-0000C9100000}"/>
    <cellStyle name="Normal 10 2 10 2 9 2 2" xfId="4360" xr:uid="{00000000-0005-0000-0000-0000CA100000}"/>
    <cellStyle name="Normal 10 2 10 2 9 2 3" xfId="4361" xr:uid="{00000000-0005-0000-0000-0000CB100000}"/>
    <cellStyle name="Normal 10 2 10 2 9 2 4" xfId="4362" xr:uid="{00000000-0005-0000-0000-0000CC100000}"/>
    <cellStyle name="Normal 10 2 10 2 9 2 5" xfId="4363" xr:uid="{00000000-0005-0000-0000-0000CD100000}"/>
    <cellStyle name="Normal 10 2 10 2 9 2 6" xfId="4364" xr:uid="{00000000-0005-0000-0000-0000CE100000}"/>
    <cellStyle name="Normal 10 2 10 2 9 2 7" xfId="4365" xr:uid="{00000000-0005-0000-0000-0000CF100000}"/>
    <cellStyle name="Normal 10 2 10 2 9 2 8" xfId="4366" xr:uid="{00000000-0005-0000-0000-0000D0100000}"/>
    <cellStyle name="Normal 10 2 10 2 9 2 9" xfId="4367" xr:uid="{00000000-0005-0000-0000-0000D1100000}"/>
    <cellStyle name="Normal 10 2 10 2 9 3" xfId="4368" xr:uid="{00000000-0005-0000-0000-0000D2100000}"/>
    <cellStyle name="Normal 10 2 10 2 9 3 10" xfId="4369" xr:uid="{00000000-0005-0000-0000-0000D3100000}"/>
    <cellStyle name="Normal 10 2 10 2 9 3 2" xfId="4370" xr:uid="{00000000-0005-0000-0000-0000D4100000}"/>
    <cellStyle name="Normal 10 2 10 2 9 3 3" xfId="4371" xr:uid="{00000000-0005-0000-0000-0000D5100000}"/>
    <cellStyle name="Normal 10 2 10 2 9 3 4" xfId="4372" xr:uid="{00000000-0005-0000-0000-0000D6100000}"/>
    <cellStyle name="Normal 10 2 10 2 9 3 5" xfId="4373" xr:uid="{00000000-0005-0000-0000-0000D7100000}"/>
    <cellStyle name="Normal 10 2 10 2 9 3 6" xfId="4374" xr:uid="{00000000-0005-0000-0000-0000D8100000}"/>
    <cellStyle name="Normal 10 2 10 2 9 3 7" xfId="4375" xr:uid="{00000000-0005-0000-0000-0000D9100000}"/>
    <cellStyle name="Normal 10 2 10 2 9 3 8" xfId="4376" xr:uid="{00000000-0005-0000-0000-0000DA100000}"/>
    <cellStyle name="Normal 10 2 10 2 9 3 9" xfId="4377" xr:uid="{00000000-0005-0000-0000-0000DB100000}"/>
    <cellStyle name="Normal 10 2 10 2 9 4" xfId="4378" xr:uid="{00000000-0005-0000-0000-0000DC100000}"/>
    <cellStyle name="Normal 10 2 10 2 9 4 10" xfId="4379" xr:uid="{00000000-0005-0000-0000-0000DD100000}"/>
    <cellStyle name="Normal 10 2 10 2 9 4 2" xfId="4380" xr:uid="{00000000-0005-0000-0000-0000DE100000}"/>
    <cellStyle name="Normal 10 2 10 2 9 4 3" xfId="4381" xr:uid="{00000000-0005-0000-0000-0000DF100000}"/>
    <cellStyle name="Normal 10 2 10 2 9 4 4" xfId="4382" xr:uid="{00000000-0005-0000-0000-0000E0100000}"/>
    <cellStyle name="Normal 10 2 10 2 9 4 5" xfId="4383" xr:uid="{00000000-0005-0000-0000-0000E1100000}"/>
    <cellStyle name="Normal 10 2 10 2 9 4 6" xfId="4384" xr:uid="{00000000-0005-0000-0000-0000E2100000}"/>
    <cellStyle name="Normal 10 2 10 2 9 4 7" xfId="4385" xr:uid="{00000000-0005-0000-0000-0000E3100000}"/>
    <cellStyle name="Normal 10 2 10 2 9 4 8" xfId="4386" xr:uid="{00000000-0005-0000-0000-0000E4100000}"/>
    <cellStyle name="Normal 10 2 10 2 9 4 9" xfId="4387" xr:uid="{00000000-0005-0000-0000-0000E5100000}"/>
    <cellStyle name="Normal 10 2 10 2 9 5" xfId="4388" xr:uid="{00000000-0005-0000-0000-0000E6100000}"/>
    <cellStyle name="Normal 10 2 10 2 9 5 10" xfId="4389" xr:uid="{00000000-0005-0000-0000-0000E7100000}"/>
    <cellStyle name="Normal 10 2 10 2 9 5 2" xfId="4390" xr:uid="{00000000-0005-0000-0000-0000E8100000}"/>
    <cellStyle name="Normal 10 2 10 2 9 5 3" xfId="4391" xr:uid="{00000000-0005-0000-0000-0000E9100000}"/>
    <cellStyle name="Normal 10 2 10 2 9 5 4" xfId="4392" xr:uid="{00000000-0005-0000-0000-0000EA100000}"/>
    <cellStyle name="Normal 10 2 10 2 9 5 5" xfId="4393" xr:uid="{00000000-0005-0000-0000-0000EB100000}"/>
    <cellStyle name="Normal 10 2 10 2 9 5 6" xfId="4394" xr:uid="{00000000-0005-0000-0000-0000EC100000}"/>
    <cellStyle name="Normal 10 2 10 2 9 5 7" xfId="4395" xr:uid="{00000000-0005-0000-0000-0000ED100000}"/>
    <cellStyle name="Normal 10 2 10 2 9 5 8" xfId="4396" xr:uid="{00000000-0005-0000-0000-0000EE100000}"/>
    <cellStyle name="Normal 10 2 10 2 9 5 9" xfId="4397" xr:uid="{00000000-0005-0000-0000-0000EF100000}"/>
    <cellStyle name="Normal 10 2 10 2 9 6" xfId="4398" xr:uid="{00000000-0005-0000-0000-0000F0100000}"/>
    <cellStyle name="Normal 10 2 10 2 9 7" xfId="4399" xr:uid="{00000000-0005-0000-0000-0000F1100000}"/>
    <cellStyle name="Normal 10 2 10 2 9 8" xfId="4400" xr:uid="{00000000-0005-0000-0000-0000F2100000}"/>
    <cellStyle name="Normal 10 2 10 2 9 9" xfId="4401" xr:uid="{00000000-0005-0000-0000-0000F3100000}"/>
    <cellStyle name="Normal 10 2 10 20" xfId="4402" xr:uid="{00000000-0005-0000-0000-0000F4100000}"/>
    <cellStyle name="Normal 10 2 10 20 10" xfId="4403" xr:uid="{00000000-0005-0000-0000-0000F5100000}"/>
    <cellStyle name="Normal 10 2 10 20 11" xfId="4404" xr:uid="{00000000-0005-0000-0000-0000F6100000}"/>
    <cellStyle name="Normal 10 2 10 20 12" xfId="4405" xr:uid="{00000000-0005-0000-0000-0000F7100000}"/>
    <cellStyle name="Normal 10 2 10 20 13" xfId="4406" xr:uid="{00000000-0005-0000-0000-0000F8100000}"/>
    <cellStyle name="Normal 10 2 10 20 14" xfId="4407" xr:uid="{00000000-0005-0000-0000-0000F9100000}"/>
    <cellStyle name="Normal 10 2 10 20 2" xfId="4408" xr:uid="{00000000-0005-0000-0000-0000FA100000}"/>
    <cellStyle name="Normal 10 2 10 20 2 10" xfId="4409" xr:uid="{00000000-0005-0000-0000-0000FB100000}"/>
    <cellStyle name="Normal 10 2 10 20 2 2" xfId="4410" xr:uid="{00000000-0005-0000-0000-0000FC100000}"/>
    <cellStyle name="Normal 10 2 10 20 2 3" xfId="4411" xr:uid="{00000000-0005-0000-0000-0000FD100000}"/>
    <cellStyle name="Normal 10 2 10 20 2 4" xfId="4412" xr:uid="{00000000-0005-0000-0000-0000FE100000}"/>
    <cellStyle name="Normal 10 2 10 20 2 5" xfId="4413" xr:uid="{00000000-0005-0000-0000-0000FF100000}"/>
    <cellStyle name="Normal 10 2 10 20 2 6" xfId="4414" xr:uid="{00000000-0005-0000-0000-000000110000}"/>
    <cellStyle name="Normal 10 2 10 20 2 7" xfId="4415" xr:uid="{00000000-0005-0000-0000-000001110000}"/>
    <cellStyle name="Normal 10 2 10 20 2 8" xfId="4416" xr:uid="{00000000-0005-0000-0000-000002110000}"/>
    <cellStyle name="Normal 10 2 10 20 2 9" xfId="4417" xr:uid="{00000000-0005-0000-0000-000003110000}"/>
    <cellStyle name="Normal 10 2 10 20 3" xfId="4418" xr:uid="{00000000-0005-0000-0000-000004110000}"/>
    <cellStyle name="Normal 10 2 10 20 3 10" xfId="4419" xr:uid="{00000000-0005-0000-0000-000005110000}"/>
    <cellStyle name="Normal 10 2 10 20 3 2" xfId="4420" xr:uid="{00000000-0005-0000-0000-000006110000}"/>
    <cellStyle name="Normal 10 2 10 20 3 3" xfId="4421" xr:uid="{00000000-0005-0000-0000-000007110000}"/>
    <cellStyle name="Normal 10 2 10 20 3 4" xfId="4422" xr:uid="{00000000-0005-0000-0000-000008110000}"/>
    <cellStyle name="Normal 10 2 10 20 3 5" xfId="4423" xr:uid="{00000000-0005-0000-0000-000009110000}"/>
    <cellStyle name="Normal 10 2 10 20 3 6" xfId="4424" xr:uid="{00000000-0005-0000-0000-00000A110000}"/>
    <cellStyle name="Normal 10 2 10 20 3 7" xfId="4425" xr:uid="{00000000-0005-0000-0000-00000B110000}"/>
    <cellStyle name="Normal 10 2 10 20 3 8" xfId="4426" xr:uid="{00000000-0005-0000-0000-00000C110000}"/>
    <cellStyle name="Normal 10 2 10 20 3 9" xfId="4427" xr:uid="{00000000-0005-0000-0000-00000D110000}"/>
    <cellStyle name="Normal 10 2 10 20 4" xfId="4428" xr:uid="{00000000-0005-0000-0000-00000E110000}"/>
    <cellStyle name="Normal 10 2 10 20 4 10" xfId="4429" xr:uid="{00000000-0005-0000-0000-00000F110000}"/>
    <cellStyle name="Normal 10 2 10 20 4 2" xfId="4430" xr:uid="{00000000-0005-0000-0000-000010110000}"/>
    <cellStyle name="Normal 10 2 10 20 4 3" xfId="4431" xr:uid="{00000000-0005-0000-0000-000011110000}"/>
    <cellStyle name="Normal 10 2 10 20 4 4" xfId="4432" xr:uid="{00000000-0005-0000-0000-000012110000}"/>
    <cellStyle name="Normal 10 2 10 20 4 5" xfId="4433" xr:uid="{00000000-0005-0000-0000-000013110000}"/>
    <cellStyle name="Normal 10 2 10 20 4 6" xfId="4434" xr:uid="{00000000-0005-0000-0000-000014110000}"/>
    <cellStyle name="Normal 10 2 10 20 4 7" xfId="4435" xr:uid="{00000000-0005-0000-0000-000015110000}"/>
    <cellStyle name="Normal 10 2 10 20 4 8" xfId="4436" xr:uid="{00000000-0005-0000-0000-000016110000}"/>
    <cellStyle name="Normal 10 2 10 20 4 9" xfId="4437" xr:uid="{00000000-0005-0000-0000-000017110000}"/>
    <cellStyle name="Normal 10 2 10 20 5" xfId="4438" xr:uid="{00000000-0005-0000-0000-000018110000}"/>
    <cellStyle name="Normal 10 2 10 20 5 10" xfId="4439" xr:uid="{00000000-0005-0000-0000-000019110000}"/>
    <cellStyle name="Normal 10 2 10 20 5 2" xfId="4440" xr:uid="{00000000-0005-0000-0000-00001A110000}"/>
    <cellStyle name="Normal 10 2 10 20 5 3" xfId="4441" xr:uid="{00000000-0005-0000-0000-00001B110000}"/>
    <cellStyle name="Normal 10 2 10 20 5 4" xfId="4442" xr:uid="{00000000-0005-0000-0000-00001C110000}"/>
    <cellStyle name="Normal 10 2 10 20 5 5" xfId="4443" xr:uid="{00000000-0005-0000-0000-00001D110000}"/>
    <cellStyle name="Normal 10 2 10 20 5 6" xfId="4444" xr:uid="{00000000-0005-0000-0000-00001E110000}"/>
    <cellStyle name="Normal 10 2 10 20 5 7" xfId="4445" xr:uid="{00000000-0005-0000-0000-00001F110000}"/>
    <cellStyle name="Normal 10 2 10 20 5 8" xfId="4446" xr:uid="{00000000-0005-0000-0000-000020110000}"/>
    <cellStyle name="Normal 10 2 10 20 5 9" xfId="4447" xr:uid="{00000000-0005-0000-0000-000021110000}"/>
    <cellStyle name="Normal 10 2 10 20 6" xfId="4448" xr:uid="{00000000-0005-0000-0000-000022110000}"/>
    <cellStyle name="Normal 10 2 10 20 7" xfId="4449" xr:uid="{00000000-0005-0000-0000-000023110000}"/>
    <cellStyle name="Normal 10 2 10 20 8" xfId="4450" xr:uid="{00000000-0005-0000-0000-000024110000}"/>
    <cellStyle name="Normal 10 2 10 20 9" xfId="4451" xr:uid="{00000000-0005-0000-0000-000025110000}"/>
    <cellStyle name="Normal 10 2 10 21" xfId="4452" xr:uid="{00000000-0005-0000-0000-000026110000}"/>
    <cellStyle name="Normal 10 2 10 21 10" xfId="4453" xr:uid="{00000000-0005-0000-0000-000027110000}"/>
    <cellStyle name="Normal 10 2 10 21 11" xfId="4454" xr:uid="{00000000-0005-0000-0000-000028110000}"/>
    <cellStyle name="Normal 10 2 10 21 12" xfId="4455" xr:uid="{00000000-0005-0000-0000-000029110000}"/>
    <cellStyle name="Normal 10 2 10 21 13" xfId="4456" xr:uid="{00000000-0005-0000-0000-00002A110000}"/>
    <cellStyle name="Normal 10 2 10 21 14" xfId="4457" xr:uid="{00000000-0005-0000-0000-00002B110000}"/>
    <cellStyle name="Normal 10 2 10 21 2" xfId="4458" xr:uid="{00000000-0005-0000-0000-00002C110000}"/>
    <cellStyle name="Normal 10 2 10 21 2 10" xfId="4459" xr:uid="{00000000-0005-0000-0000-00002D110000}"/>
    <cellStyle name="Normal 10 2 10 21 2 2" xfId="4460" xr:uid="{00000000-0005-0000-0000-00002E110000}"/>
    <cellStyle name="Normal 10 2 10 21 2 3" xfId="4461" xr:uid="{00000000-0005-0000-0000-00002F110000}"/>
    <cellStyle name="Normal 10 2 10 21 2 4" xfId="4462" xr:uid="{00000000-0005-0000-0000-000030110000}"/>
    <cellStyle name="Normal 10 2 10 21 2 5" xfId="4463" xr:uid="{00000000-0005-0000-0000-000031110000}"/>
    <cellStyle name="Normal 10 2 10 21 2 6" xfId="4464" xr:uid="{00000000-0005-0000-0000-000032110000}"/>
    <cellStyle name="Normal 10 2 10 21 2 7" xfId="4465" xr:uid="{00000000-0005-0000-0000-000033110000}"/>
    <cellStyle name="Normal 10 2 10 21 2 8" xfId="4466" xr:uid="{00000000-0005-0000-0000-000034110000}"/>
    <cellStyle name="Normal 10 2 10 21 2 9" xfId="4467" xr:uid="{00000000-0005-0000-0000-000035110000}"/>
    <cellStyle name="Normal 10 2 10 21 3" xfId="4468" xr:uid="{00000000-0005-0000-0000-000036110000}"/>
    <cellStyle name="Normal 10 2 10 21 3 10" xfId="4469" xr:uid="{00000000-0005-0000-0000-000037110000}"/>
    <cellStyle name="Normal 10 2 10 21 3 2" xfId="4470" xr:uid="{00000000-0005-0000-0000-000038110000}"/>
    <cellStyle name="Normal 10 2 10 21 3 3" xfId="4471" xr:uid="{00000000-0005-0000-0000-000039110000}"/>
    <cellStyle name="Normal 10 2 10 21 3 4" xfId="4472" xr:uid="{00000000-0005-0000-0000-00003A110000}"/>
    <cellStyle name="Normal 10 2 10 21 3 5" xfId="4473" xr:uid="{00000000-0005-0000-0000-00003B110000}"/>
    <cellStyle name="Normal 10 2 10 21 3 6" xfId="4474" xr:uid="{00000000-0005-0000-0000-00003C110000}"/>
    <cellStyle name="Normal 10 2 10 21 3 7" xfId="4475" xr:uid="{00000000-0005-0000-0000-00003D110000}"/>
    <cellStyle name="Normal 10 2 10 21 3 8" xfId="4476" xr:uid="{00000000-0005-0000-0000-00003E110000}"/>
    <cellStyle name="Normal 10 2 10 21 3 9" xfId="4477" xr:uid="{00000000-0005-0000-0000-00003F110000}"/>
    <cellStyle name="Normal 10 2 10 21 4" xfId="4478" xr:uid="{00000000-0005-0000-0000-000040110000}"/>
    <cellStyle name="Normal 10 2 10 21 4 10" xfId="4479" xr:uid="{00000000-0005-0000-0000-000041110000}"/>
    <cellStyle name="Normal 10 2 10 21 4 2" xfId="4480" xr:uid="{00000000-0005-0000-0000-000042110000}"/>
    <cellStyle name="Normal 10 2 10 21 4 3" xfId="4481" xr:uid="{00000000-0005-0000-0000-000043110000}"/>
    <cellStyle name="Normal 10 2 10 21 4 4" xfId="4482" xr:uid="{00000000-0005-0000-0000-000044110000}"/>
    <cellStyle name="Normal 10 2 10 21 4 5" xfId="4483" xr:uid="{00000000-0005-0000-0000-000045110000}"/>
    <cellStyle name="Normal 10 2 10 21 4 6" xfId="4484" xr:uid="{00000000-0005-0000-0000-000046110000}"/>
    <cellStyle name="Normal 10 2 10 21 4 7" xfId="4485" xr:uid="{00000000-0005-0000-0000-000047110000}"/>
    <cellStyle name="Normal 10 2 10 21 4 8" xfId="4486" xr:uid="{00000000-0005-0000-0000-000048110000}"/>
    <cellStyle name="Normal 10 2 10 21 4 9" xfId="4487" xr:uid="{00000000-0005-0000-0000-000049110000}"/>
    <cellStyle name="Normal 10 2 10 21 5" xfId="4488" xr:uid="{00000000-0005-0000-0000-00004A110000}"/>
    <cellStyle name="Normal 10 2 10 21 5 10" xfId="4489" xr:uid="{00000000-0005-0000-0000-00004B110000}"/>
    <cellStyle name="Normal 10 2 10 21 5 2" xfId="4490" xr:uid="{00000000-0005-0000-0000-00004C110000}"/>
    <cellStyle name="Normal 10 2 10 21 5 3" xfId="4491" xr:uid="{00000000-0005-0000-0000-00004D110000}"/>
    <cellStyle name="Normal 10 2 10 21 5 4" xfId="4492" xr:uid="{00000000-0005-0000-0000-00004E110000}"/>
    <cellStyle name="Normal 10 2 10 21 5 5" xfId="4493" xr:uid="{00000000-0005-0000-0000-00004F110000}"/>
    <cellStyle name="Normal 10 2 10 21 5 6" xfId="4494" xr:uid="{00000000-0005-0000-0000-000050110000}"/>
    <cellStyle name="Normal 10 2 10 21 5 7" xfId="4495" xr:uid="{00000000-0005-0000-0000-000051110000}"/>
    <cellStyle name="Normal 10 2 10 21 5 8" xfId="4496" xr:uid="{00000000-0005-0000-0000-000052110000}"/>
    <cellStyle name="Normal 10 2 10 21 5 9" xfId="4497" xr:uid="{00000000-0005-0000-0000-000053110000}"/>
    <cellStyle name="Normal 10 2 10 21 6" xfId="4498" xr:uid="{00000000-0005-0000-0000-000054110000}"/>
    <cellStyle name="Normal 10 2 10 21 7" xfId="4499" xr:uid="{00000000-0005-0000-0000-000055110000}"/>
    <cellStyle name="Normal 10 2 10 21 8" xfId="4500" xr:uid="{00000000-0005-0000-0000-000056110000}"/>
    <cellStyle name="Normal 10 2 10 21 9" xfId="4501" xr:uid="{00000000-0005-0000-0000-000057110000}"/>
    <cellStyle name="Normal 10 2 10 22" xfId="4502" xr:uid="{00000000-0005-0000-0000-000058110000}"/>
    <cellStyle name="Normal 10 2 10 22 10" xfId="4503" xr:uid="{00000000-0005-0000-0000-000059110000}"/>
    <cellStyle name="Normal 10 2 10 22 11" xfId="4504" xr:uid="{00000000-0005-0000-0000-00005A110000}"/>
    <cellStyle name="Normal 10 2 10 22 12" xfId="4505" xr:uid="{00000000-0005-0000-0000-00005B110000}"/>
    <cellStyle name="Normal 10 2 10 22 13" xfId="4506" xr:uid="{00000000-0005-0000-0000-00005C110000}"/>
    <cellStyle name="Normal 10 2 10 22 14" xfId="4507" xr:uid="{00000000-0005-0000-0000-00005D110000}"/>
    <cellStyle name="Normal 10 2 10 22 2" xfId="4508" xr:uid="{00000000-0005-0000-0000-00005E110000}"/>
    <cellStyle name="Normal 10 2 10 22 2 10" xfId="4509" xr:uid="{00000000-0005-0000-0000-00005F110000}"/>
    <cellStyle name="Normal 10 2 10 22 2 2" xfId="4510" xr:uid="{00000000-0005-0000-0000-000060110000}"/>
    <cellStyle name="Normal 10 2 10 22 2 3" xfId="4511" xr:uid="{00000000-0005-0000-0000-000061110000}"/>
    <cellStyle name="Normal 10 2 10 22 2 4" xfId="4512" xr:uid="{00000000-0005-0000-0000-000062110000}"/>
    <cellStyle name="Normal 10 2 10 22 2 5" xfId="4513" xr:uid="{00000000-0005-0000-0000-000063110000}"/>
    <cellStyle name="Normal 10 2 10 22 2 6" xfId="4514" xr:uid="{00000000-0005-0000-0000-000064110000}"/>
    <cellStyle name="Normal 10 2 10 22 2 7" xfId="4515" xr:uid="{00000000-0005-0000-0000-000065110000}"/>
    <cellStyle name="Normal 10 2 10 22 2 8" xfId="4516" xr:uid="{00000000-0005-0000-0000-000066110000}"/>
    <cellStyle name="Normal 10 2 10 22 2 9" xfId="4517" xr:uid="{00000000-0005-0000-0000-000067110000}"/>
    <cellStyle name="Normal 10 2 10 22 3" xfId="4518" xr:uid="{00000000-0005-0000-0000-000068110000}"/>
    <cellStyle name="Normal 10 2 10 22 3 10" xfId="4519" xr:uid="{00000000-0005-0000-0000-000069110000}"/>
    <cellStyle name="Normal 10 2 10 22 3 2" xfId="4520" xr:uid="{00000000-0005-0000-0000-00006A110000}"/>
    <cellStyle name="Normal 10 2 10 22 3 3" xfId="4521" xr:uid="{00000000-0005-0000-0000-00006B110000}"/>
    <cellStyle name="Normal 10 2 10 22 3 4" xfId="4522" xr:uid="{00000000-0005-0000-0000-00006C110000}"/>
    <cellStyle name="Normal 10 2 10 22 3 5" xfId="4523" xr:uid="{00000000-0005-0000-0000-00006D110000}"/>
    <cellStyle name="Normal 10 2 10 22 3 6" xfId="4524" xr:uid="{00000000-0005-0000-0000-00006E110000}"/>
    <cellStyle name="Normal 10 2 10 22 3 7" xfId="4525" xr:uid="{00000000-0005-0000-0000-00006F110000}"/>
    <cellStyle name="Normal 10 2 10 22 3 8" xfId="4526" xr:uid="{00000000-0005-0000-0000-000070110000}"/>
    <cellStyle name="Normal 10 2 10 22 3 9" xfId="4527" xr:uid="{00000000-0005-0000-0000-000071110000}"/>
    <cellStyle name="Normal 10 2 10 22 4" xfId="4528" xr:uid="{00000000-0005-0000-0000-000072110000}"/>
    <cellStyle name="Normal 10 2 10 22 4 10" xfId="4529" xr:uid="{00000000-0005-0000-0000-000073110000}"/>
    <cellStyle name="Normal 10 2 10 22 4 2" xfId="4530" xr:uid="{00000000-0005-0000-0000-000074110000}"/>
    <cellStyle name="Normal 10 2 10 22 4 3" xfId="4531" xr:uid="{00000000-0005-0000-0000-000075110000}"/>
    <cellStyle name="Normal 10 2 10 22 4 4" xfId="4532" xr:uid="{00000000-0005-0000-0000-000076110000}"/>
    <cellStyle name="Normal 10 2 10 22 4 5" xfId="4533" xr:uid="{00000000-0005-0000-0000-000077110000}"/>
    <cellStyle name="Normal 10 2 10 22 4 6" xfId="4534" xr:uid="{00000000-0005-0000-0000-000078110000}"/>
    <cellStyle name="Normal 10 2 10 22 4 7" xfId="4535" xr:uid="{00000000-0005-0000-0000-000079110000}"/>
    <cellStyle name="Normal 10 2 10 22 4 8" xfId="4536" xr:uid="{00000000-0005-0000-0000-00007A110000}"/>
    <cellStyle name="Normal 10 2 10 22 4 9" xfId="4537" xr:uid="{00000000-0005-0000-0000-00007B110000}"/>
    <cellStyle name="Normal 10 2 10 22 5" xfId="4538" xr:uid="{00000000-0005-0000-0000-00007C110000}"/>
    <cellStyle name="Normal 10 2 10 22 5 10" xfId="4539" xr:uid="{00000000-0005-0000-0000-00007D110000}"/>
    <cellStyle name="Normal 10 2 10 22 5 2" xfId="4540" xr:uid="{00000000-0005-0000-0000-00007E110000}"/>
    <cellStyle name="Normal 10 2 10 22 5 3" xfId="4541" xr:uid="{00000000-0005-0000-0000-00007F110000}"/>
    <cellStyle name="Normal 10 2 10 22 5 4" xfId="4542" xr:uid="{00000000-0005-0000-0000-000080110000}"/>
    <cellStyle name="Normal 10 2 10 22 5 5" xfId="4543" xr:uid="{00000000-0005-0000-0000-000081110000}"/>
    <cellStyle name="Normal 10 2 10 22 5 6" xfId="4544" xr:uid="{00000000-0005-0000-0000-000082110000}"/>
    <cellStyle name="Normal 10 2 10 22 5 7" xfId="4545" xr:uid="{00000000-0005-0000-0000-000083110000}"/>
    <cellStyle name="Normal 10 2 10 22 5 8" xfId="4546" xr:uid="{00000000-0005-0000-0000-000084110000}"/>
    <cellStyle name="Normal 10 2 10 22 5 9" xfId="4547" xr:uid="{00000000-0005-0000-0000-000085110000}"/>
    <cellStyle name="Normal 10 2 10 22 6" xfId="4548" xr:uid="{00000000-0005-0000-0000-000086110000}"/>
    <cellStyle name="Normal 10 2 10 22 7" xfId="4549" xr:uid="{00000000-0005-0000-0000-000087110000}"/>
    <cellStyle name="Normal 10 2 10 22 8" xfId="4550" xr:uid="{00000000-0005-0000-0000-000088110000}"/>
    <cellStyle name="Normal 10 2 10 22 9" xfId="4551" xr:uid="{00000000-0005-0000-0000-000089110000}"/>
    <cellStyle name="Normal 10 2 10 23" xfId="4552" xr:uid="{00000000-0005-0000-0000-00008A110000}"/>
    <cellStyle name="Normal 10 2 10 23 10" xfId="4553" xr:uid="{00000000-0005-0000-0000-00008B110000}"/>
    <cellStyle name="Normal 10 2 10 23 11" xfId="4554" xr:uid="{00000000-0005-0000-0000-00008C110000}"/>
    <cellStyle name="Normal 10 2 10 23 12" xfId="4555" xr:uid="{00000000-0005-0000-0000-00008D110000}"/>
    <cellStyle name="Normal 10 2 10 23 13" xfId="4556" xr:uid="{00000000-0005-0000-0000-00008E110000}"/>
    <cellStyle name="Normal 10 2 10 23 14" xfId="4557" xr:uid="{00000000-0005-0000-0000-00008F110000}"/>
    <cellStyle name="Normal 10 2 10 23 2" xfId="4558" xr:uid="{00000000-0005-0000-0000-000090110000}"/>
    <cellStyle name="Normal 10 2 10 23 2 10" xfId="4559" xr:uid="{00000000-0005-0000-0000-000091110000}"/>
    <cellStyle name="Normal 10 2 10 23 2 2" xfId="4560" xr:uid="{00000000-0005-0000-0000-000092110000}"/>
    <cellStyle name="Normal 10 2 10 23 2 3" xfId="4561" xr:uid="{00000000-0005-0000-0000-000093110000}"/>
    <cellStyle name="Normal 10 2 10 23 2 4" xfId="4562" xr:uid="{00000000-0005-0000-0000-000094110000}"/>
    <cellStyle name="Normal 10 2 10 23 2 5" xfId="4563" xr:uid="{00000000-0005-0000-0000-000095110000}"/>
    <cellStyle name="Normal 10 2 10 23 2 6" xfId="4564" xr:uid="{00000000-0005-0000-0000-000096110000}"/>
    <cellStyle name="Normal 10 2 10 23 2 7" xfId="4565" xr:uid="{00000000-0005-0000-0000-000097110000}"/>
    <cellStyle name="Normal 10 2 10 23 2 8" xfId="4566" xr:uid="{00000000-0005-0000-0000-000098110000}"/>
    <cellStyle name="Normal 10 2 10 23 2 9" xfId="4567" xr:uid="{00000000-0005-0000-0000-000099110000}"/>
    <cellStyle name="Normal 10 2 10 23 3" xfId="4568" xr:uid="{00000000-0005-0000-0000-00009A110000}"/>
    <cellStyle name="Normal 10 2 10 23 3 10" xfId="4569" xr:uid="{00000000-0005-0000-0000-00009B110000}"/>
    <cellStyle name="Normal 10 2 10 23 3 2" xfId="4570" xr:uid="{00000000-0005-0000-0000-00009C110000}"/>
    <cellStyle name="Normal 10 2 10 23 3 3" xfId="4571" xr:uid="{00000000-0005-0000-0000-00009D110000}"/>
    <cellStyle name="Normal 10 2 10 23 3 4" xfId="4572" xr:uid="{00000000-0005-0000-0000-00009E110000}"/>
    <cellStyle name="Normal 10 2 10 23 3 5" xfId="4573" xr:uid="{00000000-0005-0000-0000-00009F110000}"/>
    <cellStyle name="Normal 10 2 10 23 3 6" xfId="4574" xr:uid="{00000000-0005-0000-0000-0000A0110000}"/>
    <cellStyle name="Normal 10 2 10 23 3 7" xfId="4575" xr:uid="{00000000-0005-0000-0000-0000A1110000}"/>
    <cellStyle name="Normal 10 2 10 23 3 8" xfId="4576" xr:uid="{00000000-0005-0000-0000-0000A2110000}"/>
    <cellStyle name="Normal 10 2 10 23 3 9" xfId="4577" xr:uid="{00000000-0005-0000-0000-0000A3110000}"/>
    <cellStyle name="Normal 10 2 10 23 4" xfId="4578" xr:uid="{00000000-0005-0000-0000-0000A4110000}"/>
    <cellStyle name="Normal 10 2 10 23 4 10" xfId="4579" xr:uid="{00000000-0005-0000-0000-0000A5110000}"/>
    <cellStyle name="Normal 10 2 10 23 4 2" xfId="4580" xr:uid="{00000000-0005-0000-0000-0000A6110000}"/>
    <cellStyle name="Normal 10 2 10 23 4 3" xfId="4581" xr:uid="{00000000-0005-0000-0000-0000A7110000}"/>
    <cellStyle name="Normal 10 2 10 23 4 4" xfId="4582" xr:uid="{00000000-0005-0000-0000-0000A8110000}"/>
    <cellStyle name="Normal 10 2 10 23 4 5" xfId="4583" xr:uid="{00000000-0005-0000-0000-0000A9110000}"/>
    <cellStyle name="Normal 10 2 10 23 4 6" xfId="4584" xr:uid="{00000000-0005-0000-0000-0000AA110000}"/>
    <cellStyle name="Normal 10 2 10 23 4 7" xfId="4585" xr:uid="{00000000-0005-0000-0000-0000AB110000}"/>
    <cellStyle name="Normal 10 2 10 23 4 8" xfId="4586" xr:uid="{00000000-0005-0000-0000-0000AC110000}"/>
    <cellStyle name="Normal 10 2 10 23 4 9" xfId="4587" xr:uid="{00000000-0005-0000-0000-0000AD110000}"/>
    <cellStyle name="Normal 10 2 10 23 5" xfId="4588" xr:uid="{00000000-0005-0000-0000-0000AE110000}"/>
    <cellStyle name="Normal 10 2 10 23 5 10" xfId="4589" xr:uid="{00000000-0005-0000-0000-0000AF110000}"/>
    <cellStyle name="Normal 10 2 10 23 5 2" xfId="4590" xr:uid="{00000000-0005-0000-0000-0000B0110000}"/>
    <cellStyle name="Normal 10 2 10 23 5 3" xfId="4591" xr:uid="{00000000-0005-0000-0000-0000B1110000}"/>
    <cellStyle name="Normal 10 2 10 23 5 4" xfId="4592" xr:uid="{00000000-0005-0000-0000-0000B2110000}"/>
    <cellStyle name="Normal 10 2 10 23 5 5" xfId="4593" xr:uid="{00000000-0005-0000-0000-0000B3110000}"/>
    <cellStyle name="Normal 10 2 10 23 5 6" xfId="4594" xr:uid="{00000000-0005-0000-0000-0000B4110000}"/>
    <cellStyle name="Normal 10 2 10 23 5 7" xfId="4595" xr:uid="{00000000-0005-0000-0000-0000B5110000}"/>
    <cellStyle name="Normal 10 2 10 23 5 8" xfId="4596" xr:uid="{00000000-0005-0000-0000-0000B6110000}"/>
    <cellStyle name="Normal 10 2 10 23 5 9" xfId="4597" xr:uid="{00000000-0005-0000-0000-0000B7110000}"/>
    <cellStyle name="Normal 10 2 10 23 6" xfId="4598" xr:uid="{00000000-0005-0000-0000-0000B8110000}"/>
    <cellStyle name="Normal 10 2 10 23 7" xfId="4599" xr:uid="{00000000-0005-0000-0000-0000B9110000}"/>
    <cellStyle name="Normal 10 2 10 23 8" xfId="4600" xr:uid="{00000000-0005-0000-0000-0000BA110000}"/>
    <cellStyle name="Normal 10 2 10 23 9" xfId="4601" xr:uid="{00000000-0005-0000-0000-0000BB110000}"/>
    <cellStyle name="Normal 10 2 10 24" xfId="4602" xr:uid="{00000000-0005-0000-0000-0000BC110000}"/>
    <cellStyle name="Normal 10 2 10 24 10" xfId="4603" xr:uid="{00000000-0005-0000-0000-0000BD110000}"/>
    <cellStyle name="Normal 10 2 10 24 11" xfId="4604" xr:uid="{00000000-0005-0000-0000-0000BE110000}"/>
    <cellStyle name="Normal 10 2 10 24 12" xfId="4605" xr:uid="{00000000-0005-0000-0000-0000BF110000}"/>
    <cellStyle name="Normal 10 2 10 24 13" xfId="4606" xr:uid="{00000000-0005-0000-0000-0000C0110000}"/>
    <cellStyle name="Normal 10 2 10 24 14" xfId="4607" xr:uid="{00000000-0005-0000-0000-0000C1110000}"/>
    <cellStyle name="Normal 10 2 10 24 2" xfId="4608" xr:uid="{00000000-0005-0000-0000-0000C2110000}"/>
    <cellStyle name="Normal 10 2 10 24 2 10" xfId="4609" xr:uid="{00000000-0005-0000-0000-0000C3110000}"/>
    <cellStyle name="Normal 10 2 10 24 2 2" xfId="4610" xr:uid="{00000000-0005-0000-0000-0000C4110000}"/>
    <cellStyle name="Normal 10 2 10 24 2 3" xfId="4611" xr:uid="{00000000-0005-0000-0000-0000C5110000}"/>
    <cellStyle name="Normal 10 2 10 24 2 4" xfId="4612" xr:uid="{00000000-0005-0000-0000-0000C6110000}"/>
    <cellStyle name="Normal 10 2 10 24 2 5" xfId="4613" xr:uid="{00000000-0005-0000-0000-0000C7110000}"/>
    <cellStyle name="Normal 10 2 10 24 2 6" xfId="4614" xr:uid="{00000000-0005-0000-0000-0000C8110000}"/>
    <cellStyle name="Normal 10 2 10 24 2 7" xfId="4615" xr:uid="{00000000-0005-0000-0000-0000C9110000}"/>
    <cellStyle name="Normal 10 2 10 24 2 8" xfId="4616" xr:uid="{00000000-0005-0000-0000-0000CA110000}"/>
    <cellStyle name="Normal 10 2 10 24 2 9" xfId="4617" xr:uid="{00000000-0005-0000-0000-0000CB110000}"/>
    <cellStyle name="Normal 10 2 10 24 3" xfId="4618" xr:uid="{00000000-0005-0000-0000-0000CC110000}"/>
    <cellStyle name="Normal 10 2 10 24 3 10" xfId="4619" xr:uid="{00000000-0005-0000-0000-0000CD110000}"/>
    <cellStyle name="Normal 10 2 10 24 3 2" xfId="4620" xr:uid="{00000000-0005-0000-0000-0000CE110000}"/>
    <cellStyle name="Normal 10 2 10 24 3 3" xfId="4621" xr:uid="{00000000-0005-0000-0000-0000CF110000}"/>
    <cellStyle name="Normal 10 2 10 24 3 4" xfId="4622" xr:uid="{00000000-0005-0000-0000-0000D0110000}"/>
    <cellStyle name="Normal 10 2 10 24 3 5" xfId="4623" xr:uid="{00000000-0005-0000-0000-0000D1110000}"/>
    <cellStyle name="Normal 10 2 10 24 3 6" xfId="4624" xr:uid="{00000000-0005-0000-0000-0000D2110000}"/>
    <cellStyle name="Normal 10 2 10 24 3 7" xfId="4625" xr:uid="{00000000-0005-0000-0000-0000D3110000}"/>
    <cellStyle name="Normal 10 2 10 24 3 8" xfId="4626" xr:uid="{00000000-0005-0000-0000-0000D4110000}"/>
    <cellStyle name="Normal 10 2 10 24 3 9" xfId="4627" xr:uid="{00000000-0005-0000-0000-0000D5110000}"/>
    <cellStyle name="Normal 10 2 10 24 4" xfId="4628" xr:uid="{00000000-0005-0000-0000-0000D6110000}"/>
    <cellStyle name="Normal 10 2 10 24 4 10" xfId="4629" xr:uid="{00000000-0005-0000-0000-0000D7110000}"/>
    <cellStyle name="Normal 10 2 10 24 4 2" xfId="4630" xr:uid="{00000000-0005-0000-0000-0000D8110000}"/>
    <cellStyle name="Normal 10 2 10 24 4 3" xfId="4631" xr:uid="{00000000-0005-0000-0000-0000D9110000}"/>
    <cellStyle name="Normal 10 2 10 24 4 4" xfId="4632" xr:uid="{00000000-0005-0000-0000-0000DA110000}"/>
    <cellStyle name="Normal 10 2 10 24 4 5" xfId="4633" xr:uid="{00000000-0005-0000-0000-0000DB110000}"/>
    <cellStyle name="Normal 10 2 10 24 4 6" xfId="4634" xr:uid="{00000000-0005-0000-0000-0000DC110000}"/>
    <cellStyle name="Normal 10 2 10 24 4 7" xfId="4635" xr:uid="{00000000-0005-0000-0000-0000DD110000}"/>
    <cellStyle name="Normal 10 2 10 24 4 8" xfId="4636" xr:uid="{00000000-0005-0000-0000-0000DE110000}"/>
    <cellStyle name="Normal 10 2 10 24 4 9" xfId="4637" xr:uid="{00000000-0005-0000-0000-0000DF110000}"/>
    <cellStyle name="Normal 10 2 10 24 5" xfId="4638" xr:uid="{00000000-0005-0000-0000-0000E0110000}"/>
    <cellStyle name="Normal 10 2 10 24 5 10" xfId="4639" xr:uid="{00000000-0005-0000-0000-0000E1110000}"/>
    <cellStyle name="Normal 10 2 10 24 5 2" xfId="4640" xr:uid="{00000000-0005-0000-0000-0000E2110000}"/>
    <cellStyle name="Normal 10 2 10 24 5 3" xfId="4641" xr:uid="{00000000-0005-0000-0000-0000E3110000}"/>
    <cellStyle name="Normal 10 2 10 24 5 4" xfId="4642" xr:uid="{00000000-0005-0000-0000-0000E4110000}"/>
    <cellStyle name="Normal 10 2 10 24 5 5" xfId="4643" xr:uid="{00000000-0005-0000-0000-0000E5110000}"/>
    <cellStyle name="Normal 10 2 10 24 5 6" xfId="4644" xr:uid="{00000000-0005-0000-0000-0000E6110000}"/>
    <cellStyle name="Normal 10 2 10 24 5 7" xfId="4645" xr:uid="{00000000-0005-0000-0000-0000E7110000}"/>
    <cellStyle name="Normal 10 2 10 24 5 8" xfId="4646" xr:uid="{00000000-0005-0000-0000-0000E8110000}"/>
    <cellStyle name="Normal 10 2 10 24 5 9" xfId="4647" xr:uid="{00000000-0005-0000-0000-0000E9110000}"/>
    <cellStyle name="Normal 10 2 10 24 6" xfId="4648" xr:uid="{00000000-0005-0000-0000-0000EA110000}"/>
    <cellStyle name="Normal 10 2 10 24 7" xfId="4649" xr:uid="{00000000-0005-0000-0000-0000EB110000}"/>
    <cellStyle name="Normal 10 2 10 24 8" xfId="4650" xr:uid="{00000000-0005-0000-0000-0000EC110000}"/>
    <cellStyle name="Normal 10 2 10 24 9" xfId="4651" xr:uid="{00000000-0005-0000-0000-0000ED110000}"/>
    <cellStyle name="Normal 10 2 10 25" xfId="4652" xr:uid="{00000000-0005-0000-0000-0000EE110000}"/>
    <cellStyle name="Normal 10 2 10 25 10" xfId="4653" xr:uid="{00000000-0005-0000-0000-0000EF110000}"/>
    <cellStyle name="Normal 10 2 10 25 11" xfId="4654" xr:uid="{00000000-0005-0000-0000-0000F0110000}"/>
    <cellStyle name="Normal 10 2 10 25 12" xfId="4655" xr:uid="{00000000-0005-0000-0000-0000F1110000}"/>
    <cellStyle name="Normal 10 2 10 25 13" xfId="4656" xr:uid="{00000000-0005-0000-0000-0000F2110000}"/>
    <cellStyle name="Normal 10 2 10 25 14" xfId="4657" xr:uid="{00000000-0005-0000-0000-0000F3110000}"/>
    <cellStyle name="Normal 10 2 10 25 2" xfId="4658" xr:uid="{00000000-0005-0000-0000-0000F4110000}"/>
    <cellStyle name="Normal 10 2 10 25 2 10" xfId="4659" xr:uid="{00000000-0005-0000-0000-0000F5110000}"/>
    <cellStyle name="Normal 10 2 10 25 2 2" xfId="4660" xr:uid="{00000000-0005-0000-0000-0000F6110000}"/>
    <cellStyle name="Normal 10 2 10 25 2 3" xfId="4661" xr:uid="{00000000-0005-0000-0000-0000F7110000}"/>
    <cellStyle name="Normal 10 2 10 25 2 4" xfId="4662" xr:uid="{00000000-0005-0000-0000-0000F8110000}"/>
    <cellStyle name="Normal 10 2 10 25 2 5" xfId="4663" xr:uid="{00000000-0005-0000-0000-0000F9110000}"/>
    <cellStyle name="Normal 10 2 10 25 2 6" xfId="4664" xr:uid="{00000000-0005-0000-0000-0000FA110000}"/>
    <cellStyle name="Normal 10 2 10 25 2 7" xfId="4665" xr:uid="{00000000-0005-0000-0000-0000FB110000}"/>
    <cellStyle name="Normal 10 2 10 25 2 8" xfId="4666" xr:uid="{00000000-0005-0000-0000-0000FC110000}"/>
    <cellStyle name="Normal 10 2 10 25 2 9" xfId="4667" xr:uid="{00000000-0005-0000-0000-0000FD110000}"/>
    <cellStyle name="Normal 10 2 10 25 3" xfId="4668" xr:uid="{00000000-0005-0000-0000-0000FE110000}"/>
    <cellStyle name="Normal 10 2 10 25 3 10" xfId="4669" xr:uid="{00000000-0005-0000-0000-0000FF110000}"/>
    <cellStyle name="Normal 10 2 10 25 3 2" xfId="4670" xr:uid="{00000000-0005-0000-0000-000000120000}"/>
    <cellStyle name="Normal 10 2 10 25 3 3" xfId="4671" xr:uid="{00000000-0005-0000-0000-000001120000}"/>
    <cellStyle name="Normal 10 2 10 25 3 4" xfId="4672" xr:uid="{00000000-0005-0000-0000-000002120000}"/>
    <cellStyle name="Normal 10 2 10 25 3 5" xfId="4673" xr:uid="{00000000-0005-0000-0000-000003120000}"/>
    <cellStyle name="Normal 10 2 10 25 3 6" xfId="4674" xr:uid="{00000000-0005-0000-0000-000004120000}"/>
    <cellStyle name="Normal 10 2 10 25 3 7" xfId="4675" xr:uid="{00000000-0005-0000-0000-000005120000}"/>
    <cellStyle name="Normal 10 2 10 25 3 8" xfId="4676" xr:uid="{00000000-0005-0000-0000-000006120000}"/>
    <cellStyle name="Normal 10 2 10 25 3 9" xfId="4677" xr:uid="{00000000-0005-0000-0000-000007120000}"/>
    <cellStyle name="Normal 10 2 10 25 4" xfId="4678" xr:uid="{00000000-0005-0000-0000-000008120000}"/>
    <cellStyle name="Normal 10 2 10 25 4 10" xfId="4679" xr:uid="{00000000-0005-0000-0000-000009120000}"/>
    <cellStyle name="Normal 10 2 10 25 4 2" xfId="4680" xr:uid="{00000000-0005-0000-0000-00000A120000}"/>
    <cellStyle name="Normal 10 2 10 25 4 3" xfId="4681" xr:uid="{00000000-0005-0000-0000-00000B120000}"/>
    <cellStyle name="Normal 10 2 10 25 4 4" xfId="4682" xr:uid="{00000000-0005-0000-0000-00000C120000}"/>
    <cellStyle name="Normal 10 2 10 25 4 5" xfId="4683" xr:uid="{00000000-0005-0000-0000-00000D120000}"/>
    <cellStyle name="Normal 10 2 10 25 4 6" xfId="4684" xr:uid="{00000000-0005-0000-0000-00000E120000}"/>
    <cellStyle name="Normal 10 2 10 25 4 7" xfId="4685" xr:uid="{00000000-0005-0000-0000-00000F120000}"/>
    <cellStyle name="Normal 10 2 10 25 4 8" xfId="4686" xr:uid="{00000000-0005-0000-0000-000010120000}"/>
    <cellStyle name="Normal 10 2 10 25 4 9" xfId="4687" xr:uid="{00000000-0005-0000-0000-000011120000}"/>
    <cellStyle name="Normal 10 2 10 25 5" xfId="4688" xr:uid="{00000000-0005-0000-0000-000012120000}"/>
    <cellStyle name="Normal 10 2 10 25 5 10" xfId="4689" xr:uid="{00000000-0005-0000-0000-000013120000}"/>
    <cellStyle name="Normal 10 2 10 25 5 2" xfId="4690" xr:uid="{00000000-0005-0000-0000-000014120000}"/>
    <cellStyle name="Normal 10 2 10 25 5 3" xfId="4691" xr:uid="{00000000-0005-0000-0000-000015120000}"/>
    <cellStyle name="Normal 10 2 10 25 5 4" xfId="4692" xr:uid="{00000000-0005-0000-0000-000016120000}"/>
    <cellStyle name="Normal 10 2 10 25 5 5" xfId="4693" xr:uid="{00000000-0005-0000-0000-000017120000}"/>
    <cellStyle name="Normal 10 2 10 25 5 6" xfId="4694" xr:uid="{00000000-0005-0000-0000-000018120000}"/>
    <cellStyle name="Normal 10 2 10 25 5 7" xfId="4695" xr:uid="{00000000-0005-0000-0000-000019120000}"/>
    <cellStyle name="Normal 10 2 10 25 5 8" xfId="4696" xr:uid="{00000000-0005-0000-0000-00001A120000}"/>
    <cellStyle name="Normal 10 2 10 25 5 9" xfId="4697" xr:uid="{00000000-0005-0000-0000-00001B120000}"/>
    <cellStyle name="Normal 10 2 10 25 6" xfId="4698" xr:uid="{00000000-0005-0000-0000-00001C120000}"/>
    <cellStyle name="Normal 10 2 10 25 7" xfId="4699" xr:uid="{00000000-0005-0000-0000-00001D120000}"/>
    <cellStyle name="Normal 10 2 10 25 8" xfId="4700" xr:uid="{00000000-0005-0000-0000-00001E120000}"/>
    <cellStyle name="Normal 10 2 10 25 9" xfId="4701" xr:uid="{00000000-0005-0000-0000-00001F120000}"/>
    <cellStyle name="Normal 10 2 10 26" xfId="4702" xr:uid="{00000000-0005-0000-0000-000020120000}"/>
    <cellStyle name="Normal 10 2 10 26 10" xfId="4703" xr:uid="{00000000-0005-0000-0000-000021120000}"/>
    <cellStyle name="Normal 10 2 10 26 11" xfId="4704" xr:uid="{00000000-0005-0000-0000-000022120000}"/>
    <cellStyle name="Normal 10 2 10 26 12" xfId="4705" xr:uid="{00000000-0005-0000-0000-000023120000}"/>
    <cellStyle name="Normal 10 2 10 26 13" xfId="4706" xr:uid="{00000000-0005-0000-0000-000024120000}"/>
    <cellStyle name="Normal 10 2 10 26 14" xfId="4707" xr:uid="{00000000-0005-0000-0000-000025120000}"/>
    <cellStyle name="Normal 10 2 10 26 2" xfId="4708" xr:uid="{00000000-0005-0000-0000-000026120000}"/>
    <cellStyle name="Normal 10 2 10 26 2 10" xfId="4709" xr:uid="{00000000-0005-0000-0000-000027120000}"/>
    <cellStyle name="Normal 10 2 10 26 2 2" xfId="4710" xr:uid="{00000000-0005-0000-0000-000028120000}"/>
    <cellStyle name="Normal 10 2 10 26 2 3" xfId="4711" xr:uid="{00000000-0005-0000-0000-000029120000}"/>
    <cellStyle name="Normal 10 2 10 26 2 4" xfId="4712" xr:uid="{00000000-0005-0000-0000-00002A120000}"/>
    <cellStyle name="Normal 10 2 10 26 2 5" xfId="4713" xr:uid="{00000000-0005-0000-0000-00002B120000}"/>
    <cellStyle name="Normal 10 2 10 26 2 6" xfId="4714" xr:uid="{00000000-0005-0000-0000-00002C120000}"/>
    <cellStyle name="Normal 10 2 10 26 2 7" xfId="4715" xr:uid="{00000000-0005-0000-0000-00002D120000}"/>
    <cellStyle name="Normal 10 2 10 26 2 8" xfId="4716" xr:uid="{00000000-0005-0000-0000-00002E120000}"/>
    <cellStyle name="Normal 10 2 10 26 2 9" xfId="4717" xr:uid="{00000000-0005-0000-0000-00002F120000}"/>
    <cellStyle name="Normal 10 2 10 26 3" xfId="4718" xr:uid="{00000000-0005-0000-0000-000030120000}"/>
    <cellStyle name="Normal 10 2 10 26 3 10" xfId="4719" xr:uid="{00000000-0005-0000-0000-000031120000}"/>
    <cellStyle name="Normal 10 2 10 26 3 2" xfId="4720" xr:uid="{00000000-0005-0000-0000-000032120000}"/>
    <cellStyle name="Normal 10 2 10 26 3 3" xfId="4721" xr:uid="{00000000-0005-0000-0000-000033120000}"/>
    <cellStyle name="Normal 10 2 10 26 3 4" xfId="4722" xr:uid="{00000000-0005-0000-0000-000034120000}"/>
    <cellStyle name="Normal 10 2 10 26 3 5" xfId="4723" xr:uid="{00000000-0005-0000-0000-000035120000}"/>
    <cellStyle name="Normal 10 2 10 26 3 6" xfId="4724" xr:uid="{00000000-0005-0000-0000-000036120000}"/>
    <cellStyle name="Normal 10 2 10 26 3 7" xfId="4725" xr:uid="{00000000-0005-0000-0000-000037120000}"/>
    <cellStyle name="Normal 10 2 10 26 3 8" xfId="4726" xr:uid="{00000000-0005-0000-0000-000038120000}"/>
    <cellStyle name="Normal 10 2 10 26 3 9" xfId="4727" xr:uid="{00000000-0005-0000-0000-000039120000}"/>
    <cellStyle name="Normal 10 2 10 26 4" xfId="4728" xr:uid="{00000000-0005-0000-0000-00003A120000}"/>
    <cellStyle name="Normal 10 2 10 26 4 10" xfId="4729" xr:uid="{00000000-0005-0000-0000-00003B120000}"/>
    <cellStyle name="Normal 10 2 10 26 4 2" xfId="4730" xr:uid="{00000000-0005-0000-0000-00003C120000}"/>
    <cellStyle name="Normal 10 2 10 26 4 3" xfId="4731" xr:uid="{00000000-0005-0000-0000-00003D120000}"/>
    <cellStyle name="Normal 10 2 10 26 4 4" xfId="4732" xr:uid="{00000000-0005-0000-0000-00003E120000}"/>
    <cellStyle name="Normal 10 2 10 26 4 5" xfId="4733" xr:uid="{00000000-0005-0000-0000-00003F120000}"/>
    <cellStyle name="Normal 10 2 10 26 4 6" xfId="4734" xr:uid="{00000000-0005-0000-0000-000040120000}"/>
    <cellStyle name="Normal 10 2 10 26 4 7" xfId="4735" xr:uid="{00000000-0005-0000-0000-000041120000}"/>
    <cellStyle name="Normal 10 2 10 26 4 8" xfId="4736" xr:uid="{00000000-0005-0000-0000-000042120000}"/>
    <cellStyle name="Normal 10 2 10 26 4 9" xfId="4737" xr:uid="{00000000-0005-0000-0000-000043120000}"/>
    <cellStyle name="Normal 10 2 10 26 5" xfId="4738" xr:uid="{00000000-0005-0000-0000-000044120000}"/>
    <cellStyle name="Normal 10 2 10 26 5 10" xfId="4739" xr:uid="{00000000-0005-0000-0000-000045120000}"/>
    <cellStyle name="Normal 10 2 10 26 5 2" xfId="4740" xr:uid="{00000000-0005-0000-0000-000046120000}"/>
    <cellStyle name="Normal 10 2 10 26 5 3" xfId="4741" xr:uid="{00000000-0005-0000-0000-000047120000}"/>
    <cellStyle name="Normal 10 2 10 26 5 4" xfId="4742" xr:uid="{00000000-0005-0000-0000-000048120000}"/>
    <cellStyle name="Normal 10 2 10 26 5 5" xfId="4743" xr:uid="{00000000-0005-0000-0000-000049120000}"/>
    <cellStyle name="Normal 10 2 10 26 5 6" xfId="4744" xr:uid="{00000000-0005-0000-0000-00004A120000}"/>
    <cellStyle name="Normal 10 2 10 26 5 7" xfId="4745" xr:uid="{00000000-0005-0000-0000-00004B120000}"/>
    <cellStyle name="Normal 10 2 10 26 5 8" xfId="4746" xr:uid="{00000000-0005-0000-0000-00004C120000}"/>
    <cellStyle name="Normal 10 2 10 26 5 9" xfId="4747" xr:uid="{00000000-0005-0000-0000-00004D120000}"/>
    <cellStyle name="Normal 10 2 10 26 6" xfId="4748" xr:uid="{00000000-0005-0000-0000-00004E120000}"/>
    <cellStyle name="Normal 10 2 10 26 7" xfId="4749" xr:uid="{00000000-0005-0000-0000-00004F120000}"/>
    <cellStyle name="Normal 10 2 10 26 8" xfId="4750" xr:uid="{00000000-0005-0000-0000-000050120000}"/>
    <cellStyle name="Normal 10 2 10 26 9" xfId="4751" xr:uid="{00000000-0005-0000-0000-000051120000}"/>
    <cellStyle name="Normal 10 2 10 27" xfId="4752" xr:uid="{00000000-0005-0000-0000-000052120000}"/>
    <cellStyle name="Normal 10 2 10 27 10" xfId="4753" xr:uid="{00000000-0005-0000-0000-000053120000}"/>
    <cellStyle name="Normal 10 2 10 27 11" xfId="4754" xr:uid="{00000000-0005-0000-0000-000054120000}"/>
    <cellStyle name="Normal 10 2 10 27 12" xfId="4755" xr:uid="{00000000-0005-0000-0000-000055120000}"/>
    <cellStyle name="Normal 10 2 10 27 13" xfId="4756" xr:uid="{00000000-0005-0000-0000-000056120000}"/>
    <cellStyle name="Normal 10 2 10 27 14" xfId="4757" xr:uid="{00000000-0005-0000-0000-000057120000}"/>
    <cellStyle name="Normal 10 2 10 27 2" xfId="4758" xr:uid="{00000000-0005-0000-0000-000058120000}"/>
    <cellStyle name="Normal 10 2 10 27 2 10" xfId="4759" xr:uid="{00000000-0005-0000-0000-000059120000}"/>
    <cellStyle name="Normal 10 2 10 27 2 2" xfId="4760" xr:uid="{00000000-0005-0000-0000-00005A120000}"/>
    <cellStyle name="Normal 10 2 10 27 2 3" xfId="4761" xr:uid="{00000000-0005-0000-0000-00005B120000}"/>
    <cellStyle name="Normal 10 2 10 27 2 4" xfId="4762" xr:uid="{00000000-0005-0000-0000-00005C120000}"/>
    <cellStyle name="Normal 10 2 10 27 2 5" xfId="4763" xr:uid="{00000000-0005-0000-0000-00005D120000}"/>
    <cellStyle name="Normal 10 2 10 27 2 6" xfId="4764" xr:uid="{00000000-0005-0000-0000-00005E120000}"/>
    <cellStyle name="Normal 10 2 10 27 2 7" xfId="4765" xr:uid="{00000000-0005-0000-0000-00005F120000}"/>
    <cellStyle name="Normal 10 2 10 27 2 8" xfId="4766" xr:uid="{00000000-0005-0000-0000-000060120000}"/>
    <cellStyle name="Normal 10 2 10 27 2 9" xfId="4767" xr:uid="{00000000-0005-0000-0000-000061120000}"/>
    <cellStyle name="Normal 10 2 10 27 3" xfId="4768" xr:uid="{00000000-0005-0000-0000-000062120000}"/>
    <cellStyle name="Normal 10 2 10 27 3 10" xfId="4769" xr:uid="{00000000-0005-0000-0000-000063120000}"/>
    <cellStyle name="Normal 10 2 10 27 3 2" xfId="4770" xr:uid="{00000000-0005-0000-0000-000064120000}"/>
    <cellStyle name="Normal 10 2 10 27 3 3" xfId="4771" xr:uid="{00000000-0005-0000-0000-000065120000}"/>
    <cellStyle name="Normal 10 2 10 27 3 4" xfId="4772" xr:uid="{00000000-0005-0000-0000-000066120000}"/>
    <cellStyle name="Normal 10 2 10 27 3 5" xfId="4773" xr:uid="{00000000-0005-0000-0000-000067120000}"/>
    <cellStyle name="Normal 10 2 10 27 3 6" xfId="4774" xr:uid="{00000000-0005-0000-0000-000068120000}"/>
    <cellStyle name="Normal 10 2 10 27 3 7" xfId="4775" xr:uid="{00000000-0005-0000-0000-000069120000}"/>
    <cellStyle name="Normal 10 2 10 27 3 8" xfId="4776" xr:uid="{00000000-0005-0000-0000-00006A120000}"/>
    <cellStyle name="Normal 10 2 10 27 3 9" xfId="4777" xr:uid="{00000000-0005-0000-0000-00006B120000}"/>
    <cellStyle name="Normal 10 2 10 27 4" xfId="4778" xr:uid="{00000000-0005-0000-0000-00006C120000}"/>
    <cellStyle name="Normal 10 2 10 27 4 10" xfId="4779" xr:uid="{00000000-0005-0000-0000-00006D120000}"/>
    <cellStyle name="Normal 10 2 10 27 4 2" xfId="4780" xr:uid="{00000000-0005-0000-0000-00006E120000}"/>
    <cellStyle name="Normal 10 2 10 27 4 3" xfId="4781" xr:uid="{00000000-0005-0000-0000-00006F120000}"/>
    <cellStyle name="Normal 10 2 10 27 4 4" xfId="4782" xr:uid="{00000000-0005-0000-0000-000070120000}"/>
    <cellStyle name="Normal 10 2 10 27 4 5" xfId="4783" xr:uid="{00000000-0005-0000-0000-000071120000}"/>
    <cellStyle name="Normal 10 2 10 27 4 6" xfId="4784" xr:uid="{00000000-0005-0000-0000-000072120000}"/>
    <cellStyle name="Normal 10 2 10 27 4 7" xfId="4785" xr:uid="{00000000-0005-0000-0000-000073120000}"/>
    <cellStyle name="Normal 10 2 10 27 4 8" xfId="4786" xr:uid="{00000000-0005-0000-0000-000074120000}"/>
    <cellStyle name="Normal 10 2 10 27 4 9" xfId="4787" xr:uid="{00000000-0005-0000-0000-000075120000}"/>
    <cellStyle name="Normal 10 2 10 27 5" xfId="4788" xr:uid="{00000000-0005-0000-0000-000076120000}"/>
    <cellStyle name="Normal 10 2 10 27 5 10" xfId="4789" xr:uid="{00000000-0005-0000-0000-000077120000}"/>
    <cellStyle name="Normal 10 2 10 27 5 2" xfId="4790" xr:uid="{00000000-0005-0000-0000-000078120000}"/>
    <cellStyle name="Normal 10 2 10 27 5 3" xfId="4791" xr:uid="{00000000-0005-0000-0000-000079120000}"/>
    <cellStyle name="Normal 10 2 10 27 5 4" xfId="4792" xr:uid="{00000000-0005-0000-0000-00007A120000}"/>
    <cellStyle name="Normal 10 2 10 27 5 5" xfId="4793" xr:uid="{00000000-0005-0000-0000-00007B120000}"/>
    <cellStyle name="Normal 10 2 10 27 5 6" xfId="4794" xr:uid="{00000000-0005-0000-0000-00007C120000}"/>
    <cellStyle name="Normal 10 2 10 27 5 7" xfId="4795" xr:uid="{00000000-0005-0000-0000-00007D120000}"/>
    <cellStyle name="Normal 10 2 10 27 5 8" xfId="4796" xr:uid="{00000000-0005-0000-0000-00007E120000}"/>
    <cellStyle name="Normal 10 2 10 27 5 9" xfId="4797" xr:uid="{00000000-0005-0000-0000-00007F120000}"/>
    <cellStyle name="Normal 10 2 10 27 6" xfId="4798" xr:uid="{00000000-0005-0000-0000-000080120000}"/>
    <cellStyle name="Normal 10 2 10 27 7" xfId="4799" xr:uid="{00000000-0005-0000-0000-000081120000}"/>
    <cellStyle name="Normal 10 2 10 27 8" xfId="4800" xr:uid="{00000000-0005-0000-0000-000082120000}"/>
    <cellStyle name="Normal 10 2 10 27 9" xfId="4801" xr:uid="{00000000-0005-0000-0000-000083120000}"/>
    <cellStyle name="Normal 10 2 10 28" xfId="4802" xr:uid="{00000000-0005-0000-0000-000084120000}"/>
    <cellStyle name="Normal 10 2 10 28 10" xfId="4803" xr:uid="{00000000-0005-0000-0000-000085120000}"/>
    <cellStyle name="Normal 10 2 10 28 11" xfId="4804" xr:uid="{00000000-0005-0000-0000-000086120000}"/>
    <cellStyle name="Normal 10 2 10 28 12" xfId="4805" xr:uid="{00000000-0005-0000-0000-000087120000}"/>
    <cellStyle name="Normal 10 2 10 28 13" xfId="4806" xr:uid="{00000000-0005-0000-0000-000088120000}"/>
    <cellStyle name="Normal 10 2 10 28 14" xfId="4807" xr:uid="{00000000-0005-0000-0000-000089120000}"/>
    <cellStyle name="Normal 10 2 10 28 2" xfId="4808" xr:uid="{00000000-0005-0000-0000-00008A120000}"/>
    <cellStyle name="Normal 10 2 10 28 2 10" xfId="4809" xr:uid="{00000000-0005-0000-0000-00008B120000}"/>
    <cellStyle name="Normal 10 2 10 28 2 2" xfId="4810" xr:uid="{00000000-0005-0000-0000-00008C120000}"/>
    <cellStyle name="Normal 10 2 10 28 2 3" xfId="4811" xr:uid="{00000000-0005-0000-0000-00008D120000}"/>
    <cellStyle name="Normal 10 2 10 28 2 4" xfId="4812" xr:uid="{00000000-0005-0000-0000-00008E120000}"/>
    <cellStyle name="Normal 10 2 10 28 2 5" xfId="4813" xr:uid="{00000000-0005-0000-0000-00008F120000}"/>
    <cellStyle name="Normal 10 2 10 28 2 6" xfId="4814" xr:uid="{00000000-0005-0000-0000-000090120000}"/>
    <cellStyle name="Normal 10 2 10 28 2 7" xfId="4815" xr:uid="{00000000-0005-0000-0000-000091120000}"/>
    <cellStyle name="Normal 10 2 10 28 2 8" xfId="4816" xr:uid="{00000000-0005-0000-0000-000092120000}"/>
    <cellStyle name="Normal 10 2 10 28 2 9" xfId="4817" xr:uid="{00000000-0005-0000-0000-000093120000}"/>
    <cellStyle name="Normal 10 2 10 28 3" xfId="4818" xr:uid="{00000000-0005-0000-0000-000094120000}"/>
    <cellStyle name="Normal 10 2 10 28 3 10" xfId="4819" xr:uid="{00000000-0005-0000-0000-000095120000}"/>
    <cellStyle name="Normal 10 2 10 28 3 2" xfId="4820" xr:uid="{00000000-0005-0000-0000-000096120000}"/>
    <cellStyle name="Normal 10 2 10 28 3 3" xfId="4821" xr:uid="{00000000-0005-0000-0000-000097120000}"/>
    <cellStyle name="Normal 10 2 10 28 3 4" xfId="4822" xr:uid="{00000000-0005-0000-0000-000098120000}"/>
    <cellStyle name="Normal 10 2 10 28 3 5" xfId="4823" xr:uid="{00000000-0005-0000-0000-000099120000}"/>
    <cellStyle name="Normal 10 2 10 28 3 6" xfId="4824" xr:uid="{00000000-0005-0000-0000-00009A120000}"/>
    <cellStyle name="Normal 10 2 10 28 3 7" xfId="4825" xr:uid="{00000000-0005-0000-0000-00009B120000}"/>
    <cellStyle name="Normal 10 2 10 28 3 8" xfId="4826" xr:uid="{00000000-0005-0000-0000-00009C120000}"/>
    <cellStyle name="Normal 10 2 10 28 3 9" xfId="4827" xr:uid="{00000000-0005-0000-0000-00009D120000}"/>
    <cellStyle name="Normal 10 2 10 28 4" xfId="4828" xr:uid="{00000000-0005-0000-0000-00009E120000}"/>
    <cellStyle name="Normal 10 2 10 28 4 10" xfId="4829" xr:uid="{00000000-0005-0000-0000-00009F120000}"/>
    <cellStyle name="Normal 10 2 10 28 4 2" xfId="4830" xr:uid="{00000000-0005-0000-0000-0000A0120000}"/>
    <cellStyle name="Normal 10 2 10 28 4 3" xfId="4831" xr:uid="{00000000-0005-0000-0000-0000A1120000}"/>
    <cellStyle name="Normal 10 2 10 28 4 4" xfId="4832" xr:uid="{00000000-0005-0000-0000-0000A2120000}"/>
    <cellStyle name="Normal 10 2 10 28 4 5" xfId="4833" xr:uid="{00000000-0005-0000-0000-0000A3120000}"/>
    <cellStyle name="Normal 10 2 10 28 4 6" xfId="4834" xr:uid="{00000000-0005-0000-0000-0000A4120000}"/>
    <cellStyle name="Normal 10 2 10 28 4 7" xfId="4835" xr:uid="{00000000-0005-0000-0000-0000A5120000}"/>
    <cellStyle name="Normal 10 2 10 28 4 8" xfId="4836" xr:uid="{00000000-0005-0000-0000-0000A6120000}"/>
    <cellStyle name="Normal 10 2 10 28 4 9" xfId="4837" xr:uid="{00000000-0005-0000-0000-0000A7120000}"/>
    <cellStyle name="Normal 10 2 10 28 5" xfId="4838" xr:uid="{00000000-0005-0000-0000-0000A8120000}"/>
    <cellStyle name="Normal 10 2 10 28 5 10" xfId="4839" xr:uid="{00000000-0005-0000-0000-0000A9120000}"/>
    <cellStyle name="Normal 10 2 10 28 5 2" xfId="4840" xr:uid="{00000000-0005-0000-0000-0000AA120000}"/>
    <cellStyle name="Normal 10 2 10 28 5 3" xfId="4841" xr:uid="{00000000-0005-0000-0000-0000AB120000}"/>
    <cellStyle name="Normal 10 2 10 28 5 4" xfId="4842" xr:uid="{00000000-0005-0000-0000-0000AC120000}"/>
    <cellStyle name="Normal 10 2 10 28 5 5" xfId="4843" xr:uid="{00000000-0005-0000-0000-0000AD120000}"/>
    <cellStyle name="Normal 10 2 10 28 5 6" xfId="4844" xr:uid="{00000000-0005-0000-0000-0000AE120000}"/>
    <cellStyle name="Normal 10 2 10 28 5 7" xfId="4845" xr:uid="{00000000-0005-0000-0000-0000AF120000}"/>
    <cellStyle name="Normal 10 2 10 28 5 8" xfId="4846" xr:uid="{00000000-0005-0000-0000-0000B0120000}"/>
    <cellStyle name="Normal 10 2 10 28 5 9" xfId="4847" xr:uid="{00000000-0005-0000-0000-0000B1120000}"/>
    <cellStyle name="Normal 10 2 10 28 6" xfId="4848" xr:uid="{00000000-0005-0000-0000-0000B2120000}"/>
    <cellStyle name="Normal 10 2 10 28 7" xfId="4849" xr:uid="{00000000-0005-0000-0000-0000B3120000}"/>
    <cellStyle name="Normal 10 2 10 28 8" xfId="4850" xr:uid="{00000000-0005-0000-0000-0000B4120000}"/>
    <cellStyle name="Normal 10 2 10 28 9" xfId="4851" xr:uid="{00000000-0005-0000-0000-0000B5120000}"/>
    <cellStyle name="Normal 10 2 10 29" xfId="4852" xr:uid="{00000000-0005-0000-0000-0000B6120000}"/>
    <cellStyle name="Normal 10 2 10 29 10" xfId="4853" xr:uid="{00000000-0005-0000-0000-0000B7120000}"/>
    <cellStyle name="Normal 10 2 10 29 11" xfId="4854" xr:uid="{00000000-0005-0000-0000-0000B8120000}"/>
    <cellStyle name="Normal 10 2 10 29 12" xfId="4855" xr:uid="{00000000-0005-0000-0000-0000B9120000}"/>
    <cellStyle name="Normal 10 2 10 29 13" xfId="4856" xr:uid="{00000000-0005-0000-0000-0000BA120000}"/>
    <cellStyle name="Normal 10 2 10 29 14" xfId="4857" xr:uid="{00000000-0005-0000-0000-0000BB120000}"/>
    <cellStyle name="Normal 10 2 10 29 2" xfId="4858" xr:uid="{00000000-0005-0000-0000-0000BC120000}"/>
    <cellStyle name="Normal 10 2 10 29 2 10" xfId="4859" xr:uid="{00000000-0005-0000-0000-0000BD120000}"/>
    <cellStyle name="Normal 10 2 10 29 2 2" xfId="4860" xr:uid="{00000000-0005-0000-0000-0000BE120000}"/>
    <cellStyle name="Normal 10 2 10 29 2 3" xfId="4861" xr:uid="{00000000-0005-0000-0000-0000BF120000}"/>
    <cellStyle name="Normal 10 2 10 29 2 4" xfId="4862" xr:uid="{00000000-0005-0000-0000-0000C0120000}"/>
    <cellStyle name="Normal 10 2 10 29 2 5" xfId="4863" xr:uid="{00000000-0005-0000-0000-0000C1120000}"/>
    <cellStyle name="Normal 10 2 10 29 2 6" xfId="4864" xr:uid="{00000000-0005-0000-0000-0000C2120000}"/>
    <cellStyle name="Normal 10 2 10 29 2 7" xfId="4865" xr:uid="{00000000-0005-0000-0000-0000C3120000}"/>
    <cellStyle name="Normal 10 2 10 29 2 8" xfId="4866" xr:uid="{00000000-0005-0000-0000-0000C4120000}"/>
    <cellStyle name="Normal 10 2 10 29 2 9" xfId="4867" xr:uid="{00000000-0005-0000-0000-0000C5120000}"/>
    <cellStyle name="Normal 10 2 10 29 3" xfId="4868" xr:uid="{00000000-0005-0000-0000-0000C6120000}"/>
    <cellStyle name="Normal 10 2 10 29 3 10" xfId="4869" xr:uid="{00000000-0005-0000-0000-0000C7120000}"/>
    <cellStyle name="Normal 10 2 10 29 3 2" xfId="4870" xr:uid="{00000000-0005-0000-0000-0000C8120000}"/>
    <cellStyle name="Normal 10 2 10 29 3 3" xfId="4871" xr:uid="{00000000-0005-0000-0000-0000C9120000}"/>
    <cellStyle name="Normal 10 2 10 29 3 4" xfId="4872" xr:uid="{00000000-0005-0000-0000-0000CA120000}"/>
    <cellStyle name="Normal 10 2 10 29 3 5" xfId="4873" xr:uid="{00000000-0005-0000-0000-0000CB120000}"/>
    <cellStyle name="Normal 10 2 10 29 3 6" xfId="4874" xr:uid="{00000000-0005-0000-0000-0000CC120000}"/>
    <cellStyle name="Normal 10 2 10 29 3 7" xfId="4875" xr:uid="{00000000-0005-0000-0000-0000CD120000}"/>
    <cellStyle name="Normal 10 2 10 29 3 8" xfId="4876" xr:uid="{00000000-0005-0000-0000-0000CE120000}"/>
    <cellStyle name="Normal 10 2 10 29 3 9" xfId="4877" xr:uid="{00000000-0005-0000-0000-0000CF120000}"/>
    <cellStyle name="Normal 10 2 10 29 4" xfId="4878" xr:uid="{00000000-0005-0000-0000-0000D0120000}"/>
    <cellStyle name="Normal 10 2 10 29 4 10" xfId="4879" xr:uid="{00000000-0005-0000-0000-0000D1120000}"/>
    <cellStyle name="Normal 10 2 10 29 4 2" xfId="4880" xr:uid="{00000000-0005-0000-0000-0000D2120000}"/>
    <cellStyle name="Normal 10 2 10 29 4 3" xfId="4881" xr:uid="{00000000-0005-0000-0000-0000D3120000}"/>
    <cellStyle name="Normal 10 2 10 29 4 4" xfId="4882" xr:uid="{00000000-0005-0000-0000-0000D4120000}"/>
    <cellStyle name="Normal 10 2 10 29 4 5" xfId="4883" xr:uid="{00000000-0005-0000-0000-0000D5120000}"/>
    <cellStyle name="Normal 10 2 10 29 4 6" xfId="4884" xr:uid="{00000000-0005-0000-0000-0000D6120000}"/>
    <cellStyle name="Normal 10 2 10 29 4 7" xfId="4885" xr:uid="{00000000-0005-0000-0000-0000D7120000}"/>
    <cellStyle name="Normal 10 2 10 29 4 8" xfId="4886" xr:uid="{00000000-0005-0000-0000-0000D8120000}"/>
    <cellStyle name="Normal 10 2 10 29 4 9" xfId="4887" xr:uid="{00000000-0005-0000-0000-0000D9120000}"/>
    <cellStyle name="Normal 10 2 10 29 5" xfId="4888" xr:uid="{00000000-0005-0000-0000-0000DA120000}"/>
    <cellStyle name="Normal 10 2 10 29 5 10" xfId="4889" xr:uid="{00000000-0005-0000-0000-0000DB120000}"/>
    <cellStyle name="Normal 10 2 10 29 5 2" xfId="4890" xr:uid="{00000000-0005-0000-0000-0000DC120000}"/>
    <cellStyle name="Normal 10 2 10 29 5 3" xfId="4891" xr:uid="{00000000-0005-0000-0000-0000DD120000}"/>
    <cellStyle name="Normal 10 2 10 29 5 4" xfId="4892" xr:uid="{00000000-0005-0000-0000-0000DE120000}"/>
    <cellStyle name="Normal 10 2 10 29 5 5" xfId="4893" xr:uid="{00000000-0005-0000-0000-0000DF120000}"/>
    <cellStyle name="Normal 10 2 10 29 5 6" xfId="4894" xr:uid="{00000000-0005-0000-0000-0000E0120000}"/>
    <cellStyle name="Normal 10 2 10 29 5 7" xfId="4895" xr:uid="{00000000-0005-0000-0000-0000E1120000}"/>
    <cellStyle name="Normal 10 2 10 29 5 8" xfId="4896" xr:uid="{00000000-0005-0000-0000-0000E2120000}"/>
    <cellStyle name="Normal 10 2 10 29 5 9" xfId="4897" xr:uid="{00000000-0005-0000-0000-0000E3120000}"/>
    <cellStyle name="Normal 10 2 10 29 6" xfId="4898" xr:uid="{00000000-0005-0000-0000-0000E4120000}"/>
    <cellStyle name="Normal 10 2 10 29 7" xfId="4899" xr:uid="{00000000-0005-0000-0000-0000E5120000}"/>
    <cellStyle name="Normal 10 2 10 29 8" xfId="4900" xr:uid="{00000000-0005-0000-0000-0000E6120000}"/>
    <cellStyle name="Normal 10 2 10 29 9" xfId="4901" xr:uid="{00000000-0005-0000-0000-0000E7120000}"/>
    <cellStyle name="Normal 10 2 10 3" xfId="35" xr:uid="{00000000-0005-0000-0000-0000E8120000}"/>
    <cellStyle name="Normal 10 2 10 3 10" xfId="4903" xr:uid="{00000000-0005-0000-0000-0000E9120000}"/>
    <cellStyle name="Normal 10 2 10 3 11" xfId="4904" xr:uid="{00000000-0005-0000-0000-0000EA120000}"/>
    <cellStyle name="Normal 10 2 10 3 12" xfId="4905" xr:uid="{00000000-0005-0000-0000-0000EB120000}"/>
    <cellStyle name="Normal 10 2 10 3 13" xfId="4906" xr:uid="{00000000-0005-0000-0000-0000EC120000}"/>
    <cellStyle name="Normal 10 2 10 3 14" xfId="4907" xr:uid="{00000000-0005-0000-0000-0000ED120000}"/>
    <cellStyle name="Normal 10 2 10 3 15" xfId="4908" xr:uid="{00000000-0005-0000-0000-0000EE120000}"/>
    <cellStyle name="Normal 10 2 10 3 16" xfId="4902" xr:uid="{00000000-0005-0000-0000-0000EF120000}"/>
    <cellStyle name="Normal 10 2 10 3 2" xfId="4909" xr:uid="{00000000-0005-0000-0000-0000F0120000}"/>
    <cellStyle name="Normal 10 2 10 3 2 10" xfId="4910" xr:uid="{00000000-0005-0000-0000-0000F1120000}"/>
    <cellStyle name="Normal 10 2 10 3 2 2" xfId="4911" xr:uid="{00000000-0005-0000-0000-0000F2120000}"/>
    <cellStyle name="Normal 10 2 10 3 2 3" xfId="4912" xr:uid="{00000000-0005-0000-0000-0000F3120000}"/>
    <cellStyle name="Normal 10 2 10 3 2 4" xfId="4913" xr:uid="{00000000-0005-0000-0000-0000F4120000}"/>
    <cellStyle name="Normal 10 2 10 3 2 5" xfId="4914" xr:uid="{00000000-0005-0000-0000-0000F5120000}"/>
    <cellStyle name="Normal 10 2 10 3 2 6" xfId="4915" xr:uid="{00000000-0005-0000-0000-0000F6120000}"/>
    <cellStyle name="Normal 10 2 10 3 2 7" xfId="4916" xr:uid="{00000000-0005-0000-0000-0000F7120000}"/>
    <cellStyle name="Normal 10 2 10 3 2 8" xfId="4917" xr:uid="{00000000-0005-0000-0000-0000F8120000}"/>
    <cellStyle name="Normal 10 2 10 3 2 9" xfId="4918" xr:uid="{00000000-0005-0000-0000-0000F9120000}"/>
    <cellStyle name="Normal 10 2 10 3 3" xfId="4919" xr:uid="{00000000-0005-0000-0000-0000FA120000}"/>
    <cellStyle name="Normal 10 2 10 3 3 10" xfId="4920" xr:uid="{00000000-0005-0000-0000-0000FB120000}"/>
    <cellStyle name="Normal 10 2 10 3 3 2" xfId="4921" xr:uid="{00000000-0005-0000-0000-0000FC120000}"/>
    <cellStyle name="Normal 10 2 10 3 3 3" xfId="4922" xr:uid="{00000000-0005-0000-0000-0000FD120000}"/>
    <cellStyle name="Normal 10 2 10 3 3 4" xfId="4923" xr:uid="{00000000-0005-0000-0000-0000FE120000}"/>
    <cellStyle name="Normal 10 2 10 3 3 5" xfId="4924" xr:uid="{00000000-0005-0000-0000-0000FF120000}"/>
    <cellStyle name="Normal 10 2 10 3 3 6" xfId="4925" xr:uid="{00000000-0005-0000-0000-000000130000}"/>
    <cellStyle name="Normal 10 2 10 3 3 7" xfId="4926" xr:uid="{00000000-0005-0000-0000-000001130000}"/>
    <cellStyle name="Normal 10 2 10 3 3 8" xfId="4927" xr:uid="{00000000-0005-0000-0000-000002130000}"/>
    <cellStyle name="Normal 10 2 10 3 3 9" xfId="4928" xr:uid="{00000000-0005-0000-0000-000003130000}"/>
    <cellStyle name="Normal 10 2 10 3 4" xfId="4929" xr:uid="{00000000-0005-0000-0000-000004130000}"/>
    <cellStyle name="Normal 10 2 10 3 4 10" xfId="4930" xr:uid="{00000000-0005-0000-0000-000005130000}"/>
    <cellStyle name="Normal 10 2 10 3 4 2" xfId="4931" xr:uid="{00000000-0005-0000-0000-000006130000}"/>
    <cellStyle name="Normal 10 2 10 3 4 3" xfId="4932" xr:uid="{00000000-0005-0000-0000-000007130000}"/>
    <cellStyle name="Normal 10 2 10 3 4 4" xfId="4933" xr:uid="{00000000-0005-0000-0000-000008130000}"/>
    <cellStyle name="Normal 10 2 10 3 4 5" xfId="4934" xr:uid="{00000000-0005-0000-0000-000009130000}"/>
    <cellStyle name="Normal 10 2 10 3 4 6" xfId="4935" xr:uid="{00000000-0005-0000-0000-00000A130000}"/>
    <cellStyle name="Normal 10 2 10 3 4 7" xfId="4936" xr:uid="{00000000-0005-0000-0000-00000B130000}"/>
    <cellStyle name="Normal 10 2 10 3 4 8" xfId="4937" xr:uid="{00000000-0005-0000-0000-00000C130000}"/>
    <cellStyle name="Normal 10 2 10 3 4 9" xfId="4938" xr:uid="{00000000-0005-0000-0000-00000D130000}"/>
    <cellStyle name="Normal 10 2 10 3 5" xfId="4939" xr:uid="{00000000-0005-0000-0000-00000E130000}"/>
    <cellStyle name="Normal 10 2 10 3 5 10" xfId="4940" xr:uid="{00000000-0005-0000-0000-00000F130000}"/>
    <cellStyle name="Normal 10 2 10 3 5 2" xfId="4941" xr:uid="{00000000-0005-0000-0000-000010130000}"/>
    <cellStyle name="Normal 10 2 10 3 5 3" xfId="4942" xr:uid="{00000000-0005-0000-0000-000011130000}"/>
    <cellStyle name="Normal 10 2 10 3 5 4" xfId="4943" xr:uid="{00000000-0005-0000-0000-000012130000}"/>
    <cellStyle name="Normal 10 2 10 3 5 5" xfId="4944" xr:uid="{00000000-0005-0000-0000-000013130000}"/>
    <cellStyle name="Normal 10 2 10 3 5 6" xfId="4945" xr:uid="{00000000-0005-0000-0000-000014130000}"/>
    <cellStyle name="Normal 10 2 10 3 5 7" xfId="4946" xr:uid="{00000000-0005-0000-0000-000015130000}"/>
    <cellStyle name="Normal 10 2 10 3 5 8" xfId="4947" xr:uid="{00000000-0005-0000-0000-000016130000}"/>
    <cellStyle name="Normal 10 2 10 3 5 9" xfId="4948" xr:uid="{00000000-0005-0000-0000-000017130000}"/>
    <cellStyle name="Normal 10 2 10 3 6" xfId="4949" xr:uid="{00000000-0005-0000-0000-000018130000}"/>
    <cellStyle name="Normal 10 2 10 3 7" xfId="4950" xr:uid="{00000000-0005-0000-0000-000019130000}"/>
    <cellStyle name="Normal 10 2 10 3 8" xfId="4951" xr:uid="{00000000-0005-0000-0000-00001A130000}"/>
    <cellStyle name="Normal 10 2 10 3 9" xfId="4952" xr:uid="{00000000-0005-0000-0000-00001B130000}"/>
    <cellStyle name="Normal 10 2 10 30" xfId="4953" xr:uid="{00000000-0005-0000-0000-00001C130000}"/>
    <cellStyle name="Normal 10 2 10 30 10" xfId="4954" xr:uid="{00000000-0005-0000-0000-00001D130000}"/>
    <cellStyle name="Normal 10 2 10 30 11" xfId="4955" xr:uid="{00000000-0005-0000-0000-00001E130000}"/>
    <cellStyle name="Normal 10 2 10 30 12" xfId="4956" xr:uid="{00000000-0005-0000-0000-00001F130000}"/>
    <cellStyle name="Normal 10 2 10 30 13" xfId="4957" xr:uid="{00000000-0005-0000-0000-000020130000}"/>
    <cellStyle name="Normal 10 2 10 30 14" xfId="4958" xr:uid="{00000000-0005-0000-0000-000021130000}"/>
    <cellStyle name="Normal 10 2 10 30 2" xfId="4959" xr:uid="{00000000-0005-0000-0000-000022130000}"/>
    <cellStyle name="Normal 10 2 10 30 2 10" xfId="4960" xr:uid="{00000000-0005-0000-0000-000023130000}"/>
    <cellStyle name="Normal 10 2 10 30 2 2" xfId="4961" xr:uid="{00000000-0005-0000-0000-000024130000}"/>
    <cellStyle name="Normal 10 2 10 30 2 3" xfId="4962" xr:uid="{00000000-0005-0000-0000-000025130000}"/>
    <cellStyle name="Normal 10 2 10 30 2 4" xfId="4963" xr:uid="{00000000-0005-0000-0000-000026130000}"/>
    <cellStyle name="Normal 10 2 10 30 2 5" xfId="4964" xr:uid="{00000000-0005-0000-0000-000027130000}"/>
    <cellStyle name="Normal 10 2 10 30 2 6" xfId="4965" xr:uid="{00000000-0005-0000-0000-000028130000}"/>
    <cellStyle name="Normal 10 2 10 30 2 7" xfId="4966" xr:uid="{00000000-0005-0000-0000-000029130000}"/>
    <cellStyle name="Normal 10 2 10 30 2 8" xfId="4967" xr:uid="{00000000-0005-0000-0000-00002A130000}"/>
    <cellStyle name="Normal 10 2 10 30 2 9" xfId="4968" xr:uid="{00000000-0005-0000-0000-00002B130000}"/>
    <cellStyle name="Normal 10 2 10 30 3" xfId="4969" xr:uid="{00000000-0005-0000-0000-00002C130000}"/>
    <cellStyle name="Normal 10 2 10 30 3 10" xfId="4970" xr:uid="{00000000-0005-0000-0000-00002D130000}"/>
    <cellStyle name="Normal 10 2 10 30 3 2" xfId="4971" xr:uid="{00000000-0005-0000-0000-00002E130000}"/>
    <cellStyle name="Normal 10 2 10 30 3 3" xfId="4972" xr:uid="{00000000-0005-0000-0000-00002F130000}"/>
    <cellStyle name="Normal 10 2 10 30 3 4" xfId="4973" xr:uid="{00000000-0005-0000-0000-000030130000}"/>
    <cellStyle name="Normal 10 2 10 30 3 5" xfId="4974" xr:uid="{00000000-0005-0000-0000-000031130000}"/>
    <cellStyle name="Normal 10 2 10 30 3 6" xfId="4975" xr:uid="{00000000-0005-0000-0000-000032130000}"/>
    <cellStyle name="Normal 10 2 10 30 3 7" xfId="4976" xr:uid="{00000000-0005-0000-0000-000033130000}"/>
    <cellStyle name="Normal 10 2 10 30 3 8" xfId="4977" xr:uid="{00000000-0005-0000-0000-000034130000}"/>
    <cellStyle name="Normal 10 2 10 30 3 9" xfId="4978" xr:uid="{00000000-0005-0000-0000-000035130000}"/>
    <cellStyle name="Normal 10 2 10 30 4" xfId="4979" xr:uid="{00000000-0005-0000-0000-000036130000}"/>
    <cellStyle name="Normal 10 2 10 30 4 10" xfId="4980" xr:uid="{00000000-0005-0000-0000-000037130000}"/>
    <cellStyle name="Normal 10 2 10 30 4 2" xfId="4981" xr:uid="{00000000-0005-0000-0000-000038130000}"/>
    <cellStyle name="Normal 10 2 10 30 4 3" xfId="4982" xr:uid="{00000000-0005-0000-0000-000039130000}"/>
    <cellStyle name="Normal 10 2 10 30 4 4" xfId="4983" xr:uid="{00000000-0005-0000-0000-00003A130000}"/>
    <cellStyle name="Normal 10 2 10 30 4 5" xfId="4984" xr:uid="{00000000-0005-0000-0000-00003B130000}"/>
    <cellStyle name="Normal 10 2 10 30 4 6" xfId="4985" xr:uid="{00000000-0005-0000-0000-00003C130000}"/>
    <cellStyle name="Normal 10 2 10 30 4 7" xfId="4986" xr:uid="{00000000-0005-0000-0000-00003D130000}"/>
    <cellStyle name="Normal 10 2 10 30 4 8" xfId="4987" xr:uid="{00000000-0005-0000-0000-00003E130000}"/>
    <cellStyle name="Normal 10 2 10 30 4 9" xfId="4988" xr:uid="{00000000-0005-0000-0000-00003F130000}"/>
    <cellStyle name="Normal 10 2 10 30 5" xfId="4989" xr:uid="{00000000-0005-0000-0000-000040130000}"/>
    <cellStyle name="Normal 10 2 10 30 5 10" xfId="4990" xr:uid="{00000000-0005-0000-0000-000041130000}"/>
    <cellStyle name="Normal 10 2 10 30 5 2" xfId="4991" xr:uid="{00000000-0005-0000-0000-000042130000}"/>
    <cellStyle name="Normal 10 2 10 30 5 3" xfId="4992" xr:uid="{00000000-0005-0000-0000-000043130000}"/>
    <cellStyle name="Normal 10 2 10 30 5 4" xfId="4993" xr:uid="{00000000-0005-0000-0000-000044130000}"/>
    <cellStyle name="Normal 10 2 10 30 5 5" xfId="4994" xr:uid="{00000000-0005-0000-0000-000045130000}"/>
    <cellStyle name="Normal 10 2 10 30 5 6" xfId="4995" xr:uid="{00000000-0005-0000-0000-000046130000}"/>
    <cellStyle name="Normal 10 2 10 30 5 7" xfId="4996" xr:uid="{00000000-0005-0000-0000-000047130000}"/>
    <cellStyle name="Normal 10 2 10 30 5 8" xfId="4997" xr:uid="{00000000-0005-0000-0000-000048130000}"/>
    <cellStyle name="Normal 10 2 10 30 5 9" xfId="4998" xr:uid="{00000000-0005-0000-0000-000049130000}"/>
    <cellStyle name="Normal 10 2 10 30 6" xfId="4999" xr:uid="{00000000-0005-0000-0000-00004A130000}"/>
    <cellStyle name="Normal 10 2 10 30 7" xfId="5000" xr:uid="{00000000-0005-0000-0000-00004B130000}"/>
    <cellStyle name="Normal 10 2 10 30 8" xfId="5001" xr:uid="{00000000-0005-0000-0000-00004C130000}"/>
    <cellStyle name="Normal 10 2 10 30 9" xfId="5002" xr:uid="{00000000-0005-0000-0000-00004D130000}"/>
    <cellStyle name="Normal 10 2 10 31" xfId="5003" xr:uid="{00000000-0005-0000-0000-00004E130000}"/>
    <cellStyle name="Normal 10 2 10 31 10" xfId="5004" xr:uid="{00000000-0005-0000-0000-00004F130000}"/>
    <cellStyle name="Normal 10 2 10 31 11" xfId="5005" xr:uid="{00000000-0005-0000-0000-000050130000}"/>
    <cellStyle name="Normal 10 2 10 31 12" xfId="5006" xr:uid="{00000000-0005-0000-0000-000051130000}"/>
    <cellStyle name="Normal 10 2 10 31 13" xfId="5007" xr:uid="{00000000-0005-0000-0000-000052130000}"/>
    <cellStyle name="Normal 10 2 10 31 14" xfId="5008" xr:uid="{00000000-0005-0000-0000-000053130000}"/>
    <cellStyle name="Normal 10 2 10 31 2" xfId="5009" xr:uid="{00000000-0005-0000-0000-000054130000}"/>
    <cellStyle name="Normal 10 2 10 31 2 10" xfId="5010" xr:uid="{00000000-0005-0000-0000-000055130000}"/>
    <cellStyle name="Normal 10 2 10 31 2 2" xfId="5011" xr:uid="{00000000-0005-0000-0000-000056130000}"/>
    <cellStyle name="Normal 10 2 10 31 2 3" xfId="5012" xr:uid="{00000000-0005-0000-0000-000057130000}"/>
    <cellStyle name="Normal 10 2 10 31 2 4" xfId="5013" xr:uid="{00000000-0005-0000-0000-000058130000}"/>
    <cellStyle name="Normal 10 2 10 31 2 5" xfId="5014" xr:uid="{00000000-0005-0000-0000-000059130000}"/>
    <cellStyle name="Normal 10 2 10 31 2 6" xfId="5015" xr:uid="{00000000-0005-0000-0000-00005A130000}"/>
    <cellStyle name="Normal 10 2 10 31 2 7" xfId="5016" xr:uid="{00000000-0005-0000-0000-00005B130000}"/>
    <cellStyle name="Normal 10 2 10 31 2 8" xfId="5017" xr:uid="{00000000-0005-0000-0000-00005C130000}"/>
    <cellStyle name="Normal 10 2 10 31 2 9" xfId="5018" xr:uid="{00000000-0005-0000-0000-00005D130000}"/>
    <cellStyle name="Normal 10 2 10 31 3" xfId="5019" xr:uid="{00000000-0005-0000-0000-00005E130000}"/>
    <cellStyle name="Normal 10 2 10 31 3 10" xfId="5020" xr:uid="{00000000-0005-0000-0000-00005F130000}"/>
    <cellStyle name="Normal 10 2 10 31 3 2" xfId="5021" xr:uid="{00000000-0005-0000-0000-000060130000}"/>
    <cellStyle name="Normal 10 2 10 31 3 3" xfId="5022" xr:uid="{00000000-0005-0000-0000-000061130000}"/>
    <cellStyle name="Normal 10 2 10 31 3 4" xfId="5023" xr:uid="{00000000-0005-0000-0000-000062130000}"/>
    <cellStyle name="Normal 10 2 10 31 3 5" xfId="5024" xr:uid="{00000000-0005-0000-0000-000063130000}"/>
    <cellStyle name="Normal 10 2 10 31 3 6" xfId="5025" xr:uid="{00000000-0005-0000-0000-000064130000}"/>
    <cellStyle name="Normal 10 2 10 31 3 7" xfId="5026" xr:uid="{00000000-0005-0000-0000-000065130000}"/>
    <cellStyle name="Normal 10 2 10 31 3 8" xfId="5027" xr:uid="{00000000-0005-0000-0000-000066130000}"/>
    <cellStyle name="Normal 10 2 10 31 3 9" xfId="5028" xr:uid="{00000000-0005-0000-0000-000067130000}"/>
    <cellStyle name="Normal 10 2 10 31 4" xfId="5029" xr:uid="{00000000-0005-0000-0000-000068130000}"/>
    <cellStyle name="Normal 10 2 10 31 4 10" xfId="5030" xr:uid="{00000000-0005-0000-0000-000069130000}"/>
    <cellStyle name="Normal 10 2 10 31 4 2" xfId="5031" xr:uid="{00000000-0005-0000-0000-00006A130000}"/>
    <cellStyle name="Normal 10 2 10 31 4 3" xfId="5032" xr:uid="{00000000-0005-0000-0000-00006B130000}"/>
    <cellStyle name="Normal 10 2 10 31 4 4" xfId="5033" xr:uid="{00000000-0005-0000-0000-00006C130000}"/>
    <cellStyle name="Normal 10 2 10 31 4 5" xfId="5034" xr:uid="{00000000-0005-0000-0000-00006D130000}"/>
    <cellStyle name="Normal 10 2 10 31 4 6" xfId="5035" xr:uid="{00000000-0005-0000-0000-00006E130000}"/>
    <cellStyle name="Normal 10 2 10 31 4 7" xfId="5036" xr:uid="{00000000-0005-0000-0000-00006F130000}"/>
    <cellStyle name="Normal 10 2 10 31 4 8" xfId="5037" xr:uid="{00000000-0005-0000-0000-000070130000}"/>
    <cellStyle name="Normal 10 2 10 31 4 9" xfId="5038" xr:uid="{00000000-0005-0000-0000-000071130000}"/>
    <cellStyle name="Normal 10 2 10 31 5" xfId="5039" xr:uid="{00000000-0005-0000-0000-000072130000}"/>
    <cellStyle name="Normal 10 2 10 31 5 10" xfId="5040" xr:uid="{00000000-0005-0000-0000-000073130000}"/>
    <cellStyle name="Normal 10 2 10 31 5 2" xfId="5041" xr:uid="{00000000-0005-0000-0000-000074130000}"/>
    <cellStyle name="Normal 10 2 10 31 5 3" xfId="5042" xr:uid="{00000000-0005-0000-0000-000075130000}"/>
    <cellStyle name="Normal 10 2 10 31 5 4" xfId="5043" xr:uid="{00000000-0005-0000-0000-000076130000}"/>
    <cellStyle name="Normal 10 2 10 31 5 5" xfId="5044" xr:uid="{00000000-0005-0000-0000-000077130000}"/>
    <cellStyle name="Normal 10 2 10 31 5 6" xfId="5045" xr:uid="{00000000-0005-0000-0000-000078130000}"/>
    <cellStyle name="Normal 10 2 10 31 5 7" xfId="5046" xr:uid="{00000000-0005-0000-0000-000079130000}"/>
    <cellStyle name="Normal 10 2 10 31 5 8" xfId="5047" xr:uid="{00000000-0005-0000-0000-00007A130000}"/>
    <cellStyle name="Normal 10 2 10 31 5 9" xfId="5048" xr:uid="{00000000-0005-0000-0000-00007B130000}"/>
    <cellStyle name="Normal 10 2 10 31 6" xfId="5049" xr:uid="{00000000-0005-0000-0000-00007C130000}"/>
    <cellStyle name="Normal 10 2 10 31 7" xfId="5050" xr:uid="{00000000-0005-0000-0000-00007D130000}"/>
    <cellStyle name="Normal 10 2 10 31 8" xfId="5051" xr:uid="{00000000-0005-0000-0000-00007E130000}"/>
    <cellStyle name="Normal 10 2 10 31 9" xfId="5052" xr:uid="{00000000-0005-0000-0000-00007F130000}"/>
    <cellStyle name="Normal 10 2 10 32" xfId="5053" xr:uid="{00000000-0005-0000-0000-000080130000}"/>
    <cellStyle name="Normal 10 2 10 32 10" xfId="5054" xr:uid="{00000000-0005-0000-0000-000081130000}"/>
    <cellStyle name="Normal 10 2 10 32 11" xfId="5055" xr:uid="{00000000-0005-0000-0000-000082130000}"/>
    <cellStyle name="Normal 10 2 10 32 12" xfId="5056" xr:uid="{00000000-0005-0000-0000-000083130000}"/>
    <cellStyle name="Normal 10 2 10 32 13" xfId="5057" xr:uid="{00000000-0005-0000-0000-000084130000}"/>
    <cellStyle name="Normal 10 2 10 32 14" xfId="5058" xr:uid="{00000000-0005-0000-0000-000085130000}"/>
    <cellStyle name="Normal 10 2 10 32 2" xfId="5059" xr:uid="{00000000-0005-0000-0000-000086130000}"/>
    <cellStyle name="Normal 10 2 10 32 2 10" xfId="5060" xr:uid="{00000000-0005-0000-0000-000087130000}"/>
    <cellStyle name="Normal 10 2 10 32 2 2" xfId="5061" xr:uid="{00000000-0005-0000-0000-000088130000}"/>
    <cellStyle name="Normal 10 2 10 32 2 3" xfId="5062" xr:uid="{00000000-0005-0000-0000-000089130000}"/>
    <cellStyle name="Normal 10 2 10 32 2 4" xfId="5063" xr:uid="{00000000-0005-0000-0000-00008A130000}"/>
    <cellStyle name="Normal 10 2 10 32 2 5" xfId="5064" xr:uid="{00000000-0005-0000-0000-00008B130000}"/>
    <cellStyle name="Normal 10 2 10 32 2 6" xfId="5065" xr:uid="{00000000-0005-0000-0000-00008C130000}"/>
    <cellStyle name="Normal 10 2 10 32 2 7" xfId="5066" xr:uid="{00000000-0005-0000-0000-00008D130000}"/>
    <cellStyle name="Normal 10 2 10 32 2 8" xfId="5067" xr:uid="{00000000-0005-0000-0000-00008E130000}"/>
    <cellStyle name="Normal 10 2 10 32 2 9" xfId="5068" xr:uid="{00000000-0005-0000-0000-00008F130000}"/>
    <cellStyle name="Normal 10 2 10 32 3" xfId="5069" xr:uid="{00000000-0005-0000-0000-000090130000}"/>
    <cellStyle name="Normal 10 2 10 32 3 10" xfId="5070" xr:uid="{00000000-0005-0000-0000-000091130000}"/>
    <cellStyle name="Normal 10 2 10 32 3 2" xfId="5071" xr:uid="{00000000-0005-0000-0000-000092130000}"/>
    <cellStyle name="Normal 10 2 10 32 3 3" xfId="5072" xr:uid="{00000000-0005-0000-0000-000093130000}"/>
    <cellStyle name="Normal 10 2 10 32 3 4" xfId="5073" xr:uid="{00000000-0005-0000-0000-000094130000}"/>
    <cellStyle name="Normal 10 2 10 32 3 5" xfId="5074" xr:uid="{00000000-0005-0000-0000-000095130000}"/>
    <cellStyle name="Normal 10 2 10 32 3 6" xfId="5075" xr:uid="{00000000-0005-0000-0000-000096130000}"/>
    <cellStyle name="Normal 10 2 10 32 3 7" xfId="5076" xr:uid="{00000000-0005-0000-0000-000097130000}"/>
    <cellStyle name="Normal 10 2 10 32 3 8" xfId="5077" xr:uid="{00000000-0005-0000-0000-000098130000}"/>
    <cellStyle name="Normal 10 2 10 32 3 9" xfId="5078" xr:uid="{00000000-0005-0000-0000-000099130000}"/>
    <cellStyle name="Normal 10 2 10 32 4" xfId="5079" xr:uid="{00000000-0005-0000-0000-00009A130000}"/>
    <cellStyle name="Normal 10 2 10 32 4 10" xfId="5080" xr:uid="{00000000-0005-0000-0000-00009B130000}"/>
    <cellStyle name="Normal 10 2 10 32 4 2" xfId="5081" xr:uid="{00000000-0005-0000-0000-00009C130000}"/>
    <cellStyle name="Normal 10 2 10 32 4 3" xfId="5082" xr:uid="{00000000-0005-0000-0000-00009D130000}"/>
    <cellStyle name="Normal 10 2 10 32 4 4" xfId="5083" xr:uid="{00000000-0005-0000-0000-00009E130000}"/>
    <cellStyle name="Normal 10 2 10 32 4 5" xfId="5084" xr:uid="{00000000-0005-0000-0000-00009F130000}"/>
    <cellStyle name="Normal 10 2 10 32 4 6" xfId="5085" xr:uid="{00000000-0005-0000-0000-0000A0130000}"/>
    <cellStyle name="Normal 10 2 10 32 4 7" xfId="5086" xr:uid="{00000000-0005-0000-0000-0000A1130000}"/>
    <cellStyle name="Normal 10 2 10 32 4 8" xfId="5087" xr:uid="{00000000-0005-0000-0000-0000A2130000}"/>
    <cellStyle name="Normal 10 2 10 32 4 9" xfId="5088" xr:uid="{00000000-0005-0000-0000-0000A3130000}"/>
    <cellStyle name="Normal 10 2 10 32 5" xfId="5089" xr:uid="{00000000-0005-0000-0000-0000A4130000}"/>
    <cellStyle name="Normal 10 2 10 32 5 10" xfId="5090" xr:uid="{00000000-0005-0000-0000-0000A5130000}"/>
    <cellStyle name="Normal 10 2 10 32 5 2" xfId="5091" xr:uid="{00000000-0005-0000-0000-0000A6130000}"/>
    <cellStyle name="Normal 10 2 10 32 5 3" xfId="5092" xr:uid="{00000000-0005-0000-0000-0000A7130000}"/>
    <cellStyle name="Normal 10 2 10 32 5 4" xfId="5093" xr:uid="{00000000-0005-0000-0000-0000A8130000}"/>
    <cellStyle name="Normal 10 2 10 32 5 5" xfId="5094" xr:uid="{00000000-0005-0000-0000-0000A9130000}"/>
    <cellStyle name="Normal 10 2 10 32 5 6" xfId="5095" xr:uid="{00000000-0005-0000-0000-0000AA130000}"/>
    <cellStyle name="Normal 10 2 10 32 5 7" xfId="5096" xr:uid="{00000000-0005-0000-0000-0000AB130000}"/>
    <cellStyle name="Normal 10 2 10 32 5 8" xfId="5097" xr:uid="{00000000-0005-0000-0000-0000AC130000}"/>
    <cellStyle name="Normal 10 2 10 32 5 9" xfId="5098" xr:uid="{00000000-0005-0000-0000-0000AD130000}"/>
    <cellStyle name="Normal 10 2 10 32 6" xfId="5099" xr:uid="{00000000-0005-0000-0000-0000AE130000}"/>
    <cellStyle name="Normal 10 2 10 32 7" xfId="5100" xr:uid="{00000000-0005-0000-0000-0000AF130000}"/>
    <cellStyle name="Normal 10 2 10 32 8" xfId="5101" xr:uid="{00000000-0005-0000-0000-0000B0130000}"/>
    <cellStyle name="Normal 10 2 10 32 9" xfId="5102" xr:uid="{00000000-0005-0000-0000-0000B1130000}"/>
    <cellStyle name="Normal 10 2 10 33" xfId="5103" xr:uid="{00000000-0005-0000-0000-0000B2130000}"/>
    <cellStyle name="Normal 10 2 10 33 10" xfId="5104" xr:uid="{00000000-0005-0000-0000-0000B3130000}"/>
    <cellStyle name="Normal 10 2 10 33 11" xfId="5105" xr:uid="{00000000-0005-0000-0000-0000B4130000}"/>
    <cellStyle name="Normal 10 2 10 33 12" xfId="5106" xr:uid="{00000000-0005-0000-0000-0000B5130000}"/>
    <cellStyle name="Normal 10 2 10 33 13" xfId="5107" xr:uid="{00000000-0005-0000-0000-0000B6130000}"/>
    <cellStyle name="Normal 10 2 10 33 14" xfId="5108" xr:uid="{00000000-0005-0000-0000-0000B7130000}"/>
    <cellStyle name="Normal 10 2 10 33 2" xfId="5109" xr:uid="{00000000-0005-0000-0000-0000B8130000}"/>
    <cellStyle name="Normal 10 2 10 33 2 10" xfId="5110" xr:uid="{00000000-0005-0000-0000-0000B9130000}"/>
    <cellStyle name="Normal 10 2 10 33 2 2" xfId="5111" xr:uid="{00000000-0005-0000-0000-0000BA130000}"/>
    <cellStyle name="Normal 10 2 10 33 2 3" xfId="5112" xr:uid="{00000000-0005-0000-0000-0000BB130000}"/>
    <cellStyle name="Normal 10 2 10 33 2 4" xfId="5113" xr:uid="{00000000-0005-0000-0000-0000BC130000}"/>
    <cellStyle name="Normal 10 2 10 33 2 5" xfId="5114" xr:uid="{00000000-0005-0000-0000-0000BD130000}"/>
    <cellStyle name="Normal 10 2 10 33 2 6" xfId="5115" xr:uid="{00000000-0005-0000-0000-0000BE130000}"/>
    <cellStyle name="Normal 10 2 10 33 2 7" xfId="5116" xr:uid="{00000000-0005-0000-0000-0000BF130000}"/>
    <cellStyle name="Normal 10 2 10 33 2 8" xfId="5117" xr:uid="{00000000-0005-0000-0000-0000C0130000}"/>
    <cellStyle name="Normal 10 2 10 33 2 9" xfId="5118" xr:uid="{00000000-0005-0000-0000-0000C1130000}"/>
    <cellStyle name="Normal 10 2 10 33 3" xfId="5119" xr:uid="{00000000-0005-0000-0000-0000C2130000}"/>
    <cellStyle name="Normal 10 2 10 33 3 10" xfId="5120" xr:uid="{00000000-0005-0000-0000-0000C3130000}"/>
    <cellStyle name="Normal 10 2 10 33 3 2" xfId="5121" xr:uid="{00000000-0005-0000-0000-0000C4130000}"/>
    <cellStyle name="Normal 10 2 10 33 3 3" xfId="5122" xr:uid="{00000000-0005-0000-0000-0000C5130000}"/>
    <cellStyle name="Normal 10 2 10 33 3 4" xfId="5123" xr:uid="{00000000-0005-0000-0000-0000C6130000}"/>
    <cellStyle name="Normal 10 2 10 33 3 5" xfId="5124" xr:uid="{00000000-0005-0000-0000-0000C7130000}"/>
    <cellStyle name="Normal 10 2 10 33 3 6" xfId="5125" xr:uid="{00000000-0005-0000-0000-0000C8130000}"/>
    <cellStyle name="Normal 10 2 10 33 3 7" xfId="5126" xr:uid="{00000000-0005-0000-0000-0000C9130000}"/>
    <cellStyle name="Normal 10 2 10 33 3 8" xfId="5127" xr:uid="{00000000-0005-0000-0000-0000CA130000}"/>
    <cellStyle name="Normal 10 2 10 33 3 9" xfId="5128" xr:uid="{00000000-0005-0000-0000-0000CB130000}"/>
    <cellStyle name="Normal 10 2 10 33 4" xfId="5129" xr:uid="{00000000-0005-0000-0000-0000CC130000}"/>
    <cellStyle name="Normal 10 2 10 33 4 10" xfId="5130" xr:uid="{00000000-0005-0000-0000-0000CD130000}"/>
    <cellStyle name="Normal 10 2 10 33 4 2" xfId="5131" xr:uid="{00000000-0005-0000-0000-0000CE130000}"/>
    <cellStyle name="Normal 10 2 10 33 4 3" xfId="5132" xr:uid="{00000000-0005-0000-0000-0000CF130000}"/>
    <cellStyle name="Normal 10 2 10 33 4 4" xfId="5133" xr:uid="{00000000-0005-0000-0000-0000D0130000}"/>
    <cellStyle name="Normal 10 2 10 33 4 5" xfId="5134" xr:uid="{00000000-0005-0000-0000-0000D1130000}"/>
    <cellStyle name="Normal 10 2 10 33 4 6" xfId="5135" xr:uid="{00000000-0005-0000-0000-0000D2130000}"/>
    <cellStyle name="Normal 10 2 10 33 4 7" xfId="5136" xr:uid="{00000000-0005-0000-0000-0000D3130000}"/>
    <cellStyle name="Normal 10 2 10 33 4 8" xfId="5137" xr:uid="{00000000-0005-0000-0000-0000D4130000}"/>
    <cellStyle name="Normal 10 2 10 33 4 9" xfId="5138" xr:uid="{00000000-0005-0000-0000-0000D5130000}"/>
    <cellStyle name="Normal 10 2 10 33 5" xfId="5139" xr:uid="{00000000-0005-0000-0000-0000D6130000}"/>
    <cellStyle name="Normal 10 2 10 33 5 10" xfId="5140" xr:uid="{00000000-0005-0000-0000-0000D7130000}"/>
    <cellStyle name="Normal 10 2 10 33 5 2" xfId="5141" xr:uid="{00000000-0005-0000-0000-0000D8130000}"/>
    <cellStyle name="Normal 10 2 10 33 5 3" xfId="5142" xr:uid="{00000000-0005-0000-0000-0000D9130000}"/>
    <cellStyle name="Normal 10 2 10 33 5 4" xfId="5143" xr:uid="{00000000-0005-0000-0000-0000DA130000}"/>
    <cellStyle name="Normal 10 2 10 33 5 5" xfId="5144" xr:uid="{00000000-0005-0000-0000-0000DB130000}"/>
    <cellStyle name="Normal 10 2 10 33 5 6" xfId="5145" xr:uid="{00000000-0005-0000-0000-0000DC130000}"/>
    <cellStyle name="Normal 10 2 10 33 5 7" xfId="5146" xr:uid="{00000000-0005-0000-0000-0000DD130000}"/>
    <cellStyle name="Normal 10 2 10 33 5 8" xfId="5147" xr:uid="{00000000-0005-0000-0000-0000DE130000}"/>
    <cellStyle name="Normal 10 2 10 33 5 9" xfId="5148" xr:uid="{00000000-0005-0000-0000-0000DF130000}"/>
    <cellStyle name="Normal 10 2 10 33 6" xfId="5149" xr:uid="{00000000-0005-0000-0000-0000E0130000}"/>
    <cellStyle name="Normal 10 2 10 33 7" xfId="5150" xr:uid="{00000000-0005-0000-0000-0000E1130000}"/>
    <cellStyle name="Normal 10 2 10 33 8" xfId="5151" xr:uid="{00000000-0005-0000-0000-0000E2130000}"/>
    <cellStyle name="Normal 10 2 10 33 9" xfId="5152" xr:uid="{00000000-0005-0000-0000-0000E3130000}"/>
    <cellStyle name="Normal 10 2 10 34" xfId="5153" xr:uid="{00000000-0005-0000-0000-0000E4130000}"/>
    <cellStyle name="Normal 10 2 10 34 10" xfId="5154" xr:uid="{00000000-0005-0000-0000-0000E5130000}"/>
    <cellStyle name="Normal 10 2 10 34 11" xfId="5155" xr:uid="{00000000-0005-0000-0000-0000E6130000}"/>
    <cellStyle name="Normal 10 2 10 34 12" xfId="5156" xr:uid="{00000000-0005-0000-0000-0000E7130000}"/>
    <cellStyle name="Normal 10 2 10 34 13" xfId="5157" xr:uid="{00000000-0005-0000-0000-0000E8130000}"/>
    <cellStyle name="Normal 10 2 10 34 14" xfId="5158" xr:uid="{00000000-0005-0000-0000-0000E9130000}"/>
    <cellStyle name="Normal 10 2 10 34 2" xfId="5159" xr:uid="{00000000-0005-0000-0000-0000EA130000}"/>
    <cellStyle name="Normal 10 2 10 34 2 10" xfId="5160" xr:uid="{00000000-0005-0000-0000-0000EB130000}"/>
    <cellStyle name="Normal 10 2 10 34 2 2" xfId="5161" xr:uid="{00000000-0005-0000-0000-0000EC130000}"/>
    <cellStyle name="Normal 10 2 10 34 2 3" xfId="5162" xr:uid="{00000000-0005-0000-0000-0000ED130000}"/>
    <cellStyle name="Normal 10 2 10 34 2 4" xfId="5163" xr:uid="{00000000-0005-0000-0000-0000EE130000}"/>
    <cellStyle name="Normal 10 2 10 34 2 5" xfId="5164" xr:uid="{00000000-0005-0000-0000-0000EF130000}"/>
    <cellStyle name="Normal 10 2 10 34 2 6" xfId="5165" xr:uid="{00000000-0005-0000-0000-0000F0130000}"/>
    <cellStyle name="Normal 10 2 10 34 2 7" xfId="5166" xr:uid="{00000000-0005-0000-0000-0000F1130000}"/>
    <cellStyle name="Normal 10 2 10 34 2 8" xfId="5167" xr:uid="{00000000-0005-0000-0000-0000F2130000}"/>
    <cellStyle name="Normal 10 2 10 34 2 9" xfId="5168" xr:uid="{00000000-0005-0000-0000-0000F3130000}"/>
    <cellStyle name="Normal 10 2 10 34 3" xfId="5169" xr:uid="{00000000-0005-0000-0000-0000F4130000}"/>
    <cellStyle name="Normal 10 2 10 34 3 10" xfId="5170" xr:uid="{00000000-0005-0000-0000-0000F5130000}"/>
    <cellStyle name="Normal 10 2 10 34 3 2" xfId="5171" xr:uid="{00000000-0005-0000-0000-0000F6130000}"/>
    <cellStyle name="Normal 10 2 10 34 3 3" xfId="5172" xr:uid="{00000000-0005-0000-0000-0000F7130000}"/>
    <cellStyle name="Normal 10 2 10 34 3 4" xfId="5173" xr:uid="{00000000-0005-0000-0000-0000F8130000}"/>
    <cellStyle name="Normal 10 2 10 34 3 5" xfId="5174" xr:uid="{00000000-0005-0000-0000-0000F9130000}"/>
    <cellStyle name="Normal 10 2 10 34 3 6" xfId="5175" xr:uid="{00000000-0005-0000-0000-0000FA130000}"/>
    <cellStyle name="Normal 10 2 10 34 3 7" xfId="5176" xr:uid="{00000000-0005-0000-0000-0000FB130000}"/>
    <cellStyle name="Normal 10 2 10 34 3 8" xfId="5177" xr:uid="{00000000-0005-0000-0000-0000FC130000}"/>
    <cellStyle name="Normal 10 2 10 34 3 9" xfId="5178" xr:uid="{00000000-0005-0000-0000-0000FD130000}"/>
    <cellStyle name="Normal 10 2 10 34 4" xfId="5179" xr:uid="{00000000-0005-0000-0000-0000FE130000}"/>
    <cellStyle name="Normal 10 2 10 34 4 10" xfId="5180" xr:uid="{00000000-0005-0000-0000-0000FF130000}"/>
    <cellStyle name="Normal 10 2 10 34 4 2" xfId="5181" xr:uid="{00000000-0005-0000-0000-000000140000}"/>
    <cellStyle name="Normal 10 2 10 34 4 3" xfId="5182" xr:uid="{00000000-0005-0000-0000-000001140000}"/>
    <cellStyle name="Normal 10 2 10 34 4 4" xfId="5183" xr:uid="{00000000-0005-0000-0000-000002140000}"/>
    <cellStyle name="Normal 10 2 10 34 4 5" xfId="5184" xr:uid="{00000000-0005-0000-0000-000003140000}"/>
    <cellStyle name="Normal 10 2 10 34 4 6" xfId="5185" xr:uid="{00000000-0005-0000-0000-000004140000}"/>
    <cellStyle name="Normal 10 2 10 34 4 7" xfId="5186" xr:uid="{00000000-0005-0000-0000-000005140000}"/>
    <cellStyle name="Normal 10 2 10 34 4 8" xfId="5187" xr:uid="{00000000-0005-0000-0000-000006140000}"/>
    <cellStyle name="Normal 10 2 10 34 4 9" xfId="5188" xr:uid="{00000000-0005-0000-0000-000007140000}"/>
    <cellStyle name="Normal 10 2 10 34 5" xfId="5189" xr:uid="{00000000-0005-0000-0000-000008140000}"/>
    <cellStyle name="Normal 10 2 10 34 5 10" xfId="5190" xr:uid="{00000000-0005-0000-0000-000009140000}"/>
    <cellStyle name="Normal 10 2 10 34 5 2" xfId="5191" xr:uid="{00000000-0005-0000-0000-00000A140000}"/>
    <cellStyle name="Normal 10 2 10 34 5 3" xfId="5192" xr:uid="{00000000-0005-0000-0000-00000B140000}"/>
    <cellStyle name="Normal 10 2 10 34 5 4" xfId="5193" xr:uid="{00000000-0005-0000-0000-00000C140000}"/>
    <cellStyle name="Normal 10 2 10 34 5 5" xfId="5194" xr:uid="{00000000-0005-0000-0000-00000D140000}"/>
    <cellStyle name="Normal 10 2 10 34 5 6" xfId="5195" xr:uid="{00000000-0005-0000-0000-00000E140000}"/>
    <cellStyle name="Normal 10 2 10 34 5 7" xfId="5196" xr:uid="{00000000-0005-0000-0000-00000F140000}"/>
    <cellStyle name="Normal 10 2 10 34 5 8" xfId="5197" xr:uid="{00000000-0005-0000-0000-000010140000}"/>
    <cellStyle name="Normal 10 2 10 34 5 9" xfId="5198" xr:uid="{00000000-0005-0000-0000-000011140000}"/>
    <cellStyle name="Normal 10 2 10 34 6" xfId="5199" xr:uid="{00000000-0005-0000-0000-000012140000}"/>
    <cellStyle name="Normal 10 2 10 34 7" xfId="5200" xr:uid="{00000000-0005-0000-0000-000013140000}"/>
    <cellStyle name="Normal 10 2 10 34 8" xfId="5201" xr:uid="{00000000-0005-0000-0000-000014140000}"/>
    <cellStyle name="Normal 10 2 10 34 9" xfId="5202" xr:uid="{00000000-0005-0000-0000-000015140000}"/>
    <cellStyle name="Normal 10 2 10 35" xfId="5203" xr:uid="{00000000-0005-0000-0000-000016140000}"/>
    <cellStyle name="Normal 10 2 10 35 10" xfId="5204" xr:uid="{00000000-0005-0000-0000-000017140000}"/>
    <cellStyle name="Normal 10 2 10 35 2" xfId="5205" xr:uid="{00000000-0005-0000-0000-000018140000}"/>
    <cellStyle name="Normal 10 2 10 35 3" xfId="5206" xr:uid="{00000000-0005-0000-0000-000019140000}"/>
    <cellStyle name="Normal 10 2 10 35 4" xfId="5207" xr:uid="{00000000-0005-0000-0000-00001A140000}"/>
    <cellStyle name="Normal 10 2 10 35 5" xfId="5208" xr:uid="{00000000-0005-0000-0000-00001B140000}"/>
    <cellStyle name="Normal 10 2 10 35 6" xfId="5209" xr:uid="{00000000-0005-0000-0000-00001C140000}"/>
    <cellStyle name="Normal 10 2 10 35 7" xfId="5210" xr:uid="{00000000-0005-0000-0000-00001D140000}"/>
    <cellStyle name="Normal 10 2 10 35 8" xfId="5211" xr:uid="{00000000-0005-0000-0000-00001E140000}"/>
    <cellStyle name="Normal 10 2 10 35 9" xfId="5212" xr:uid="{00000000-0005-0000-0000-00001F140000}"/>
    <cellStyle name="Normal 10 2 10 36" xfId="5213" xr:uid="{00000000-0005-0000-0000-000020140000}"/>
    <cellStyle name="Normal 10 2 10 36 10" xfId="5214" xr:uid="{00000000-0005-0000-0000-000021140000}"/>
    <cellStyle name="Normal 10 2 10 36 2" xfId="5215" xr:uid="{00000000-0005-0000-0000-000022140000}"/>
    <cellStyle name="Normal 10 2 10 36 3" xfId="5216" xr:uid="{00000000-0005-0000-0000-000023140000}"/>
    <cellStyle name="Normal 10 2 10 36 4" xfId="5217" xr:uid="{00000000-0005-0000-0000-000024140000}"/>
    <cellStyle name="Normal 10 2 10 36 5" xfId="5218" xr:uid="{00000000-0005-0000-0000-000025140000}"/>
    <cellStyle name="Normal 10 2 10 36 6" xfId="5219" xr:uid="{00000000-0005-0000-0000-000026140000}"/>
    <cellStyle name="Normal 10 2 10 36 7" xfId="5220" xr:uid="{00000000-0005-0000-0000-000027140000}"/>
    <cellStyle name="Normal 10 2 10 36 8" xfId="5221" xr:uid="{00000000-0005-0000-0000-000028140000}"/>
    <cellStyle name="Normal 10 2 10 36 9" xfId="5222" xr:uid="{00000000-0005-0000-0000-000029140000}"/>
    <cellStyle name="Normal 10 2 10 37" xfId="5223" xr:uid="{00000000-0005-0000-0000-00002A140000}"/>
    <cellStyle name="Normal 10 2 10 37 10" xfId="5224" xr:uid="{00000000-0005-0000-0000-00002B140000}"/>
    <cellStyle name="Normal 10 2 10 37 2" xfId="5225" xr:uid="{00000000-0005-0000-0000-00002C140000}"/>
    <cellStyle name="Normal 10 2 10 37 3" xfId="5226" xr:uid="{00000000-0005-0000-0000-00002D140000}"/>
    <cellStyle name="Normal 10 2 10 37 4" xfId="5227" xr:uid="{00000000-0005-0000-0000-00002E140000}"/>
    <cellStyle name="Normal 10 2 10 37 5" xfId="5228" xr:uid="{00000000-0005-0000-0000-00002F140000}"/>
    <cellStyle name="Normal 10 2 10 37 6" xfId="5229" xr:uid="{00000000-0005-0000-0000-000030140000}"/>
    <cellStyle name="Normal 10 2 10 37 7" xfId="5230" xr:uid="{00000000-0005-0000-0000-000031140000}"/>
    <cellStyle name="Normal 10 2 10 37 8" xfId="5231" xr:uid="{00000000-0005-0000-0000-000032140000}"/>
    <cellStyle name="Normal 10 2 10 37 9" xfId="5232" xr:uid="{00000000-0005-0000-0000-000033140000}"/>
    <cellStyle name="Normal 10 2 10 38" xfId="5233" xr:uid="{00000000-0005-0000-0000-000034140000}"/>
    <cellStyle name="Normal 10 2 10 38 10" xfId="5234" xr:uid="{00000000-0005-0000-0000-000035140000}"/>
    <cellStyle name="Normal 10 2 10 38 2" xfId="5235" xr:uid="{00000000-0005-0000-0000-000036140000}"/>
    <cellStyle name="Normal 10 2 10 38 3" xfId="5236" xr:uid="{00000000-0005-0000-0000-000037140000}"/>
    <cellStyle name="Normal 10 2 10 38 4" xfId="5237" xr:uid="{00000000-0005-0000-0000-000038140000}"/>
    <cellStyle name="Normal 10 2 10 38 5" xfId="5238" xr:uid="{00000000-0005-0000-0000-000039140000}"/>
    <cellStyle name="Normal 10 2 10 38 6" xfId="5239" xr:uid="{00000000-0005-0000-0000-00003A140000}"/>
    <cellStyle name="Normal 10 2 10 38 7" xfId="5240" xr:uid="{00000000-0005-0000-0000-00003B140000}"/>
    <cellStyle name="Normal 10 2 10 38 8" xfId="5241" xr:uid="{00000000-0005-0000-0000-00003C140000}"/>
    <cellStyle name="Normal 10 2 10 38 9" xfId="5242" xr:uid="{00000000-0005-0000-0000-00003D140000}"/>
    <cellStyle name="Normal 10 2 10 39" xfId="5243" xr:uid="{00000000-0005-0000-0000-00003E140000}"/>
    <cellStyle name="Normal 10 2 10 4" xfId="5244" xr:uid="{00000000-0005-0000-0000-00003F140000}"/>
    <cellStyle name="Normal 10 2 10 4 10" xfId="5245" xr:uid="{00000000-0005-0000-0000-000040140000}"/>
    <cellStyle name="Normal 10 2 10 4 11" xfId="5246" xr:uid="{00000000-0005-0000-0000-000041140000}"/>
    <cellStyle name="Normal 10 2 10 4 12" xfId="5247" xr:uid="{00000000-0005-0000-0000-000042140000}"/>
    <cellStyle name="Normal 10 2 10 4 13" xfId="5248" xr:uid="{00000000-0005-0000-0000-000043140000}"/>
    <cellStyle name="Normal 10 2 10 4 14" xfId="5249" xr:uid="{00000000-0005-0000-0000-000044140000}"/>
    <cellStyle name="Normal 10 2 10 4 2" xfId="5250" xr:uid="{00000000-0005-0000-0000-000045140000}"/>
    <cellStyle name="Normal 10 2 10 4 2 10" xfId="5251" xr:uid="{00000000-0005-0000-0000-000046140000}"/>
    <cellStyle name="Normal 10 2 10 4 2 2" xfId="5252" xr:uid="{00000000-0005-0000-0000-000047140000}"/>
    <cellStyle name="Normal 10 2 10 4 2 3" xfId="5253" xr:uid="{00000000-0005-0000-0000-000048140000}"/>
    <cellStyle name="Normal 10 2 10 4 2 4" xfId="5254" xr:uid="{00000000-0005-0000-0000-000049140000}"/>
    <cellStyle name="Normal 10 2 10 4 2 5" xfId="5255" xr:uid="{00000000-0005-0000-0000-00004A140000}"/>
    <cellStyle name="Normal 10 2 10 4 2 6" xfId="5256" xr:uid="{00000000-0005-0000-0000-00004B140000}"/>
    <cellStyle name="Normal 10 2 10 4 2 7" xfId="5257" xr:uid="{00000000-0005-0000-0000-00004C140000}"/>
    <cellStyle name="Normal 10 2 10 4 2 8" xfId="5258" xr:uid="{00000000-0005-0000-0000-00004D140000}"/>
    <cellStyle name="Normal 10 2 10 4 2 9" xfId="5259" xr:uid="{00000000-0005-0000-0000-00004E140000}"/>
    <cellStyle name="Normal 10 2 10 4 3" xfId="5260" xr:uid="{00000000-0005-0000-0000-00004F140000}"/>
    <cellStyle name="Normal 10 2 10 4 3 10" xfId="5261" xr:uid="{00000000-0005-0000-0000-000050140000}"/>
    <cellStyle name="Normal 10 2 10 4 3 2" xfId="5262" xr:uid="{00000000-0005-0000-0000-000051140000}"/>
    <cellStyle name="Normal 10 2 10 4 3 3" xfId="5263" xr:uid="{00000000-0005-0000-0000-000052140000}"/>
    <cellStyle name="Normal 10 2 10 4 3 4" xfId="5264" xr:uid="{00000000-0005-0000-0000-000053140000}"/>
    <cellStyle name="Normal 10 2 10 4 3 5" xfId="5265" xr:uid="{00000000-0005-0000-0000-000054140000}"/>
    <cellStyle name="Normal 10 2 10 4 3 6" xfId="5266" xr:uid="{00000000-0005-0000-0000-000055140000}"/>
    <cellStyle name="Normal 10 2 10 4 3 7" xfId="5267" xr:uid="{00000000-0005-0000-0000-000056140000}"/>
    <cellStyle name="Normal 10 2 10 4 3 8" xfId="5268" xr:uid="{00000000-0005-0000-0000-000057140000}"/>
    <cellStyle name="Normal 10 2 10 4 3 9" xfId="5269" xr:uid="{00000000-0005-0000-0000-000058140000}"/>
    <cellStyle name="Normal 10 2 10 4 4" xfId="5270" xr:uid="{00000000-0005-0000-0000-000059140000}"/>
    <cellStyle name="Normal 10 2 10 4 4 10" xfId="5271" xr:uid="{00000000-0005-0000-0000-00005A140000}"/>
    <cellStyle name="Normal 10 2 10 4 4 2" xfId="5272" xr:uid="{00000000-0005-0000-0000-00005B140000}"/>
    <cellStyle name="Normal 10 2 10 4 4 3" xfId="5273" xr:uid="{00000000-0005-0000-0000-00005C140000}"/>
    <cellStyle name="Normal 10 2 10 4 4 4" xfId="5274" xr:uid="{00000000-0005-0000-0000-00005D140000}"/>
    <cellStyle name="Normal 10 2 10 4 4 5" xfId="5275" xr:uid="{00000000-0005-0000-0000-00005E140000}"/>
    <cellStyle name="Normal 10 2 10 4 4 6" xfId="5276" xr:uid="{00000000-0005-0000-0000-00005F140000}"/>
    <cellStyle name="Normal 10 2 10 4 4 7" xfId="5277" xr:uid="{00000000-0005-0000-0000-000060140000}"/>
    <cellStyle name="Normal 10 2 10 4 4 8" xfId="5278" xr:uid="{00000000-0005-0000-0000-000061140000}"/>
    <cellStyle name="Normal 10 2 10 4 4 9" xfId="5279" xr:uid="{00000000-0005-0000-0000-000062140000}"/>
    <cellStyle name="Normal 10 2 10 4 5" xfId="5280" xr:uid="{00000000-0005-0000-0000-000063140000}"/>
    <cellStyle name="Normal 10 2 10 4 5 10" xfId="5281" xr:uid="{00000000-0005-0000-0000-000064140000}"/>
    <cellStyle name="Normal 10 2 10 4 5 2" xfId="5282" xr:uid="{00000000-0005-0000-0000-000065140000}"/>
    <cellStyle name="Normal 10 2 10 4 5 3" xfId="5283" xr:uid="{00000000-0005-0000-0000-000066140000}"/>
    <cellStyle name="Normal 10 2 10 4 5 4" xfId="5284" xr:uid="{00000000-0005-0000-0000-000067140000}"/>
    <cellStyle name="Normal 10 2 10 4 5 5" xfId="5285" xr:uid="{00000000-0005-0000-0000-000068140000}"/>
    <cellStyle name="Normal 10 2 10 4 5 6" xfId="5286" xr:uid="{00000000-0005-0000-0000-000069140000}"/>
    <cellStyle name="Normal 10 2 10 4 5 7" xfId="5287" xr:uid="{00000000-0005-0000-0000-00006A140000}"/>
    <cellStyle name="Normal 10 2 10 4 5 8" xfId="5288" xr:uid="{00000000-0005-0000-0000-00006B140000}"/>
    <cellStyle name="Normal 10 2 10 4 5 9" xfId="5289" xr:uid="{00000000-0005-0000-0000-00006C140000}"/>
    <cellStyle name="Normal 10 2 10 4 6" xfId="5290" xr:uid="{00000000-0005-0000-0000-00006D140000}"/>
    <cellStyle name="Normal 10 2 10 4 7" xfId="5291" xr:uid="{00000000-0005-0000-0000-00006E140000}"/>
    <cellStyle name="Normal 10 2 10 4 8" xfId="5292" xr:uid="{00000000-0005-0000-0000-00006F140000}"/>
    <cellStyle name="Normal 10 2 10 4 9" xfId="5293" xr:uid="{00000000-0005-0000-0000-000070140000}"/>
    <cellStyle name="Normal 10 2 10 40" xfId="5294" xr:uid="{00000000-0005-0000-0000-000071140000}"/>
    <cellStyle name="Normal 10 2 10 41" xfId="5295" xr:uid="{00000000-0005-0000-0000-000072140000}"/>
    <cellStyle name="Normal 10 2 10 42" xfId="5296" xr:uid="{00000000-0005-0000-0000-000073140000}"/>
    <cellStyle name="Normal 10 2 10 43" xfId="5297" xr:uid="{00000000-0005-0000-0000-000074140000}"/>
    <cellStyle name="Normal 10 2 10 44" xfId="5298" xr:uid="{00000000-0005-0000-0000-000075140000}"/>
    <cellStyle name="Normal 10 2 10 45" xfId="5299" xr:uid="{00000000-0005-0000-0000-000076140000}"/>
    <cellStyle name="Normal 10 2 10 46" xfId="5300" xr:uid="{00000000-0005-0000-0000-000077140000}"/>
    <cellStyle name="Normal 10 2 10 47" xfId="5301" xr:uid="{00000000-0005-0000-0000-000078140000}"/>
    <cellStyle name="Normal 10 2 10 48" xfId="5302" xr:uid="{00000000-0005-0000-0000-000079140000}"/>
    <cellStyle name="Normal 10 2 10 49" xfId="5303" xr:uid="{00000000-0005-0000-0000-00007A140000}"/>
    <cellStyle name="Normal 10 2 10 5" xfId="5304" xr:uid="{00000000-0005-0000-0000-00007B140000}"/>
    <cellStyle name="Normal 10 2 10 5 10" xfId="5305" xr:uid="{00000000-0005-0000-0000-00007C140000}"/>
    <cellStyle name="Normal 10 2 10 5 11" xfId="5306" xr:uid="{00000000-0005-0000-0000-00007D140000}"/>
    <cellStyle name="Normal 10 2 10 5 12" xfId="5307" xr:uid="{00000000-0005-0000-0000-00007E140000}"/>
    <cellStyle name="Normal 10 2 10 5 13" xfId="5308" xr:uid="{00000000-0005-0000-0000-00007F140000}"/>
    <cellStyle name="Normal 10 2 10 5 14" xfId="5309" xr:uid="{00000000-0005-0000-0000-000080140000}"/>
    <cellStyle name="Normal 10 2 10 5 2" xfId="5310" xr:uid="{00000000-0005-0000-0000-000081140000}"/>
    <cellStyle name="Normal 10 2 10 5 2 10" xfId="5311" xr:uid="{00000000-0005-0000-0000-000082140000}"/>
    <cellStyle name="Normal 10 2 10 5 2 2" xfId="5312" xr:uid="{00000000-0005-0000-0000-000083140000}"/>
    <cellStyle name="Normal 10 2 10 5 2 3" xfId="5313" xr:uid="{00000000-0005-0000-0000-000084140000}"/>
    <cellStyle name="Normal 10 2 10 5 2 4" xfId="5314" xr:uid="{00000000-0005-0000-0000-000085140000}"/>
    <cellStyle name="Normal 10 2 10 5 2 5" xfId="5315" xr:uid="{00000000-0005-0000-0000-000086140000}"/>
    <cellStyle name="Normal 10 2 10 5 2 6" xfId="5316" xr:uid="{00000000-0005-0000-0000-000087140000}"/>
    <cellStyle name="Normal 10 2 10 5 2 7" xfId="5317" xr:uid="{00000000-0005-0000-0000-000088140000}"/>
    <cellStyle name="Normal 10 2 10 5 2 8" xfId="5318" xr:uid="{00000000-0005-0000-0000-000089140000}"/>
    <cellStyle name="Normal 10 2 10 5 2 9" xfId="5319" xr:uid="{00000000-0005-0000-0000-00008A140000}"/>
    <cellStyle name="Normal 10 2 10 5 3" xfId="5320" xr:uid="{00000000-0005-0000-0000-00008B140000}"/>
    <cellStyle name="Normal 10 2 10 5 3 10" xfId="5321" xr:uid="{00000000-0005-0000-0000-00008C140000}"/>
    <cellStyle name="Normal 10 2 10 5 3 2" xfId="5322" xr:uid="{00000000-0005-0000-0000-00008D140000}"/>
    <cellStyle name="Normal 10 2 10 5 3 3" xfId="5323" xr:uid="{00000000-0005-0000-0000-00008E140000}"/>
    <cellStyle name="Normal 10 2 10 5 3 4" xfId="5324" xr:uid="{00000000-0005-0000-0000-00008F140000}"/>
    <cellStyle name="Normal 10 2 10 5 3 5" xfId="5325" xr:uid="{00000000-0005-0000-0000-000090140000}"/>
    <cellStyle name="Normal 10 2 10 5 3 6" xfId="5326" xr:uid="{00000000-0005-0000-0000-000091140000}"/>
    <cellStyle name="Normal 10 2 10 5 3 7" xfId="5327" xr:uid="{00000000-0005-0000-0000-000092140000}"/>
    <cellStyle name="Normal 10 2 10 5 3 8" xfId="5328" xr:uid="{00000000-0005-0000-0000-000093140000}"/>
    <cellStyle name="Normal 10 2 10 5 3 9" xfId="5329" xr:uid="{00000000-0005-0000-0000-000094140000}"/>
    <cellStyle name="Normal 10 2 10 5 4" xfId="5330" xr:uid="{00000000-0005-0000-0000-000095140000}"/>
    <cellStyle name="Normal 10 2 10 5 4 10" xfId="5331" xr:uid="{00000000-0005-0000-0000-000096140000}"/>
    <cellStyle name="Normal 10 2 10 5 4 2" xfId="5332" xr:uid="{00000000-0005-0000-0000-000097140000}"/>
    <cellStyle name="Normal 10 2 10 5 4 3" xfId="5333" xr:uid="{00000000-0005-0000-0000-000098140000}"/>
    <cellStyle name="Normal 10 2 10 5 4 4" xfId="5334" xr:uid="{00000000-0005-0000-0000-000099140000}"/>
    <cellStyle name="Normal 10 2 10 5 4 5" xfId="5335" xr:uid="{00000000-0005-0000-0000-00009A140000}"/>
    <cellStyle name="Normal 10 2 10 5 4 6" xfId="5336" xr:uid="{00000000-0005-0000-0000-00009B140000}"/>
    <cellStyle name="Normal 10 2 10 5 4 7" xfId="5337" xr:uid="{00000000-0005-0000-0000-00009C140000}"/>
    <cellStyle name="Normal 10 2 10 5 4 8" xfId="5338" xr:uid="{00000000-0005-0000-0000-00009D140000}"/>
    <cellStyle name="Normal 10 2 10 5 4 9" xfId="5339" xr:uid="{00000000-0005-0000-0000-00009E140000}"/>
    <cellStyle name="Normal 10 2 10 5 5" xfId="5340" xr:uid="{00000000-0005-0000-0000-00009F140000}"/>
    <cellStyle name="Normal 10 2 10 5 5 10" xfId="5341" xr:uid="{00000000-0005-0000-0000-0000A0140000}"/>
    <cellStyle name="Normal 10 2 10 5 5 2" xfId="5342" xr:uid="{00000000-0005-0000-0000-0000A1140000}"/>
    <cellStyle name="Normal 10 2 10 5 5 3" xfId="5343" xr:uid="{00000000-0005-0000-0000-0000A2140000}"/>
    <cellStyle name="Normal 10 2 10 5 5 4" xfId="5344" xr:uid="{00000000-0005-0000-0000-0000A3140000}"/>
    <cellStyle name="Normal 10 2 10 5 5 5" xfId="5345" xr:uid="{00000000-0005-0000-0000-0000A4140000}"/>
    <cellStyle name="Normal 10 2 10 5 5 6" xfId="5346" xr:uid="{00000000-0005-0000-0000-0000A5140000}"/>
    <cellStyle name="Normal 10 2 10 5 5 7" xfId="5347" xr:uid="{00000000-0005-0000-0000-0000A6140000}"/>
    <cellStyle name="Normal 10 2 10 5 5 8" xfId="5348" xr:uid="{00000000-0005-0000-0000-0000A7140000}"/>
    <cellStyle name="Normal 10 2 10 5 5 9" xfId="5349" xr:uid="{00000000-0005-0000-0000-0000A8140000}"/>
    <cellStyle name="Normal 10 2 10 5 6" xfId="5350" xr:uid="{00000000-0005-0000-0000-0000A9140000}"/>
    <cellStyle name="Normal 10 2 10 5 7" xfId="5351" xr:uid="{00000000-0005-0000-0000-0000AA140000}"/>
    <cellStyle name="Normal 10 2 10 5 8" xfId="5352" xr:uid="{00000000-0005-0000-0000-0000AB140000}"/>
    <cellStyle name="Normal 10 2 10 5 9" xfId="5353" xr:uid="{00000000-0005-0000-0000-0000AC140000}"/>
    <cellStyle name="Normal 10 2 10 50" xfId="22" xr:uid="{00000000-0005-0000-0000-0000AD140000}"/>
    <cellStyle name="Normal 10 2 10 50 2" xfId="51" xr:uid="{00000000-0005-0000-0000-0000AE140000}"/>
    <cellStyle name="Normal 10 2 10 50 3" xfId="5354" xr:uid="{00000000-0005-0000-0000-0000AF140000}"/>
    <cellStyle name="Normal 10 2 10 51" xfId="2249" xr:uid="{00000000-0005-0000-0000-0000B0140000}"/>
    <cellStyle name="Normal 10 2 10 6" xfId="5355" xr:uid="{00000000-0005-0000-0000-0000B1140000}"/>
    <cellStyle name="Normal 10 2 10 6 10" xfId="5356" xr:uid="{00000000-0005-0000-0000-0000B2140000}"/>
    <cellStyle name="Normal 10 2 10 6 11" xfId="5357" xr:uid="{00000000-0005-0000-0000-0000B3140000}"/>
    <cellStyle name="Normal 10 2 10 6 12" xfId="5358" xr:uid="{00000000-0005-0000-0000-0000B4140000}"/>
    <cellStyle name="Normal 10 2 10 6 13" xfId="5359" xr:uid="{00000000-0005-0000-0000-0000B5140000}"/>
    <cellStyle name="Normal 10 2 10 6 14" xfId="5360" xr:uid="{00000000-0005-0000-0000-0000B6140000}"/>
    <cellStyle name="Normal 10 2 10 6 2" xfId="5361" xr:uid="{00000000-0005-0000-0000-0000B7140000}"/>
    <cellStyle name="Normal 10 2 10 6 2 10" xfId="5362" xr:uid="{00000000-0005-0000-0000-0000B8140000}"/>
    <cellStyle name="Normal 10 2 10 6 2 2" xfId="5363" xr:uid="{00000000-0005-0000-0000-0000B9140000}"/>
    <cellStyle name="Normal 10 2 10 6 2 3" xfId="5364" xr:uid="{00000000-0005-0000-0000-0000BA140000}"/>
    <cellStyle name="Normal 10 2 10 6 2 4" xfId="5365" xr:uid="{00000000-0005-0000-0000-0000BB140000}"/>
    <cellStyle name="Normal 10 2 10 6 2 5" xfId="5366" xr:uid="{00000000-0005-0000-0000-0000BC140000}"/>
    <cellStyle name="Normal 10 2 10 6 2 6" xfId="5367" xr:uid="{00000000-0005-0000-0000-0000BD140000}"/>
    <cellStyle name="Normal 10 2 10 6 2 7" xfId="5368" xr:uid="{00000000-0005-0000-0000-0000BE140000}"/>
    <cellStyle name="Normal 10 2 10 6 2 8" xfId="5369" xr:uid="{00000000-0005-0000-0000-0000BF140000}"/>
    <cellStyle name="Normal 10 2 10 6 2 9" xfId="5370" xr:uid="{00000000-0005-0000-0000-0000C0140000}"/>
    <cellStyle name="Normal 10 2 10 6 3" xfId="5371" xr:uid="{00000000-0005-0000-0000-0000C1140000}"/>
    <cellStyle name="Normal 10 2 10 6 3 10" xfId="5372" xr:uid="{00000000-0005-0000-0000-0000C2140000}"/>
    <cellStyle name="Normal 10 2 10 6 3 2" xfId="5373" xr:uid="{00000000-0005-0000-0000-0000C3140000}"/>
    <cellStyle name="Normal 10 2 10 6 3 3" xfId="5374" xr:uid="{00000000-0005-0000-0000-0000C4140000}"/>
    <cellStyle name="Normal 10 2 10 6 3 4" xfId="5375" xr:uid="{00000000-0005-0000-0000-0000C5140000}"/>
    <cellStyle name="Normal 10 2 10 6 3 5" xfId="5376" xr:uid="{00000000-0005-0000-0000-0000C6140000}"/>
    <cellStyle name="Normal 10 2 10 6 3 6" xfId="5377" xr:uid="{00000000-0005-0000-0000-0000C7140000}"/>
    <cellStyle name="Normal 10 2 10 6 3 7" xfId="5378" xr:uid="{00000000-0005-0000-0000-0000C8140000}"/>
    <cellStyle name="Normal 10 2 10 6 3 8" xfId="5379" xr:uid="{00000000-0005-0000-0000-0000C9140000}"/>
    <cellStyle name="Normal 10 2 10 6 3 9" xfId="5380" xr:uid="{00000000-0005-0000-0000-0000CA140000}"/>
    <cellStyle name="Normal 10 2 10 6 4" xfId="5381" xr:uid="{00000000-0005-0000-0000-0000CB140000}"/>
    <cellStyle name="Normal 10 2 10 6 4 10" xfId="5382" xr:uid="{00000000-0005-0000-0000-0000CC140000}"/>
    <cellStyle name="Normal 10 2 10 6 4 2" xfId="5383" xr:uid="{00000000-0005-0000-0000-0000CD140000}"/>
    <cellStyle name="Normal 10 2 10 6 4 3" xfId="5384" xr:uid="{00000000-0005-0000-0000-0000CE140000}"/>
    <cellStyle name="Normal 10 2 10 6 4 4" xfId="5385" xr:uid="{00000000-0005-0000-0000-0000CF140000}"/>
    <cellStyle name="Normal 10 2 10 6 4 5" xfId="5386" xr:uid="{00000000-0005-0000-0000-0000D0140000}"/>
    <cellStyle name="Normal 10 2 10 6 4 6" xfId="5387" xr:uid="{00000000-0005-0000-0000-0000D1140000}"/>
    <cellStyle name="Normal 10 2 10 6 4 7" xfId="5388" xr:uid="{00000000-0005-0000-0000-0000D2140000}"/>
    <cellStyle name="Normal 10 2 10 6 4 8" xfId="5389" xr:uid="{00000000-0005-0000-0000-0000D3140000}"/>
    <cellStyle name="Normal 10 2 10 6 4 9" xfId="5390" xr:uid="{00000000-0005-0000-0000-0000D4140000}"/>
    <cellStyle name="Normal 10 2 10 6 5" xfId="5391" xr:uid="{00000000-0005-0000-0000-0000D5140000}"/>
    <cellStyle name="Normal 10 2 10 6 5 10" xfId="5392" xr:uid="{00000000-0005-0000-0000-0000D6140000}"/>
    <cellStyle name="Normal 10 2 10 6 5 2" xfId="5393" xr:uid="{00000000-0005-0000-0000-0000D7140000}"/>
    <cellStyle name="Normal 10 2 10 6 5 3" xfId="5394" xr:uid="{00000000-0005-0000-0000-0000D8140000}"/>
    <cellStyle name="Normal 10 2 10 6 5 4" xfId="5395" xr:uid="{00000000-0005-0000-0000-0000D9140000}"/>
    <cellStyle name="Normal 10 2 10 6 5 5" xfId="5396" xr:uid="{00000000-0005-0000-0000-0000DA140000}"/>
    <cellStyle name="Normal 10 2 10 6 5 6" xfId="5397" xr:uid="{00000000-0005-0000-0000-0000DB140000}"/>
    <cellStyle name="Normal 10 2 10 6 5 7" xfId="5398" xr:uid="{00000000-0005-0000-0000-0000DC140000}"/>
    <cellStyle name="Normal 10 2 10 6 5 8" xfId="5399" xr:uid="{00000000-0005-0000-0000-0000DD140000}"/>
    <cellStyle name="Normal 10 2 10 6 5 9" xfId="5400" xr:uid="{00000000-0005-0000-0000-0000DE140000}"/>
    <cellStyle name="Normal 10 2 10 6 6" xfId="5401" xr:uid="{00000000-0005-0000-0000-0000DF140000}"/>
    <cellStyle name="Normal 10 2 10 6 7" xfId="5402" xr:uid="{00000000-0005-0000-0000-0000E0140000}"/>
    <cellStyle name="Normal 10 2 10 6 8" xfId="5403" xr:uid="{00000000-0005-0000-0000-0000E1140000}"/>
    <cellStyle name="Normal 10 2 10 6 9" xfId="5404" xr:uid="{00000000-0005-0000-0000-0000E2140000}"/>
    <cellStyle name="Normal 10 2 10 7" xfId="5405" xr:uid="{00000000-0005-0000-0000-0000E3140000}"/>
    <cellStyle name="Normal 10 2 10 7 10" xfId="5406" xr:uid="{00000000-0005-0000-0000-0000E4140000}"/>
    <cellStyle name="Normal 10 2 10 7 11" xfId="5407" xr:uid="{00000000-0005-0000-0000-0000E5140000}"/>
    <cellStyle name="Normal 10 2 10 7 12" xfId="5408" xr:uid="{00000000-0005-0000-0000-0000E6140000}"/>
    <cellStyle name="Normal 10 2 10 7 13" xfId="5409" xr:uid="{00000000-0005-0000-0000-0000E7140000}"/>
    <cellStyle name="Normal 10 2 10 7 14" xfId="5410" xr:uid="{00000000-0005-0000-0000-0000E8140000}"/>
    <cellStyle name="Normal 10 2 10 7 2" xfId="5411" xr:uid="{00000000-0005-0000-0000-0000E9140000}"/>
    <cellStyle name="Normal 10 2 10 7 2 10" xfId="5412" xr:uid="{00000000-0005-0000-0000-0000EA140000}"/>
    <cellStyle name="Normal 10 2 10 7 2 2" xfId="5413" xr:uid="{00000000-0005-0000-0000-0000EB140000}"/>
    <cellStyle name="Normal 10 2 10 7 2 3" xfId="5414" xr:uid="{00000000-0005-0000-0000-0000EC140000}"/>
    <cellStyle name="Normal 10 2 10 7 2 4" xfId="5415" xr:uid="{00000000-0005-0000-0000-0000ED140000}"/>
    <cellStyle name="Normal 10 2 10 7 2 5" xfId="5416" xr:uid="{00000000-0005-0000-0000-0000EE140000}"/>
    <cellStyle name="Normal 10 2 10 7 2 6" xfId="5417" xr:uid="{00000000-0005-0000-0000-0000EF140000}"/>
    <cellStyle name="Normal 10 2 10 7 2 7" xfId="5418" xr:uid="{00000000-0005-0000-0000-0000F0140000}"/>
    <cellStyle name="Normal 10 2 10 7 2 8" xfId="5419" xr:uid="{00000000-0005-0000-0000-0000F1140000}"/>
    <cellStyle name="Normal 10 2 10 7 2 9" xfId="5420" xr:uid="{00000000-0005-0000-0000-0000F2140000}"/>
    <cellStyle name="Normal 10 2 10 7 3" xfId="5421" xr:uid="{00000000-0005-0000-0000-0000F3140000}"/>
    <cellStyle name="Normal 10 2 10 7 3 10" xfId="5422" xr:uid="{00000000-0005-0000-0000-0000F4140000}"/>
    <cellStyle name="Normal 10 2 10 7 3 2" xfId="5423" xr:uid="{00000000-0005-0000-0000-0000F5140000}"/>
    <cellStyle name="Normal 10 2 10 7 3 3" xfId="5424" xr:uid="{00000000-0005-0000-0000-0000F6140000}"/>
    <cellStyle name="Normal 10 2 10 7 3 4" xfId="5425" xr:uid="{00000000-0005-0000-0000-0000F7140000}"/>
    <cellStyle name="Normal 10 2 10 7 3 5" xfId="5426" xr:uid="{00000000-0005-0000-0000-0000F8140000}"/>
    <cellStyle name="Normal 10 2 10 7 3 6" xfId="5427" xr:uid="{00000000-0005-0000-0000-0000F9140000}"/>
    <cellStyle name="Normal 10 2 10 7 3 7" xfId="5428" xr:uid="{00000000-0005-0000-0000-0000FA140000}"/>
    <cellStyle name="Normal 10 2 10 7 3 8" xfId="5429" xr:uid="{00000000-0005-0000-0000-0000FB140000}"/>
    <cellStyle name="Normal 10 2 10 7 3 9" xfId="5430" xr:uid="{00000000-0005-0000-0000-0000FC140000}"/>
    <cellStyle name="Normal 10 2 10 7 4" xfId="5431" xr:uid="{00000000-0005-0000-0000-0000FD140000}"/>
    <cellStyle name="Normal 10 2 10 7 4 10" xfId="5432" xr:uid="{00000000-0005-0000-0000-0000FE140000}"/>
    <cellStyle name="Normal 10 2 10 7 4 2" xfId="5433" xr:uid="{00000000-0005-0000-0000-0000FF140000}"/>
    <cellStyle name="Normal 10 2 10 7 4 3" xfId="5434" xr:uid="{00000000-0005-0000-0000-000000150000}"/>
    <cellStyle name="Normal 10 2 10 7 4 4" xfId="5435" xr:uid="{00000000-0005-0000-0000-000001150000}"/>
    <cellStyle name="Normal 10 2 10 7 4 5" xfId="5436" xr:uid="{00000000-0005-0000-0000-000002150000}"/>
    <cellStyle name="Normal 10 2 10 7 4 6" xfId="5437" xr:uid="{00000000-0005-0000-0000-000003150000}"/>
    <cellStyle name="Normal 10 2 10 7 4 7" xfId="5438" xr:uid="{00000000-0005-0000-0000-000004150000}"/>
    <cellStyle name="Normal 10 2 10 7 4 8" xfId="5439" xr:uid="{00000000-0005-0000-0000-000005150000}"/>
    <cellStyle name="Normal 10 2 10 7 4 9" xfId="5440" xr:uid="{00000000-0005-0000-0000-000006150000}"/>
    <cellStyle name="Normal 10 2 10 7 5" xfId="5441" xr:uid="{00000000-0005-0000-0000-000007150000}"/>
    <cellStyle name="Normal 10 2 10 7 5 10" xfId="5442" xr:uid="{00000000-0005-0000-0000-000008150000}"/>
    <cellStyle name="Normal 10 2 10 7 5 2" xfId="5443" xr:uid="{00000000-0005-0000-0000-000009150000}"/>
    <cellStyle name="Normal 10 2 10 7 5 3" xfId="5444" xr:uid="{00000000-0005-0000-0000-00000A150000}"/>
    <cellStyle name="Normal 10 2 10 7 5 4" xfId="5445" xr:uid="{00000000-0005-0000-0000-00000B150000}"/>
    <cellStyle name="Normal 10 2 10 7 5 5" xfId="5446" xr:uid="{00000000-0005-0000-0000-00000C150000}"/>
    <cellStyle name="Normal 10 2 10 7 5 6" xfId="5447" xr:uid="{00000000-0005-0000-0000-00000D150000}"/>
    <cellStyle name="Normal 10 2 10 7 5 7" xfId="5448" xr:uid="{00000000-0005-0000-0000-00000E150000}"/>
    <cellStyle name="Normal 10 2 10 7 5 8" xfId="5449" xr:uid="{00000000-0005-0000-0000-00000F150000}"/>
    <cellStyle name="Normal 10 2 10 7 5 9" xfId="5450" xr:uid="{00000000-0005-0000-0000-000010150000}"/>
    <cellStyle name="Normal 10 2 10 7 6" xfId="5451" xr:uid="{00000000-0005-0000-0000-000011150000}"/>
    <cellStyle name="Normal 10 2 10 7 7" xfId="5452" xr:uid="{00000000-0005-0000-0000-000012150000}"/>
    <cellStyle name="Normal 10 2 10 7 8" xfId="5453" xr:uid="{00000000-0005-0000-0000-000013150000}"/>
    <cellStyle name="Normal 10 2 10 7 9" xfId="5454" xr:uid="{00000000-0005-0000-0000-000014150000}"/>
    <cellStyle name="Normal 10 2 10 8" xfId="5455" xr:uid="{00000000-0005-0000-0000-000015150000}"/>
    <cellStyle name="Normal 10 2 10 8 10" xfId="5456" xr:uid="{00000000-0005-0000-0000-000016150000}"/>
    <cellStyle name="Normal 10 2 10 8 11" xfId="5457" xr:uid="{00000000-0005-0000-0000-000017150000}"/>
    <cellStyle name="Normal 10 2 10 8 12" xfId="5458" xr:uid="{00000000-0005-0000-0000-000018150000}"/>
    <cellStyle name="Normal 10 2 10 8 13" xfId="5459" xr:uid="{00000000-0005-0000-0000-000019150000}"/>
    <cellStyle name="Normal 10 2 10 8 14" xfId="5460" xr:uid="{00000000-0005-0000-0000-00001A150000}"/>
    <cellStyle name="Normal 10 2 10 8 2" xfId="5461" xr:uid="{00000000-0005-0000-0000-00001B150000}"/>
    <cellStyle name="Normal 10 2 10 8 2 10" xfId="5462" xr:uid="{00000000-0005-0000-0000-00001C150000}"/>
    <cellStyle name="Normal 10 2 10 8 2 2" xfId="5463" xr:uid="{00000000-0005-0000-0000-00001D150000}"/>
    <cellStyle name="Normal 10 2 10 8 2 3" xfId="5464" xr:uid="{00000000-0005-0000-0000-00001E150000}"/>
    <cellStyle name="Normal 10 2 10 8 2 4" xfId="5465" xr:uid="{00000000-0005-0000-0000-00001F150000}"/>
    <cellStyle name="Normal 10 2 10 8 2 5" xfId="5466" xr:uid="{00000000-0005-0000-0000-000020150000}"/>
    <cellStyle name="Normal 10 2 10 8 2 6" xfId="5467" xr:uid="{00000000-0005-0000-0000-000021150000}"/>
    <cellStyle name="Normal 10 2 10 8 2 7" xfId="5468" xr:uid="{00000000-0005-0000-0000-000022150000}"/>
    <cellStyle name="Normal 10 2 10 8 2 8" xfId="5469" xr:uid="{00000000-0005-0000-0000-000023150000}"/>
    <cellStyle name="Normal 10 2 10 8 2 9" xfId="5470" xr:uid="{00000000-0005-0000-0000-000024150000}"/>
    <cellStyle name="Normal 10 2 10 8 3" xfId="5471" xr:uid="{00000000-0005-0000-0000-000025150000}"/>
    <cellStyle name="Normal 10 2 10 8 3 10" xfId="5472" xr:uid="{00000000-0005-0000-0000-000026150000}"/>
    <cellStyle name="Normal 10 2 10 8 3 2" xfId="5473" xr:uid="{00000000-0005-0000-0000-000027150000}"/>
    <cellStyle name="Normal 10 2 10 8 3 3" xfId="5474" xr:uid="{00000000-0005-0000-0000-000028150000}"/>
    <cellStyle name="Normal 10 2 10 8 3 4" xfId="5475" xr:uid="{00000000-0005-0000-0000-000029150000}"/>
    <cellStyle name="Normal 10 2 10 8 3 5" xfId="5476" xr:uid="{00000000-0005-0000-0000-00002A150000}"/>
    <cellStyle name="Normal 10 2 10 8 3 6" xfId="5477" xr:uid="{00000000-0005-0000-0000-00002B150000}"/>
    <cellStyle name="Normal 10 2 10 8 3 7" xfId="5478" xr:uid="{00000000-0005-0000-0000-00002C150000}"/>
    <cellStyle name="Normal 10 2 10 8 3 8" xfId="5479" xr:uid="{00000000-0005-0000-0000-00002D150000}"/>
    <cellStyle name="Normal 10 2 10 8 3 9" xfId="5480" xr:uid="{00000000-0005-0000-0000-00002E150000}"/>
    <cellStyle name="Normal 10 2 10 8 4" xfId="5481" xr:uid="{00000000-0005-0000-0000-00002F150000}"/>
    <cellStyle name="Normal 10 2 10 8 4 10" xfId="5482" xr:uid="{00000000-0005-0000-0000-000030150000}"/>
    <cellStyle name="Normal 10 2 10 8 4 2" xfId="5483" xr:uid="{00000000-0005-0000-0000-000031150000}"/>
    <cellStyle name="Normal 10 2 10 8 4 3" xfId="5484" xr:uid="{00000000-0005-0000-0000-000032150000}"/>
    <cellStyle name="Normal 10 2 10 8 4 4" xfId="5485" xr:uid="{00000000-0005-0000-0000-000033150000}"/>
    <cellStyle name="Normal 10 2 10 8 4 5" xfId="5486" xr:uid="{00000000-0005-0000-0000-000034150000}"/>
    <cellStyle name="Normal 10 2 10 8 4 6" xfId="5487" xr:uid="{00000000-0005-0000-0000-000035150000}"/>
    <cellStyle name="Normal 10 2 10 8 4 7" xfId="5488" xr:uid="{00000000-0005-0000-0000-000036150000}"/>
    <cellStyle name="Normal 10 2 10 8 4 8" xfId="5489" xr:uid="{00000000-0005-0000-0000-000037150000}"/>
    <cellStyle name="Normal 10 2 10 8 4 9" xfId="5490" xr:uid="{00000000-0005-0000-0000-000038150000}"/>
    <cellStyle name="Normal 10 2 10 8 5" xfId="5491" xr:uid="{00000000-0005-0000-0000-000039150000}"/>
    <cellStyle name="Normal 10 2 10 8 5 10" xfId="5492" xr:uid="{00000000-0005-0000-0000-00003A150000}"/>
    <cellStyle name="Normal 10 2 10 8 5 2" xfId="5493" xr:uid="{00000000-0005-0000-0000-00003B150000}"/>
    <cellStyle name="Normal 10 2 10 8 5 3" xfId="5494" xr:uid="{00000000-0005-0000-0000-00003C150000}"/>
    <cellStyle name="Normal 10 2 10 8 5 4" xfId="5495" xr:uid="{00000000-0005-0000-0000-00003D150000}"/>
    <cellStyle name="Normal 10 2 10 8 5 5" xfId="5496" xr:uid="{00000000-0005-0000-0000-00003E150000}"/>
    <cellStyle name="Normal 10 2 10 8 5 6" xfId="5497" xr:uid="{00000000-0005-0000-0000-00003F150000}"/>
    <cellStyle name="Normal 10 2 10 8 5 7" xfId="5498" xr:uid="{00000000-0005-0000-0000-000040150000}"/>
    <cellStyle name="Normal 10 2 10 8 5 8" xfId="5499" xr:uid="{00000000-0005-0000-0000-000041150000}"/>
    <cellStyle name="Normal 10 2 10 8 5 9" xfId="5500" xr:uid="{00000000-0005-0000-0000-000042150000}"/>
    <cellStyle name="Normal 10 2 10 8 6" xfId="5501" xr:uid="{00000000-0005-0000-0000-000043150000}"/>
    <cellStyle name="Normal 10 2 10 8 7" xfId="5502" xr:uid="{00000000-0005-0000-0000-000044150000}"/>
    <cellStyle name="Normal 10 2 10 8 8" xfId="5503" xr:uid="{00000000-0005-0000-0000-000045150000}"/>
    <cellStyle name="Normal 10 2 10 8 9" xfId="5504" xr:uid="{00000000-0005-0000-0000-000046150000}"/>
    <cellStyle name="Normal 10 2 10 9" xfId="5505" xr:uid="{00000000-0005-0000-0000-000047150000}"/>
    <cellStyle name="Normal 10 2 10 9 10" xfId="5506" xr:uid="{00000000-0005-0000-0000-000048150000}"/>
    <cellStyle name="Normal 10 2 10 9 11" xfId="5507" xr:uid="{00000000-0005-0000-0000-000049150000}"/>
    <cellStyle name="Normal 10 2 10 9 12" xfId="5508" xr:uid="{00000000-0005-0000-0000-00004A150000}"/>
    <cellStyle name="Normal 10 2 10 9 13" xfId="5509" xr:uid="{00000000-0005-0000-0000-00004B150000}"/>
    <cellStyle name="Normal 10 2 10 9 14" xfId="5510" xr:uid="{00000000-0005-0000-0000-00004C150000}"/>
    <cellStyle name="Normal 10 2 10 9 2" xfId="5511" xr:uid="{00000000-0005-0000-0000-00004D150000}"/>
    <cellStyle name="Normal 10 2 10 9 2 10" xfId="5512" xr:uid="{00000000-0005-0000-0000-00004E150000}"/>
    <cellStyle name="Normal 10 2 10 9 2 2" xfId="5513" xr:uid="{00000000-0005-0000-0000-00004F150000}"/>
    <cellStyle name="Normal 10 2 10 9 2 3" xfId="5514" xr:uid="{00000000-0005-0000-0000-000050150000}"/>
    <cellStyle name="Normal 10 2 10 9 2 4" xfId="5515" xr:uid="{00000000-0005-0000-0000-000051150000}"/>
    <cellStyle name="Normal 10 2 10 9 2 5" xfId="5516" xr:uid="{00000000-0005-0000-0000-000052150000}"/>
    <cellStyle name="Normal 10 2 10 9 2 6" xfId="5517" xr:uid="{00000000-0005-0000-0000-000053150000}"/>
    <cellStyle name="Normal 10 2 10 9 2 7" xfId="5518" xr:uid="{00000000-0005-0000-0000-000054150000}"/>
    <cellStyle name="Normal 10 2 10 9 2 8" xfId="5519" xr:uid="{00000000-0005-0000-0000-000055150000}"/>
    <cellStyle name="Normal 10 2 10 9 2 9" xfId="5520" xr:uid="{00000000-0005-0000-0000-000056150000}"/>
    <cellStyle name="Normal 10 2 10 9 3" xfId="5521" xr:uid="{00000000-0005-0000-0000-000057150000}"/>
    <cellStyle name="Normal 10 2 10 9 3 10" xfId="5522" xr:uid="{00000000-0005-0000-0000-000058150000}"/>
    <cellStyle name="Normal 10 2 10 9 3 2" xfId="5523" xr:uid="{00000000-0005-0000-0000-000059150000}"/>
    <cellStyle name="Normal 10 2 10 9 3 3" xfId="5524" xr:uid="{00000000-0005-0000-0000-00005A150000}"/>
    <cellStyle name="Normal 10 2 10 9 3 4" xfId="5525" xr:uid="{00000000-0005-0000-0000-00005B150000}"/>
    <cellStyle name="Normal 10 2 10 9 3 5" xfId="5526" xr:uid="{00000000-0005-0000-0000-00005C150000}"/>
    <cellStyle name="Normal 10 2 10 9 3 6" xfId="5527" xr:uid="{00000000-0005-0000-0000-00005D150000}"/>
    <cellStyle name="Normal 10 2 10 9 3 7" xfId="5528" xr:uid="{00000000-0005-0000-0000-00005E150000}"/>
    <cellStyle name="Normal 10 2 10 9 3 8" xfId="5529" xr:uid="{00000000-0005-0000-0000-00005F150000}"/>
    <cellStyle name="Normal 10 2 10 9 3 9" xfId="5530" xr:uid="{00000000-0005-0000-0000-000060150000}"/>
    <cellStyle name="Normal 10 2 10 9 4" xfId="5531" xr:uid="{00000000-0005-0000-0000-000061150000}"/>
    <cellStyle name="Normal 10 2 10 9 4 10" xfId="5532" xr:uid="{00000000-0005-0000-0000-000062150000}"/>
    <cellStyle name="Normal 10 2 10 9 4 2" xfId="5533" xr:uid="{00000000-0005-0000-0000-000063150000}"/>
    <cellStyle name="Normal 10 2 10 9 4 3" xfId="5534" xr:uid="{00000000-0005-0000-0000-000064150000}"/>
    <cellStyle name="Normal 10 2 10 9 4 4" xfId="5535" xr:uid="{00000000-0005-0000-0000-000065150000}"/>
    <cellStyle name="Normal 10 2 10 9 4 5" xfId="5536" xr:uid="{00000000-0005-0000-0000-000066150000}"/>
    <cellStyle name="Normal 10 2 10 9 4 6" xfId="5537" xr:uid="{00000000-0005-0000-0000-000067150000}"/>
    <cellStyle name="Normal 10 2 10 9 4 7" xfId="5538" xr:uid="{00000000-0005-0000-0000-000068150000}"/>
    <cellStyle name="Normal 10 2 10 9 4 8" xfId="5539" xr:uid="{00000000-0005-0000-0000-000069150000}"/>
    <cellStyle name="Normal 10 2 10 9 4 9" xfId="5540" xr:uid="{00000000-0005-0000-0000-00006A150000}"/>
    <cellStyle name="Normal 10 2 10 9 5" xfId="5541" xr:uid="{00000000-0005-0000-0000-00006B150000}"/>
    <cellStyle name="Normal 10 2 10 9 5 10" xfId="5542" xr:uid="{00000000-0005-0000-0000-00006C150000}"/>
    <cellStyle name="Normal 10 2 10 9 5 2" xfId="5543" xr:uid="{00000000-0005-0000-0000-00006D150000}"/>
    <cellStyle name="Normal 10 2 10 9 5 3" xfId="5544" xr:uid="{00000000-0005-0000-0000-00006E150000}"/>
    <cellStyle name="Normal 10 2 10 9 5 4" xfId="5545" xr:uid="{00000000-0005-0000-0000-00006F150000}"/>
    <cellStyle name="Normal 10 2 10 9 5 5" xfId="5546" xr:uid="{00000000-0005-0000-0000-000070150000}"/>
    <cellStyle name="Normal 10 2 10 9 5 6" xfId="5547" xr:uid="{00000000-0005-0000-0000-000071150000}"/>
    <cellStyle name="Normal 10 2 10 9 5 7" xfId="5548" xr:uid="{00000000-0005-0000-0000-000072150000}"/>
    <cellStyle name="Normal 10 2 10 9 5 8" xfId="5549" xr:uid="{00000000-0005-0000-0000-000073150000}"/>
    <cellStyle name="Normal 10 2 10 9 5 9" xfId="5550" xr:uid="{00000000-0005-0000-0000-000074150000}"/>
    <cellStyle name="Normal 10 2 10 9 6" xfId="5551" xr:uid="{00000000-0005-0000-0000-000075150000}"/>
    <cellStyle name="Normal 10 2 10 9 7" xfId="5552" xr:uid="{00000000-0005-0000-0000-000076150000}"/>
    <cellStyle name="Normal 10 2 10 9 8" xfId="5553" xr:uid="{00000000-0005-0000-0000-000077150000}"/>
    <cellStyle name="Normal 10 2 10 9 9" xfId="5554" xr:uid="{00000000-0005-0000-0000-000078150000}"/>
    <cellStyle name="Normal 10 2 11" xfId="5555" xr:uid="{00000000-0005-0000-0000-000079150000}"/>
    <cellStyle name="Normal 10 2 12" xfId="5556" xr:uid="{00000000-0005-0000-0000-00007A150000}"/>
    <cellStyle name="Normal 10 2 13" xfId="5557" xr:uid="{00000000-0005-0000-0000-00007B150000}"/>
    <cellStyle name="Normal 10 2 14" xfId="5558" xr:uid="{00000000-0005-0000-0000-00007C150000}"/>
    <cellStyle name="Normal 10 2 15" xfId="5559" xr:uid="{00000000-0005-0000-0000-00007D150000}"/>
    <cellStyle name="Normal 10 2 16" xfId="5560" xr:uid="{00000000-0005-0000-0000-00007E150000}"/>
    <cellStyle name="Normal 10 2 17" xfId="5561" xr:uid="{00000000-0005-0000-0000-00007F150000}"/>
    <cellStyle name="Normal 10 2 18" xfId="5562" xr:uid="{00000000-0005-0000-0000-000080150000}"/>
    <cellStyle name="Normal 10 2 19" xfId="5563" xr:uid="{00000000-0005-0000-0000-000081150000}"/>
    <cellStyle name="Normal 10 2 2" xfId="5564" xr:uid="{00000000-0005-0000-0000-000082150000}"/>
    <cellStyle name="Normal 10 2 2 2" xfId="5565" xr:uid="{00000000-0005-0000-0000-000083150000}"/>
    <cellStyle name="Normal 10 2 2 2 2" xfId="5566" xr:uid="{00000000-0005-0000-0000-000084150000}"/>
    <cellStyle name="Normal 10 2 20" xfId="5567" xr:uid="{00000000-0005-0000-0000-000085150000}"/>
    <cellStyle name="Normal 10 2 21" xfId="5568" xr:uid="{00000000-0005-0000-0000-000086150000}"/>
    <cellStyle name="Normal 10 2 22" xfId="5569" xr:uid="{00000000-0005-0000-0000-000087150000}"/>
    <cellStyle name="Normal 10 2 23" xfId="5570" xr:uid="{00000000-0005-0000-0000-000088150000}"/>
    <cellStyle name="Normal 10 2 24" xfId="5571" xr:uid="{00000000-0005-0000-0000-000089150000}"/>
    <cellStyle name="Normal 10 2 25" xfId="5572" xr:uid="{00000000-0005-0000-0000-00008A150000}"/>
    <cellStyle name="Normal 10 2 26" xfId="5573" xr:uid="{00000000-0005-0000-0000-00008B150000}"/>
    <cellStyle name="Normal 10 2 27" xfId="5574" xr:uid="{00000000-0005-0000-0000-00008C150000}"/>
    <cellStyle name="Normal 10 2 28" xfId="5575" xr:uid="{00000000-0005-0000-0000-00008D150000}"/>
    <cellStyle name="Normal 10 2 29" xfId="5576" xr:uid="{00000000-0005-0000-0000-00008E150000}"/>
    <cellStyle name="Normal 10 2 3" xfId="5577" xr:uid="{00000000-0005-0000-0000-00008F150000}"/>
    <cellStyle name="Normal 10 2 30" xfId="5578" xr:uid="{00000000-0005-0000-0000-000090150000}"/>
    <cellStyle name="Normal 10 2 31" xfId="5579" xr:uid="{00000000-0005-0000-0000-000091150000}"/>
    <cellStyle name="Normal 10 2 32" xfId="5580" xr:uid="{00000000-0005-0000-0000-000092150000}"/>
    <cellStyle name="Normal 10 2 33" xfId="5581" xr:uid="{00000000-0005-0000-0000-000093150000}"/>
    <cellStyle name="Normal 10 2 34" xfId="5582" xr:uid="{00000000-0005-0000-0000-000094150000}"/>
    <cellStyle name="Normal 10 2 35" xfId="5583" xr:uid="{00000000-0005-0000-0000-000095150000}"/>
    <cellStyle name="Normal 10 2 36" xfId="5584" xr:uid="{00000000-0005-0000-0000-000096150000}"/>
    <cellStyle name="Normal 10 2 37" xfId="5585" xr:uid="{00000000-0005-0000-0000-000097150000}"/>
    <cellStyle name="Normal 10 2 38" xfId="5586" xr:uid="{00000000-0005-0000-0000-000098150000}"/>
    <cellStyle name="Normal 10 2 39" xfId="5587" xr:uid="{00000000-0005-0000-0000-000099150000}"/>
    <cellStyle name="Normal 10 2 4" xfId="5588" xr:uid="{00000000-0005-0000-0000-00009A150000}"/>
    <cellStyle name="Normal 10 2 40" xfId="5589" xr:uid="{00000000-0005-0000-0000-00009B150000}"/>
    <cellStyle name="Normal 10 2 41" xfId="5590" xr:uid="{00000000-0005-0000-0000-00009C150000}"/>
    <cellStyle name="Normal 10 2 42" xfId="5591" xr:uid="{00000000-0005-0000-0000-00009D150000}"/>
    <cellStyle name="Normal 10 2 43" xfId="5592" xr:uid="{00000000-0005-0000-0000-00009E150000}"/>
    <cellStyle name="Normal 10 2 44" xfId="5593" xr:uid="{00000000-0005-0000-0000-00009F150000}"/>
    <cellStyle name="Normal 10 2 45" xfId="5594" xr:uid="{00000000-0005-0000-0000-0000A0150000}"/>
    <cellStyle name="Normal 10 2 46" xfId="5595" xr:uid="{00000000-0005-0000-0000-0000A1150000}"/>
    <cellStyle name="Normal 10 2 47" xfId="5596" xr:uid="{00000000-0005-0000-0000-0000A2150000}"/>
    <cellStyle name="Normal 10 2 48" xfId="5597" xr:uid="{00000000-0005-0000-0000-0000A3150000}"/>
    <cellStyle name="Normal 10 2 49" xfId="5598" xr:uid="{00000000-0005-0000-0000-0000A4150000}"/>
    <cellStyle name="Normal 10 2 5" xfId="5599" xr:uid="{00000000-0005-0000-0000-0000A5150000}"/>
    <cellStyle name="Normal 10 2 50" xfId="5600" xr:uid="{00000000-0005-0000-0000-0000A6150000}"/>
    <cellStyle name="Normal 10 2 51" xfId="5601" xr:uid="{00000000-0005-0000-0000-0000A7150000}"/>
    <cellStyle name="Normal 10 2 52" xfId="5602" xr:uid="{00000000-0005-0000-0000-0000A8150000}"/>
    <cellStyle name="Normal 10 2 53" xfId="5603" xr:uid="{00000000-0005-0000-0000-0000A9150000}"/>
    <cellStyle name="Normal 10 2 54" xfId="5604" xr:uid="{00000000-0005-0000-0000-0000AA150000}"/>
    <cellStyle name="Normal 10 2 55" xfId="5605" xr:uid="{00000000-0005-0000-0000-0000AB150000}"/>
    <cellStyle name="Normal 10 2 56" xfId="5606" xr:uid="{00000000-0005-0000-0000-0000AC150000}"/>
    <cellStyle name="Normal 10 2 57" xfId="5607" xr:uid="{00000000-0005-0000-0000-0000AD150000}"/>
    <cellStyle name="Normal 10 2 58" xfId="5608" xr:uid="{00000000-0005-0000-0000-0000AE150000}"/>
    <cellStyle name="Normal 10 2 59" xfId="5609" xr:uid="{00000000-0005-0000-0000-0000AF150000}"/>
    <cellStyle name="Normal 10 2 6" xfId="5610" xr:uid="{00000000-0005-0000-0000-0000B0150000}"/>
    <cellStyle name="Normal 10 2 60" xfId="5611" xr:uid="{00000000-0005-0000-0000-0000B1150000}"/>
    <cellStyle name="Normal 10 2 61" xfId="5612" xr:uid="{00000000-0005-0000-0000-0000B2150000}"/>
    <cellStyle name="Normal 10 2 62" xfId="5613" xr:uid="{00000000-0005-0000-0000-0000B3150000}"/>
    <cellStyle name="Normal 10 2 63" xfId="5614" xr:uid="{00000000-0005-0000-0000-0000B4150000}"/>
    <cellStyle name="Normal 10 2 64" xfId="5615" xr:uid="{00000000-0005-0000-0000-0000B5150000}"/>
    <cellStyle name="Normal 10 2 65" xfId="5616" xr:uid="{00000000-0005-0000-0000-0000B6150000}"/>
    <cellStyle name="Normal 10 2 66" xfId="5617" xr:uid="{00000000-0005-0000-0000-0000B7150000}"/>
    <cellStyle name="Normal 10 2 67" xfId="5618" xr:uid="{00000000-0005-0000-0000-0000B8150000}"/>
    <cellStyle name="Normal 10 2 68" xfId="5619" xr:uid="{00000000-0005-0000-0000-0000B9150000}"/>
    <cellStyle name="Normal 10 2 69" xfId="5620" xr:uid="{00000000-0005-0000-0000-0000BA150000}"/>
    <cellStyle name="Normal 10 2 7" xfId="5621" xr:uid="{00000000-0005-0000-0000-0000BB150000}"/>
    <cellStyle name="Normal 10 2 70" xfId="5622" xr:uid="{00000000-0005-0000-0000-0000BC150000}"/>
    <cellStyle name="Normal 10 2 71" xfId="5623" xr:uid="{00000000-0005-0000-0000-0000BD150000}"/>
    <cellStyle name="Normal 10 2 72" xfId="5624" xr:uid="{00000000-0005-0000-0000-0000BE150000}"/>
    <cellStyle name="Normal 10 2 73" xfId="5625" xr:uid="{00000000-0005-0000-0000-0000BF150000}"/>
    <cellStyle name="Normal 10 2 74" xfId="5626" xr:uid="{00000000-0005-0000-0000-0000C0150000}"/>
    <cellStyle name="Normal 10 2 75" xfId="5627" xr:uid="{00000000-0005-0000-0000-0000C1150000}"/>
    <cellStyle name="Normal 10 2 76" xfId="5628" xr:uid="{00000000-0005-0000-0000-0000C2150000}"/>
    <cellStyle name="Normal 10 2 77" xfId="5629" xr:uid="{00000000-0005-0000-0000-0000C3150000}"/>
    <cellStyle name="Normal 10 2 78" xfId="5630" xr:uid="{00000000-0005-0000-0000-0000C4150000}"/>
    <cellStyle name="Normal 10 2 79" xfId="5631" xr:uid="{00000000-0005-0000-0000-0000C5150000}"/>
    <cellStyle name="Normal 10 2 8" xfId="5632" xr:uid="{00000000-0005-0000-0000-0000C6150000}"/>
    <cellStyle name="Normal 10 2 9" xfId="5633" xr:uid="{00000000-0005-0000-0000-0000C7150000}"/>
    <cellStyle name="Normal 10 2_Enlaces" xfId="5634" xr:uid="{00000000-0005-0000-0000-0000C8150000}"/>
    <cellStyle name="Normal 10 20" xfId="5635" xr:uid="{00000000-0005-0000-0000-0000C9150000}"/>
    <cellStyle name="Normal 10 21" xfId="5636" xr:uid="{00000000-0005-0000-0000-0000CA150000}"/>
    <cellStyle name="Normal 10 22" xfId="5637" xr:uid="{00000000-0005-0000-0000-0000CB150000}"/>
    <cellStyle name="Normal 10 23" xfId="5638" xr:uid="{00000000-0005-0000-0000-0000CC150000}"/>
    <cellStyle name="Normal 10 24" xfId="5639" xr:uid="{00000000-0005-0000-0000-0000CD150000}"/>
    <cellStyle name="Normal 10 25" xfId="5640" xr:uid="{00000000-0005-0000-0000-0000CE150000}"/>
    <cellStyle name="Normal 10 26" xfId="5641" xr:uid="{00000000-0005-0000-0000-0000CF150000}"/>
    <cellStyle name="Normal 10 27" xfId="5642" xr:uid="{00000000-0005-0000-0000-0000D0150000}"/>
    <cellStyle name="Normal 10 28" xfId="5643" xr:uid="{00000000-0005-0000-0000-0000D1150000}"/>
    <cellStyle name="Normal 10 29" xfId="5644" xr:uid="{00000000-0005-0000-0000-0000D2150000}"/>
    <cellStyle name="Normal 10 3" xfId="5645" xr:uid="{00000000-0005-0000-0000-0000D3150000}"/>
    <cellStyle name="Normal 10 3 2" xfId="5646" xr:uid="{00000000-0005-0000-0000-0000D4150000}"/>
    <cellStyle name="Normal 10 3 3" xfId="5647" xr:uid="{00000000-0005-0000-0000-0000D5150000}"/>
    <cellStyle name="Normal 10 3 4" xfId="5648" xr:uid="{00000000-0005-0000-0000-0000D6150000}"/>
    <cellStyle name="Normal 10 3 4 2" xfId="5649" xr:uid="{00000000-0005-0000-0000-0000D7150000}"/>
    <cellStyle name="Normal 10 3 4 2 2" xfId="5650" xr:uid="{00000000-0005-0000-0000-0000D8150000}"/>
    <cellStyle name="Normal 10 3 4 3" xfId="5651" xr:uid="{00000000-0005-0000-0000-0000D9150000}"/>
    <cellStyle name="Normal 10 3 5" xfId="5652" xr:uid="{00000000-0005-0000-0000-0000DA150000}"/>
    <cellStyle name="Normal 10 3 6" xfId="5653" xr:uid="{00000000-0005-0000-0000-0000DB150000}"/>
    <cellStyle name="Normal 10 3 7" xfId="5654" xr:uid="{00000000-0005-0000-0000-0000DC150000}"/>
    <cellStyle name="Normal 10 3 7 2" xfId="5655" xr:uid="{00000000-0005-0000-0000-0000DD150000}"/>
    <cellStyle name="Normal 10 3 8" xfId="5656" xr:uid="{00000000-0005-0000-0000-0000DE150000}"/>
    <cellStyle name="Normal 10 3 9" xfId="5657" xr:uid="{00000000-0005-0000-0000-0000DF150000}"/>
    <cellStyle name="Normal 10 3_Implem" xfId="5658" xr:uid="{00000000-0005-0000-0000-0000E0150000}"/>
    <cellStyle name="Normal 10 30" xfId="5659" xr:uid="{00000000-0005-0000-0000-0000E1150000}"/>
    <cellStyle name="Normal 10 31" xfId="5660" xr:uid="{00000000-0005-0000-0000-0000E2150000}"/>
    <cellStyle name="Normal 10 32" xfId="2237" xr:uid="{00000000-0005-0000-0000-0000E3150000}"/>
    <cellStyle name="Normal 10 4" xfId="5661" xr:uid="{00000000-0005-0000-0000-0000E4150000}"/>
    <cellStyle name="Normal 10 5" xfId="5662" xr:uid="{00000000-0005-0000-0000-0000E5150000}"/>
    <cellStyle name="Normal 10 6" xfId="5663" xr:uid="{00000000-0005-0000-0000-0000E6150000}"/>
    <cellStyle name="Normal 10 7" xfId="5664" xr:uid="{00000000-0005-0000-0000-0000E7150000}"/>
    <cellStyle name="Normal 10 8" xfId="5665" xr:uid="{00000000-0005-0000-0000-0000E8150000}"/>
    <cellStyle name="Normal 10 9" xfId="5666" xr:uid="{00000000-0005-0000-0000-0000E9150000}"/>
    <cellStyle name="Normal 100" xfId="5667" xr:uid="{00000000-0005-0000-0000-0000EA150000}"/>
    <cellStyle name="Normal 100 2" xfId="5668" xr:uid="{00000000-0005-0000-0000-0000EB150000}"/>
    <cellStyle name="Normal 100 3" xfId="5669" xr:uid="{00000000-0005-0000-0000-0000EC150000}"/>
    <cellStyle name="Normal 101" xfId="5670" xr:uid="{00000000-0005-0000-0000-0000ED150000}"/>
    <cellStyle name="Normal 101 2" xfId="5671" xr:uid="{00000000-0005-0000-0000-0000EE150000}"/>
    <cellStyle name="Normal 101 3" xfId="5672" xr:uid="{00000000-0005-0000-0000-0000EF150000}"/>
    <cellStyle name="Normal 102" xfId="5673" xr:uid="{00000000-0005-0000-0000-0000F0150000}"/>
    <cellStyle name="Normal 102 2" xfId="5674" xr:uid="{00000000-0005-0000-0000-0000F1150000}"/>
    <cellStyle name="Normal 102 3" xfId="5675" xr:uid="{00000000-0005-0000-0000-0000F2150000}"/>
    <cellStyle name="Normal 103" xfId="5676" xr:uid="{00000000-0005-0000-0000-0000F3150000}"/>
    <cellStyle name="Normal 103 2" xfId="5677" xr:uid="{00000000-0005-0000-0000-0000F4150000}"/>
    <cellStyle name="Normal 104" xfId="5678" xr:uid="{00000000-0005-0000-0000-0000F5150000}"/>
    <cellStyle name="Normal 104 2" xfId="5679" xr:uid="{00000000-0005-0000-0000-0000F6150000}"/>
    <cellStyle name="Normal 105" xfId="5680" xr:uid="{00000000-0005-0000-0000-0000F7150000}"/>
    <cellStyle name="Normal 105 2" xfId="5681" xr:uid="{00000000-0005-0000-0000-0000F8150000}"/>
    <cellStyle name="Normal 106" xfId="5682" xr:uid="{00000000-0005-0000-0000-0000F9150000}"/>
    <cellStyle name="Normal 106 2" xfId="5683" xr:uid="{00000000-0005-0000-0000-0000FA150000}"/>
    <cellStyle name="Normal 107" xfId="5684" xr:uid="{00000000-0005-0000-0000-0000FB150000}"/>
    <cellStyle name="Normal 107 2" xfId="5685" xr:uid="{00000000-0005-0000-0000-0000FC150000}"/>
    <cellStyle name="Normal 108" xfId="5686" xr:uid="{00000000-0005-0000-0000-0000FD150000}"/>
    <cellStyle name="Normal 108 2" xfId="5687" xr:uid="{00000000-0005-0000-0000-0000FE150000}"/>
    <cellStyle name="Normal 109" xfId="5688" xr:uid="{00000000-0005-0000-0000-0000FF150000}"/>
    <cellStyle name="Normal 109 2" xfId="5689" xr:uid="{00000000-0005-0000-0000-000000160000}"/>
    <cellStyle name="Normal 11" xfId="70" xr:uid="{00000000-0005-0000-0000-000001160000}"/>
    <cellStyle name="Normal 11 10" xfId="5691" xr:uid="{00000000-0005-0000-0000-000002160000}"/>
    <cellStyle name="Normal 11 11" xfId="5692" xr:uid="{00000000-0005-0000-0000-000003160000}"/>
    <cellStyle name="Normal 11 12" xfId="5693" xr:uid="{00000000-0005-0000-0000-000004160000}"/>
    <cellStyle name="Normal 11 13" xfId="5694" xr:uid="{00000000-0005-0000-0000-000005160000}"/>
    <cellStyle name="Normal 11 14" xfId="5695" xr:uid="{00000000-0005-0000-0000-000006160000}"/>
    <cellStyle name="Normal 11 15" xfId="5696" xr:uid="{00000000-0005-0000-0000-000007160000}"/>
    <cellStyle name="Normal 11 16" xfId="5697" xr:uid="{00000000-0005-0000-0000-000008160000}"/>
    <cellStyle name="Normal 11 17" xfId="5698" xr:uid="{00000000-0005-0000-0000-000009160000}"/>
    <cellStyle name="Normal 11 18" xfId="5699" xr:uid="{00000000-0005-0000-0000-00000A160000}"/>
    <cellStyle name="Normal 11 19" xfId="5700" xr:uid="{00000000-0005-0000-0000-00000B160000}"/>
    <cellStyle name="Normal 11 2" xfId="5701" xr:uid="{00000000-0005-0000-0000-00000C160000}"/>
    <cellStyle name="Normal 11 2 2" xfId="5702" xr:uid="{00000000-0005-0000-0000-00000D160000}"/>
    <cellStyle name="Normal 11 2 3" xfId="5703" xr:uid="{00000000-0005-0000-0000-00000E160000}"/>
    <cellStyle name="Normal 11 20" xfId="5704" xr:uid="{00000000-0005-0000-0000-00000F160000}"/>
    <cellStyle name="Normal 11 21" xfId="5705" xr:uid="{00000000-0005-0000-0000-000010160000}"/>
    <cellStyle name="Normal 11 22" xfId="5706" xr:uid="{00000000-0005-0000-0000-000011160000}"/>
    <cellStyle name="Normal 11 23" xfId="5707" xr:uid="{00000000-0005-0000-0000-000012160000}"/>
    <cellStyle name="Normal 11 24" xfId="5708" xr:uid="{00000000-0005-0000-0000-000013160000}"/>
    <cellStyle name="Normal 11 25" xfId="5709" xr:uid="{00000000-0005-0000-0000-000014160000}"/>
    <cellStyle name="Normal 11 26" xfId="5690" xr:uid="{00000000-0005-0000-0000-000015160000}"/>
    <cellStyle name="Normal 11 3" xfId="5710" xr:uid="{00000000-0005-0000-0000-000016160000}"/>
    <cellStyle name="Normal 11 3 2" xfId="5711" xr:uid="{00000000-0005-0000-0000-000017160000}"/>
    <cellStyle name="Normal 11 3 3" xfId="5712" xr:uid="{00000000-0005-0000-0000-000018160000}"/>
    <cellStyle name="Normal 11 4" xfId="5713" xr:uid="{00000000-0005-0000-0000-000019160000}"/>
    <cellStyle name="Normal 11 5" xfId="5714" xr:uid="{00000000-0005-0000-0000-00001A160000}"/>
    <cellStyle name="Normal 11 6" xfId="5715" xr:uid="{00000000-0005-0000-0000-00001B160000}"/>
    <cellStyle name="Normal 11 7" xfId="5716" xr:uid="{00000000-0005-0000-0000-00001C160000}"/>
    <cellStyle name="Normal 11 8" xfId="5717" xr:uid="{00000000-0005-0000-0000-00001D160000}"/>
    <cellStyle name="Normal 11 9" xfId="5718" xr:uid="{00000000-0005-0000-0000-00001E160000}"/>
    <cellStyle name="Normal 110" xfId="5719" xr:uid="{00000000-0005-0000-0000-00001F160000}"/>
    <cellStyle name="Normal 110 2" xfId="5720" xr:uid="{00000000-0005-0000-0000-000020160000}"/>
    <cellStyle name="Normal 111" xfId="5721" xr:uid="{00000000-0005-0000-0000-000021160000}"/>
    <cellStyle name="Normal 111 2" xfId="5722" xr:uid="{00000000-0005-0000-0000-000022160000}"/>
    <cellStyle name="Normal 112" xfId="5723" xr:uid="{00000000-0005-0000-0000-000023160000}"/>
    <cellStyle name="Normal 112 2" xfId="5724" xr:uid="{00000000-0005-0000-0000-000024160000}"/>
    <cellStyle name="Normal 113" xfId="5725" xr:uid="{00000000-0005-0000-0000-000025160000}"/>
    <cellStyle name="Normal 113 2" xfId="5726" xr:uid="{00000000-0005-0000-0000-000026160000}"/>
    <cellStyle name="Normal 114" xfId="5727" xr:uid="{00000000-0005-0000-0000-000027160000}"/>
    <cellStyle name="Normal 114 2" xfId="5728" xr:uid="{00000000-0005-0000-0000-000028160000}"/>
    <cellStyle name="Normal 115" xfId="5729" xr:uid="{00000000-0005-0000-0000-000029160000}"/>
    <cellStyle name="Normal 115 2" xfId="5730" xr:uid="{00000000-0005-0000-0000-00002A160000}"/>
    <cellStyle name="Normal 116" xfId="5731" xr:uid="{00000000-0005-0000-0000-00002B160000}"/>
    <cellStyle name="Normal 116 2" xfId="5732" xr:uid="{00000000-0005-0000-0000-00002C160000}"/>
    <cellStyle name="Normal 117" xfId="5733" xr:uid="{00000000-0005-0000-0000-00002D160000}"/>
    <cellStyle name="Normal 117 2" xfId="5734" xr:uid="{00000000-0005-0000-0000-00002E160000}"/>
    <cellStyle name="Normal 118" xfId="5735" xr:uid="{00000000-0005-0000-0000-00002F160000}"/>
    <cellStyle name="Normal 118 2" xfId="5736" xr:uid="{00000000-0005-0000-0000-000030160000}"/>
    <cellStyle name="Normal 119" xfId="5737" xr:uid="{00000000-0005-0000-0000-000031160000}"/>
    <cellStyle name="Normal 119 2" xfId="5738" xr:uid="{00000000-0005-0000-0000-000032160000}"/>
    <cellStyle name="Normal 12" xfId="72" xr:uid="{00000000-0005-0000-0000-000033160000}"/>
    <cellStyle name="Normal 12 10" xfId="5740" xr:uid="{00000000-0005-0000-0000-000034160000}"/>
    <cellStyle name="Normal 12 11" xfId="5741" xr:uid="{00000000-0005-0000-0000-000035160000}"/>
    <cellStyle name="Normal 12 12" xfId="5742" xr:uid="{00000000-0005-0000-0000-000036160000}"/>
    <cellStyle name="Normal 12 13" xfId="5743" xr:uid="{00000000-0005-0000-0000-000037160000}"/>
    <cellStyle name="Normal 12 14" xfId="5744" xr:uid="{00000000-0005-0000-0000-000038160000}"/>
    <cellStyle name="Normal 12 15" xfId="5745" xr:uid="{00000000-0005-0000-0000-000039160000}"/>
    <cellStyle name="Normal 12 16" xfId="5746" xr:uid="{00000000-0005-0000-0000-00003A160000}"/>
    <cellStyle name="Normal 12 17" xfId="5747" xr:uid="{00000000-0005-0000-0000-00003B160000}"/>
    <cellStyle name="Normal 12 18" xfId="5748" xr:uid="{00000000-0005-0000-0000-00003C160000}"/>
    <cellStyle name="Normal 12 19" xfId="5749" xr:uid="{00000000-0005-0000-0000-00003D160000}"/>
    <cellStyle name="Normal 12 2" xfId="5750" xr:uid="{00000000-0005-0000-0000-00003E160000}"/>
    <cellStyle name="Normal 12 2 2" xfId="5751" xr:uid="{00000000-0005-0000-0000-00003F160000}"/>
    <cellStyle name="Normal 12 2 3" xfId="5752" xr:uid="{00000000-0005-0000-0000-000040160000}"/>
    <cellStyle name="Normal 12 20" xfId="5753" xr:uid="{00000000-0005-0000-0000-000041160000}"/>
    <cellStyle name="Normal 12 21" xfId="5754" xr:uid="{00000000-0005-0000-0000-000042160000}"/>
    <cellStyle name="Normal 12 22" xfId="5755" xr:uid="{00000000-0005-0000-0000-000043160000}"/>
    <cellStyle name="Normal 12 23" xfId="5756" xr:uid="{00000000-0005-0000-0000-000044160000}"/>
    <cellStyle name="Normal 12 24" xfId="5757" xr:uid="{00000000-0005-0000-0000-000045160000}"/>
    <cellStyle name="Normal 12 25" xfId="5758" xr:uid="{00000000-0005-0000-0000-000046160000}"/>
    <cellStyle name="Normal 12 26" xfId="5739" xr:uid="{00000000-0005-0000-0000-000047160000}"/>
    <cellStyle name="Normal 12 3" xfId="5759" xr:uid="{00000000-0005-0000-0000-000048160000}"/>
    <cellStyle name="Normal 12 3 2" xfId="5760" xr:uid="{00000000-0005-0000-0000-000049160000}"/>
    <cellStyle name="Normal 12 3 3" xfId="5761" xr:uid="{00000000-0005-0000-0000-00004A160000}"/>
    <cellStyle name="Normal 12 4" xfId="5762" xr:uid="{00000000-0005-0000-0000-00004B160000}"/>
    <cellStyle name="Normal 12 5" xfId="5763" xr:uid="{00000000-0005-0000-0000-00004C160000}"/>
    <cellStyle name="Normal 12 6" xfId="5764" xr:uid="{00000000-0005-0000-0000-00004D160000}"/>
    <cellStyle name="Normal 12 7" xfId="5765" xr:uid="{00000000-0005-0000-0000-00004E160000}"/>
    <cellStyle name="Normal 12 8" xfId="5766" xr:uid="{00000000-0005-0000-0000-00004F160000}"/>
    <cellStyle name="Normal 12 9" xfId="5767" xr:uid="{00000000-0005-0000-0000-000050160000}"/>
    <cellStyle name="Normal 120" xfId="5768" xr:uid="{00000000-0005-0000-0000-000051160000}"/>
    <cellStyle name="Normal 120 2" xfId="5769" xr:uid="{00000000-0005-0000-0000-000052160000}"/>
    <cellStyle name="Normal 121" xfId="5770" xr:uid="{00000000-0005-0000-0000-000053160000}"/>
    <cellStyle name="Normal 121 2" xfId="5771" xr:uid="{00000000-0005-0000-0000-000054160000}"/>
    <cellStyle name="Normal 122" xfId="5772" xr:uid="{00000000-0005-0000-0000-000055160000}"/>
    <cellStyle name="Normal 122 2" xfId="5773" xr:uid="{00000000-0005-0000-0000-000056160000}"/>
    <cellStyle name="Normal 123" xfId="5774" xr:uid="{00000000-0005-0000-0000-000057160000}"/>
    <cellStyle name="Normal 123 2" xfId="5775" xr:uid="{00000000-0005-0000-0000-000058160000}"/>
    <cellStyle name="Normal 124" xfId="5776" xr:uid="{00000000-0005-0000-0000-000059160000}"/>
    <cellStyle name="Normal 124 2" xfId="5777" xr:uid="{00000000-0005-0000-0000-00005A160000}"/>
    <cellStyle name="Normal 125" xfId="5778" xr:uid="{00000000-0005-0000-0000-00005B160000}"/>
    <cellStyle name="Normal 125 2" xfId="5779" xr:uid="{00000000-0005-0000-0000-00005C160000}"/>
    <cellStyle name="Normal 126" xfId="5780" xr:uid="{00000000-0005-0000-0000-00005D160000}"/>
    <cellStyle name="Normal 126 2" xfId="5781" xr:uid="{00000000-0005-0000-0000-00005E160000}"/>
    <cellStyle name="Normal 127" xfId="5782" xr:uid="{00000000-0005-0000-0000-00005F160000}"/>
    <cellStyle name="Normal 127 2" xfId="5783" xr:uid="{00000000-0005-0000-0000-000060160000}"/>
    <cellStyle name="Normal 128" xfId="5784" xr:uid="{00000000-0005-0000-0000-000061160000}"/>
    <cellStyle name="Normal 128 2" xfId="5785" xr:uid="{00000000-0005-0000-0000-000062160000}"/>
    <cellStyle name="Normal 129" xfId="5786" xr:uid="{00000000-0005-0000-0000-000063160000}"/>
    <cellStyle name="Normal 129 2" xfId="5787" xr:uid="{00000000-0005-0000-0000-000064160000}"/>
    <cellStyle name="Normal 13" xfId="79" xr:uid="{00000000-0005-0000-0000-000065160000}"/>
    <cellStyle name="Normal 13 10" xfId="5789" xr:uid="{00000000-0005-0000-0000-000066160000}"/>
    <cellStyle name="Normal 13 11" xfId="5790" xr:uid="{00000000-0005-0000-0000-000067160000}"/>
    <cellStyle name="Normal 13 12" xfId="5791" xr:uid="{00000000-0005-0000-0000-000068160000}"/>
    <cellStyle name="Normal 13 13" xfId="5792" xr:uid="{00000000-0005-0000-0000-000069160000}"/>
    <cellStyle name="Normal 13 14" xfId="5793" xr:uid="{00000000-0005-0000-0000-00006A160000}"/>
    <cellStyle name="Normal 13 15" xfId="5794" xr:uid="{00000000-0005-0000-0000-00006B160000}"/>
    <cellStyle name="Normal 13 16" xfId="5795" xr:uid="{00000000-0005-0000-0000-00006C160000}"/>
    <cellStyle name="Normal 13 17" xfId="5796" xr:uid="{00000000-0005-0000-0000-00006D160000}"/>
    <cellStyle name="Normal 13 18" xfId="5797" xr:uid="{00000000-0005-0000-0000-00006E160000}"/>
    <cellStyle name="Normal 13 19" xfId="5798" xr:uid="{00000000-0005-0000-0000-00006F160000}"/>
    <cellStyle name="Normal 13 2" xfId="5799" xr:uid="{00000000-0005-0000-0000-000070160000}"/>
    <cellStyle name="Normal 13 2 2" xfId="5800" xr:uid="{00000000-0005-0000-0000-000071160000}"/>
    <cellStyle name="Normal 13 2 3" xfId="5801" xr:uid="{00000000-0005-0000-0000-000072160000}"/>
    <cellStyle name="Normal 13 20" xfId="5802" xr:uid="{00000000-0005-0000-0000-000073160000}"/>
    <cellStyle name="Normal 13 21" xfId="5803" xr:uid="{00000000-0005-0000-0000-000074160000}"/>
    <cellStyle name="Normal 13 22" xfId="5804" xr:uid="{00000000-0005-0000-0000-000075160000}"/>
    <cellStyle name="Normal 13 23" xfId="5805" xr:uid="{00000000-0005-0000-0000-000076160000}"/>
    <cellStyle name="Normal 13 24" xfId="5806" xr:uid="{00000000-0005-0000-0000-000077160000}"/>
    <cellStyle name="Normal 13 25" xfId="5807" xr:uid="{00000000-0005-0000-0000-000078160000}"/>
    <cellStyle name="Normal 13 26" xfId="5808" xr:uid="{00000000-0005-0000-0000-000079160000}"/>
    <cellStyle name="Normal 13 27" xfId="5788" xr:uid="{00000000-0005-0000-0000-00007A160000}"/>
    <cellStyle name="Normal 13 3" xfId="5809" xr:uid="{00000000-0005-0000-0000-00007B160000}"/>
    <cellStyle name="Normal 13 3 2" xfId="5810" xr:uid="{00000000-0005-0000-0000-00007C160000}"/>
    <cellStyle name="Normal 13 3 3" xfId="5811" xr:uid="{00000000-0005-0000-0000-00007D160000}"/>
    <cellStyle name="Normal 13 4" xfId="5812" xr:uid="{00000000-0005-0000-0000-00007E160000}"/>
    <cellStyle name="Normal 13 5" xfId="5813" xr:uid="{00000000-0005-0000-0000-00007F160000}"/>
    <cellStyle name="Normal 13 6" xfId="5814" xr:uid="{00000000-0005-0000-0000-000080160000}"/>
    <cellStyle name="Normal 13 7" xfId="5815" xr:uid="{00000000-0005-0000-0000-000081160000}"/>
    <cellStyle name="Normal 13 8" xfId="5816" xr:uid="{00000000-0005-0000-0000-000082160000}"/>
    <cellStyle name="Normal 13 9" xfId="5817" xr:uid="{00000000-0005-0000-0000-000083160000}"/>
    <cellStyle name="Normal 130" xfId="5818" xr:uid="{00000000-0005-0000-0000-000084160000}"/>
    <cellStyle name="Normal 130 2" xfId="5819" xr:uid="{00000000-0005-0000-0000-000085160000}"/>
    <cellStyle name="Normal 131" xfId="5820" xr:uid="{00000000-0005-0000-0000-000086160000}"/>
    <cellStyle name="Normal 131 2" xfId="5821" xr:uid="{00000000-0005-0000-0000-000087160000}"/>
    <cellStyle name="Normal 132" xfId="5822" xr:uid="{00000000-0005-0000-0000-000088160000}"/>
    <cellStyle name="Normal 132 2" xfId="5823" xr:uid="{00000000-0005-0000-0000-000089160000}"/>
    <cellStyle name="Normal 133" xfId="5824" xr:uid="{00000000-0005-0000-0000-00008A160000}"/>
    <cellStyle name="Normal 133 2" xfId="5825" xr:uid="{00000000-0005-0000-0000-00008B160000}"/>
    <cellStyle name="Normal 134" xfId="5826" xr:uid="{00000000-0005-0000-0000-00008C160000}"/>
    <cellStyle name="Normal 134 2" xfId="5827" xr:uid="{00000000-0005-0000-0000-00008D160000}"/>
    <cellStyle name="Normal 135" xfId="5828" xr:uid="{00000000-0005-0000-0000-00008E160000}"/>
    <cellStyle name="Normal 135 2" xfId="5829" xr:uid="{00000000-0005-0000-0000-00008F160000}"/>
    <cellStyle name="Normal 136" xfId="5830" xr:uid="{00000000-0005-0000-0000-000090160000}"/>
    <cellStyle name="Normal 136 2" xfId="5831" xr:uid="{00000000-0005-0000-0000-000091160000}"/>
    <cellStyle name="Normal 137" xfId="5832" xr:uid="{00000000-0005-0000-0000-000092160000}"/>
    <cellStyle name="Normal 137 2" xfId="5833" xr:uid="{00000000-0005-0000-0000-000093160000}"/>
    <cellStyle name="Normal 138" xfId="5834" xr:uid="{00000000-0005-0000-0000-000094160000}"/>
    <cellStyle name="Normal 138 2" xfId="5835" xr:uid="{00000000-0005-0000-0000-000095160000}"/>
    <cellStyle name="Normal 139" xfId="5836" xr:uid="{00000000-0005-0000-0000-000096160000}"/>
    <cellStyle name="Normal 139 2" xfId="5837" xr:uid="{00000000-0005-0000-0000-000097160000}"/>
    <cellStyle name="Normal 14" xfId="5838" xr:uid="{00000000-0005-0000-0000-000098160000}"/>
    <cellStyle name="Normal 14 2" xfId="5839" xr:uid="{00000000-0005-0000-0000-000099160000}"/>
    <cellStyle name="Normal 14 3" xfId="5840" xr:uid="{00000000-0005-0000-0000-00009A160000}"/>
    <cellStyle name="Normal 14 3 2" xfId="5841" xr:uid="{00000000-0005-0000-0000-00009B160000}"/>
    <cellStyle name="Normal 14 4" xfId="5842" xr:uid="{00000000-0005-0000-0000-00009C160000}"/>
    <cellStyle name="Normal 14 5" xfId="5843" xr:uid="{00000000-0005-0000-0000-00009D160000}"/>
    <cellStyle name="Normal 140" xfId="5844" xr:uid="{00000000-0005-0000-0000-00009E160000}"/>
    <cellStyle name="Normal 140 2" xfId="5845" xr:uid="{00000000-0005-0000-0000-00009F160000}"/>
    <cellStyle name="Normal 141" xfId="5846" xr:uid="{00000000-0005-0000-0000-0000A0160000}"/>
    <cellStyle name="Normal 141 2" xfId="5847" xr:uid="{00000000-0005-0000-0000-0000A1160000}"/>
    <cellStyle name="Normal 142" xfId="5848" xr:uid="{00000000-0005-0000-0000-0000A2160000}"/>
    <cellStyle name="Normal 142 2" xfId="5849" xr:uid="{00000000-0005-0000-0000-0000A3160000}"/>
    <cellStyle name="Normal 143" xfId="5850" xr:uid="{00000000-0005-0000-0000-0000A4160000}"/>
    <cellStyle name="Normal 143 2" xfId="5851" xr:uid="{00000000-0005-0000-0000-0000A5160000}"/>
    <cellStyle name="Normal 144" xfId="5852" xr:uid="{00000000-0005-0000-0000-0000A6160000}"/>
    <cellStyle name="Normal 144 2" xfId="5853" xr:uid="{00000000-0005-0000-0000-0000A7160000}"/>
    <cellStyle name="Normal 145" xfId="5854" xr:uid="{00000000-0005-0000-0000-0000A8160000}"/>
    <cellStyle name="Normal 145 2" xfId="5855" xr:uid="{00000000-0005-0000-0000-0000A9160000}"/>
    <cellStyle name="Normal 146" xfId="5856" xr:uid="{00000000-0005-0000-0000-0000AA160000}"/>
    <cellStyle name="Normal 146 2" xfId="5857" xr:uid="{00000000-0005-0000-0000-0000AB160000}"/>
    <cellStyle name="Normal 147" xfId="5858" xr:uid="{00000000-0005-0000-0000-0000AC160000}"/>
    <cellStyle name="Normal 147 2" xfId="5859" xr:uid="{00000000-0005-0000-0000-0000AD160000}"/>
    <cellStyle name="Normal 148" xfId="5860" xr:uid="{00000000-0005-0000-0000-0000AE160000}"/>
    <cellStyle name="Normal 148 2" xfId="5861" xr:uid="{00000000-0005-0000-0000-0000AF160000}"/>
    <cellStyle name="Normal 149" xfId="5862" xr:uid="{00000000-0005-0000-0000-0000B0160000}"/>
    <cellStyle name="Normal 149 2" xfId="5863" xr:uid="{00000000-0005-0000-0000-0000B1160000}"/>
    <cellStyle name="Normal 15" xfId="18" xr:uid="{00000000-0005-0000-0000-0000B2160000}"/>
    <cellStyle name="Normal 15 10" xfId="5864" xr:uid="{00000000-0005-0000-0000-0000B3160000}"/>
    <cellStyle name="Normal 15 11" xfId="5865" xr:uid="{00000000-0005-0000-0000-0000B4160000}"/>
    <cellStyle name="Normal 15 12" xfId="5866" xr:uid="{00000000-0005-0000-0000-0000B5160000}"/>
    <cellStyle name="Normal 15 13" xfId="5867" xr:uid="{00000000-0005-0000-0000-0000B6160000}"/>
    <cellStyle name="Normal 15 14" xfId="5868" xr:uid="{00000000-0005-0000-0000-0000B7160000}"/>
    <cellStyle name="Normal 15 15" xfId="5869" xr:uid="{00000000-0005-0000-0000-0000B8160000}"/>
    <cellStyle name="Normal 15 16" xfId="5870" xr:uid="{00000000-0005-0000-0000-0000B9160000}"/>
    <cellStyle name="Normal 15 17" xfId="5871" xr:uid="{00000000-0005-0000-0000-0000BA160000}"/>
    <cellStyle name="Normal 15 18" xfId="5872" xr:uid="{00000000-0005-0000-0000-0000BB160000}"/>
    <cellStyle name="Normal 15 19" xfId="5873" xr:uid="{00000000-0005-0000-0000-0000BC160000}"/>
    <cellStyle name="Normal 15 2" xfId="5874" xr:uid="{00000000-0005-0000-0000-0000BD160000}"/>
    <cellStyle name="Normal 15 2 2" xfId="5875" xr:uid="{00000000-0005-0000-0000-0000BE160000}"/>
    <cellStyle name="Normal 15 2 3" xfId="5876" xr:uid="{00000000-0005-0000-0000-0000BF160000}"/>
    <cellStyle name="Normal 15 20" xfId="5877" xr:uid="{00000000-0005-0000-0000-0000C0160000}"/>
    <cellStyle name="Normal 15 21" xfId="5878" xr:uid="{00000000-0005-0000-0000-0000C1160000}"/>
    <cellStyle name="Normal 15 22" xfId="5879" xr:uid="{00000000-0005-0000-0000-0000C2160000}"/>
    <cellStyle name="Normal 15 23" xfId="5880" xr:uid="{00000000-0005-0000-0000-0000C3160000}"/>
    <cellStyle name="Normal 15 24" xfId="5881" xr:uid="{00000000-0005-0000-0000-0000C4160000}"/>
    <cellStyle name="Normal 15 25" xfId="5882" xr:uid="{00000000-0005-0000-0000-0000C5160000}"/>
    <cellStyle name="Normal 15 3" xfId="5883" xr:uid="{00000000-0005-0000-0000-0000C6160000}"/>
    <cellStyle name="Normal 15 3 2" xfId="5884" xr:uid="{00000000-0005-0000-0000-0000C7160000}"/>
    <cellStyle name="Normal 15 3 3" xfId="5885" xr:uid="{00000000-0005-0000-0000-0000C8160000}"/>
    <cellStyle name="Normal 15 4" xfId="5886" xr:uid="{00000000-0005-0000-0000-0000C9160000}"/>
    <cellStyle name="Normal 15 5" xfId="5887" xr:uid="{00000000-0005-0000-0000-0000CA160000}"/>
    <cellStyle name="Normal 15 6" xfId="5888" xr:uid="{00000000-0005-0000-0000-0000CB160000}"/>
    <cellStyle name="Normal 15 7" xfId="5889" xr:uid="{00000000-0005-0000-0000-0000CC160000}"/>
    <cellStyle name="Normal 15 8" xfId="5890" xr:uid="{00000000-0005-0000-0000-0000CD160000}"/>
    <cellStyle name="Normal 15 9" xfId="5891" xr:uid="{00000000-0005-0000-0000-0000CE160000}"/>
    <cellStyle name="Normal 150" xfId="5892" xr:uid="{00000000-0005-0000-0000-0000CF160000}"/>
    <cellStyle name="Normal 150 2" xfId="5893" xr:uid="{00000000-0005-0000-0000-0000D0160000}"/>
    <cellStyle name="Normal 151" xfId="5894" xr:uid="{00000000-0005-0000-0000-0000D1160000}"/>
    <cellStyle name="Normal 151 2" xfId="5895" xr:uid="{00000000-0005-0000-0000-0000D2160000}"/>
    <cellStyle name="Normal 152" xfId="5896" xr:uid="{00000000-0005-0000-0000-0000D3160000}"/>
    <cellStyle name="Normal 152 2" xfId="5897" xr:uid="{00000000-0005-0000-0000-0000D4160000}"/>
    <cellStyle name="Normal 153" xfId="5898" xr:uid="{00000000-0005-0000-0000-0000D5160000}"/>
    <cellStyle name="Normal 153 2" xfId="5899" xr:uid="{00000000-0005-0000-0000-0000D6160000}"/>
    <cellStyle name="Normal 154" xfId="5900" xr:uid="{00000000-0005-0000-0000-0000D7160000}"/>
    <cellStyle name="Normal 154 2" xfId="5901" xr:uid="{00000000-0005-0000-0000-0000D8160000}"/>
    <cellStyle name="Normal 155" xfId="5902" xr:uid="{00000000-0005-0000-0000-0000D9160000}"/>
    <cellStyle name="Normal 155 2" xfId="5903" xr:uid="{00000000-0005-0000-0000-0000DA160000}"/>
    <cellStyle name="Normal 156" xfId="5904" xr:uid="{00000000-0005-0000-0000-0000DB160000}"/>
    <cellStyle name="Normal 156 2" xfId="5905" xr:uid="{00000000-0005-0000-0000-0000DC160000}"/>
    <cellStyle name="Normal 157" xfId="5906" xr:uid="{00000000-0005-0000-0000-0000DD160000}"/>
    <cellStyle name="Normal 157 2" xfId="5907" xr:uid="{00000000-0005-0000-0000-0000DE160000}"/>
    <cellStyle name="Normal 158" xfId="5908" xr:uid="{00000000-0005-0000-0000-0000DF160000}"/>
    <cellStyle name="Normal 158 2" xfId="5909" xr:uid="{00000000-0005-0000-0000-0000E0160000}"/>
    <cellStyle name="Normal 159" xfId="5910" xr:uid="{00000000-0005-0000-0000-0000E1160000}"/>
    <cellStyle name="Normal 159 2" xfId="5911" xr:uid="{00000000-0005-0000-0000-0000E2160000}"/>
    <cellStyle name="Normal 16" xfId="5912" xr:uid="{00000000-0005-0000-0000-0000E3160000}"/>
    <cellStyle name="Normal 16 10" xfId="5913" xr:uid="{00000000-0005-0000-0000-0000E4160000}"/>
    <cellStyle name="Normal 16 11" xfId="5914" xr:uid="{00000000-0005-0000-0000-0000E5160000}"/>
    <cellStyle name="Normal 16 12" xfId="5915" xr:uid="{00000000-0005-0000-0000-0000E6160000}"/>
    <cellStyle name="Normal 16 13" xfId="5916" xr:uid="{00000000-0005-0000-0000-0000E7160000}"/>
    <cellStyle name="Normal 16 14" xfId="5917" xr:uid="{00000000-0005-0000-0000-0000E8160000}"/>
    <cellStyle name="Normal 16 15" xfId="5918" xr:uid="{00000000-0005-0000-0000-0000E9160000}"/>
    <cellStyle name="Normal 16 16" xfId="5919" xr:uid="{00000000-0005-0000-0000-0000EA160000}"/>
    <cellStyle name="Normal 16 17" xfId="5920" xr:uid="{00000000-0005-0000-0000-0000EB160000}"/>
    <cellStyle name="Normal 16 18" xfId="5921" xr:uid="{00000000-0005-0000-0000-0000EC160000}"/>
    <cellStyle name="Normal 16 19" xfId="5922" xr:uid="{00000000-0005-0000-0000-0000ED160000}"/>
    <cellStyle name="Normal 16 2" xfId="5923" xr:uid="{00000000-0005-0000-0000-0000EE160000}"/>
    <cellStyle name="Normal 16 2 2" xfId="5924" xr:uid="{00000000-0005-0000-0000-0000EF160000}"/>
    <cellStyle name="Normal 16 2 3" xfId="5925" xr:uid="{00000000-0005-0000-0000-0000F0160000}"/>
    <cellStyle name="Normal 16 20" xfId="5926" xr:uid="{00000000-0005-0000-0000-0000F1160000}"/>
    <cellStyle name="Normal 16 21" xfId="5927" xr:uid="{00000000-0005-0000-0000-0000F2160000}"/>
    <cellStyle name="Normal 16 22" xfId="5928" xr:uid="{00000000-0005-0000-0000-0000F3160000}"/>
    <cellStyle name="Normal 16 23" xfId="5929" xr:uid="{00000000-0005-0000-0000-0000F4160000}"/>
    <cellStyle name="Normal 16 24" xfId="5930" xr:uid="{00000000-0005-0000-0000-0000F5160000}"/>
    <cellStyle name="Normal 16 25" xfId="5931" xr:uid="{00000000-0005-0000-0000-0000F6160000}"/>
    <cellStyle name="Normal 16 26" xfId="5932" xr:uid="{00000000-0005-0000-0000-0000F7160000}"/>
    <cellStyle name="Normal 16 3" xfId="5933" xr:uid="{00000000-0005-0000-0000-0000F8160000}"/>
    <cellStyle name="Normal 16 3 2" xfId="5934" xr:uid="{00000000-0005-0000-0000-0000F9160000}"/>
    <cellStyle name="Normal 16 3 3" xfId="5935" xr:uid="{00000000-0005-0000-0000-0000FA160000}"/>
    <cellStyle name="Normal 16 4" xfId="5936" xr:uid="{00000000-0005-0000-0000-0000FB160000}"/>
    <cellStyle name="Normal 16 5" xfId="5937" xr:uid="{00000000-0005-0000-0000-0000FC160000}"/>
    <cellStyle name="Normal 16 6" xfId="5938" xr:uid="{00000000-0005-0000-0000-0000FD160000}"/>
    <cellStyle name="Normal 16 7" xfId="5939" xr:uid="{00000000-0005-0000-0000-0000FE160000}"/>
    <cellStyle name="Normal 16 8" xfId="5940" xr:uid="{00000000-0005-0000-0000-0000FF160000}"/>
    <cellStyle name="Normal 16 9" xfId="5941" xr:uid="{00000000-0005-0000-0000-000000170000}"/>
    <cellStyle name="Normal 160" xfId="5942" xr:uid="{00000000-0005-0000-0000-000001170000}"/>
    <cellStyle name="Normal 160 2" xfId="5943" xr:uid="{00000000-0005-0000-0000-000002170000}"/>
    <cellStyle name="Normal 161" xfId="5944" xr:uid="{00000000-0005-0000-0000-000003170000}"/>
    <cellStyle name="Normal 161 2" xfId="5945" xr:uid="{00000000-0005-0000-0000-000004170000}"/>
    <cellStyle name="Normal 162" xfId="5946" xr:uid="{00000000-0005-0000-0000-000005170000}"/>
    <cellStyle name="Normal 162 2" xfId="5947" xr:uid="{00000000-0005-0000-0000-000006170000}"/>
    <cellStyle name="Normal 163" xfId="5948" xr:uid="{00000000-0005-0000-0000-000007170000}"/>
    <cellStyle name="Normal 163 2" xfId="5949" xr:uid="{00000000-0005-0000-0000-000008170000}"/>
    <cellStyle name="Normal 164" xfId="5950" xr:uid="{00000000-0005-0000-0000-000009170000}"/>
    <cellStyle name="Normal 164 2" xfId="5951" xr:uid="{00000000-0005-0000-0000-00000A170000}"/>
    <cellStyle name="Normal 165" xfId="5952" xr:uid="{00000000-0005-0000-0000-00000B170000}"/>
    <cellStyle name="Normal 165 2" xfId="5953" xr:uid="{00000000-0005-0000-0000-00000C170000}"/>
    <cellStyle name="Normal 166" xfId="5954" xr:uid="{00000000-0005-0000-0000-00000D170000}"/>
    <cellStyle name="Normal 166 2" xfId="5955" xr:uid="{00000000-0005-0000-0000-00000E170000}"/>
    <cellStyle name="Normal 167" xfId="5956" xr:uid="{00000000-0005-0000-0000-00000F170000}"/>
    <cellStyle name="Normal 167 2" xfId="5957" xr:uid="{00000000-0005-0000-0000-000010170000}"/>
    <cellStyle name="Normal 168" xfId="5958" xr:uid="{00000000-0005-0000-0000-000011170000}"/>
    <cellStyle name="Normal 168 2" xfId="5959" xr:uid="{00000000-0005-0000-0000-000012170000}"/>
    <cellStyle name="Normal 169" xfId="5960" xr:uid="{00000000-0005-0000-0000-000013170000}"/>
    <cellStyle name="Normal 169 2" xfId="5961" xr:uid="{00000000-0005-0000-0000-000014170000}"/>
    <cellStyle name="Normal 17" xfId="19" xr:uid="{00000000-0005-0000-0000-000015170000}"/>
    <cellStyle name="Normal 17 10" xfId="5963" xr:uid="{00000000-0005-0000-0000-000016170000}"/>
    <cellStyle name="Normal 17 11" xfId="5964" xr:uid="{00000000-0005-0000-0000-000017170000}"/>
    <cellStyle name="Normal 17 12" xfId="5965" xr:uid="{00000000-0005-0000-0000-000018170000}"/>
    <cellStyle name="Normal 17 13" xfId="5966" xr:uid="{00000000-0005-0000-0000-000019170000}"/>
    <cellStyle name="Normal 17 14" xfId="5967" xr:uid="{00000000-0005-0000-0000-00001A170000}"/>
    <cellStyle name="Normal 17 15" xfId="5968" xr:uid="{00000000-0005-0000-0000-00001B170000}"/>
    <cellStyle name="Normal 17 16" xfId="5969" xr:uid="{00000000-0005-0000-0000-00001C170000}"/>
    <cellStyle name="Normal 17 17" xfId="5970" xr:uid="{00000000-0005-0000-0000-00001D170000}"/>
    <cellStyle name="Normal 17 18" xfId="5971" xr:uid="{00000000-0005-0000-0000-00001E170000}"/>
    <cellStyle name="Normal 17 19" xfId="5972" xr:uid="{00000000-0005-0000-0000-00001F170000}"/>
    <cellStyle name="Normal 17 2" xfId="5973" xr:uid="{00000000-0005-0000-0000-000020170000}"/>
    <cellStyle name="Normal 17 2 2" xfId="5974" xr:uid="{00000000-0005-0000-0000-000021170000}"/>
    <cellStyle name="Normal 17 2 3" xfId="5975" xr:uid="{00000000-0005-0000-0000-000022170000}"/>
    <cellStyle name="Normal 17 20" xfId="5976" xr:uid="{00000000-0005-0000-0000-000023170000}"/>
    <cellStyle name="Normal 17 21" xfId="5977" xr:uid="{00000000-0005-0000-0000-000024170000}"/>
    <cellStyle name="Normal 17 22" xfId="5978" xr:uid="{00000000-0005-0000-0000-000025170000}"/>
    <cellStyle name="Normal 17 23" xfId="5979" xr:uid="{00000000-0005-0000-0000-000026170000}"/>
    <cellStyle name="Normal 17 24" xfId="5980" xr:uid="{00000000-0005-0000-0000-000027170000}"/>
    <cellStyle name="Normal 17 25" xfId="5981" xr:uid="{00000000-0005-0000-0000-000028170000}"/>
    <cellStyle name="Normal 17 26" xfId="5982" xr:uid="{00000000-0005-0000-0000-000029170000}"/>
    <cellStyle name="Normal 17 27" xfId="5983" xr:uid="{00000000-0005-0000-0000-00002A170000}"/>
    <cellStyle name="Normal 17 28" xfId="5984" xr:uid="{00000000-0005-0000-0000-00002B170000}"/>
    <cellStyle name="Normal 17 29" xfId="5985" xr:uid="{00000000-0005-0000-0000-00002C170000}"/>
    <cellStyle name="Normal 17 3" xfId="5986" xr:uid="{00000000-0005-0000-0000-00002D170000}"/>
    <cellStyle name="Normal 17 3 2" xfId="5987" xr:uid="{00000000-0005-0000-0000-00002E170000}"/>
    <cellStyle name="Normal 17 3 3" xfId="5988" xr:uid="{00000000-0005-0000-0000-00002F170000}"/>
    <cellStyle name="Normal 17 3 4" xfId="5989" xr:uid="{00000000-0005-0000-0000-000030170000}"/>
    <cellStyle name="Normal 17 3 5" xfId="5990" xr:uid="{00000000-0005-0000-0000-000031170000}"/>
    <cellStyle name="Normal 17 30" xfId="5962" xr:uid="{00000000-0005-0000-0000-000032170000}"/>
    <cellStyle name="Normal 17 4" xfId="5991" xr:uid="{00000000-0005-0000-0000-000033170000}"/>
    <cellStyle name="Normal 17 5" xfId="5992" xr:uid="{00000000-0005-0000-0000-000034170000}"/>
    <cellStyle name="Normal 17 6" xfId="5993" xr:uid="{00000000-0005-0000-0000-000035170000}"/>
    <cellStyle name="Normal 17 7" xfId="5994" xr:uid="{00000000-0005-0000-0000-000036170000}"/>
    <cellStyle name="Normal 17 8" xfId="5995" xr:uid="{00000000-0005-0000-0000-000037170000}"/>
    <cellStyle name="Normal 17 9" xfId="5996" xr:uid="{00000000-0005-0000-0000-000038170000}"/>
    <cellStyle name="Normal 170" xfId="5997" xr:uid="{00000000-0005-0000-0000-000039170000}"/>
    <cellStyle name="Normal 171" xfId="5998" xr:uid="{00000000-0005-0000-0000-00003A170000}"/>
    <cellStyle name="Normal 172" xfId="69" xr:uid="{00000000-0005-0000-0000-00003B170000}"/>
    <cellStyle name="Normal 172 2" xfId="39188" xr:uid="{00000000-0005-0000-0000-00003C170000}"/>
    <cellStyle name="Normal 173" xfId="81" xr:uid="{00000000-0005-0000-0000-00003D170000}"/>
    <cellStyle name="Normal 174" xfId="5999" xr:uid="{00000000-0005-0000-0000-00003E170000}"/>
    <cellStyle name="Normal 175" xfId="6000" xr:uid="{00000000-0005-0000-0000-00003F170000}"/>
    <cellStyle name="Normal 176" xfId="6001" xr:uid="{00000000-0005-0000-0000-000040170000}"/>
    <cellStyle name="Normal 177" xfId="39209" xr:uid="{863E2430-35F2-4A7A-A69B-88494B9BBC7F}"/>
    <cellStyle name="Normal 178" xfId="39210" xr:uid="{765E4576-B5C1-484F-9BFE-07A2379C846E}"/>
    <cellStyle name="Normal 179" xfId="39211" xr:uid="{1907FC12-0E0A-4312-9A24-BD28EAB47C71}"/>
    <cellStyle name="Normal 18" xfId="6002" xr:uid="{00000000-0005-0000-0000-000041170000}"/>
    <cellStyle name="Normal 18 10" xfId="6003" xr:uid="{00000000-0005-0000-0000-000042170000}"/>
    <cellStyle name="Normal 18 11" xfId="6004" xr:uid="{00000000-0005-0000-0000-000043170000}"/>
    <cellStyle name="Normal 18 12" xfId="6005" xr:uid="{00000000-0005-0000-0000-000044170000}"/>
    <cellStyle name="Normal 18 13" xfId="6006" xr:uid="{00000000-0005-0000-0000-000045170000}"/>
    <cellStyle name="Normal 18 14" xfId="6007" xr:uid="{00000000-0005-0000-0000-000046170000}"/>
    <cellStyle name="Normal 18 15" xfId="6008" xr:uid="{00000000-0005-0000-0000-000047170000}"/>
    <cellStyle name="Normal 18 16" xfId="6009" xr:uid="{00000000-0005-0000-0000-000048170000}"/>
    <cellStyle name="Normal 18 17" xfId="6010" xr:uid="{00000000-0005-0000-0000-000049170000}"/>
    <cellStyle name="Normal 18 18" xfId="6011" xr:uid="{00000000-0005-0000-0000-00004A170000}"/>
    <cellStyle name="Normal 18 19" xfId="6012" xr:uid="{00000000-0005-0000-0000-00004B170000}"/>
    <cellStyle name="Normal 18 2" xfId="6013" xr:uid="{00000000-0005-0000-0000-00004C170000}"/>
    <cellStyle name="Normal 18 2 2" xfId="6014" xr:uid="{00000000-0005-0000-0000-00004D170000}"/>
    <cellStyle name="Normal 18 2 3" xfId="6015" xr:uid="{00000000-0005-0000-0000-00004E170000}"/>
    <cellStyle name="Normal 18 20" xfId="6016" xr:uid="{00000000-0005-0000-0000-00004F170000}"/>
    <cellStyle name="Normal 18 21" xfId="6017" xr:uid="{00000000-0005-0000-0000-000050170000}"/>
    <cellStyle name="Normal 18 22" xfId="6018" xr:uid="{00000000-0005-0000-0000-000051170000}"/>
    <cellStyle name="Normal 18 23" xfId="6019" xr:uid="{00000000-0005-0000-0000-000052170000}"/>
    <cellStyle name="Normal 18 24" xfId="6020" xr:uid="{00000000-0005-0000-0000-000053170000}"/>
    <cellStyle name="Normal 18 25" xfId="6021" xr:uid="{00000000-0005-0000-0000-000054170000}"/>
    <cellStyle name="Normal 18 3" xfId="6022" xr:uid="{00000000-0005-0000-0000-000055170000}"/>
    <cellStyle name="Normal 18 3 2" xfId="6023" xr:uid="{00000000-0005-0000-0000-000056170000}"/>
    <cellStyle name="Normal 18 3 3" xfId="6024" xr:uid="{00000000-0005-0000-0000-000057170000}"/>
    <cellStyle name="Normal 18 3 4" xfId="6025" xr:uid="{00000000-0005-0000-0000-000058170000}"/>
    <cellStyle name="Normal 18 3 5" xfId="6026" xr:uid="{00000000-0005-0000-0000-000059170000}"/>
    <cellStyle name="Normal 18 4" xfId="6027" xr:uid="{00000000-0005-0000-0000-00005A170000}"/>
    <cellStyle name="Normal 18 5" xfId="6028" xr:uid="{00000000-0005-0000-0000-00005B170000}"/>
    <cellStyle name="Normal 18 6" xfId="6029" xr:uid="{00000000-0005-0000-0000-00005C170000}"/>
    <cellStyle name="Normal 18 7" xfId="6030" xr:uid="{00000000-0005-0000-0000-00005D170000}"/>
    <cellStyle name="Normal 18 8" xfId="6031" xr:uid="{00000000-0005-0000-0000-00005E170000}"/>
    <cellStyle name="Normal 18 9" xfId="6032" xr:uid="{00000000-0005-0000-0000-00005F170000}"/>
    <cellStyle name="Normal 180" xfId="39212" xr:uid="{4AB87A41-B7A7-4AC1-A194-D14BFBD4D033}"/>
    <cellStyle name="Normal 181" xfId="39213" xr:uid="{76849C3A-2503-42FC-A5FA-0E2D52B85C03}"/>
    <cellStyle name="Normal 182" xfId="39214" xr:uid="{97D7DF95-1382-4C44-A030-C0EFB469B8C8}"/>
    <cellStyle name="Normal 183" xfId="39215" xr:uid="{F975256D-BCA1-4D30-BE26-47E6C8D696F2}"/>
    <cellStyle name="Normal 184" xfId="39216" xr:uid="{6173132F-6954-4B41-A115-DDE1A6892BF9}"/>
    <cellStyle name="Normal 185" xfId="39217" xr:uid="{F1C93F53-2F6E-4847-B175-104196EF8B49}"/>
    <cellStyle name="Normal 186" xfId="39218" xr:uid="{4BB4B454-CF2E-4706-B5D1-0E97233C5082}"/>
    <cellStyle name="Normal 187" xfId="39219" xr:uid="{D563389A-3F7F-404A-98F2-65013BE0E11A}"/>
    <cellStyle name="Normal 188" xfId="39220" xr:uid="{331BFD2B-A875-4C6A-B4F4-2161FD65154A}"/>
    <cellStyle name="Normal 189" xfId="39221" xr:uid="{1D6E10DC-908C-4645-9A4F-CE0BCBBB64E2}"/>
    <cellStyle name="Normal 19" xfId="6033" xr:uid="{00000000-0005-0000-0000-000060170000}"/>
    <cellStyle name="Normal 19 10" xfId="6034" xr:uid="{00000000-0005-0000-0000-000061170000}"/>
    <cellStyle name="Normal 19 11" xfId="6035" xr:uid="{00000000-0005-0000-0000-000062170000}"/>
    <cellStyle name="Normal 19 12" xfId="6036" xr:uid="{00000000-0005-0000-0000-000063170000}"/>
    <cellStyle name="Normal 19 13" xfId="6037" xr:uid="{00000000-0005-0000-0000-000064170000}"/>
    <cellStyle name="Normal 19 14" xfId="6038" xr:uid="{00000000-0005-0000-0000-000065170000}"/>
    <cellStyle name="Normal 19 15" xfId="6039" xr:uid="{00000000-0005-0000-0000-000066170000}"/>
    <cellStyle name="Normal 19 16" xfId="6040" xr:uid="{00000000-0005-0000-0000-000067170000}"/>
    <cellStyle name="Normal 19 17" xfId="6041" xr:uid="{00000000-0005-0000-0000-000068170000}"/>
    <cellStyle name="Normal 19 18" xfId="6042" xr:uid="{00000000-0005-0000-0000-000069170000}"/>
    <cellStyle name="Normal 19 19" xfId="6043" xr:uid="{00000000-0005-0000-0000-00006A170000}"/>
    <cellStyle name="Normal 19 2" xfId="6044" xr:uid="{00000000-0005-0000-0000-00006B170000}"/>
    <cellStyle name="Normal 19 2 2" xfId="6045" xr:uid="{00000000-0005-0000-0000-00006C170000}"/>
    <cellStyle name="Normal 19 2 3" xfId="6046" xr:uid="{00000000-0005-0000-0000-00006D170000}"/>
    <cellStyle name="Normal 19 20" xfId="6047" xr:uid="{00000000-0005-0000-0000-00006E170000}"/>
    <cellStyle name="Normal 19 21" xfId="6048" xr:uid="{00000000-0005-0000-0000-00006F170000}"/>
    <cellStyle name="Normal 19 22" xfId="6049" xr:uid="{00000000-0005-0000-0000-000070170000}"/>
    <cellStyle name="Normal 19 23" xfId="6050" xr:uid="{00000000-0005-0000-0000-000071170000}"/>
    <cellStyle name="Normal 19 24" xfId="6051" xr:uid="{00000000-0005-0000-0000-000072170000}"/>
    <cellStyle name="Normal 19 25" xfId="6052" xr:uid="{00000000-0005-0000-0000-000073170000}"/>
    <cellStyle name="Normal 19 3" xfId="6053" xr:uid="{00000000-0005-0000-0000-000074170000}"/>
    <cellStyle name="Normal 19 3 2" xfId="6054" xr:uid="{00000000-0005-0000-0000-000075170000}"/>
    <cellStyle name="Normal 19 3 3" xfId="6055" xr:uid="{00000000-0005-0000-0000-000076170000}"/>
    <cellStyle name="Normal 19 3 4" xfId="6056" xr:uid="{00000000-0005-0000-0000-000077170000}"/>
    <cellStyle name="Normal 19 3 5" xfId="6057" xr:uid="{00000000-0005-0000-0000-000078170000}"/>
    <cellStyle name="Normal 19 4" xfId="6058" xr:uid="{00000000-0005-0000-0000-000079170000}"/>
    <cellStyle name="Normal 19 5" xfId="6059" xr:uid="{00000000-0005-0000-0000-00007A170000}"/>
    <cellStyle name="Normal 19 6" xfId="6060" xr:uid="{00000000-0005-0000-0000-00007B170000}"/>
    <cellStyle name="Normal 19 7" xfId="6061" xr:uid="{00000000-0005-0000-0000-00007C170000}"/>
    <cellStyle name="Normal 19 8" xfId="6062" xr:uid="{00000000-0005-0000-0000-00007D170000}"/>
    <cellStyle name="Normal 19 9" xfId="6063" xr:uid="{00000000-0005-0000-0000-00007E170000}"/>
    <cellStyle name="Normal 190" xfId="39222" xr:uid="{2C496D13-EC99-4267-A157-98CA1BFEE4B7}"/>
    <cellStyle name="Normal 191" xfId="39223" xr:uid="{96244954-9739-4E8B-80D8-92960EBCD641}"/>
    <cellStyle name="Normal 192" xfId="39224" xr:uid="{B4BDB30D-C35E-4548-9E97-479762C70C8E}"/>
    <cellStyle name="Normal 193" xfId="39225" xr:uid="{A2EE7842-B040-4248-81DC-B54EC58E2D09}"/>
    <cellStyle name="Normal 194" xfId="39226" xr:uid="{6F9F307F-5595-4F8F-B70A-C8C8822C2766}"/>
    <cellStyle name="Normal 195" xfId="39227" xr:uid="{372266A6-36F8-40EA-A392-2AB63C0B640E}"/>
    <cellStyle name="Normal 196" xfId="39228" xr:uid="{509BD7B5-BD65-46D6-84FD-277BE8AC6670}"/>
    <cellStyle name="Normal 197" xfId="39229" xr:uid="{7C89211D-F15B-4E66-B2D3-530E26BC1DB8}"/>
    <cellStyle name="Normal 198" xfId="39230" xr:uid="{49E7C0EE-E402-435D-B452-21A6CF823CF3}"/>
    <cellStyle name="Normal 199" xfId="39231" xr:uid="{B22934AC-A265-43C0-849A-52C6EA5B3538}"/>
    <cellStyle name="Normal 2" xfId="4" xr:uid="{00000000-0005-0000-0000-00007F170000}"/>
    <cellStyle name="Normal 2 10" xfId="14" xr:uid="{00000000-0005-0000-0000-000080170000}"/>
    <cellStyle name="Normal 2 10 10" xfId="6064" xr:uid="{00000000-0005-0000-0000-000081170000}"/>
    <cellStyle name="Normal 2 10 2" xfId="71" xr:uid="{00000000-0005-0000-0000-000082170000}"/>
    <cellStyle name="Normal 2 10 3" xfId="6065" xr:uid="{00000000-0005-0000-0000-000083170000}"/>
    <cellStyle name="Normal 2 10 4" xfId="6066" xr:uid="{00000000-0005-0000-0000-000084170000}"/>
    <cellStyle name="Normal 2 10_Enlaces" xfId="6067" xr:uid="{00000000-0005-0000-0000-000085170000}"/>
    <cellStyle name="Normal 2 100" xfId="6068" xr:uid="{00000000-0005-0000-0000-000086170000}"/>
    <cellStyle name="Normal 2 100 2" xfId="6069" xr:uid="{00000000-0005-0000-0000-000087170000}"/>
    <cellStyle name="Normal 2 101" xfId="6070" xr:uid="{00000000-0005-0000-0000-000088170000}"/>
    <cellStyle name="Normal 2 101 2" xfId="6071" xr:uid="{00000000-0005-0000-0000-000089170000}"/>
    <cellStyle name="Normal 2 102" xfId="6072" xr:uid="{00000000-0005-0000-0000-00008A170000}"/>
    <cellStyle name="Normal 2 102 2" xfId="6073" xr:uid="{00000000-0005-0000-0000-00008B170000}"/>
    <cellStyle name="Normal 2 103" xfId="6074" xr:uid="{00000000-0005-0000-0000-00008C170000}"/>
    <cellStyle name="Normal 2 103 2" xfId="6075" xr:uid="{00000000-0005-0000-0000-00008D170000}"/>
    <cellStyle name="Normal 2 104" xfId="6076" xr:uid="{00000000-0005-0000-0000-00008E170000}"/>
    <cellStyle name="Normal 2 104 2" xfId="6077" xr:uid="{00000000-0005-0000-0000-00008F170000}"/>
    <cellStyle name="Normal 2 105" xfId="6078" xr:uid="{00000000-0005-0000-0000-000090170000}"/>
    <cellStyle name="Normal 2 106" xfId="6079" xr:uid="{00000000-0005-0000-0000-000091170000}"/>
    <cellStyle name="Normal 2 107" xfId="6080" xr:uid="{00000000-0005-0000-0000-000092170000}"/>
    <cellStyle name="Normal 2 108" xfId="6081" xr:uid="{00000000-0005-0000-0000-000093170000}"/>
    <cellStyle name="Normal 2 109" xfId="6082" xr:uid="{00000000-0005-0000-0000-000094170000}"/>
    <cellStyle name="Normal 2 11" xfId="6083" xr:uid="{00000000-0005-0000-0000-000095170000}"/>
    <cellStyle name="Normal 2 11 2" xfId="6084" xr:uid="{00000000-0005-0000-0000-000096170000}"/>
    <cellStyle name="Normal 2 11 3" xfId="6085" xr:uid="{00000000-0005-0000-0000-000097170000}"/>
    <cellStyle name="Normal 2 11 4" xfId="6086" xr:uid="{00000000-0005-0000-0000-000098170000}"/>
    <cellStyle name="Normal 2 11 5" xfId="6087" xr:uid="{00000000-0005-0000-0000-000099170000}"/>
    <cellStyle name="Normal 2 110" xfId="6088" xr:uid="{00000000-0005-0000-0000-00009A170000}"/>
    <cellStyle name="Normal 2 111" xfId="6089" xr:uid="{00000000-0005-0000-0000-00009B170000}"/>
    <cellStyle name="Normal 2 112" xfId="6090" xr:uid="{00000000-0005-0000-0000-00009C170000}"/>
    <cellStyle name="Normal 2 113" xfId="6091" xr:uid="{00000000-0005-0000-0000-00009D170000}"/>
    <cellStyle name="Normal 2 114" xfId="6092" xr:uid="{00000000-0005-0000-0000-00009E170000}"/>
    <cellStyle name="Normal 2 115" xfId="6093" xr:uid="{00000000-0005-0000-0000-00009F170000}"/>
    <cellStyle name="Normal 2 116" xfId="6094" xr:uid="{00000000-0005-0000-0000-0000A0170000}"/>
    <cellStyle name="Normal 2 117" xfId="6095" xr:uid="{00000000-0005-0000-0000-0000A1170000}"/>
    <cellStyle name="Normal 2 118" xfId="6096" xr:uid="{00000000-0005-0000-0000-0000A2170000}"/>
    <cellStyle name="Normal 2 119" xfId="6097" xr:uid="{00000000-0005-0000-0000-0000A3170000}"/>
    <cellStyle name="Normal 2 12" xfId="6098" xr:uid="{00000000-0005-0000-0000-0000A4170000}"/>
    <cellStyle name="Normal 2 12 2" xfId="6099" xr:uid="{00000000-0005-0000-0000-0000A5170000}"/>
    <cellStyle name="Normal 2 12 3" xfId="6100" xr:uid="{00000000-0005-0000-0000-0000A6170000}"/>
    <cellStyle name="Normal 2 12 4" xfId="6101" xr:uid="{00000000-0005-0000-0000-0000A7170000}"/>
    <cellStyle name="Normal 2 12 5" xfId="6102" xr:uid="{00000000-0005-0000-0000-0000A8170000}"/>
    <cellStyle name="Normal 2 12 6" xfId="6103" xr:uid="{00000000-0005-0000-0000-0000A9170000}"/>
    <cellStyle name="Normal 2 120" xfId="6104" xr:uid="{00000000-0005-0000-0000-0000AA170000}"/>
    <cellStyle name="Normal 2 121" xfId="6105" xr:uid="{00000000-0005-0000-0000-0000AB170000}"/>
    <cellStyle name="Normal 2 122" xfId="6106" xr:uid="{00000000-0005-0000-0000-0000AC170000}"/>
    <cellStyle name="Normal 2 123" xfId="6107" xr:uid="{00000000-0005-0000-0000-0000AD170000}"/>
    <cellStyle name="Normal 2 124" xfId="6108" xr:uid="{00000000-0005-0000-0000-0000AE170000}"/>
    <cellStyle name="Normal 2 125" xfId="6109" xr:uid="{00000000-0005-0000-0000-0000AF170000}"/>
    <cellStyle name="Normal 2 126" xfId="6110" xr:uid="{00000000-0005-0000-0000-0000B0170000}"/>
    <cellStyle name="Normal 2 127" xfId="6111" xr:uid="{00000000-0005-0000-0000-0000B1170000}"/>
    <cellStyle name="Normal 2 128" xfId="6112" xr:uid="{00000000-0005-0000-0000-0000B2170000}"/>
    <cellStyle name="Normal 2 129" xfId="6113" xr:uid="{00000000-0005-0000-0000-0000B3170000}"/>
    <cellStyle name="Normal 2 13" xfId="6114" xr:uid="{00000000-0005-0000-0000-0000B4170000}"/>
    <cellStyle name="Normal 2 13 2" xfId="6115" xr:uid="{00000000-0005-0000-0000-0000B5170000}"/>
    <cellStyle name="Normal 2 13 3" xfId="6116" xr:uid="{00000000-0005-0000-0000-0000B6170000}"/>
    <cellStyle name="Normal 2 13 4" xfId="6117" xr:uid="{00000000-0005-0000-0000-0000B7170000}"/>
    <cellStyle name="Normal 2 13 5" xfId="6118" xr:uid="{00000000-0005-0000-0000-0000B8170000}"/>
    <cellStyle name="Normal 2 13 6" xfId="6119" xr:uid="{00000000-0005-0000-0000-0000B9170000}"/>
    <cellStyle name="Normal 2 130" xfId="6120" xr:uid="{00000000-0005-0000-0000-0000BA170000}"/>
    <cellStyle name="Normal 2 131" xfId="6121" xr:uid="{00000000-0005-0000-0000-0000BB170000}"/>
    <cellStyle name="Normal 2 132" xfId="6122" xr:uid="{00000000-0005-0000-0000-0000BC170000}"/>
    <cellStyle name="Normal 2 133" xfId="6123" xr:uid="{00000000-0005-0000-0000-0000BD170000}"/>
    <cellStyle name="Normal 2 134" xfId="6124" xr:uid="{00000000-0005-0000-0000-0000BE170000}"/>
    <cellStyle name="Normal 2 135" xfId="6125" xr:uid="{00000000-0005-0000-0000-0000BF170000}"/>
    <cellStyle name="Normal 2 136" xfId="6126" xr:uid="{00000000-0005-0000-0000-0000C0170000}"/>
    <cellStyle name="Normal 2 137" xfId="6127" xr:uid="{00000000-0005-0000-0000-0000C1170000}"/>
    <cellStyle name="Normal 2 138" xfId="6128" xr:uid="{00000000-0005-0000-0000-0000C2170000}"/>
    <cellStyle name="Normal 2 139" xfId="6129" xr:uid="{00000000-0005-0000-0000-0000C3170000}"/>
    <cellStyle name="Normal 2 14" xfId="6130" xr:uid="{00000000-0005-0000-0000-0000C4170000}"/>
    <cellStyle name="Normal 2 14 2" xfId="6131" xr:uid="{00000000-0005-0000-0000-0000C5170000}"/>
    <cellStyle name="Normal 2 14 3" xfId="6132" xr:uid="{00000000-0005-0000-0000-0000C6170000}"/>
    <cellStyle name="Normal 2 14 4" xfId="6133" xr:uid="{00000000-0005-0000-0000-0000C7170000}"/>
    <cellStyle name="Normal 2 14 5" xfId="6134" xr:uid="{00000000-0005-0000-0000-0000C8170000}"/>
    <cellStyle name="Normal 2 140" xfId="6135" xr:uid="{00000000-0005-0000-0000-0000C9170000}"/>
    <cellStyle name="Normal 2 141" xfId="6136" xr:uid="{00000000-0005-0000-0000-0000CA170000}"/>
    <cellStyle name="Normal 2 142" xfId="6137" xr:uid="{00000000-0005-0000-0000-0000CB170000}"/>
    <cellStyle name="Normal 2 143" xfId="6138" xr:uid="{00000000-0005-0000-0000-0000CC170000}"/>
    <cellStyle name="Normal 2 144" xfId="6139" xr:uid="{00000000-0005-0000-0000-0000CD170000}"/>
    <cellStyle name="Normal 2 145" xfId="6140" xr:uid="{00000000-0005-0000-0000-0000CE170000}"/>
    <cellStyle name="Normal 2 146" xfId="6141" xr:uid="{00000000-0005-0000-0000-0000CF170000}"/>
    <cellStyle name="Normal 2 147" xfId="6142" xr:uid="{00000000-0005-0000-0000-0000D0170000}"/>
    <cellStyle name="Normal 2 148" xfId="6143" xr:uid="{00000000-0005-0000-0000-0000D1170000}"/>
    <cellStyle name="Normal 2 149" xfId="6144" xr:uid="{00000000-0005-0000-0000-0000D2170000}"/>
    <cellStyle name="Normal 2 15" xfId="6145" xr:uid="{00000000-0005-0000-0000-0000D3170000}"/>
    <cellStyle name="Normal 2 15 2" xfId="6146" xr:uid="{00000000-0005-0000-0000-0000D4170000}"/>
    <cellStyle name="Normal 2 15 3" xfId="6147" xr:uid="{00000000-0005-0000-0000-0000D5170000}"/>
    <cellStyle name="Normal 2 15 4" xfId="6148" xr:uid="{00000000-0005-0000-0000-0000D6170000}"/>
    <cellStyle name="Normal 2 15 5" xfId="6149" xr:uid="{00000000-0005-0000-0000-0000D7170000}"/>
    <cellStyle name="Normal 2 15 6" xfId="6150" xr:uid="{00000000-0005-0000-0000-0000D8170000}"/>
    <cellStyle name="Normal 2 150" xfId="6151" xr:uid="{00000000-0005-0000-0000-0000D9170000}"/>
    <cellStyle name="Normal 2 151" xfId="6152" xr:uid="{00000000-0005-0000-0000-0000DA170000}"/>
    <cellStyle name="Normal 2 152" xfId="6153" xr:uid="{00000000-0005-0000-0000-0000DB170000}"/>
    <cellStyle name="Normal 2 153" xfId="6154" xr:uid="{00000000-0005-0000-0000-0000DC170000}"/>
    <cellStyle name="Normal 2 154" xfId="6155" xr:uid="{00000000-0005-0000-0000-0000DD170000}"/>
    <cellStyle name="Normal 2 155" xfId="6156" xr:uid="{00000000-0005-0000-0000-0000DE170000}"/>
    <cellStyle name="Normal 2 156" xfId="6157" xr:uid="{00000000-0005-0000-0000-0000DF170000}"/>
    <cellStyle name="Normal 2 157" xfId="6158" xr:uid="{00000000-0005-0000-0000-0000E0170000}"/>
    <cellStyle name="Normal 2 158" xfId="6159" xr:uid="{00000000-0005-0000-0000-0000E1170000}"/>
    <cellStyle name="Normal 2 159" xfId="6160" xr:uid="{00000000-0005-0000-0000-0000E2170000}"/>
    <cellStyle name="Normal 2 16" xfId="6161" xr:uid="{00000000-0005-0000-0000-0000E3170000}"/>
    <cellStyle name="Normal 2 16 2" xfId="6162" xr:uid="{00000000-0005-0000-0000-0000E4170000}"/>
    <cellStyle name="Normal 2 16 3" xfId="6163" xr:uid="{00000000-0005-0000-0000-0000E5170000}"/>
    <cellStyle name="Normal 2 16 4" xfId="6164" xr:uid="{00000000-0005-0000-0000-0000E6170000}"/>
    <cellStyle name="Normal 2 16 5" xfId="6165" xr:uid="{00000000-0005-0000-0000-0000E7170000}"/>
    <cellStyle name="Normal 2 160" xfId="6166" xr:uid="{00000000-0005-0000-0000-0000E8170000}"/>
    <cellStyle name="Normal 2 161" xfId="6167" xr:uid="{00000000-0005-0000-0000-0000E9170000}"/>
    <cellStyle name="Normal 2 162" xfId="6168" xr:uid="{00000000-0005-0000-0000-0000EA170000}"/>
    <cellStyle name="Normal 2 163" xfId="6169" xr:uid="{00000000-0005-0000-0000-0000EB170000}"/>
    <cellStyle name="Normal 2 164" xfId="6170" xr:uid="{00000000-0005-0000-0000-0000EC170000}"/>
    <cellStyle name="Normal 2 165" xfId="6171" xr:uid="{00000000-0005-0000-0000-0000ED170000}"/>
    <cellStyle name="Normal 2 166" xfId="6172" xr:uid="{00000000-0005-0000-0000-0000EE170000}"/>
    <cellStyle name="Normal 2 167" xfId="6173" xr:uid="{00000000-0005-0000-0000-0000EF170000}"/>
    <cellStyle name="Normal 2 168" xfId="6174" xr:uid="{00000000-0005-0000-0000-0000F0170000}"/>
    <cellStyle name="Normal 2 169" xfId="6175" xr:uid="{00000000-0005-0000-0000-0000F1170000}"/>
    <cellStyle name="Normal 2 17" xfId="6176" xr:uid="{00000000-0005-0000-0000-0000F2170000}"/>
    <cellStyle name="Normal 2 17 2" xfId="6177" xr:uid="{00000000-0005-0000-0000-0000F3170000}"/>
    <cellStyle name="Normal 2 17 3" xfId="6178" xr:uid="{00000000-0005-0000-0000-0000F4170000}"/>
    <cellStyle name="Normal 2 17 4" xfId="6179" xr:uid="{00000000-0005-0000-0000-0000F5170000}"/>
    <cellStyle name="Normal 2 17 5" xfId="6180" xr:uid="{00000000-0005-0000-0000-0000F6170000}"/>
    <cellStyle name="Normal 2 170" xfId="6181" xr:uid="{00000000-0005-0000-0000-0000F7170000}"/>
    <cellStyle name="Normal 2 171" xfId="6182" xr:uid="{00000000-0005-0000-0000-0000F8170000}"/>
    <cellStyle name="Normal 2 172" xfId="6183" xr:uid="{00000000-0005-0000-0000-0000F9170000}"/>
    <cellStyle name="Normal 2 173" xfId="6184" xr:uid="{00000000-0005-0000-0000-0000FA170000}"/>
    <cellStyle name="Normal 2 174" xfId="6185" xr:uid="{00000000-0005-0000-0000-0000FB170000}"/>
    <cellStyle name="Normal 2 175" xfId="6186" xr:uid="{00000000-0005-0000-0000-0000FC170000}"/>
    <cellStyle name="Normal 2 176" xfId="6187" xr:uid="{00000000-0005-0000-0000-0000FD170000}"/>
    <cellStyle name="Normal 2 177" xfId="6188" xr:uid="{00000000-0005-0000-0000-0000FE170000}"/>
    <cellStyle name="Normal 2 178" xfId="6189" xr:uid="{00000000-0005-0000-0000-0000FF170000}"/>
    <cellStyle name="Normal 2 179" xfId="6190" xr:uid="{00000000-0005-0000-0000-000000180000}"/>
    <cellStyle name="Normal 2 18" xfId="6191" xr:uid="{00000000-0005-0000-0000-000001180000}"/>
    <cellStyle name="Normal 2 18 2" xfId="6192" xr:uid="{00000000-0005-0000-0000-000002180000}"/>
    <cellStyle name="Normal 2 18 3" xfId="6193" xr:uid="{00000000-0005-0000-0000-000003180000}"/>
    <cellStyle name="Normal 2 18 4" xfId="6194" xr:uid="{00000000-0005-0000-0000-000004180000}"/>
    <cellStyle name="Normal 2 18 5" xfId="6195" xr:uid="{00000000-0005-0000-0000-000005180000}"/>
    <cellStyle name="Normal 2 19" xfId="6196" xr:uid="{00000000-0005-0000-0000-000006180000}"/>
    <cellStyle name="Normal 2 19 2" xfId="6197" xr:uid="{00000000-0005-0000-0000-000007180000}"/>
    <cellStyle name="Normal 2 19 3" xfId="6198" xr:uid="{00000000-0005-0000-0000-000008180000}"/>
    <cellStyle name="Normal 2 19 4" xfId="6199" xr:uid="{00000000-0005-0000-0000-000009180000}"/>
    <cellStyle name="Normal 2 19 5" xfId="6200" xr:uid="{00000000-0005-0000-0000-00000A180000}"/>
    <cellStyle name="Normal 2 2" xfId="8" xr:uid="{00000000-0005-0000-0000-00000B180000}"/>
    <cellStyle name="Normal 2 2 10" xfId="6202" xr:uid="{00000000-0005-0000-0000-00000C180000}"/>
    <cellStyle name="Normal 2 2 10 10" xfId="6203" xr:uid="{00000000-0005-0000-0000-00000D180000}"/>
    <cellStyle name="Normal 2 2 10 10 10" xfId="6204" xr:uid="{00000000-0005-0000-0000-00000E180000}"/>
    <cellStyle name="Normal 2 2 10 10 11" xfId="6205" xr:uid="{00000000-0005-0000-0000-00000F180000}"/>
    <cellStyle name="Normal 2 2 10 10 12" xfId="6206" xr:uid="{00000000-0005-0000-0000-000010180000}"/>
    <cellStyle name="Normal 2 2 10 10 13" xfId="6207" xr:uid="{00000000-0005-0000-0000-000011180000}"/>
    <cellStyle name="Normal 2 2 10 10 14" xfId="6208" xr:uid="{00000000-0005-0000-0000-000012180000}"/>
    <cellStyle name="Normal 2 2 10 10 2" xfId="6209" xr:uid="{00000000-0005-0000-0000-000013180000}"/>
    <cellStyle name="Normal 2 2 10 10 2 10" xfId="6210" xr:uid="{00000000-0005-0000-0000-000014180000}"/>
    <cellStyle name="Normal 2 2 10 10 2 2" xfId="6211" xr:uid="{00000000-0005-0000-0000-000015180000}"/>
    <cellStyle name="Normal 2 2 10 10 2 3" xfId="6212" xr:uid="{00000000-0005-0000-0000-000016180000}"/>
    <cellStyle name="Normal 2 2 10 10 2 4" xfId="6213" xr:uid="{00000000-0005-0000-0000-000017180000}"/>
    <cellStyle name="Normal 2 2 10 10 2 5" xfId="6214" xr:uid="{00000000-0005-0000-0000-000018180000}"/>
    <cellStyle name="Normal 2 2 10 10 2 6" xfId="6215" xr:uid="{00000000-0005-0000-0000-000019180000}"/>
    <cellStyle name="Normal 2 2 10 10 2 7" xfId="6216" xr:uid="{00000000-0005-0000-0000-00001A180000}"/>
    <cellStyle name="Normal 2 2 10 10 2 8" xfId="6217" xr:uid="{00000000-0005-0000-0000-00001B180000}"/>
    <cellStyle name="Normal 2 2 10 10 2 9" xfId="6218" xr:uid="{00000000-0005-0000-0000-00001C180000}"/>
    <cellStyle name="Normal 2 2 10 10 3" xfId="6219" xr:uid="{00000000-0005-0000-0000-00001D180000}"/>
    <cellStyle name="Normal 2 2 10 10 3 10" xfId="6220" xr:uid="{00000000-0005-0000-0000-00001E180000}"/>
    <cellStyle name="Normal 2 2 10 10 3 2" xfId="6221" xr:uid="{00000000-0005-0000-0000-00001F180000}"/>
    <cellStyle name="Normal 2 2 10 10 3 3" xfId="6222" xr:uid="{00000000-0005-0000-0000-000020180000}"/>
    <cellStyle name="Normal 2 2 10 10 3 4" xfId="6223" xr:uid="{00000000-0005-0000-0000-000021180000}"/>
    <cellStyle name="Normal 2 2 10 10 3 5" xfId="6224" xr:uid="{00000000-0005-0000-0000-000022180000}"/>
    <cellStyle name="Normal 2 2 10 10 3 6" xfId="6225" xr:uid="{00000000-0005-0000-0000-000023180000}"/>
    <cellStyle name="Normal 2 2 10 10 3 7" xfId="6226" xr:uid="{00000000-0005-0000-0000-000024180000}"/>
    <cellStyle name="Normal 2 2 10 10 3 8" xfId="6227" xr:uid="{00000000-0005-0000-0000-000025180000}"/>
    <cellStyle name="Normal 2 2 10 10 3 9" xfId="6228" xr:uid="{00000000-0005-0000-0000-000026180000}"/>
    <cellStyle name="Normal 2 2 10 10 4" xfId="6229" xr:uid="{00000000-0005-0000-0000-000027180000}"/>
    <cellStyle name="Normal 2 2 10 10 4 10" xfId="6230" xr:uid="{00000000-0005-0000-0000-000028180000}"/>
    <cellStyle name="Normal 2 2 10 10 4 2" xfId="6231" xr:uid="{00000000-0005-0000-0000-000029180000}"/>
    <cellStyle name="Normal 2 2 10 10 4 3" xfId="6232" xr:uid="{00000000-0005-0000-0000-00002A180000}"/>
    <cellStyle name="Normal 2 2 10 10 4 4" xfId="6233" xr:uid="{00000000-0005-0000-0000-00002B180000}"/>
    <cellStyle name="Normal 2 2 10 10 4 5" xfId="6234" xr:uid="{00000000-0005-0000-0000-00002C180000}"/>
    <cellStyle name="Normal 2 2 10 10 4 6" xfId="6235" xr:uid="{00000000-0005-0000-0000-00002D180000}"/>
    <cellStyle name="Normal 2 2 10 10 4 7" xfId="6236" xr:uid="{00000000-0005-0000-0000-00002E180000}"/>
    <cellStyle name="Normal 2 2 10 10 4 8" xfId="6237" xr:uid="{00000000-0005-0000-0000-00002F180000}"/>
    <cellStyle name="Normal 2 2 10 10 4 9" xfId="6238" xr:uid="{00000000-0005-0000-0000-000030180000}"/>
    <cellStyle name="Normal 2 2 10 10 5" xfId="6239" xr:uid="{00000000-0005-0000-0000-000031180000}"/>
    <cellStyle name="Normal 2 2 10 10 5 10" xfId="6240" xr:uid="{00000000-0005-0000-0000-000032180000}"/>
    <cellStyle name="Normal 2 2 10 10 5 2" xfId="6241" xr:uid="{00000000-0005-0000-0000-000033180000}"/>
    <cellStyle name="Normal 2 2 10 10 5 3" xfId="6242" xr:uid="{00000000-0005-0000-0000-000034180000}"/>
    <cellStyle name="Normal 2 2 10 10 5 4" xfId="6243" xr:uid="{00000000-0005-0000-0000-000035180000}"/>
    <cellStyle name="Normal 2 2 10 10 5 5" xfId="6244" xr:uid="{00000000-0005-0000-0000-000036180000}"/>
    <cellStyle name="Normal 2 2 10 10 5 6" xfId="6245" xr:uid="{00000000-0005-0000-0000-000037180000}"/>
    <cellStyle name="Normal 2 2 10 10 5 7" xfId="6246" xr:uid="{00000000-0005-0000-0000-000038180000}"/>
    <cellStyle name="Normal 2 2 10 10 5 8" xfId="6247" xr:uid="{00000000-0005-0000-0000-000039180000}"/>
    <cellStyle name="Normal 2 2 10 10 5 9" xfId="6248" xr:uid="{00000000-0005-0000-0000-00003A180000}"/>
    <cellStyle name="Normal 2 2 10 10 6" xfId="6249" xr:uid="{00000000-0005-0000-0000-00003B180000}"/>
    <cellStyle name="Normal 2 2 10 10 7" xfId="6250" xr:uid="{00000000-0005-0000-0000-00003C180000}"/>
    <cellStyle name="Normal 2 2 10 10 8" xfId="6251" xr:uid="{00000000-0005-0000-0000-00003D180000}"/>
    <cellStyle name="Normal 2 2 10 10 9" xfId="6252" xr:uid="{00000000-0005-0000-0000-00003E180000}"/>
    <cellStyle name="Normal 2 2 10 11" xfId="6253" xr:uid="{00000000-0005-0000-0000-00003F180000}"/>
    <cellStyle name="Normal 2 2 10 11 10" xfId="6254" xr:uid="{00000000-0005-0000-0000-000040180000}"/>
    <cellStyle name="Normal 2 2 10 11 11" xfId="6255" xr:uid="{00000000-0005-0000-0000-000041180000}"/>
    <cellStyle name="Normal 2 2 10 11 12" xfId="6256" xr:uid="{00000000-0005-0000-0000-000042180000}"/>
    <cellStyle name="Normal 2 2 10 11 13" xfId="6257" xr:uid="{00000000-0005-0000-0000-000043180000}"/>
    <cellStyle name="Normal 2 2 10 11 14" xfId="6258" xr:uid="{00000000-0005-0000-0000-000044180000}"/>
    <cellStyle name="Normal 2 2 10 11 2" xfId="6259" xr:uid="{00000000-0005-0000-0000-000045180000}"/>
    <cellStyle name="Normal 2 2 10 11 2 10" xfId="6260" xr:uid="{00000000-0005-0000-0000-000046180000}"/>
    <cellStyle name="Normal 2 2 10 11 2 2" xfId="6261" xr:uid="{00000000-0005-0000-0000-000047180000}"/>
    <cellStyle name="Normal 2 2 10 11 2 3" xfId="6262" xr:uid="{00000000-0005-0000-0000-000048180000}"/>
    <cellStyle name="Normal 2 2 10 11 2 4" xfId="6263" xr:uid="{00000000-0005-0000-0000-000049180000}"/>
    <cellStyle name="Normal 2 2 10 11 2 5" xfId="6264" xr:uid="{00000000-0005-0000-0000-00004A180000}"/>
    <cellStyle name="Normal 2 2 10 11 2 6" xfId="6265" xr:uid="{00000000-0005-0000-0000-00004B180000}"/>
    <cellStyle name="Normal 2 2 10 11 2 7" xfId="6266" xr:uid="{00000000-0005-0000-0000-00004C180000}"/>
    <cellStyle name="Normal 2 2 10 11 2 8" xfId="6267" xr:uid="{00000000-0005-0000-0000-00004D180000}"/>
    <cellStyle name="Normal 2 2 10 11 2 9" xfId="6268" xr:uid="{00000000-0005-0000-0000-00004E180000}"/>
    <cellStyle name="Normal 2 2 10 11 3" xfId="6269" xr:uid="{00000000-0005-0000-0000-00004F180000}"/>
    <cellStyle name="Normal 2 2 10 11 3 10" xfId="6270" xr:uid="{00000000-0005-0000-0000-000050180000}"/>
    <cellStyle name="Normal 2 2 10 11 3 2" xfId="6271" xr:uid="{00000000-0005-0000-0000-000051180000}"/>
    <cellStyle name="Normal 2 2 10 11 3 3" xfId="6272" xr:uid="{00000000-0005-0000-0000-000052180000}"/>
    <cellStyle name="Normal 2 2 10 11 3 4" xfId="6273" xr:uid="{00000000-0005-0000-0000-000053180000}"/>
    <cellStyle name="Normal 2 2 10 11 3 5" xfId="6274" xr:uid="{00000000-0005-0000-0000-000054180000}"/>
    <cellStyle name="Normal 2 2 10 11 3 6" xfId="6275" xr:uid="{00000000-0005-0000-0000-000055180000}"/>
    <cellStyle name="Normal 2 2 10 11 3 7" xfId="6276" xr:uid="{00000000-0005-0000-0000-000056180000}"/>
    <cellStyle name="Normal 2 2 10 11 3 8" xfId="6277" xr:uid="{00000000-0005-0000-0000-000057180000}"/>
    <cellStyle name="Normal 2 2 10 11 3 9" xfId="6278" xr:uid="{00000000-0005-0000-0000-000058180000}"/>
    <cellStyle name="Normal 2 2 10 11 4" xfId="6279" xr:uid="{00000000-0005-0000-0000-000059180000}"/>
    <cellStyle name="Normal 2 2 10 11 4 10" xfId="6280" xr:uid="{00000000-0005-0000-0000-00005A180000}"/>
    <cellStyle name="Normal 2 2 10 11 4 2" xfId="6281" xr:uid="{00000000-0005-0000-0000-00005B180000}"/>
    <cellStyle name="Normal 2 2 10 11 4 3" xfId="6282" xr:uid="{00000000-0005-0000-0000-00005C180000}"/>
    <cellStyle name="Normal 2 2 10 11 4 4" xfId="6283" xr:uid="{00000000-0005-0000-0000-00005D180000}"/>
    <cellStyle name="Normal 2 2 10 11 4 5" xfId="6284" xr:uid="{00000000-0005-0000-0000-00005E180000}"/>
    <cellStyle name="Normal 2 2 10 11 4 6" xfId="6285" xr:uid="{00000000-0005-0000-0000-00005F180000}"/>
    <cellStyle name="Normal 2 2 10 11 4 7" xfId="6286" xr:uid="{00000000-0005-0000-0000-000060180000}"/>
    <cellStyle name="Normal 2 2 10 11 4 8" xfId="6287" xr:uid="{00000000-0005-0000-0000-000061180000}"/>
    <cellStyle name="Normal 2 2 10 11 4 9" xfId="6288" xr:uid="{00000000-0005-0000-0000-000062180000}"/>
    <cellStyle name="Normal 2 2 10 11 5" xfId="6289" xr:uid="{00000000-0005-0000-0000-000063180000}"/>
    <cellStyle name="Normal 2 2 10 11 5 10" xfId="6290" xr:uid="{00000000-0005-0000-0000-000064180000}"/>
    <cellStyle name="Normal 2 2 10 11 5 2" xfId="6291" xr:uid="{00000000-0005-0000-0000-000065180000}"/>
    <cellStyle name="Normal 2 2 10 11 5 3" xfId="6292" xr:uid="{00000000-0005-0000-0000-000066180000}"/>
    <cellStyle name="Normal 2 2 10 11 5 4" xfId="6293" xr:uid="{00000000-0005-0000-0000-000067180000}"/>
    <cellStyle name="Normal 2 2 10 11 5 5" xfId="6294" xr:uid="{00000000-0005-0000-0000-000068180000}"/>
    <cellStyle name="Normal 2 2 10 11 5 6" xfId="6295" xr:uid="{00000000-0005-0000-0000-000069180000}"/>
    <cellStyle name="Normal 2 2 10 11 5 7" xfId="6296" xr:uid="{00000000-0005-0000-0000-00006A180000}"/>
    <cellStyle name="Normal 2 2 10 11 5 8" xfId="6297" xr:uid="{00000000-0005-0000-0000-00006B180000}"/>
    <cellStyle name="Normal 2 2 10 11 5 9" xfId="6298" xr:uid="{00000000-0005-0000-0000-00006C180000}"/>
    <cellStyle name="Normal 2 2 10 11 6" xfId="6299" xr:uid="{00000000-0005-0000-0000-00006D180000}"/>
    <cellStyle name="Normal 2 2 10 11 7" xfId="6300" xr:uid="{00000000-0005-0000-0000-00006E180000}"/>
    <cellStyle name="Normal 2 2 10 11 8" xfId="6301" xr:uid="{00000000-0005-0000-0000-00006F180000}"/>
    <cellStyle name="Normal 2 2 10 11 9" xfId="6302" xr:uid="{00000000-0005-0000-0000-000070180000}"/>
    <cellStyle name="Normal 2 2 10 12" xfId="6303" xr:uid="{00000000-0005-0000-0000-000071180000}"/>
    <cellStyle name="Normal 2 2 10 12 10" xfId="6304" xr:uid="{00000000-0005-0000-0000-000072180000}"/>
    <cellStyle name="Normal 2 2 10 12 11" xfId="6305" xr:uid="{00000000-0005-0000-0000-000073180000}"/>
    <cellStyle name="Normal 2 2 10 12 12" xfId="6306" xr:uid="{00000000-0005-0000-0000-000074180000}"/>
    <cellStyle name="Normal 2 2 10 12 13" xfId="6307" xr:uid="{00000000-0005-0000-0000-000075180000}"/>
    <cellStyle name="Normal 2 2 10 12 14" xfId="6308" xr:uid="{00000000-0005-0000-0000-000076180000}"/>
    <cellStyle name="Normal 2 2 10 12 2" xfId="6309" xr:uid="{00000000-0005-0000-0000-000077180000}"/>
    <cellStyle name="Normal 2 2 10 12 2 10" xfId="6310" xr:uid="{00000000-0005-0000-0000-000078180000}"/>
    <cellStyle name="Normal 2 2 10 12 2 2" xfId="6311" xr:uid="{00000000-0005-0000-0000-000079180000}"/>
    <cellStyle name="Normal 2 2 10 12 2 3" xfId="6312" xr:uid="{00000000-0005-0000-0000-00007A180000}"/>
    <cellStyle name="Normal 2 2 10 12 2 4" xfId="6313" xr:uid="{00000000-0005-0000-0000-00007B180000}"/>
    <cellStyle name="Normal 2 2 10 12 2 5" xfId="6314" xr:uid="{00000000-0005-0000-0000-00007C180000}"/>
    <cellStyle name="Normal 2 2 10 12 2 6" xfId="6315" xr:uid="{00000000-0005-0000-0000-00007D180000}"/>
    <cellStyle name="Normal 2 2 10 12 2 7" xfId="6316" xr:uid="{00000000-0005-0000-0000-00007E180000}"/>
    <cellStyle name="Normal 2 2 10 12 2 8" xfId="6317" xr:uid="{00000000-0005-0000-0000-00007F180000}"/>
    <cellStyle name="Normal 2 2 10 12 2 9" xfId="6318" xr:uid="{00000000-0005-0000-0000-000080180000}"/>
    <cellStyle name="Normal 2 2 10 12 3" xfId="6319" xr:uid="{00000000-0005-0000-0000-000081180000}"/>
    <cellStyle name="Normal 2 2 10 12 3 10" xfId="6320" xr:uid="{00000000-0005-0000-0000-000082180000}"/>
    <cellStyle name="Normal 2 2 10 12 3 2" xfId="6321" xr:uid="{00000000-0005-0000-0000-000083180000}"/>
    <cellStyle name="Normal 2 2 10 12 3 3" xfId="6322" xr:uid="{00000000-0005-0000-0000-000084180000}"/>
    <cellStyle name="Normal 2 2 10 12 3 4" xfId="6323" xr:uid="{00000000-0005-0000-0000-000085180000}"/>
    <cellStyle name="Normal 2 2 10 12 3 5" xfId="6324" xr:uid="{00000000-0005-0000-0000-000086180000}"/>
    <cellStyle name="Normal 2 2 10 12 3 6" xfId="6325" xr:uid="{00000000-0005-0000-0000-000087180000}"/>
    <cellStyle name="Normal 2 2 10 12 3 7" xfId="6326" xr:uid="{00000000-0005-0000-0000-000088180000}"/>
    <cellStyle name="Normal 2 2 10 12 3 8" xfId="6327" xr:uid="{00000000-0005-0000-0000-000089180000}"/>
    <cellStyle name="Normal 2 2 10 12 3 9" xfId="6328" xr:uid="{00000000-0005-0000-0000-00008A180000}"/>
    <cellStyle name="Normal 2 2 10 12 4" xfId="6329" xr:uid="{00000000-0005-0000-0000-00008B180000}"/>
    <cellStyle name="Normal 2 2 10 12 4 10" xfId="6330" xr:uid="{00000000-0005-0000-0000-00008C180000}"/>
    <cellStyle name="Normal 2 2 10 12 4 2" xfId="6331" xr:uid="{00000000-0005-0000-0000-00008D180000}"/>
    <cellStyle name="Normal 2 2 10 12 4 3" xfId="6332" xr:uid="{00000000-0005-0000-0000-00008E180000}"/>
    <cellStyle name="Normal 2 2 10 12 4 4" xfId="6333" xr:uid="{00000000-0005-0000-0000-00008F180000}"/>
    <cellStyle name="Normal 2 2 10 12 4 5" xfId="6334" xr:uid="{00000000-0005-0000-0000-000090180000}"/>
    <cellStyle name="Normal 2 2 10 12 4 6" xfId="6335" xr:uid="{00000000-0005-0000-0000-000091180000}"/>
    <cellStyle name="Normal 2 2 10 12 4 7" xfId="6336" xr:uid="{00000000-0005-0000-0000-000092180000}"/>
    <cellStyle name="Normal 2 2 10 12 4 8" xfId="6337" xr:uid="{00000000-0005-0000-0000-000093180000}"/>
    <cellStyle name="Normal 2 2 10 12 4 9" xfId="6338" xr:uid="{00000000-0005-0000-0000-000094180000}"/>
    <cellStyle name="Normal 2 2 10 12 5" xfId="6339" xr:uid="{00000000-0005-0000-0000-000095180000}"/>
    <cellStyle name="Normal 2 2 10 12 5 10" xfId="6340" xr:uid="{00000000-0005-0000-0000-000096180000}"/>
    <cellStyle name="Normal 2 2 10 12 5 2" xfId="6341" xr:uid="{00000000-0005-0000-0000-000097180000}"/>
    <cellStyle name="Normal 2 2 10 12 5 3" xfId="6342" xr:uid="{00000000-0005-0000-0000-000098180000}"/>
    <cellStyle name="Normal 2 2 10 12 5 4" xfId="6343" xr:uid="{00000000-0005-0000-0000-000099180000}"/>
    <cellStyle name="Normal 2 2 10 12 5 5" xfId="6344" xr:uid="{00000000-0005-0000-0000-00009A180000}"/>
    <cellStyle name="Normal 2 2 10 12 5 6" xfId="6345" xr:uid="{00000000-0005-0000-0000-00009B180000}"/>
    <cellStyle name="Normal 2 2 10 12 5 7" xfId="6346" xr:uid="{00000000-0005-0000-0000-00009C180000}"/>
    <cellStyle name="Normal 2 2 10 12 5 8" xfId="6347" xr:uid="{00000000-0005-0000-0000-00009D180000}"/>
    <cellStyle name="Normal 2 2 10 12 5 9" xfId="6348" xr:uid="{00000000-0005-0000-0000-00009E180000}"/>
    <cellStyle name="Normal 2 2 10 12 6" xfId="6349" xr:uid="{00000000-0005-0000-0000-00009F180000}"/>
    <cellStyle name="Normal 2 2 10 12 7" xfId="6350" xr:uid="{00000000-0005-0000-0000-0000A0180000}"/>
    <cellStyle name="Normal 2 2 10 12 8" xfId="6351" xr:uid="{00000000-0005-0000-0000-0000A1180000}"/>
    <cellStyle name="Normal 2 2 10 12 9" xfId="6352" xr:uid="{00000000-0005-0000-0000-0000A2180000}"/>
    <cellStyle name="Normal 2 2 10 13" xfId="6353" xr:uid="{00000000-0005-0000-0000-0000A3180000}"/>
    <cellStyle name="Normal 2 2 10 13 10" xfId="6354" xr:uid="{00000000-0005-0000-0000-0000A4180000}"/>
    <cellStyle name="Normal 2 2 10 13 11" xfId="6355" xr:uid="{00000000-0005-0000-0000-0000A5180000}"/>
    <cellStyle name="Normal 2 2 10 13 12" xfId="6356" xr:uid="{00000000-0005-0000-0000-0000A6180000}"/>
    <cellStyle name="Normal 2 2 10 13 13" xfId="6357" xr:uid="{00000000-0005-0000-0000-0000A7180000}"/>
    <cellStyle name="Normal 2 2 10 13 14" xfId="6358" xr:uid="{00000000-0005-0000-0000-0000A8180000}"/>
    <cellStyle name="Normal 2 2 10 13 2" xfId="6359" xr:uid="{00000000-0005-0000-0000-0000A9180000}"/>
    <cellStyle name="Normal 2 2 10 13 2 10" xfId="6360" xr:uid="{00000000-0005-0000-0000-0000AA180000}"/>
    <cellStyle name="Normal 2 2 10 13 2 2" xfId="6361" xr:uid="{00000000-0005-0000-0000-0000AB180000}"/>
    <cellStyle name="Normal 2 2 10 13 2 3" xfId="6362" xr:uid="{00000000-0005-0000-0000-0000AC180000}"/>
    <cellStyle name="Normal 2 2 10 13 2 4" xfId="6363" xr:uid="{00000000-0005-0000-0000-0000AD180000}"/>
    <cellStyle name="Normal 2 2 10 13 2 5" xfId="6364" xr:uid="{00000000-0005-0000-0000-0000AE180000}"/>
    <cellStyle name="Normal 2 2 10 13 2 6" xfId="6365" xr:uid="{00000000-0005-0000-0000-0000AF180000}"/>
    <cellStyle name="Normal 2 2 10 13 2 7" xfId="6366" xr:uid="{00000000-0005-0000-0000-0000B0180000}"/>
    <cellStyle name="Normal 2 2 10 13 2 8" xfId="6367" xr:uid="{00000000-0005-0000-0000-0000B1180000}"/>
    <cellStyle name="Normal 2 2 10 13 2 9" xfId="6368" xr:uid="{00000000-0005-0000-0000-0000B2180000}"/>
    <cellStyle name="Normal 2 2 10 13 3" xfId="6369" xr:uid="{00000000-0005-0000-0000-0000B3180000}"/>
    <cellStyle name="Normal 2 2 10 13 3 10" xfId="6370" xr:uid="{00000000-0005-0000-0000-0000B4180000}"/>
    <cellStyle name="Normal 2 2 10 13 3 2" xfId="6371" xr:uid="{00000000-0005-0000-0000-0000B5180000}"/>
    <cellStyle name="Normal 2 2 10 13 3 3" xfId="6372" xr:uid="{00000000-0005-0000-0000-0000B6180000}"/>
    <cellStyle name="Normal 2 2 10 13 3 4" xfId="6373" xr:uid="{00000000-0005-0000-0000-0000B7180000}"/>
    <cellStyle name="Normal 2 2 10 13 3 5" xfId="6374" xr:uid="{00000000-0005-0000-0000-0000B8180000}"/>
    <cellStyle name="Normal 2 2 10 13 3 6" xfId="6375" xr:uid="{00000000-0005-0000-0000-0000B9180000}"/>
    <cellStyle name="Normal 2 2 10 13 3 7" xfId="6376" xr:uid="{00000000-0005-0000-0000-0000BA180000}"/>
    <cellStyle name="Normal 2 2 10 13 3 8" xfId="6377" xr:uid="{00000000-0005-0000-0000-0000BB180000}"/>
    <cellStyle name="Normal 2 2 10 13 3 9" xfId="6378" xr:uid="{00000000-0005-0000-0000-0000BC180000}"/>
    <cellStyle name="Normal 2 2 10 13 4" xfId="6379" xr:uid="{00000000-0005-0000-0000-0000BD180000}"/>
    <cellStyle name="Normal 2 2 10 13 4 10" xfId="6380" xr:uid="{00000000-0005-0000-0000-0000BE180000}"/>
    <cellStyle name="Normal 2 2 10 13 4 2" xfId="6381" xr:uid="{00000000-0005-0000-0000-0000BF180000}"/>
    <cellStyle name="Normal 2 2 10 13 4 3" xfId="6382" xr:uid="{00000000-0005-0000-0000-0000C0180000}"/>
    <cellStyle name="Normal 2 2 10 13 4 4" xfId="6383" xr:uid="{00000000-0005-0000-0000-0000C1180000}"/>
    <cellStyle name="Normal 2 2 10 13 4 5" xfId="6384" xr:uid="{00000000-0005-0000-0000-0000C2180000}"/>
    <cellStyle name="Normal 2 2 10 13 4 6" xfId="6385" xr:uid="{00000000-0005-0000-0000-0000C3180000}"/>
    <cellStyle name="Normal 2 2 10 13 4 7" xfId="6386" xr:uid="{00000000-0005-0000-0000-0000C4180000}"/>
    <cellStyle name="Normal 2 2 10 13 4 8" xfId="6387" xr:uid="{00000000-0005-0000-0000-0000C5180000}"/>
    <cellStyle name="Normal 2 2 10 13 4 9" xfId="6388" xr:uid="{00000000-0005-0000-0000-0000C6180000}"/>
    <cellStyle name="Normal 2 2 10 13 5" xfId="6389" xr:uid="{00000000-0005-0000-0000-0000C7180000}"/>
    <cellStyle name="Normal 2 2 10 13 5 10" xfId="6390" xr:uid="{00000000-0005-0000-0000-0000C8180000}"/>
    <cellStyle name="Normal 2 2 10 13 5 2" xfId="6391" xr:uid="{00000000-0005-0000-0000-0000C9180000}"/>
    <cellStyle name="Normal 2 2 10 13 5 3" xfId="6392" xr:uid="{00000000-0005-0000-0000-0000CA180000}"/>
    <cellStyle name="Normal 2 2 10 13 5 4" xfId="6393" xr:uid="{00000000-0005-0000-0000-0000CB180000}"/>
    <cellStyle name="Normal 2 2 10 13 5 5" xfId="6394" xr:uid="{00000000-0005-0000-0000-0000CC180000}"/>
    <cellStyle name="Normal 2 2 10 13 5 6" xfId="6395" xr:uid="{00000000-0005-0000-0000-0000CD180000}"/>
    <cellStyle name="Normal 2 2 10 13 5 7" xfId="6396" xr:uid="{00000000-0005-0000-0000-0000CE180000}"/>
    <cellStyle name="Normal 2 2 10 13 5 8" xfId="6397" xr:uid="{00000000-0005-0000-0000-0000CF180000}"/>
    <cellStyle name="Normal 2 2 10 13 5 9" xfId="6398" xr:uid="{00000000-0005-0000-0000-0000D0180000}"/>
    <cellStyle name="Normal 2 2 10 13 6" xfId="6399" xr:uid="{00000000-0005-0000-0000-0000D1180000}"/>
    <cellStyle name="Normal 2 2 10 13 7" xfId="6400" xr:uid="{00000000-0005-0000-0000-0000D2180000}"/>
    <cellStyle name="Normal 2 2 10 13 8" xfId="6401" xr:uid="{00000000-0005-0000-0000-0000D3180000}"/>
    <cellStyle name="Normal 2 2 10 13 9" xfId="6402" xr:uid="{00000000-0005-0000-0000-0000D4180000}"/>
    <cellStyle name="Normal 2 2 10 14" xfId="6403" xr:uid="{00000000-0005-0000-0000-0000D5180000}"/>
    <cellStyle name="Normal 2 2 10 14 10" xfId="6404" xr:uid="{00000000-0005-0000-0000-0000D6180000}"/>
    <cellStyle name="Normal 2 2 10 14 11" xfId="6405" xr:uid="{00000000-0005-0000-0000-0000D7180000}"/>
    <cellStyle name="Normal 2 2 10 14 12" xfId="6406" xr:uid="{00000000-0005-0000-0000-0000D8180000}"/>
    <cellStyle name="Normal 2 2 10 14 13" xfId="6407" xr:uid="{00000000-0005-0000-0000-0000D9180000}"/>
    <cellStyle name="Normal 2 2 10 14 14" xfId="6408" xr:uid="{00000000-0005-0000-0000-0000DA180000}"/>
    <cellStyle name="Normal 2 2 10 14 2" xfId="6409" xr:uid="{00000000-0005-0000-0000-0000DB180000}"/>
    <cellStyle name="Normal 2 2 10 14 2 10" xfId="6410" xr:uid="{00000000-0005-0000-0000-0000DC180000}"/>
    <cellStyle name="Normal 2 2 10 14 2 2" xfId="6411" xr:uid="{00000000-0005-0000-0000-0000DD180000}"/>
    <cellStyle name="Normal 2 2 10 14 2 3" xfId="6412" xr:uid="{00000000-0005-0000-0000-0000DE180000}"/>
    <cellStyle name="Normal 2 2 10 14 2 4" xfId="6413" xr:uid="{00000000-0005-0000-0000-0000DF180000}"/>
    <cellStyle name="Normal 2 2 10 14 2 5" xfId="6414" xr:uid="{00000000-0005-0000-0000-0000E0180000}"/>
    <cellStyle name="Normal 2 2 10 14 2 6" xfId="6415" xr:uid="{00000000-0005-0000-0000-0000E1180000}"/>
    <cellStyle name="Normal 2 2 10 14 2 7" xfId="6416" xr:uid="{00000000-0005-0000-0000-0000E2180000}"/>
    <cellStyle name="Normal 2 2 10 14 2 8" xfId="6417" xr:uid="{00000000-0005-0000-0000-0000E3180000}"/>
    <cellStyle name="Normal 2 2 10 14 2 9" xfId="6418" xr:uid="{00000000-0005-0000-0000-0000E4180000}"/>
    <cellStyle name="Normal 2 2 10 14 3" xfId="6419" xr:uid="{00000000-0005-0000-0000-0000E5180000}"/>
    <cellStyle name="Normal 2 2 10 14 3 10" xfId="6420" xr:uid="{00000000-0005-0000-0000-0000E6180000}"/>
    <cellStyle name="Normal 2 2 10 14 3 2" xfId="6421" xr:uid="{00000000-0005-0000-0000-0000E7180000}"/>
    <cellStyle name="Normal 2 2 10 14 3 3" xfId="6422" xr:uid="{00000000-0005-0000-0000-0000E8180000}"/>
    <cellStyle name="Normal 2 2 10 14 3 4" xfId="6423" xr:uid="{00000000-0005-0000-0000-0000E9180000}"/>
    <cellStyle name="Normal 2 2 10 14 3 5" xfId="6424" xr:uid="{00000000-0005-0000-0000-0000EA180000}"/>
    <cellStyle name="Normal 2 2 10 14 3 6" xfId="6425" xr:uid="{00000000-0005-0000-0000-0000EB180000}"/>
    <cellStyle name="Normal 2 2 10 14 3 7" xfId="6426" xr:uid="{00000000-0005-0000-0000-0000EC180000}"/>
    <cellStyle name="Normal 2 2 10 14 3 8" xfId="6427" xr:uid="{00000000-0005-0000-0000-0000ED180000}"/>
    <cellStyle name="Normal 2 2 10 14 3 9" xfId="6428" xr:uid="{00000000-0005-0000-0000-0000EE180000}"/>
    <cellStyle name="Normal 2 2 10 14 4" xfId="6429" xr:uid="{00000000-0005-0000-0000-0000EF180000}"/>
    <cellStyle name="Normal 2 2 10 14 4 10" xfId="6430" xr:uid="{00000000-0005-0000-0000-0000F0180000}"/>
    <cellStyle name="Normal 2 2 10 14 4 2" xfId="6431" xr:uid="{00000000-0005-0000-0000-0000F1180000}"/>
    <cellStyle name="Normal 2 2 10 14 4 3" xfId="6432" xr:uid="{00000000-0005-0000-0000-0000F2180000}"/>
    <cellStyle name="Normal 2 2 10 14 4 4" xfId="6433" xr:uid="{00000000-0005-0000-0000-0000F3180000}"/>
    <cellStyle name="Normal 2 2 10 14 4 5" xfId="6434" xr:uid="{00000000-0005-0000-0000-0000F4180000}"/>
    <cellStyle name="Normal 2 2 10 14 4 6" xfId="6435" xr:uid="{00000000-0005-0000-0000-0000F5180000}"/>
    <cellStyle name="Normal 2 2 10 14 4 7" xfId="6436" xr:uid="{00000000-0005-0000-0000-0000F6180000}"/>
    <cellStyle name="Normal 2 2 10 14 4 8" xfId="6437" xr:uid="{00000000-0005-0000-0000-0000F7180000}"/>
    <cellStyle name="Normal 2 2 10 14 4 9" xfId="6438" xr:uid="{00000000-0005-0000-0000-0000F8180000}"/>
    <cellStyle name="Normal 2 2 10 14 5" xfId="6439" xr:uid="{00000000-0005-0000-0000-0000F9180000}"/>
    <cellStyle name="Normal 2 2 10 14 5 10" xfId="6440" xr:uid="{00000000-0005-0000-0000-0000FA180000}"/>
    <cellStyle name="Normal 2 2 10 14 5 2" xfId="6441" xr:uid="{00000000-0005-0000-0000-0000FB180000}"/>
    <cellStyle name="Normal 2 2 10 14 5 3" xfId="6442" xr:uid="{00000000-0005-0000-0000-0000FC180000}"/>
    <cellStyle name="Normal 2 2 10 14 5 4" xfId="6443" xr:uid="{00000000-0005-0000-0000-0000FD180000}"/>
    <cellStyle name="Normal 2 2 10 14 5 5" xfId="6444" xr:uid="{00000000-0005-0000-0000-0000FE180000}"/>
    <cellStyle name="Normal 2 2 10 14 5 6" xfId="6445" xr:uid="{00000000-0005-0000-0000-0000FF180000}"/>
    <cellStyle name="Normal 2 2 10 14 5 7" xfId="6446" xr:uid="{00000000-0005-0000-0000-000000190000}"/>
    <cellStyle name="Normal 2 2 10 14 5 8" xfId="6447" xr:uid="{00000000-0005-0000-0000-000001190000}"/>
    <cellStyle name="Normal 2 2 10 14 5 9" xfId="6448" xr:uid="{00000000-0005-0000-0000-000002190000}"/>
    <cellStyle name="Normal 2 2 10 14 6" xfId="6449" xr:uid="{00000000-0005-0000-0000-000003190000}"/>
    <cellStyle name="Normal 2 2 10 14 7" xfId="6450" xr:uid="{00000000-0005-0000-0000-000004190000}"/>
    <cellStyle name="Normal 2 2 10 14 8" xfId="6451" xr:uid="{00000000-0005-0000-0000-000005190000}"/>
    <cellStyle name="Normal 2 2 10 14 9" xfId="6452" xr:uid="{00000000-0005-0000-0000-000006190000}"/>
    <cellStyle name="Normal 2 2 10 15" xfId="6453" xr:uid="{00000000-0005-0000-0000-000007190000}"/>
    <cellStyle name="Normal 2 2 10 15 10" xfId="6454" xr:uid="{00000000-0005-0000-0000-000008190000}"/>
    <cellStyle name="Normal 2 2 10 15 11" xfId="6455" xr:uid="{00000000-0005-0000-0000-000009190000}"/>
    <cellStyle name="Normal 2 2 10 15 12" xfId="6456" xr:uid="{00000000-0005-0000-0000-00000A190000}"/>
    <cellStyle name="Normal 2 2 10 15 13" xfId="6457" xr:uid="{00000000-0005-0000-0000-00000B190000}"/>
    <cellStyle name="Normal 2 2 10 15 14" xfId="6458" xr:uid="{00000000-0005-0000-0000-00000C190000}"/>
    <cellStyle name="Normal 2 2 10 15 2" xfId="6459" xr:uid="{00000000-0005-0000-0000-00000D190000}"/>
    <cellStyle name="Normal 2 2 10 15 2 10" xfId="6460" xr:uid="{00000000-0005-0000-0000-00000E190000}"/>
    <cellStyle name="Normal 2 2 10 15 2 2" xfId="6461" xr:uid="{00000000-0005-0000-0000-00000F190000}"/>
    <cellStyle name="Normal 2 2 10 15 2 3" xfId="6462" xr:uid="{00000000-0005-0000-0000-000010190000}"/>
    <cellStyle name="Normal 2 2 10 15 2 4" xfId="6463" xr:uid="{00000000-0005-0000-0000-000011190000}"/>
    <cellStyle name="Normal 2 2 10 15 2 5" xfId="6464" xr:uid="{00000000-0005-0000-0000-000012190000}"/>
    <cellStyle name="Normal 2 2 10 15 2 6" xfId="6465" xr:uid="{00000000-0005-0000-0000-000013190000}"/>
    <cellStyle name="Normal 2 2 10 15 2 7" xfId="6466" xr:uid="{00000000-0005-0000-0000-000014190000}"/>
    <cellStyle name="Normal 2 2 10 15 2 8" xfId="6467" xr:uid="{00000000-0005-0000-0000-000015190000}"/>
    <cellStyle name="Normal 2 2 10 15 2 9" xfId="6468" xr:uid="{00000000-0005-0000-0000-000016190000}"/>
    <cellStyle name="Normal 2 2 10 15 3" xfId="6469" xr:uid="{00000000-0005-0000-0000-000017190000}"/>
    <cellStyle name="Normal 2 2 10 15 3 10" xfId="6470" xr:uid="{00000000-0005-0000-0000-000018190000}"/>
    <cellStyle name="Normal 2 2 10 15 3 2" xfId="6471" xr:uid="{00000000-0005-0000-0000-000019190000}"/>
    <cellStyle name="Normal 2 2 10 15 3 3" xfId="6472" xr:uid="{00000000-0005-0000-0000-00001A190000}"/>
    <cellStyle name="Normal 2 2 10 15 3 4" xfId="6473" xr:uid="{00000000-0005-0000-0000-00001B190000}"/>
    <cellStyle name="Normal 2 2 10 15 3 5" xfId="6474" xr:uid="{00000000-0005-0000-0000-00001C190000}"/>
    <cellStyle name="Normal 2 2 10 15 3 6" xfId="6475" xr:uid="{00000000-0005-0000-0000-00001D190000}"/>
    <cellStyle name="Normal 2 2 10 15 3 7" xfId="6476" xr:uid="{00000000-0005-0000-0000-00001E190000}"/>
    <cellStyle name="Normal 2 2 10 15 3 8" xfId="6477" xr:uid="{00000000-0005-0000-0000-00001F190000}"/>
    <cellStyle name="Normal 2 2 10 15 3 9" xfId="6478" xr:uid="{00000000-0005-0000-0000-000020190000}"/>
    <cellStyle name="Normal 2 2 10 15 4" xfId="6479" xr:uid="{00000000-0005-0000-0000-000021190000}"/>
    <cellStyle name="Normal 2 2 10 15 4 10" xfId="6480" xr:uid="{00000000-0005-0000-0000-000022190000}"/>
    <cellStyle name="Normal 2 2 10 15 4 2" xfId="6481" xr:uid="{00000000-0005-0000-0000-000023190000}"/>
    <cellStyle name="Normal 2 2 10 15 4 3" xfId="6482" xr:uid="{00000000-0005-0000-0000-000024190000}"/>
    <cellStyle name="Normal 2 2 10 15 4 4" xfId="6483" xr:uid="{00000000-0005-0000-0000-000025190000}"/>
    <cellStyle name="Normal 2 2 10 15 4 5" xfId="6484" xr:uid="{00000000-0005-0000-0000-000026190000}"/>
    <cellStyle name="Normal 2 2 10 15 4 6" xfId="6485" xr:uid="{00000000-0005-0000-0000-000027190000}"/>
    <cellStyle name="Normal 2 2 10 15 4 7" xfId="6486" xr:uid="{00000000-0005-0000-0000-000028190000}"/>
    <cellStyle name="Normal 2 2 10 15 4 8" xfId="6487" xr:uid="{00000000-0005-0000-0000-000029190000}"/>
    <cellStyle name="Normal 2 2 10 15 4 9" xfId="6488" xr:uid="{00000000-0005-0000-0000-00002A190000}"/>
    <cellStyle name="Normal 2 2 10 15 5" xfId="6489" xr:uid="{00000000-0005-0000-0000-00002B190000}"/>
    <cellStyle name="Normal 2 2 10 15 5 10" xfId="6490" xr:uid="{00000000-0005-0000-0000-00002C190000}"/>
    <cellStyle name="Normal 2 2 10 15 5 2" xfId="6491" xr:uid="{00000000-0005-0000-0000-00002D190000}"/>
    <cellStyle name="Normal 2 2 10 15 5 3" xfId="6492" xr:uid="{00000000-0005-0000-0000-00002E190000}"/>
    <cellStyle name="Normal 2 2 10 15 5 4" xfId="6493" xr:uid="{00000000-0005-0000-0000-00002F190000}"/>
    <cellStyle name="Normal 2 2 10 15 5 5" xfId="6494" xr:uid="{00000000-0005-0000-0000-000030190000}"/>
    <cellStyle name="Normal 2 2 10 15 5 6" xfId="6495" xr:uid="{00000000-0005-0000-0000-000031190000}"/>
    <cellStyle name="Normal 2 2 10 15 5 7" xfId="6496" xr:uid="{00000000-0005-0000-0000-000032190000}"/>
    <cellStyle name="Normal 2 2 10 15 5 8" xfId="6497" xr:uid="{00000000-0005-0000-0000-000033190000}"/>
    <cellStyle name="Normal 2 2 10 15 5 9" xfId="6498" xr:uid="{00000000-0005-0000-0000-000034190000}"/>
    <cellStyle name="Normal 2 2 10 15 6" xfId="6499" xr:uid="{00000000-0005-0000-0000-000035190000}"/>
    <cellStyle name="Normal 2 2 10 15 7" xfId="6500" xr:uid="{00000000-0005-0000-0000-000036190000}"/>
    <cellStyle name="Normal 2 2 10 15 8" xfId="6501" xr:uid="{00000000-0005-0000-0000-000037190000}"/>
    <cellStyle name="Normal 2 2 10 15 9" xfId="6502" xr:uid="{00000000-0005-0000-0000-000038190000}"/>
    <cellStyle name="Normal 2 2 10 16" xfId="6503" xr:uid="{00000000-0005-0000-0000-000039190000}"/>
    <cellStyle name="Normal 2 2 10 16 10" xfId="6504" xr:uid="{00000000-0005-0000-0000-00003A190000}"/>
    <cellStyle name="Normal 2 2 10 16 11" xfId="6505" xr:uid="{00000000-0005-0000-0000-00003B190000}"/>
    <cellStyle name="Normal 2 2 10 16 12" xfId="6506" xr:uid="{00000000-0005-0000-0000-00003C190000}"/>
    <cellStyle name="Normal 2 2 10 16 13" xfId="6507" xr:uid="{00000000-0005-0000-0000-00003D190000}"/>
    <cellStyle name="Normal 2 2 10 16 14" xfId="6508" xr:uid="{00000000-0005-0000-0000-00003E190000}"/>
    <cellStyle name="Normal 2 2 10 16 2" xfId="6509" xr:uid="{00000000-0005-0000-0000-00003F190000}"/>
    <cellStyle name="Normal 2 2 10 16 2 10" xfId="6510" xr:uid="{00000000-0005-0000-0000-000040190000}"/>
    <cellStyle name="Normal 2 2 10 16 2 2" xfId="6511" xr:uid="{00000000-0005-0000-0000-000041190000}"/>
    <cellStyle name="Normal 2 2 10 16 2 3" xfId="6512" xr:uid="{00000000-0005-0000-0000-000042190000}"/>
    <cellStyle name="Normal 2 2 10 16 2 4" xfId="6513" xr:uid="{00000000-0005-0000-0000-000043190000}"/>
    <cellStyle name="Normal 2 2 10 16 2 5" xfId="6514" xr:uid="{00000000-0005-0000-0000-000044190000}"/>
    <cellStyle name="Normal 2 2 10 16 2 6" xfId="6515" xr:uid="{00000000-0005-0000-0000-000045190000}"/>
    <cellStyle name="Normal 2 2 10 16 2 7" xfId="6516" xr:uid="{00000000-0005-0000-0000-000046190000}"/>
    <cellStyle name="Normal 2 2 10 16 2 8" xfId="6517" xr:uid="{00000000-0005-0000-0000-000047190000}"/>
    <cellStyle name="Normal 2 2 10 16 2 9" xfId="6518" xr:uid="{00000000-0005-0000-0000-000048190000}"/>
    <cellStyle name="Normal 2 2 10 16 3" xfId="6519" xr:uid="{00000000-0005-0000-0000-000049190000}"/>
    <cellStyle name="Normal 2 2 10 16 3 10" xfId="6520" xr:uid="{00000000-0005-0000-0000-00004A190000}"/>
    <cellStyle name="Normal 2 2 10 16 3 2" xfId="6521" xr:uid="{00000000-0005-0000-0000-00004B190000}"/>
    <cellStyle name="Normal 2 2 10 16 3 3" xfId="6522" xr:uid="{00000000-0005-0000-0000-00004C190000}"/>
    <cellStyle name="Normal 2 2 10 16 3 4" xfId="6523" xr:uid="{00000000-0005-0000-0000-00004D190000}"/>
    <cellStyle name="Normal 2 2 10 16 3 5" xfId="6524" xr:uid="{00000000-0005-0000-0000-00004E190000}"/>
    <cellStyle name="Normal 2 2 10 16 3 6" xfId="6525" xr:uid="{00000000-0005-0000-0000-00004F190000}"/>
    <cellStyle name="Normal 2 2 10 16 3 7" xfId="6526" xr:uid="{00000000-0005-0000-0000-000050190000}"/>
    <cellStyle name="Normal 2 2 10 16 3 8" xfId="6527" xr:uid="{00000000-0005-0000-0000-000051190000}"/>
    <cellStyle name="Normal 2 2 10 16 3 9" xfId="6528" xr:uid="{00000000-0005-0000-0000-000052190000}"/>
    <cellStyle name="Normal 2 2 10 16 4" xfId="6529" xr:uid="{00000000-0005-0000-0000-000053190000}"/>
    <cellStyle name="Normal 2 2 10 16 4 10" xfId="6530" xr:uid="{00000000-0005-0000-0000-000054190000}"/>
    <cellStyle name="Normal 2 2 10 16 4 2" xfId="6531" xr:uid="{00000000-0005-0000-0000-000055190000}"/>
    <cellStyle name="Normal 2 2 10 16 4 3" xfId="6532" xr:uid="{00000000-0005-0000-0000-000056190000}"/>
    <cellStyle name="Normal 2 2 10 16 4 4" xfId="6533" xr:uid="{00000000-0005-0000-0000-000057190000}"/>
    <cellStyle name="Normal 2 2 10 16 4 5" xfId="6534" xr:uid="{00000000-0005-0000-0000-000058190000}"/>
    <cellStyle name="Normal 2 2 10 16 4 6" xfId="6535" xr:uid="{00000000-0005-0000-0000-000059190000}"/>
    <cellStyle name="Normal 2 2 10 16 4 7" xfId="6536" xr:uid="{00000000-0005-0000-0000-00005A190000}"/>
    <cellStyle name="Normal 2 2 10 16 4 8" xfId="6537" xr:uid="{00000000-0005-0000-0000-00005B190000}"/>
    <cellStyle name="Normal 2 2 10 16 4 9" xfId="6538" xr:uid="{00000000-0005-0000-0000-00005C190000}"/>
    <cellStyle name="Normal 2 2 10 16 5" xfId="6539" xr:uid="{00000000-0005-0000-0000-00005D190000}"/>
    <cellStyle name="Normal 2 2 10 16 5 10" xfId="6540" xr:uid="{00000000-0005-0000-0000-00005E190000}"/>
    <cellStyle name="Normal 2 2 10 16 5 2" xfId="6541" xr:uid="{00000000-0005-0000-0000-00005F190000}"/>
    <cellStyle name="Normal 2 2 10 16 5 3" xfId="6542" xr:uid="{00000000-0005-0000-0000-000060190000}"/>
    <cellStyle name="Normal 2 2 10 16 5 4" xfId="6543" xr:uid="{00000000-0005-0000-0000-000061190000}"/>
    <cellStyle name="Normal 2 2 10 16 5 5" xfId="6544" xr:uid="{00000000-0005-0000-0000-000062190000}"/>
    <cellStyle name="Normal 2 2 10 16 5 6" xfId="6545" xr:uid="{00000000-0005-0000-0000-000063190000}"/>
    <cellStyle name="Normal 2 2 10 16 5 7" xfId="6546" xr:uid="{00000000-0005-0000-0000-000064190000}"/>
    <cellStyle name="Normal 2 2 10 16 5 8" xfId="6547" xr:uid="{00000000-0005-0000-0000-000065190000}"/>
    <cellStyle name="Normal 2 2 10 16 5 9" xfId="6548" xr:uid="{00000000-0005-0000-0000-000066190000}"/>
    <cellStyle name="Normal 2 2 10 16 6" xfId="6549" xr:uid="{00000000-0005-0000-0000-000067190000}"/>
    <cellStyle name="Normal 2 2 10 16 7" xfId="6550" xr:uid="{00000000-0005-0000-0000-000068190000}"/>
    <cellStyle name="Normal 2 2 10 16 8" xfId="6551" xr:uid="{00000000-0005-0000-0000-000069190000}"/>
    <cellStyle name="Normal 2 2 10 16 9" xfId="6552" xr:uid="{00000000-0005-0000-0000-00006A190000}"/>
    <cellStyle name="Normal 2 2 10 17" xfId="6553" xr:uid="{00000000-0005-0000-0000-00006B190000}"/>
    <cellStyle name="Normal 2 2 10 17 10" xfId="6554" xr:uid="{00000000-0005-0000-0000-00006C190000}"/>
    <cellStyle name="Normal 2 2 10 17 11" xfId="6555" xr:uid="{00000000-0005-0000-0000-00006D190000}"/>
    <cellStyle name="Normal 2 2 10 17 12" xfId="6556" xr:uid="{00000000-0005-0000-0000-00006E190000}"/>
    <cellStyle name="Normal 2 2 10 17 13" xfId="6557" xr:uid="{00000000-0005-0000-0000-00006F190000}"/>
    <cellStyle name="Normal 2 2 10 17 14" xfId="6558" xr:uid="{00000000-0005-0000-0000-000070190000}"/>
    <cellStyle name="Normal 2 2 10 17 2" xfId="6559" xr:uid="{00000000-0005-0000-0000-000071190000}"/>
    <cellStyle name="Normal 2 2 10 17 2 10" xfId="6560" xr:uid="{00000000-0005-0000-0000-000072190000}"/>
    <cellStyle name="Normal 2 2 10 17 2 2" xfId="6561" xr:uid="{00000000-0005-0000-0000-000073190000}"/>
    <cellStyle name="Normal 2 2 10 17 2 3" xfId="6562" xr:uid="{00000000-0005-0000-0000-000074190000}"/>
    <cellStyle name="Normal 2 2 10 17 2 4" xfId="6563" xr:uid="{00000000-0005-0000-0000-000075190000}"/>
    <cellStyle name="Normal 2 2 10 17 2 5" xfId="6564" xr:uid="{00000000-0005-0000-0000-000076190000}"/>
    <cellStyle name="Normal 2 2 10 17 2 6" xfId="6565" xr:uid="{00000000-0005-0000-0000-000077190000}"/>
    <cellStyle name="Normal 2 2 10 17 2 7" xfId="6566" xr:uid="{00000000-0005-0000-0000-000078190000}"/>
    <cellStyle name="Normal 2 2 10 17 2 8" xfId="6567" xr:uid="{00000000-0005-0000-0000-000079190000}"/>
    <cellStyle name="Normal 2 2 10 17 2 9" xfId="6568" xr:uid="{00000000-0005-0000-0000-00007A190000}"/>
    <cellStyle name="Normal 2 2 10 17 3" xfId="6569" xr:uid="{00000000-0005-0000-0000-00007B190000}"/>
    <cellStyle name="Normal 2 2 10 17 3 10" xfId="6570" xr:uid="{00000000-0005-0000-0000-00007C190000}"/>
    <cellStyle name="Normal 2 2 10 17 3 2" xfId="6571" xr:uid="{00000000-0005-0000-0000-00007D190000}"/>
    <cellStyle name="Normal 2 2 10 17 3 3" xfId="6572" xr:uid="{00000000-0005-0000-0000-00007E190000}"/>
    <cellStyle name="Normal 2 2 10 17 3 4" xfId="6573" xr:uid="{00000000-0005-0000-0000-00007F190000}"/>
    <cellStyle name="Normal 2 2 10 17 3 5" xfId="6574" xr:uid="{00000000-0005-0000-0000-000080190000}"/>
    <cellStyle name="Normal 2 2 10 17 3 6" xfId="6575" xr:uid="{00000000-0005-0000-0000-000081190000}"/>
    <cellStyle name="Normal 2 2 10 17 3 7" xfId="6576" xr:uid="{00000000-0005-0000-0000-000082190000}"/>
    <cellStyle name="Normal 2 2 10 17 3 8" xfId="6577" xr:uid="{00000000-0005-0000-0000-000083190000}"/>
    <cellStyle name="Normal 2 2 10 17 3 9" xfId="6578" xr:uid="{00000000-0005-0000-0000-000084190000}"/>
    <cellStyle name="Normal 2 2 10 17 4" xfId="6579" xr:uid="{00000000-0005-0000-0000-000085190000}"/>
    <cellStyle name="Normal 2 2 10 17 4 10" xfId="6580" xr:uid="{00000000-0005-0000-0000-000086190000}"/>
    <cellStyle name="Normal 2 2 10 17 4 2" xfId="6581" xr:uid="{00000000-0005-0000-0000-000087190000}"/>
    <cellStyle name="Normal 2 2 10 17 4 3" xfId="6582" xr:uid="{00000000-0005-0000-0000-000088190000}"/>
    <cellStyle name="Normal 2 2 10 17 4 4" xfId="6583" xr:uid="{00000000-0005-0000-0000-000089190000}"/>
    <cellStyle name="Normal 2 2 10 17 4 5" xfId="6584" xr:uid="{00000000-0005-0000-0000-00008A190000}"/>
    <cellStyle name="Normal 2 2 10 17 4 6" xfId="6585" xr:uid="{00000000-0005-0000-0000-00008B190000}"/>
    <cellStyle name="Normal 2 2 10 17 4 7" xfId="6586" xr:uid="{00000000-0005-0000-0000-00008C190000}"/>
    <cellStyle name="Normal 2 2 10 17 4 8" xfId="6587" xr:uid="{00000000-0005-0000-0000-00008D190000}"/>
    <cellStyle name="Normal 2 2 10 17 4 9" xfId="6588" xr:uid="{00000000-0005-0000-0000-00008E190000}"/>
    <cellStyle name="Normal 2 2 10 17 5" xfId="6589" xr:uid="{00000000-0005-0000-0000-00008F190000}"/>
    <cellStyle name="Normal 2 2 10 17 5 10" xfId="6590" xr:uid="{00000000-0005-0000-0000-000090190000}"/>
    <cellStyle name="Normal 2 2 10 17 5 2" xfId="6591" xr:uid="{00000000-0005-0000-0000-000091190000}"/>
    <cellStyle name="Normal 2 2 10 17 5 3" xfId="6592" xr:uid="{00000000-0005-0000-0000-000092190000}"/>
    <cellStyle name="Normal 2 2 10 17 5 4" xfId="6593" xr:uid="{00000000-0005-0000-0000-000093190000}"/>
    <cellStyle name="Normal 2 2 10 17 5 5" xfId="6594" xr:uid="{00000000-0005-0000-0000-000094190000}"/>
    <cellStyle name="Normal 2 2 10 17 5 6" xfId="6595" xr:uid="{00000000-0005-0000-0000-000095190000}"/>
    <cellStyle name="Normal 2 2 10 17 5 7" xfId="6596" xr:uid="{00000000-0005-0000-0000-000096190000}"/>
    <cellStyle name="Normal 2 2 10 17 5 8" xfId="6597" xr:uid="{00000000-0005-0000-0000-000097190000}"/>
    <cellStyle name="Normal 2 2 10 17 5 9" xfId="6598" xr:uid="{00000000-0005-0000-0000-000098190000}"/>
    <cellStyle name="Normal 2 2 10 17 6" xfId="6599" xr:uid="{00000000-0005-0000-0000-000099190000}"/>
    <cellStyle name="Normal 2 2 10 17 7" xfId="6600" xr:uid="{00000000-0005-0000-0000-00009A190000}"/>
    <cellStyle name="Normal 2 2 10 17 8" xfId="6601" xr:uid="{00000000-0005-0000-0000-00009B190000}"/>
    <cellStyle name="Normal 2 2 10 17 9" xfId="6602" xr:uid="{00000000-0005-0000-0000-00009C190000}"/>
    <cellStyle name="Normal 2 2 10 18" xfId="6603" xr:uid="{00000000-0005-0000-0000-00009D190000}"/>
    <cellStyle name="Normal 2 2 10 18 10" xfId="6604" xr:uid="{00000000-0005-0000-0000-00009E190000}"/>
    <cellStyle name="Normal 2 2 10 18 11" xfId="6605" xr:uid="{00000000-0005-0000-0000-00009F190000}"/>
    <cellStyle name="Normal 2 2 10 18 12" xfId="6606" xr:uid="{00000000-0005-0000-0000-0000A0190000}"/>
    <cellStyle name="Normal 2 2 10 18 13" xfId="6607" xr:uid="{00000000-0005-0000-0000-0000A1190000}"/>
    <cellStyle name="Normal 2 2 10 18 14" xfId="6608" xr:uid="{00000000-0005-0000-0000-0000A2190000}"/>
    <cellStyle name="Normal 2 2 10 18 2" xfId="6609" xr:uid="{00000000-0005-0000-0000-0000A3190000}"/>
    <cellStyle name="Normal 2 2 10 18 2 10" xfId="6610" xr:uid="{00000000-0005-0000-0000-0000A4190000}"/>
    <cellStyle name="Normal 2 2 10 18 2 2" xfId="6611" xr:uid="{00000000-0005-0000-0000-0000A5190000}"/>
    <cellStyle name="Normal 2 2 10 18 2 3" xfId="6612" xr:uid="{00000000-0005-0000-0000-0000A6190000}"/>
    <cellStyle name="Normal 2 2 10 18 2 4" xfId="6613" xr:uid="{00000000-0005-0000-0000-0000A7190000}"/>
    <cellStyle name="Normal 2 2 10 18 2 5" xfId="6614" xr:uid="{00000000-0005-0000-0000-0000A8190000}"/>
    <cellStyle name="Normal 2 2 10 18 2 6" xfId="6615" xr:uid="{00000000-0005-0000-0000-0000A9190000}"/>
    <cellStyle name="Normal 2 2 10 18 2 7" xfId="6616" xr:uid="{00000000-0005-0000-0000-0000AA190000}"/>
    <cellStyle name="Normal 2 2 10 18 2 8" xfId="6617" xr:uid="{00000000-0005-0000-0000-0000AB190000}"/>
    <cellStyle name="Normal 2 2 10 18 2 9" xfId="6618" xr:uid="{00000000-0005-0000-0000-0000AC190000}"/>
    <cellStyle name="Normal 2 2 10 18 3" xfId="6619" xr:uid="{00000000-0005-0000-0000-0000AD190000}"/>
    <cellStyle name="Normal 2 2 10 18 3 10" xfId="6620" xr:uid="{00000000-0005-0000-0000-0000AE190000}"/>
    <cellStyle name="Normal 2 2 10 18 3 2" xfId="6621" xr:uid="{00000000-0005-0000-0000-0000AF190000}"/>
    <cellStyle name="Normal 2 2 10 18 3 3" xfId="6622" xr:uid="{00000000-0005-0000-0000-0000B0190000}"/>
    <cellStyle name="Normal 2 2 10 18 3 4" xfId="6623" xr:uid="{00000000-0005-0000-0000-0000B1190000}"/>
    <cellStyle name="Normal 2 2 10 18 3 5" xfId="6624" xr:uid="{00000000-0005-0000-0000-0000B2190000}"/>
    <cellStyle name="Normal 2 2 10 18 3 6" xfId="6625" xr:uid="{00000000-0005-0000-0000-0000B3190000}"/>
    <cellStyle name="Normal 2 2 10 18 3 7" xfId="6626" xr:uid="{00000000-0005-0000-0000-0000B4190000}"/>
    <cellStyle name="Normal 2 2 10 18 3 8" xfId="6627" xr:uid="{00000000-0005-0000-0000-0000B5190000}"/>
    <cellStyle name="Normal 2 2 10 18 3 9" xfId="6628" xr:uid="{00000000-0005-0000-0000-0000B6190000}"/>
    <cellStyle name="Normal 2 2 10 18 4" xfId="6629" xr:uid="{00000000-0005-0000-0000-0000B7190000}"/>
    <cellStyle name="Normal 2 2 10 18 4 10" xfId="6630" xr:uid="{00000000-0005-0000-0000-0000B8190000}"/>
    <cellStyle name="Normal 2 2 10 18 4 2" xfId="6631" xr:uid="{00000000-0005-0000-0000-0000B9190000}"/>
    <cellStyle name="Normal 2 2 10 18 4 3" xfId="6632" xr:uid="{00000000-0005-0000-0000-0000BA190000}"/>
    <cellStyle name="Normal 2 2 10 18 4 4" xfId="6633" xr:uid="{00000000-0005-0000-0000-0000BB190000}"/>
    <cellStyle name="Normal 2 2 10 18 4 5" xfId="6634" xr:uid="{00000000-0005-0000-0000-0000BC190000}"/>
    <cellStyle name="Normal 2 2 10 18 4 6" xfId="6635" xr:uid="{00000000-0005-0000-0000-0000BD190000}"/>
    <cellStyle name="Normal 2 2 10 18 4 7" xfId="6636" xr:uid="{00000000-0005-0000-0000-0000BE190000}"/>
    <cellStyle name="Normal 2 2 10 18 4 8" xfId="6637" xr:uid="{00000000-0005-0000-0000-0000BF190000}"/>
    <cellStyle name="Normal 2 2 10 18 4 9" xfId="6638" xr:uid="{00000000-0005-0000-0000-0000C0190000}"/>
    <cellStyle name="Normal 2 2 10 18 5" xfId="6639" xr:uid="{00000000-0005-0000-0000-0000C1190000}"/>
    <cellStyle name="Normal 2 2 10 18 5 10" xfId="6640" xr:uid="{00000000-0005-0000-0000-0000C2190000}"/>
    <cellStyle name="Normal 2 2 10 18 5 2" xfId="6641" xr:uid="{00000000-0005-0000-0000-0000C3190000}"/>
    <cellStyle name="Normal 2 2 10 18 5 3" xfId="6642" xr:uid="{00000000-0005-0000-0000-0000C4190000}"/>
    <cellStyle name="Normal 2 2 10 18 5 4" xfId="6643" xr:uid="{00000000-0005-0000-0000-0000C5190000}"/>
    <cellStyle name="Normal 2 2 10 18 5 5" xfId="6644" xr:uid="{00000000-0005-0000-0000-0000C6190000}"/>
    <cellStyle name="Normal 2 2 10 18 5 6" xfId="6645" xr:uid="{00000000-0005-0000-0000-0000C7190000}"/>
    <cellStyle name="Normal 2 2 10 18 5 7" xfId="6646" xr:uid="{00000000-0005-0000-0000-0000C8190000}"/>
    <cellStyle name="Normal 2 2 10 18 5 8" xfId="6647" xr:uid="{00000000-0005-0000-0000-0000C9190000}"/>
    <cellStyle name="Normal 2 2 10 18 5 9" xfId="6648" xr:uid="{00000000-0005-0000-0000-0000CA190000}"/>
    <cellStyle name="Normal 2 2 10 18 6" xfId="6649" xr:uid="{00000000-0005-0000-0000-0000CB190000}"/>
    <cellStyle name="Normal 2 2 10 18 7" xfId="6650" xr:uid="{00000000-0005-0000-0000-0000CC190000}"/>
    <cellStyle name="Normal 2 2 10 18 8" xfId="6651" xr:uid="{00000000-0005-0000-0000-0000CD190000}"/>
    <cellStyle name="Normal 2 2 10 18 9" xfId="6652" xr:uid="{00000000-0005-0000-0000-0000CE190000}"/>
    <cellStyle name="Normal 2 2 10 19" xfId="6653" xr:uid="{00000000-0005-0000-0000-0000CF190000}"/>
    <cellStyle name="Normal 2 2 10 19 10" xfId="6654" xr:uid="{00000000-0005-0000-0000-0000D0190000}"/>
    <cellStyle name="Normal 2 2 10 19 11" xfId="6655" xr:uid="{00000000-0005-0000-0000-0000D1190000}"/>
    <cellStyle name="Normal 2 2 10 19 12" xfId="6656" xr:uid="{00000000-0005-0000-0000-0000D2190000}"/>
    <cellStyle name="Normal 2 2 10 19 13" xfId="6657" xr:uid="{00000000-0005-0000-0000-0000D3190000}"/>
    <cellStyle name="Normal 2 2 10 19 14" xfId="6658" xr:uid="{00000000-0005-0000-0000-0000D4190000}"/>
    <cellStyle name="Normal 2 2 10 19 2" xfId="6659" xr:uid="{00000000-0005-0000-0000-0000D5190000}"/>
    <cellStyle name="Normal 2 2 10 19 2 10" xfId="6660" xr:uid="{00000000-0005-0000-0000-0000D6190000}"/>
    <cellStyle name="Normal 2 2 10 19 2 2" xfId="6661" xr:uid="{00000000-0005-0000-0000-0000D7190000}"/>
    <cellStyle name="Normal 2 2 10 19 2 3" xfId="6662" xr:uid="{00000000-0005-0000-0000-0000D8190000}"/>
    <cellStyle name="Normal 2 2 10 19 2 4" xfId="6663" xr:uid="{00000000-0005-0000-0000-0000D9190000}"/>
    <cellStyle name="Normal 2 2 10 19 2 5" xfId="6664" xr:uid="{00000000-0005-0000-0000-0000DA190000}"/>
    <cellStyle name="Normal 2 2 10 19 2 6" xfId="6665" xr:uid="{00000000-0005-0000-0000-0000DB190000}"/>
    <cellStyle name="Normal 2 2 10 19 2 7" xfId="6666" xr:uid="{00000000-0005-0000-0000-0000DC190000}"/>
    <cellStyle name="Normal 2 2 10 19 2 8" xfId="6667" xr:uid="{00000000-0005-0000-0000-0000DD190000}"/>
    <cellStyle name="Normal 2 2 10 19 2 9" xfId="6668" xr:uid="{00000000-0005-0000-0000-0000DE190000}"/>
    <cellStyle name="Normal 2 2 10 19 3" xfId="6669" xr:uid="{00000000-0005-0000-0000-0000DF190000}"/>
    <cellStyle name="Normal 2 2 10 19 3 10" xfId="6670" xr:uid="{00000000-0005-0000-0000-0000E0190000}"/>
    <cellStyle name="Normal 2 2 10 19 3 2" xfId="6671" xr:uid="{00000000-0005-0000-0000-0000E1190000}"/>
    <cellStyle name="Normal 2 2 10 19 3 3" xfId="6672" xr:uid="{00000000-0005-0000-0000-0000E2190000}"/>
    <cellStyle name="Normal 2 2 10 19 3 4" xfId="6673" xr:uid="{00000000-0005-0000-0000-0000E3190000}"/>
    <cellStyle name="Normal 2 2 10 19 3 5" xfId="6674" xr:uid="{00000000-0005-0000-0000-0000E4190000}"/>
    <cellStyle name="Normal 2 2 10 19 3 6" xfId="6675" xr:uid="{00000000-0005-0000-0000-0000E5190000}"/>
    <cellStyle name="Normal 2 2 10 19 3 7" xfId="6676" xr:uid="{00000000-0005-0000-0000-0000E6190000}"/>
    <cellStyle name="Normal 2 2 10 19 3 8" xfId="6677" xr:uid="{00000000-0005-0000-0000-0000E7190000}"/>
    <cellStyle name="Normal 2 2 10 19 3 9" xfId="6678" xr:uid="{00000000-0005-0000-0000-0000E8190000}"/>
    <cellStyle name="Normal 2 2 10 19 4" xfId="6679" xr:uid="{00000000-0005-0000-0000-0000E9190000}"/>
    <cellStyle name="Normal 2 2 10 19 4 10" xfId="6680" xr:uid="{00000000-0005-0000-0000-0000EA190000}"/>
    <cellStyle name="Normal 2 2 10 19 4 2" xfId="6681" xr:uid="{00000000-0005-0000-0000-0000EB190000}"/>
    <cellStyle name="Normal 2 2 10 19 4 3" xfId="6682" xr:uid="{00000000-0005-0000-0000-0000EC190000}"/>
    <cellStyle name="Normal 2 2 10 19 4 4" xfId="6683" xr:uid="{00000000-0005-0000-0000-0000ED190000}"/>
    <cellStyle name="Normal 2 2 10 19 4 5" xfId="6684" xr:uid="{00000000-0005-0000-0000-0000EE190000}"/>
    <cellStyle name="Normal 2 2 10 19 4 6" xfId="6685" xr:uid="{00000000-0005-0000-0000-0000EF190000}"/>
    <cellStyle name="Normal 2 2 10 19 4 7" xfId="6686" xr:uid="{00000000-0005-0000-0000-0000F0190000}"/>
    <cellStyle name="Normal 2 2 10 19 4 8" xfId="6687" xr:uid="{00000000-0005-0000-0000-0000F1190000}"/>
    <cellStyle name="Normal 2 2 10 19 4 9" xfId="6688" xr:uid="{00000000-0005-0000-0000-0000F2190000}"/>
    <cellStyle name="Normal 2 2 10 19 5" xfId="6689" xr:uid="{00000000-0005-0000-0000-0000F3190000}"/>
    <cellStyle name="Normal 2 2 10 19 5 10" xfId="6690" xr:uid="{00000000-0005-0000-0000-0000F4190000}"/>
    <cellStyle name="Normal 2 2 10 19 5 2" xfId="6691" xr:uid="{00000000-0005-0000-0000-0000F5190000}"/>
    <cellStyle name="Normal 2 2 10 19 5 3" xfId="6692" xr:uid="{00000000-0005-0000-0000-0000F6190000}"/>
    <cellStyle name="Normal 2 2 10 19 5 4" xfId="6693" xr:uid="{00000000-0005-0000-0000-0000F7190000}"/>
    <cellStyle name="Normal 2 2 10 19 5 5" xfId="6694" xr:uid="{00000000-0005-0000-0000-0000F8190000}"/>
    <cellStyle name="Normal 2 2 10 19 5 6" xfId="6695" xr:uid="{00000000-0005-0000-0000-0000F9190000}"/>
    <cellStyle name="Normal 2 2 10 19 5 7" xfId="6696" xr:uid="{00000000-0005-0000-0000-0000FA190000}"/>
    <cellStyle name="Normal 2 2 10 19 5 8" xfId="6697" xr:uid="{00000000-0005-0000-0000-0000FB190000}"/>
    <cellStyle name="Normal 2 2 10 19 5 9" xfId="6698" xr:uid="{00000000-0005-0000-0000-0000FC190000}"/>
    <cellStyle name="Normal 2 2 10 19 6" xfId="6699" xr:uid="{00000000-0005-0000-0000-0000FD190000}"/>
    <cellStyle name="Normal 2 2 10 19 7" xfId="6700" xr:uid="{00000000-0005-0000-0000-0000FE190000}"/>
    <cellStyle name="Normal 2 2 10 19 8" xfId="6701" xr:uid="{00000000-0005-0000-0000-0000FF190000}"/>
    <cellStyle name="Normal 2 2 10 19 9" xfId="6702" xr:uid="{00000000-0005-0000-0000-0000001A0000}"/>
    <cellStyle name="Normal 2 2 10 2" xfId="6703" xr:uid="{00000000-0005-0000-0000-0000011A0000}"/>
    <cellStyle name="Normal 2 2 10 2 10" xfId="6704" xr:uid="{00000000-0005-0000-0000-0000021A0000}"/>
    <cellStyle name="Normal 2 2 10 2 10 10" xfId="6705" xr:uid="{00000000-0005-0000-0000-0000031A0000}"/>
    <cellStyle name="Normal 2 2 10 2 10 11" xfId="6706" xr:uid="{00000000-0005-0000-0000-0000041A0000}"/>
    <cellStyle name="Normal 2 2 10 2 10 12" xfId="6707" xr:uid="{00000000-0005-0000-0000-0000051A0000}"/>
    <cellStyle name="Normal 2 2 10 2 10 13" xfId="6708" xr:uid="{00000000-0005-0000-0000-0000061A0000}"/>
    <cellStyle name="Normal 2 2 10 2 10 14" xfId="6709" xr:uid="{00000000-0005-0000-0000-0000071A0000}"/>
    <cellStyle name="Normal 2 2 10 2 10 2" xfId="6710" xr:uid="{00000000-0005-0000-0000-0000081A0000}"/>
    <cellStyle name="Normal 2 2 10 2 10 2 10" xfId="6711" xr:uid="{00000000-0005-0000-0000-0000091A0000}"/>
    <cellStyle name="Normal 2 2 10 2 10 2 2" xfId="6712" xr:uid="{00000000-0005-0000-0000-00000A1A0000}"/>
    <cellStyle name="Normal 2 2 10 2 10 2 3" xfId="6713" xr:uid="{00000000-0005-0000-0000-00000B1A0000}"/>
    <cellStyle name="Normal 2 2 10 2 10 2 4" xfId="6714" xr:uid="{00000000-0005-0000-0000-00000C1A0000}"/>
    <cellStyle name="Normal 2 2 10 2 10 2 5" xfId="6715" xr:uid="{00000000-0005-0000-0000-00000D1A0000}"/>
    <cellStyle name="Normal 2 2 10 2 10 2 6" xfId="6716" xr:uid="{00000000-0005-0000-0000-00000E1A0000}"/>
    <cellStyle name="Normal 2 2 10 2 10 2 7" xfId="6717" xr:uid="{00000000-0005-0000-0000-00000F1A0000}"/>
    <cellStyle name="Normal 2 2 10 2 10 2 8" xfId="6718" xr:uid="{00000000-0005-0000-0000-0000101A0000}"/>
    <cellStyle name="Normal 2 2 10 2 10 2 9" xfId="6719" xr:uid="{00000000-0005-0000-0000-0000111A0000}"/>
    <cellStyle name="Normal 2 2 10 2 10 3" xfId="6720" xr:uid="{00000000-0005-0000-0000-0000121A0000}"/>
    <cellStyle name="Normal 2 2 10 2 10 3 10" xfId="6721" xr:uid="{00000000-0005-0000-0000-0000131A0000}"/>
    <cellStyle name="Normal 2 2 10 2 10 3 2" xfId="6722" xr:uid="{00000000-0005-0000-0000-0000141A0000}"/>
    <cellStyle name="Normal 2 2 10 2 10 3 3" xfId="6723" xr:uid="{00000000-0005-0000-0000-0000151A0000}"/>
    <cellStyle name="Normal 2 2 10 2 10 3 4" xfId="6724" xr:uid="{00000000-0005-0000-0000-0000161A0000}"/>
    <cellStyle name="Normal 2 2 10 2 10 3 5" xfId="6725" xr:uid="{00000000-0005-0000-0000-0000171A0000}"/>
    <cellStyle name="Normal 2 2 10 2 10 3 6" xfId="6726" xr:uid="{00000000-0005-0000-0000-0000181A0000}"/>
    <cellStyle name="Normal 2 2 10 2 10 3 7" xfId="6727" xr:uid="{00000000-0005-0000-0000-0000191A0000}"/>
    <cellStyle name="Normal 2 2 10 2 10 3 8" xfId="6728" xr:uid="{00000000-0005-0000-0000-00001A1A0000}"/>
    <cellStyle name="Normal 2 2 10 2 10 3 9" xfId="6729" xr:uid="{00000000-0005-0000-0000-00001B1A0000}"/>
    <cellStyle name="Normal 2 2 10 2 10 4" xfId="6730" xr:uid="{00000000-0005-0000-0000-00001C1A0000}"/>
    <cellStyle name="Normal 2 2 10 2 10 4 10" xfId="6731" xr:uid="{00000000-0005-0000-0000-00001D1A0000}"/>
    <cellStyle name="Normal 2 2 10 2 10 4 2" xfId="6732" xr:uid="{00000000-0005-0000-0000-00001E1A0000}"/>
    <cellStyle name="Normal 2 2 10 2 10 4 3" xfId="6733" xr:uid="{00000000-0005-0000-0000-00001F1A0000}"/>
    <cellStyle name="Normal 2 2 10 2 10 4 4" xfId="6734" xr:uid="{00000000-0005-0000-0000-0000201A0000}"/>
    <cellStyle name="Normal 2 2 10 2 10 4 5" xfId="6735" xr:uid="{00000000-0005-0000-0000-0000211A0000}"/>
    <cellStyle name="Normal 2 2 10 2 10 4 6" xfId="6736" xr:uid="{00000000-0005-0000-0000-0000221A0000}"/>
    <cellStyle name="Normal 2 2 10 2 10 4 7" xfId="6737" xr:uid="{00000000-0005-0000-0000-0000231A0000}"/>
    <cellStyle name="Normal 2 2 10 2 10 4 8" xfId="6738" xr:uid="{00000000-0005-0000-0000-0000241A0000}"/>
    <cellStyle name="Normal 2 2 10 2 10 4 9" xfId="6739" xr:uid="{00000000-0005-0000-0000-0000251A0000}"/>
    <cellStyle name="Normal 2 2 10 2 10 5" xfId="6740" xr:uid="{00000000-0005-0000-0000-0000261A0000}"/>
    <cellStyle name="Normal 2 2 10 2 10 5 10" xfId="6741" xr:uid="{00000000-0005-0000-0000-0000271A0000}"/>
    <cellStyle name="Normal 2 2 10 2 10 5 2" xfId="6742" xr:uid="{00000000-0005-0000-0000-0000281A0000}"/>
    <cellStyle name="Normal 2 2 10 2 10 5 3" xfId="6743" xr:uid="{00000000-0005-0000-0000-0000291A0000}"/>
    <cellStyle name="Normal 2 2 10 2 10 5 4" xfId="6744" xr:uid="{00000000-0005-0000-0000-00002A1A0000}"/>
    <cellStyle name="Normal 2 2 10 2 10 5 5" xfId="6745" xr:uid="{00000000-0005-0000-0000-00002B1A0000}"/>
    <cellStyle name="Normal 2 2 10 2 10 5 6" xfId="6746" xr:uid="{00000000-0005-0000-0000-00002C1A0000}"/>
    <cellStyle name="Normal 2 2 10 2 10 5 7" xfId="6747" xr:uid="{00000000-0005-0000-0000-00002D1A0000}"/>
    <cellStyle name="Normal 2 2 10 2 10 5 8" xfId="6748" xr:uid="{00000000-0005-0000-0000-00002E1A0000}"/>
    <cellStyle name="Normal 2 2 10 2 10 5 9" xfId="6749" xr:uid="{00000000-0005-0000-0000-00002F1A0000}"/>
    <cellStyle name="Normal 2 2 10 2 10 6" xfId="6750" xr:uid="{00000000-0005-0000-0000-0000301A0000}"/>
    <cellStyle name="Normal 2 2 10 2 10 7" xfId="6751" xr:uid="{00000000-0005-0000-0000-0000311A0000}"/>
    <cellStyle name="Normal 2 2 10 2 10 8" xfId="6752" xr:uid="{00000000-0005-0000-0000-0000321A0000}"/>
    <cellStyle name="Normal 2 2 10 2 10 9" xfId="6753" xr:uid="{00000000-0005-0000-0000-0000331A0000}"/>
    <cellStyle name="Normal 2 2 10 2 11" xfId="6754" xr:uid="{00000000-0005-0000-0000-0000341A0000}"/>
    <cellStyle name="Normal 2 2 10 2 11 10" xfId="6755" xr:uid="{00000000-0005-0000-0000-0000351A0000}"/>
    <cellStyle name="Normal 2 2 10 2 11 11" xfId="6756" xr:uid="{00000000-0005-0000-0000-0000361A0000}"/>
    <cellStyle name="Normal 2 2 10 2 11 12" xfId="6757" xr:uid="{00000000-0005-0000-0000-0000371A0000}"/>
    <cellStyle name="Normal 2 2 10 2 11 13" xfId="6758" xr:uid="{00000000-0005-0000-0000-0000381A0000}"/>
    <cellStyle name="Normal 2 2 10 2 11 14" xfId="6759" xr:uid="{00000000-0005-0000-0000-0000391A0000}"/>
    <cellStyle name="Normal 2 2 10 2 11 2" xfId="6760" xr:uid="{00000000-0005-0000-0000-00003A1A0000}"/>
    <cellStyle name="Normal 2 2 10 2 11 2 10" xfId="6761" xr:uid="{00000000-0005-0000-0000-00003B1A0000}"/>
    <cellStyle name="Normal 2 2 10 2 11 2 2" xfId="6762" xr:uid="{00000000-0005-0000-0000-00003C1A0000}"/>
    <cellStyle name="Normal 2 2 10 2 11 2 3" xfId="6763" xr:uid="{00000000-0005-0000-0000-00003D1A0000}"/>
    <cellStyle name="Normal 2 2 10 2 11 2 4" xfId="6764" xr:uid="{00000000-0005-0000-0000-00003E1A0000}"/>
    <cellStyle name="Normal 2 2 10 2 11 2 5" xfId="6765" xr:uid="{00000000-0005-0000-0000-00003F1A0000}"/>
    <cellStyle name="Normal 2 2 10 2 11 2 6" xfId="6766" xr:uid="{00000000-0005-0000-0000-0000401A0000}"/>
    <cellStyle name="Normal 2 2 10 2 11 2 7" xfId="6767" xr:uid="{00000000-0005-0000-0000-0000411A0000}"/>
    <cellStyle name="Normal 2 2 10 2 11 2 8" xfId="6768" xr:uid="{00000000-0005-0000-0000-0000421A0000}"/>
    <cellStyle name="Normal 2 2 10 2 11 2 9" xfId="6769" xr:uid="{00000000-0005-0000-0000-0000431A0000}"/>
    <cellStyle name="Normal 2 2 10 2 11 3" xfId="6770" xr:uid="{00000000-0005-0000-0000-0000441A0000}"/>
    <cellStyle name="Normal 2 2 10 2 11 3 10" xfId="6771" xr:uid="{00000000-0005-0000-0000-0000451A0000}"/>
    <cellStyle name="Normal 2 2 10 2 11 3 2" xfId="6772" xr:uid="{00000000-0005-0000-0000-0000461A0000}"/>
    <cellStyle name="Normal 2 2 10 2 11 3 3" xfId="6773" xr:uid="{00000000-0005-0000-0000-0000471A0000}"/>
    <cellStyle name="Normal 2 2 10 2 11 3 4" xfId="6774" xr:uid="{00000000-0005-0000-0000-0000481A0000}"/>
    <cellStyle name="Normal 2 2 10 2 11 3 5" xfId="6775" xr:uid="{00000000-0005-0000-0000-0000491A0000}"/>
    <cellStyle name="Normal 2 2 10 2 11 3 6" xfId="6776" xr:uid="{00000000-0005-0000-0000-00004A1A0000}"/>
    <cellStyle name="Normal 2 2 10 2 11 3 7" xfId="6777" xr:uid="{00000000-0005-0000-0000-00004B1A0000}"/>
    <cellStyle name="Normal 2 2 10 2 11 3 8" xfId="6778" xr:uid="{00000000-0005-0000-0000-00004C1A0000}"/>
    <cellStyle name="Normal 2 2 10 2 11 3 9" xfId="6779" xr:uid="{00000000-0005-0000-0000-00004D1A0000}"/>
    <cellStyle name="Normal 2 2 10 2 11 4" xfId="6780" xr:uid="{00000000-0005-0000-0000-00004E1A0000}"/>
    <cellStyle name="Normal 2 2 10 2 11 4 10" xfId="6781" xr:uid="{00000000-0005-0000-0000-00004F1A0000}"/>
    <cellStyle name="Normal 2 2 10 2 11 4 2" xfId="6782" xr:uid="{00000000-0005-0000-0000-0000501A0000}"/>
    <cellStyle name="Normal 2 2 10 2 11 4 3" xfId="6783" xr:uid="{00000000-0005-0000-0000-0000511A0000}"/>
    <cellStyle name="Normal 2 2 10 2 11 4 4" xfId="6784" xr:uid="{00000000-0005-0000-0000-0000521A0000}"/>
    <cellStyle name="Normal 2 2 10 2 11 4 5" xfId="6785" xr:uid="{00000000-0005-0000-0000-0000531A0000}"/>
    <cellStyle name="Normal 2 2 10 2 11 4 6" xfId="6786" xr:uid="{00000000-0005-0000-0000-0000541A0000}"/>
    <cellStyle name="Normal 2 2 10 2 11 4 7" xfId="6787" xr:uid="{00000000-0005-0000-0000-0000551A0000}"/>
    <cellStyle name="Normal 2 2 10 2 11 4 8" xfId="6788" xr:uid="{00000000-0005-0000-0000-0000561A0000}"/>
    <cellStyle name="Normal 2 2 10 2 11 4 9" xfId="6789" xr:uid="{00000000-0005-0000-0000-0000571A0000}"/>
    <cellStyle name="Normal 2 2 10 2 11 5" xfId="6790" xr:uid="{00000000-0005-0000-0000-0000581A0000}"/>
    <cellStyle name="Normal 2 2 10 2 11 5 10" xfId="6791" xr:uid="{00000000-0005-0000-0000-0000591A0000}"/>
    <cellStyle name="Normal 2 2 10 2 11 5 2" xfId="6792" xr:uid="{00000000-0005-0000-0000-00005A1A0000}"/>
    <cellStyle name="Normal 2 2 10 2 11 5 3" xfId="6793" xr:uid="{00000000-0005-0000-0000-00005B1A0000}"/>
    <cellStyle name="Normal 2 2 10 2 11 5 4" xfId="6794" xr:uid="{00000000-0005-0000-0000-00005C1A0000}"/>
    <cellStyle name="Normal 2 2 10 2 11 5 5" xfId="6795" xr:uid="{00000000-0005-0000-0000-00005D1A0000}"/>
    <cellStyle name="Normal 2 2 10 2 11 5 6" xfId="6796" xr:uid="{00000000-0005-0000-0000-00005E1A0000}"/>
    <cellStyle name="Normal 2 2 10 2 11 5 7" xfId="6797" xr:uid="{00000000-0005-0000-0000-00005F1A0000}"/>
    <cellStyle name="Normal 2 2 10 2 11 5 8" xfId="6798" xr:uid="{00000000-0005-0000-0000-0000601A0000}"/>
    <cellStyle name="Normal 2 2 10 2 11 5 9" xfId="6799" xr:uid="{00000000-0005-0000-0000-0000611A0000}"/>
    <cellStyle name="Normal 2 2 10 2 11 6" xfId="6800" xr:uid="{00000000-0005-0000-0000-0000621A0000}"/>
    <cellStyle name="Normal 2 2 10 2 11 7" xfId="6801" xr:uid="{00000000-0005-0000-0000-0000631A0000}"/>
    <cellStyle name="Normal 2 2 10 2 11 8" xfId="6802" xr:uid="{00000000-0005-0000-0000-0000641A0000}"/>
    <cellStyle name="Normal 2 2 10 2 11 9" xfId="6803" xr:uid="{00000000-0005-0000-0000-0000651A0000}"/>
    <cellStyle name="Normal 2 2 10 2 12" xfId="6804" xr:uid="{00000000-0005-0000-0000-0000661A0000}"/>
    <cellStyle name="Normal 2 2 10 2 12 10" xfId="6805" xr:uid="{00000000-0005-0000-0000-0000671A0000}"/>
    <cellStyle name="Normal 2 2 10 2 12 11" xfId="6806" xr:uid="{00000000-0005-0000-0000-0000681A0000}"/>
    <cellStyle name="Normal 2 2 10 2 12 12" xfId="6807" xr:uid="{00000000-0005-0000-0000-0000691A0000}"/>
    <cellStyle name="Normal 2 2 10 2 12 13" xfId="6808" xr:uid="{00000000-0005-0000-0000-00006A1A0000}"/>
    <cellStyle name="Normal 2 2 10 2 12 14" xfId="6809" xr:uid="{00000000-0005-0000-0000-00006B1A0000}"/>
    <cellStyle name="Normal 2 2 10 2 12 2" xfId="6810" xr:uid="{00000000-0005-0000-0000-00006C1A0000}"/>
    <cellStyle name="Normal 2 2 10 2 12 2 10" xfId="6811" xr:uid="{00000000-0005-0000-0000-00006D1A0000}"/>
    <cellStyle name="Normal 2 2 10 2 12 2 2" xfId="6812" xr:uid="{00000000-0005-0000-0000-00006E1A0000}"/>
    <cellStyle name="Normal 2 2 10 2 12 2 3" xfId="6813" xr:uid="{00000000-0005-0000-0000-00006F1A0000}"/>
    <cellStyle name="Normal 2 2 10 2 12 2 4" xfId="6814" xr:uid="{00000000-0005-0000-0000-0000701A0000}"/>
    <cellStyle name="Normal 2 2 10 2 12 2 5" xfId="6815" xr:uid="{00000000-0005-0000-0000-0000711A0000}"/>
    <cellStyle name="Normal 2 2 10 2 12 2 6" xfId="6816" xr:uid="{00000000-0005-0000-0000-0000721A0000}"/>
    <cellStyle name="Normal 2 2 10 2 12 2 7" xfId="6817" xr:uid="{00000000-0005-0000-0000-0000731A0000}"/>
    <cellStyle name="Normal 2 2 10 2 12 2 8" xfId="6818" xr:uid="{00000000-0005-0000-0000-0000741A0000}"/>
    <cellStyle name="Normal 2 2 10 2 12 2 9" xfId="6819" xr:uid="{00000000-0005-0000-0000-0000751A0000}"/>
    <cellStyle name="Normal 2 2 10 2 12 3" xfId="6820" xr:uid="{00000000-0005-0000-0000-0000761A0000}"/>
    <cellStyle name="Normal 2 2 10 2 12 3 10" xfId="6821" xr:uid="{00000000-0005-0000-0000-0000771A0000}"/>
    <cellStyle name="Normal 2 2 10 2 12 3 2" xfId="6822" xr:uid="{00000000-0005-0000-0000-0000781A0000}"/>
    <cellStyle name="Normal 2 2 10 2 12 3 3" xfId="6823" xr:uid="{00000000-0005-0000-0000-0000791A0000}"/>
    <cellStyle name="Normal 2 2 10 2 12 3 4" xfId="6824" xr:uid="{00000000-0005-0000-0000-00007A1A0000}"/>
    <cellStyle name="Normal 2 2 10 2 12 3 5" xfId="6825" xr:uid="{00000000-0005-0000-0000-00007B1A0000}"/>
    <cellStyle name="Normal 2 2 10 2 12 3 6" xfId="6826" xr:uid="{00000000-0005-0000-0000-00007C1A0000}"/>
    <cellStyle name="Normal 2 2 10 2 12 3 7" xfId="6827" xr:uid="{00000000-0005-0000-0000-00007D1A0000}"/>
    <cellStyle name="Normal 2 2 10 2 12 3 8" xfId="6828" xr:uid="{00000000-0005-0000-0000-00007E1A0000}"/>
    <cellStyle name="Normal 2 2 10 2 12 3 9" xfId="6829" xr:uid="{00000000-0005-0000-0000-00007F1A0000}"/>
    <cellStyle name="Normal 2 2 10 2 12 4" xfId="6830" xr:uid="{00000000-0005-0000-0000-0000801A0000}"/>
    <cellStyle name="Normal 2 2 10 2 12 4 10" xfId="6831" xr:uid="{00000000-0005-0000-0000-0000811A0000}"/>
    <cellStyle name="Normal 2 2 10 2 12 4 2" xfId="6832" xr:uid="{00000000-0005-0000-0000-0000821A0000}"/>
    <cellStyle name="Normal 2 2 10 2 12 4 3" xfId="6833" xr:uid="{00000000-0005-0000-0000-0000831A0000}"/>
    <cellStyle name="Normal 2 2 10 2 12 4 4" xfId="6834" xr:uid="{00000000-0005-0000-0000-0000841A0000}"/>
    <cellStyle name="Normal 2 2 10 2 12 4 5" xfId="6835" xr:uid="{00000000-0005-0000-0000-0000851A0000}"/>
    <cellStyle name="Normal 2 2 10 2 12 4 6" xfId="6836" xr:uid="{00000000-0005-0000-0000-0000861A0000}"/>
    <cellStyle name="Normal 2 2 10 2 12 4 7" xfId="6837" xr:uid="{00000000-0005-0000-0000-0000871A0000}"/>
    <cellStyle name="Normal 2 2 10 2 12 4 8" xfId="6838" xr:uid="{00000000-0005-0000-0000-0000881A0000}"/>
    <cellStyle name="Normal 2 2 10 2 12 4 9" xfId="6839" xr:uid="{00000000-0005-0000-0000-0000891A0000}"/>
    <cellStyle name="Normal 2 2 10 2 12 5" xfId="6840" xr:uid="{00000000-0005-0000-0000-00008A1A0000}"/>
    <cellStyle name="Normal 2 2 10 2 12 5 10" xfId="6841" xr:uid="{00000000-0005-0000-0000-00008B1A0000}"/>
    <cellStyle name="Normal 2 2 10 2 12 5 2" xfId="6842" xr:uid="{00000000-0005-0000-0000-00008C1A0000}"/>
    <cellStyle name="Normal 2 2 10 2 12 5 3" xfId="6843" xr:uid="{00000000-0005-0000-0000-00008D1A0000}"/>
    <cellStyle name="Normal 2 2 10 2 12 5 4" xfId="6844" xr:uid="{00000000-0005-0000-0000-00008E1A0000}"/>
    <cellStyle name="Normal 2 2 10 2 12 5 5" xfId="6845" xr:uid="{00000000-0005-0000-0000-00008F1A0000}"/>
    <cellStyle name="Normal 2 2 10 2 12 5 6" xfId="6846" xr:uid="{00000000-0005-0000-0000-0000901A0000}"/>
    <cellStyle name="Normal 2 2 10 2 12 5 7" xfId="6847" xr:uid="{00000000-0005-0000-0000-0000911A0000}"/>
    <cellStyle name="Normal 2 2 10 2 12 5 8" xfId="6848" xr:uid="{00000000-0005-0000-0000-0000921A0000}"/>
    <cellStyle name="Normal 2 2 10 2 12 5 9" xfId="6849" xr:uid="{00000000-0005-0000-0000-0000931A0000}"/>
    <cellStyle name="Normal 2 2 10 2 12 6" xfId="6850" xr:uid="{00000000-0005-0000-0000-0000941A0000}"/>
    <cellStyle name="Normal 2 2 10 2 12 7" xfId="6851" xr:uid="{00000000-0005-0000-0000-0000951A0000}"/>
    <cellStyle name="Normal 2 2 10 2 12 8" xfId="6852" xr:uid="{00000000-0005-0000-0000-0000961A0000}"/>
    <cellStyle name="Normal 2 2 10 2 12 9" xfId="6853" xr:uid="{00000000-0005-0000-0000-0000971A0000}"/>
    <cellStyle name="Normal 2 2 10 2 13" xfId="6854" xr:uid="{00000000-0005-0000-0000-0000981A0000}"/>
    <cellStyle name="Normal 2 2 10 2 13 10" xfId="6855" xr:uid="{00000000-0005-0000-0000-0000991A0000}"/>
    <cellStyle name="Normal 2 2 10 2 13 11" xfId="6856" xr:uid="{00000000-0005-0000-0000-00009A1A0000}"/>
    <cellStyle name="Normal 2 2 10 2 13 12" xfId="6857" xr:uid="{00000000-0005-0000-0000-00009B1A0000}"/>
    <cellStyle name="Normal 2 2 10 2 13 13" xfId="6858" xr:uid="{00000000-0005-0000-0000-00009C1A0000}"/>
    <cellStyle name="Normal 2 2 10 2 13 14" xfId="6859" xr:uid="{00000000-0005-0000-0000-00009D1A0000}"/>
    <cellStyle name="Normal 2 2 10 2 13 2" xfId="6860" xr:uid="{00000000-0005-0000-0000-00009E1A0000}"/>
    <cellStyle name="Normal 2 2 10 2 13 2 10" xfId="6861" xr:uid="{00000000-0005-0000-0000-00009F1A0000}"/>
    <cellStyle name="Normal 2 2 10 2 13 2 2" xfId="6862" xr:uid="{00000000-0005-0000-0000-0000A01A0000}"/>
    <cellStyle name="Normal 2 2 10 2 13 2 3" xfId="6863" xr:uid="{00000000-0005-0000-0000-0000A11A0000}"/>
    <cellStyle name="Normal 2 2 10 2 13 2 4" xfId="6864" xr:uid="{00000000-0005-0000-0000-0000A21A0000}"/>
    <cellStyle name="Normal 2 2 10 2 13 2 5" xfId="6865" xr:uid="{00000000-0005-0000-0000-0000A31A0000}"/>
    <cellStyle name="Normal 2 2 10 2 13 2 6" xfId="6866" xr:uid="{00000000-0005-0000-0000-0000A41A0000}"/>
    <cellStyle name="Normal 2 2 10 2 13 2 7" xfId="6867" xr:uid="{00000000-0005-0000-0000-0000A51A0000}"/>
    <cellStyle name="Normal 2 2 10 2 13 2 8" xfId="6868" xr:uid="{00000000-0005-0000-0000-0000A61A0000}"/>
    <cellStyle name="Normal 2 2 10 2 13 2 9" xfId="6869" xr:uid="{00000000-0005-0000-0000-0000A71A0000}"/>
    <cellStyle name="Normal 2 2 10 2 13 3" xfId="6870" xr:uid="{00000000-0005-0000-0000-0000A81A0000}"/>
    <cellStyle name="Normal 2 2 10 2 13 3 10" xfId="6871" xr:uid="{00000000-0005-0000-0000-0000A91A0000}"/>
    <cellStyle name="Normal 2 2 10 2 13 3 2" xfId="6872" xr:uid="{00000000-0005-0000-0000-0000AA1A0000}"/>
    <cellStyle name="Normal 2 2 10 2 13 3 3" xfId="6873" xr:uid="{00000000-0005-0000-0000-0000AB1A0000}"/>
    <cellStyle name="Normal 2 2 10 2 13 3 4" xfId="6874" xr:uid="{00000000-0005-0000-0000-0000AC1A0000}"/>
    <cellStyle name="Normal 2 2 10 2 13 3 5" xfId="6875" xr:uid="{00000000-0005-0000-0000-0000AD1A0000}"/>
    <cellStyle name="Normal 2 2 10 2 13 3 6" xfId="6876" xr:uid="{00000000-0005-0000-0000-0000AE1A0000}"/>
    <cellStyle name="Normal 2 2 10 2 13 3 7" xfId="6877" xr:uid="{00000000-0005-0000-0000-0000AF1A0000}"/>
    <cellStyle name="Normal 2 2 10 2 13 3 8" xfId="6878" xr:uid="{00000000-0005-0000-0000-0000B01A0000}"/>
    <cellStyle name="Normal 2 2 10 2 13 3 9" xfId="6879" xr:uid="{00000000-0005-0000-0000-0000B11A0000}"/>
    <cellStyle name="Normal 2 2 10 2 13 4" xfId="6880" xr:uid="{00000000-0005-0000-0000-0000B21A0000}"/>
    <cellStyle name="Normal 2 2 10 2 13 4 10" xfId="6881" xr:uid="{00000000-0005-0000-0000-0000B31A0000}"/>
    <cellStyle name="Normal 2 2 10 2 13 4 2" xfId="6882" xr:uid="{00000000-0005-0000-0000-0000B41A0000}"/>
    <cellStyle name="Normal 2 2 10 2 13 4 3" xfId="6883" xr:uid="{00000000-0005-0000-0000-0000B51A0000}"/>
    <cellStyle name="Normal 2 2 10 2 13 4 4" xfId="6884" xr:uid="{00000000-0005-0000-0000-0000B61A0000}"/>
    <cellStyle name="Normal 2 2 10 2 13 4 5" xfId="6885" xr:uid="{00000000-0005-0000-0000-0000B71A0000}"/>
    <cellStyle name="Normal 2 2 10 2 13 4 6" xfId="6886" xr:uid="{00000000-0005-0000-0000-0000B81A0000}"/>
    <cellStyle name="Normal 2 2 10 2 13 4 7" xfId="6887" xr:uid="{00000000-0005-0000-0000-0000B91A0000}"/>
    <cellStyle name="Normal 2 2 10 2 13 4 8" xfId="6888" xr:uid="{00000000-0005-0000-0000-0000BA1A0000}"/>
    <cellStyle name="Normal 2 2 10 2 13 4 9" xfId="6889" xr:uid="{00000000-0005-0000-0000-0000BB1A0000}"/>
    <cellStyle name="Normal 2 2 10 2 13 5" xfId="6890" xr:uid="{00000000-0005-0000-0000-0000BC1A0000}"/>
    <cellStyle name="Normal 2 2 10 2 13 5 10" xfId="6891" xr:uid="{00000000-0005-0000-0000-0000BD1A0000}"/>
    <cellStyle name="Normal 2 2 10 2 13 5 2" xfId="6892" xr:uid="{00000000-0005-0000-0000-0000BE1A0000}"/>
    <cellStyle name="Normal 2 2 10 2 13 5 3" xfId="6893" xr:uid="{00000000-0005-0000-0000-0000BF1A0000}"/>
    <cellStyle name="Normal 2 2 10 2 13 5 4" xfId="6894" xr:uid="{00000000-0005-0000-0000-0000C01A0000}"/>
    <cellStyle name="Normal 2 2 10 2 13 5 5" xfId="6895" xr:uid="{00000000-0005-0000-0000-0000C11A0000}"/>
    <cellStyle name="Normal 2 2 10 2 13 5 6" xfId="6896" xr:uid="{00000000-0005-0000-0000-0000C21A0000}"/>
    <cellStyle name="Normal 2 2 10 2 13 5 7" xfId="6897" xr:uid="{00000000-0005-0000-0000-0000C31A0000}"/>
    <cellStyle name="Normal 2 2 10 2 13 5 8" xfId="6898" xr:uid="{00000000-0005-0000-0000-0000C41A0000}"/>
    <cellStyle name="Normal 2 2 10 2 13 5 9" xfId="6899" xr:uid="{00000000-0005-0000-0000-0000C51A0000}"/>
    <cellStyle name="Normal 2 2 10 2 13 6" xfId="6900" xr:uid="{00000000-0005-0000-0000-0000C61A0000}"/>
    <cellStyle name="Normal 2 2 10 2 13 7" xfId="6901" xr:uid="{00000000-0005-0000-0000-0000C71A0000}"/>
    <cellStyle name="Normal 2 2 10 2 13 8" xfId="6902" xr:uid="{00000000-0005-0000-0000-0000C81A0000}"/>
    <cellStyle name="Normal 2 2 10 2 13 9" xfId="6903" xr:uid="{00000000-0005-0000-0000-0000C91A0000}"/>
    <cellStyle name="Normal 2 2 10 2 14" xfId="6904" xr:uid="{00000000-0005-0000-0000-0000CA1A0000}"/>
    <cellStyle name="Normal 2 2 10 2 14 10" xfId="6905" xr:uid="{00000000-0005-0000-0000-0000CB1A0000}"/>
    <cellStyle name="Normal 2 2 10 2 14 11" xfId="6906" xr:uid="{00000000-0005-0000-0000-0000CC1A0000}"/>
    <cellStyle name="Normal 2 2 10 2 14 12" xfId="6907" xr:uid="{00000000-0005-0000-0000-0000CD1A0000}"/>
    <cellStyle name="Normal 2 2 10 2 14 13" xfId="6908" xr:uid="{00000000-0005-0000-0000-0000CE1A0000}"/>
    <cellStyle name="Normal 2 2 10 2 14 14" xfId="6909" xr:uid="{00000000-0005-0000-0000-0000CF1A0000}"/>
    <cellStyle name="Normal 2 2 10 2 14 2" xfId="6910" xr:uid="{00000000-0005-0000-0000-0000D01A0000}"/>
    <cellStyle name="Normal 2 2 10 2 14 2 10" xfId="6911" xr:uid="{00000000-0005-0000-0000-0000D11A0000}"/>
    <cellStyle name="Normal 2 2 10 2 14 2 2" xfId="6912" xr:uid="{00000000-0005-0000-0000-0000D21A0000}"/>
    <cellStyle name="Normal 2 2 10 2 14 2 3" xfId="6913" xr:uid="{00000000-0005-0000-0000-0000D31A0000}"/>
    <cellStyle name="Normal 2 2 10 2 14 2 4" xfId="6914" xr:uid="{00000000-0005-0000-0000-0000D41A0000}"/>
    <cellStyle name="Normal 2 2 10 2 14 2 5" xfId="6915" xr:uid="{00000000-0005-0000-0000-0000D51A0000}"/>
    <cellStyle name="Normal 2 2 10 2 14 2 6" xfId="6916" xr:uid="{00000000-0005-0000-0000-0000D61A0000}"/>
    <cellStyle name="Normal 2 2 10 2 14 2 7" xfId="6917" xr:uid="{00000000-0005-0000-0000-0000D71A0000}"/>
    <cellStyle name="Normal 2 2 10 2 14 2 8" xfId="6918" xr:uid="{00000000-0005-0000-0000-0000D81A0000}"/>
    <cellStyle name="Normal 2 2 10 2 14 2 9" xfId="6919" xr:uid="{00000000-0005-0000-0000-0000D91A0000}"/>
    <cellStyle name="Normal 2 2 10 2 14 3" xfId="6920" xr:uid="{00000000-0005-0000-0000-0000DA1A0000}"/>
    <cellStyle name="Normal 2 2 10 2 14 3 10" xfId="6921" xr:uid="{00000000-0005-0000-0000-0000DB1A0000}"/>
    <cellStyle name="Normal 2 2 10 2 14 3 2" xfId="6922" xr:uid="{00000000-0005-0000-0000-0000DC1A0000}"/>
    <cellStyle name="Normal 2 2 10 2 14 3 3" xfId="6923" xr:uid="{00000000-0005-0000-0000-0000DD1A0000}"/>
    <cellStyle name="Normal 2 2 10 2 14 3 4" xfId="6924" xr:uid="{00000000-0005-0000-0000-0000DE1A0000}"/>
    <cellStyle name="Normal 2 2 10 2 14 3 5" xfId="6925" xr:uid="{00000000-0005-0000-0000-0000DF1A0000}"/>
    <cellStyle name="Normal 2 2 10 2 14 3 6" xfId="6926" xr:uid="{00000000-0005-0000-0000-0000E01A0000}"/>
    <cellStyle name="Normal 2 2 10 2 14 3 7" xfId="6927" xr:uid="{00000000-0005-0000-0000-0000E11A0000}"/>
    <cellStyle name="Normal 2 2 10 2 14 3 8" xfId="6928" xr:uid="{00000000-0005-0000-0000-0000E21A0000}"/>
    <cellStyle name="Normal 2 2 10 2 14 3 9" xfId="6929" xr:uid="{00000000-0005-0000-0000-0000E31A0000}"/>
    <cellStyle name="Normal 2 2 10 2 14 4" xfId="6930" xr:uid="{00000000-0005-0000-0000-0000E41A0000}"/>
    <cellStyle name="Normal 2 2 10 2 14 4 10" xfId="6931" xr:uid="{00000000-0005-0000-0000-0000E51A0000}"/>
    <cellStyle name="Normal 2 2 10 2 14 4 2" xfId="6932" xr:uid="{00000000-0005-0000-0000-0000E61A0000}"/>
    <cellStyle name="Normal 2 2 10 2 14 4 3" xfId="6933" xr:uid="{00000000-0005-0000-0000-0000E71A0000}"/>
    <cellStyle name="Normal 2 2 10 2 14 4 4" xfId="6934" xr:uid="{00000000-0005-0000-0000-0000E81A0000}"/>
    <cellStyle name="Normal 2 2 10 2 14 4 5" xfId="6935" xr:uid="{00000000-0005-0000-0000-0000E91A0000}"/>
    <cellStyle name="Normal 2 2 10 2 14 4 6" xfId="6936" xr:uid="{00000000-0005-0000-0000-0000EA1A0000}"/>
    <cellStyle name="Normal 2 2 10 2 14 4 7" xfId="6937" xr:uid="{00000000-0005-0000-0000-0000EB1A0000}"/>
    <cellStyle name="Normal 2 2 10 2 14 4 8" xfId="6938" xr:uid="{00000000-0005-0000-0000-0000EC1A0000}"/>
    <cellStyle name="Normal 2 2 10 2 14 4 9" xfId="6939" xr:uid="{00000000-0005-0000-0000-0000ED1A0000}"/>
    <cellStyle name="Normal 2 2 10 2 14 5" xfId="6940" xr:uid="{00000000-0005-0000-0000-0000EE1A0000}"/>
    <cellStyle name="Normal 2 2 10 2 14 5 10" xfId="6941" xr:uid="{00000000-0005-0000-0000-0000EF1A0000}"/>
    <cellStyle name="Normal 2 2 10 2 14 5 2" xfId="6942" xr:uid="{00000000-0005-0000-0000-0000F01A0000}"/>
    <cellStyle name="Normal 2 2 10 2 14 5 3" xfId="6943" xr:uid="{00000000-0005-0000-0000-0000F11A0000}"/>
    <cellStyle name="Normal 2 2 10 2 14 5 4" xfId="6944" xr:uid="{00000000-0005-0000-0000-0000F21A0000}"/>
    <cellStyle name="Normal 2 2 10 2 14 5 5" xfId="6945" xr:uid="{00000000-0005-0000-0000-0000F31A0000}"/>
    <cellStyle name="Normal 2 2 10 2 14 5 6" xfId="6946" xr:uid="{00000000-0005-0000-0000-0000F41A0000}"/>
    <cellStyle name="Normal 2 2 10 2 14 5 7" xfId="6947" xr:uid="{00000000-0005-0000-0000-0000F51A0000}"/>
    <cellStyle name="Normal 2 2 10 2 14 5 8" xfId="6948" xr:uid="{00000000-0005-0000-0000-0000F61A0000}"/>
    <cellStyle name="Normal 2 2 10 2 14 5 9" xfId="6949" xr:uid="{00000000-0005-0000-0000-0000F71A0000}"/>
    <cellStyle name="Normal 2 2 10 2 14 6" xfId="6950" xr:uid="{00000000-0005-0000-0000-0000F81A0000}"/>
    <cellStyle name="Normal 2 2 10 2 14 7" xfId="6951" xr:uid="{00000000-0005-0000-0000-0000F91A0000}"/>
    <cellStyle name="Normal 2 2 10 2 14 8" xfId="6952" xr:uid="{00000000-0005-0000-0000-0000FA1A0000}"/>
    <cellStyle name="Normal 2 2 10 2 14 9" xfId="6953" xr:uid="{00000000-0005-0000-0000-0000FB1A0000}"/>
    <cellStyle name="Normal 2 2 10 2 15" xfId="6954" xr:uid="{00000000-0005-0000-0000-0000FC1A0000}"/>
    <cellStyle name="Normal 2 2 10 2 15 10" xfId="6955" xr:uid="{00000000-0005-0000-0000-0000FD1A0000}"/>
    <cellStyle name="Normal 2 2 10 2 15 11" xfId="6956" xr:uid="{00000000-0005-0000-0000-0000FE1A0000}"/>
    <cellStyle name="Normal 2 2 10 2 15 12" xfId="6957" xr:uid="{00000000-0005-0000-0000-0000FF1A0000}"/>
    <cellStyle name="Normal 2 2 10 2 15 13" xfId="6958" xr:uid="{00000000-0005-0000-0000-0000001B0000}"/>
    <cellStyle name="Normal 2 2 10 2 15 14" xfId="6959" xr:uid="{00000000-0005-0000-0000-0000011B0000}"/>
    <cellStyle name="Normal 2 2 10 2 15 2" xfId="6960" xr:uid="{00000000-0005-0000-0000-0000021B0000}"/>
    <cellStyle name="Normal 2 2 10 2 15 2 10" xfId="6961" xr:uid="{00000000-0005-0000-0000-0000031B0000}"/>
    <cellStyle name="Normal 2 2 10 2 15 2 2" xfId="6962" xr:uid="{00000000-0005-0000-0000-0000041B0000}"/>
    <cellStyle name="Normal 2 2 10 2 15 2 3" xfId="6963" xr:uid="{00000000-0005-0000-0000-0000051B0000}"/>
    <cellStyle name="Normal 2 2 10 2 15 2 4" xfId="6964" xr:uid="{00000000-0005-0000-0000-0000061B0000}"/>
    <cellStyle name="Normal 2 2 10 2 15 2 5" xfId="6965" xr:uid="{00000000-0005-0000-0000-0000071B0000}"/>
    <cellStyle name="Normal 2 2 10 2 15 2 6" xfId="6966" xr:uid="{00000000-0005-0000-0000-0000081B0000}"/>
    <cellStyle name="Normal 2 2 10 2 15 2 7" xfId="6967" xr:uid="{00000000-0005-0000-0000-0000091B0000}"/>
    <cellStyle name="Normal 2 2 10 2 15 2 8" xfId="6968" xr:uid="{00000000-0005-0000-0000-00000A1B0000}"/>
    <cellStyle name="Normal 2 2 10 2 15 2 9" xfId="6969" xr:uid="{00000000-0005-0000-0000-00000B1B0000}"/>
    <cellStyle name="Normal 2 2 10 2 15 3" xfId="6970" xr:uid="{00000000-0005-0000-0000-00000C1B0000}"/>
    <cellStyle name="Normal 2 2 10 2 15 3 10" xfId="6971" xr:uid="{00000000-0005-0000-0000-00000D1B0000}"/>
    <cellStyle name="Normal 2 2 10 2 15 3 2" xfId="6972" xr:uid="{00000000-0005-0000-0000-00000E1B0000}"/>
    <cellStyle name="Normal 2 2 10 2 15 3 3" xfId="6973" xr:uid="{00000000-0005-0000-0000-00000F1B0000}"/>
    <cellStyle name="Normal 2 2 10 2 15 3 4" xfId="6974" xr:uid="{00000000-0005-0000-0000-0000101B0000}"/>
    <cellStyle name="Normal 2 2 10 2 15 3 5" xfId="6975" xr:uid="{00000000-0005-0000-0000-0000111B0000}"/>
    <cellStyle name="Normal 2 2 10 2 15 3 6" xfId="6976" xr:uid="{00000000-0005-0000-0000-0000121B0000}"/>
    <cellStyle name="Normal 2 2 10 2 15 3 7" xfId="6977" xr:uid="{00000000-0005-0000-0000-0000131B0000}"/>
    <cellStyle name="Normal 2 2 10 2 15 3 8" xfId="6978" xr:uid="{00000000-0005-0000-0000-0000141B0000}"/>
    <cellStyle name="Normal 2 2 10 2 15 3 9" xfId="6979" xr:uid="{00000000-0005-0000-0000-0000151B0000}"/>
    <cellStyle name="Normal 2 2 10 2 15 4" xfId="6980" xr:uid="{00000000-0005-0000-0000-0000161B0000}"/>
    <cellStyle name="Normal 2 2 10 2 15 4 10" xfId="6981" xr:uid="{00000000-0005-0000-0000-0000171B0000}"/>
    <cellStyle name="Normal 2 2 10 2 15 4 2" xfId="6982" xr:uid="{00000000-0005-0000-0000-0000181B0000}"/>
    <cellStyle name="Normal 2 2 10 2 15 4 3" xfId="6983" xr:uid="{00000000-0005-0000-0000-0000191B0000}"/>
    <cellStyle name="Normal 2 2 10 2 15 4 4" xfId="6984" xr:uid="{00000000-0005-0000-0000-00001A1B0000}"/>
    <cellStyle name="Normal 2 2 10 2 15 4 5" xfId="6985" xr:uid="{00000000-0005-0000-0000-00001B1B0000}"/>
    <cellStyle name="Normal 2 2 10 2 15 4 6" xfId="6986" xr:uid="{00000000-0005-0000-0000-00001C1B0000}"/>
    <cellStyle name="Normal 2 2 10 2 15 4 7" xfId="6987" xr:uid="{00000000-0005-0000-0000-00001D1B0000}"/>
    <cellStyle name="Normal 2 2 10 2 15 4 8" xfId="6988" xr:uid="{00000000-0005-0000-0000-00001E1B0000}"/>
    <cellStyle name="Normal 2 2 10 2 15 4 9" xfId="6989" xr:uid="{00000000-0005-0000-0000-00001F1B0000}"/>
    <cellStyle name="Normal 2 2 10 2 15 5" xfId="6990" xr:uid="{00000000-0005-0000-0000-0000201B0000}"/>
    <cellStyle name="Normal 2 2 10 2 15 5 10" xfId="6991" xr:uid="{00000000-0005-0000-0000-0000211B0000}"/>
    <cellStyle name="Normal 2 2 10 2 15 5 2" xfId="6992" xr:uid="{00000000-0005-0000-0000-0000221B0000}"/>
    <cellStyle name="Normal 2 2 10 2 15 5 3" xfId="6993" xr:uid="{00000000-0005-0000-0000-0000231B0000}"/>
    <cellStyle name="Normal 2 2 10 2 15 5 4" xfId="6994" xr:uid="{00000000-0005-0000-0000-0000241B0000}"/>
    <cellStyle name="Normal 2 2 10 2 15 5 5" xfId="6995" xr:uid="{00000000-0005-0000-0000-0000251B0000}"/>
    <cellStyle name="Normal 2 2 10 2 15 5 6" xfId="6996" xr:uid="{00000000-0005-0000-0000-0000261B0000}"/>
    <cellStyle name="Normal 2 2 10 2 15 5 7" xfId="6997" xr:uid="{00000000-0005-0000-0000-0000271B0000}"/>
    <cellStyle name="Normal 2 2 10 2 15 5 8" xfId="6998" xr:uid="{00000000-0005-0000-0000-0000281B0000}"/>
    <cellStyle name="Normal 2 2 10 2 15 5 9" xfId="6999" xr:uid="{00000000-0005-0000-0000-0000291B0000}"/>
    <cellStyle name="Normal 2 2 10 2 15 6" xfId="7000" xr:uid="{00000000-0005-0000-0000-00002A1B0000}"/>
    <cellStyle name="Normal 2 2 10 2 15 7" xfId="7001" xr:uid="{00000000-0005-0000-0000-00002B1B0000}"/>
    <cellStyle name="Normal 2 2 10 2 15 8" xfId="7002" xr:uid="{00000000-0005-0000-0000-00002C1B0000}"/>
    <cellStyle name="Normal 2 2 10 2 15 9" xfId="7003" xr:uid="{00000000-0005-0000-0000-00002D1B0000}"/>
    <cellStyle name="Normal 2 2 10 2 16" xfId="7004" xr:uid="{00000000-0005-0000-0000-00002E1B0000}"/>
    <cellStyle name="Normal 2 2 10 2 16 10" xfId="7005" xr:uid="{00000000-0005-0000-0000-00002F1B0000}"/>
    <cellStyle name="Normal 2 2 10 2 16 11" xfId="7006" xr:uid="{00000000-0005-0000-0000-0000301B0000}"/>
    <cellStyle name="Normal 2 2 10 2 16 12" xfId="7007" xr:uid="{00000000-0005-0000-0000-0000311B0000}"/>
    <cellStyle name="Normal 2 2 10 2 16 13" xfId="7008" xr:uid="{00000000-0005-0000-0000-0000321B0000}"/>
    <cellStyle name="Normal 2 2 10 2 16 14" xfId="7009" xr:uid="{00000000-0005-0000-0000-0000331B0000}"/>
    <cellStyle name="Normal 2 2 10 2 16 2" xfId="7010" xr:uid="{00000000-0005-0000-0000-0000341B0000}"/>
    <cellStyle name="Normal 2 2 10 2 16 2 10" xfId="7011" xr:uid="{00000000-0005-0000-0000-0000351B0000}"/>
    <cellStyle name="Normal 2 2 10 2 16 2 2" xfId="7012" xr:uid="{00000000-0005-0000-0000-0000361B0000}"/>
    <cellStyle name="Normal 2 2 10 2 16 2 3" xfId="7013" xr:uid="{00000000-0005-0000-0000-0000371B0000}"/>
    <cellStyle name="Normal 2 2 10 2 16 2 4" xfId="7014" xr:uid="{00000000-0005-0000-0000-0000381B0000}"/>
    <cellStyle name="Normal 2 2 10 2 16 2 5" xfId="7015" xr:uid="{00000000-0005-0000-0000-0000391B0000}"/>
    <cellStyle name="Normal 2 2 10 2 16 2 6" xfId="7016" xr:uid="{00000000-0005-0000-0000-00003A1B0000}"/>
    <cellStyle name="Normal 2 2 10 2 16 2 7" xfId="7017" xr:uid="{00000000-0005-0000-0000-00003B1B0000}"/>
    <cellStyle name="Normal 2 2 10 2 16 2 8" xfId="7018" xr:uid="{00000000-0005-0000-0000-00003C1B0000}"/>
    <cellStyle name="Normal 2 2 10 2 16 2 9" xfId="7019" xr:uid="{00000000-0005-0000-0000-00003D1B0000}"/>
    <cellStyle name="Normal 2 2 10 2 16 3" xfId="7020" xr:uid="{00000000-0005-0000-0000-00003E1B0000}"/>
    <cellStyle name="Normal 2 2 10 2 16 3 10" xfId="7021" xr:uid="{00000000-0005-0000-0000-00003F1B0000}"/>
    <cellStyle name="Normal 2 2 10 2 16 3 2" xfId="7022" xr:uid="{00000000-0005-0000-0000-0000401B0000}"/>
    <cellStyle name="Normal 2 2 10 2 16 3 3" xfId="7023" xr:uid="{00000000-0005-0000-0000-0000411B0000}"/>
    <cellStyle name="Normal 2 2 10 2 16 3 4" xfId="7024" xr:uid="{00000000-0005-0000-0000-0000421B0000}"/>
    <cellStyle name="Normal 2 2 10 2 16 3 5" xfId="7025" xr:uid="{00000000-0005-0000-0000-0000431B0000}"/>
    <cellStyle name="Normal 2 2 10 2 16 3 6" xfId="7026" xr:uid="{00000000-0005-0000-0000-0000441B0000}"/>
    <cellStyle name="Normal 2 2 10 2 16 3 7" xfId="7027" xr:uid="{00000000-0005-0000-0000-0000451B0000}"/>
    <cellStyle name="Normal 2 2 10 2 16 3 8" xfId="7028" xr:uid="{00000000-0005-0000-0000-0000461B0000}"/>
    <cellStyle name="Normal 2 2 10 2 16 3 9" xfId="7029" xr:uid="{00000000-0005-0000-0000-0000471B0000}"/>
    <cellStyle name="Normal 2 2 10 2 16 4" xfId="7030" xr:uid="{00000000-0005-0000-0000-0000481B0000}"/>
    <cellStyle name="Normal 2 2 10 2 16 4 10" xfId="7031" xr:uid="{00000000-0005-0000-0000-0000491B0000}"/>
    <cellStyle name="Normal 2 2 10 2 16 4 2" xfId="7032" xr:uid="{00000000-0005-0000-0000-00004A1B0000}"/>
    <cellStyle name="Normal 2 2 10 2 16 4 3" xfId="7033" xr:uid="{00000000-0005-0000-0000-00004B1B0000}"/>
    <cellStyle name="Normal 2 2 10 2 16 4 4" xfId="7034" xr:uid="{00000000-0005-0000-0000-00004C1B0000}"/>
    <cellStyle name="Normal 2 2 10 2 16 4 5" xfId="7035" xr:uid="{00000000-0005-0000-0000-00004D1B0000}"/>
    <cellStyle name="Normal 2 2 10 2 16 4 6" xfId="7036" xr:uid="{00000000-0005-0000-0000-00004E1B0000}"/>
    <cellStyle name="Normal 2 2 10 2 16 4 7" xfId="7037" xr:uid="{00000000-0005-0000-0000-00004F1B0000}"/>
    <cellStyle name="Normal 2 2 10 2 16 4 8" xfId="7038" xr:uid="{00000000-0005-0000-0000-0000501B0000}"/>
    <cellStyle name="Normal 2 2 10 2 16 4 9" xfId="7039" xr:uid="{00000000-0005-0000-0000-0000511B0000}"/>
    <cellStyle name="Normal 2 2 10 2 16 5" xfId="7040" xr:uid="{00000000-0005-0000-0000-0000521B0000}"/>
    <cellStyle name="Normal 2 2 10 2 16 5 10" xfId="7041" xr:uid="{00000000-0005-0000-0000-0000531B0000}"/>
    <cellStyle name="Normal 2 2 10 2 16 5 2" xfId="7042" xr:uid="{00000000-0005-0000-0000-0000541B0000}"/>
    <cellStyle name="Normal 2 2 10 2 16 5 3" xfId="7043" xr:uid="{00000000-0005-0000-0000-0000551B0000}"/>
    <cellStyle name="Normal 2 2 10 2 16 5 4" xfId="7044" xr:uid="{00000000-0005-0000-0000-0000561B0000}"/>
    <cellStyle name="Normal 2 2 10 2 16 5 5" xfId="7045" xr:uid="{00000000-0005-0000-0000-0000571B0000}"/>
    <cellStyle name="Normal 2 2 10 2 16 5 6" xfId="7046" xr:uid="{00000000-0005-0000-0000-0000581B0000}"/>
    <cellStyle name="Normal 2 2 10 2 16 5 7" xfId="7047" xr:uid="{00000000-0005-0000-0000-0000591B0000}"/>
    <cellStyle name="Normal 2 2 10 2 16 5 8" xfId="7048" xr:uid="{00000000-0005-0000-0000-00005A1B0000}"/>
    <cellStyle name="Normal 2 2 10 2 16 5 9" xfId="7049" xr:uid="{00000000-0005-0000-0000-00005B1B0000}"/>
    <cellStyle name="Normal 2 2 10 2 16 6" xfId="7050" xr:uid="{00000000-0005-0000-0000-00005C1B0000}"/>
    <cellStyle name="Normal 2 2 10 2 16 7" xfId="7051" xr:uid="{00000000-0005-0000-0000-00005D1B0000}"/>
    <cellStyle name="Normal 2 2 10 2 16 8" xfId="7052" xr:uid="{00000000-0005-0000-0000-00005E1B0000}"/>
    <cellStyle name="Normal 2 2 10 2 16 9" xfId="7053" xr:uid="{00000000-0005-0000-0000-00005F1B0000}"/>
    <cellStyle name="Normal 2 2 10 2 17" xfId="7054" xr:uid="{00000000-0005-0000-0000-0000601B0000}"/>
    <cellStyle name="Normal 2 2 10 2 17 10" xfId="7055" xr:uid="{00000000-0005-0000-0000-0000611B0000}"/>
    <cellStyle name="Normal 2 2 10 2 17 11" xfId="7056" xr:uid="{00000000-0005-0000-0000-0000621B0000}"/>
    <cellStyle name="Normal 2 2 10 2 17 12" xfId="7057" xr:uid="{00000000-0005-0000-0000-0000631B0000}"/>
    <cellStyle name="Normal 2 2 10 2 17 13" xfId="7058" xr:uid="{00000000-0005-0000-0000-0000641B0000}"/>
    <cellStyle name="Normal 2 2 10 2 17 14" xfId="7059" xr:uid="{00000000-0005-0000-0000-0000651B0000}"/>
    <cellStyle name="Normal 2 2 10 2 17 2" xfId="7060" xr:uid="{00000000-0005-0000-0000-0000661B0000}"/>
    <cellStyle name="Normal 2 2 10 2 17 2 10" xfId="7061" xr:uid="{00000000-0005-0000-0000-0000671B0000}"/>
    <cellStyle name="Normal 2 2 10 2 17 2 2" xfId="7062" xr:uid="{00000000-0005-0000-0000-0000681B0000}"/>
    <cellStyle name="Normal 2 2 10 2 17 2 3" xfId="7063" xr:uid="{00000000-0005-0000-0000-0000691B0000}"/>
    <cellStyle name="Normal 2 2 10 2 17 2 4" xfId="7064" xr:uid="{00000000-0005-0000-0000-00006A1B0000}"/>
    <cellStyle name="Normal 2 2 10 2 17 2 5" xfId="7065" xr:uid="{00000000-0005-0000-0000-00006B1B0000}"/>
    <cellStyle name="Normal 2 2 10 2 17 2 6" xfId="7066" xr:uid="{00000000-0005-0000-0000-00006C1B0000}"/>
    <cellStyle name="Normal 2 2 10 2 17 2 7" xfId="7067" xr:uid="{00000000-0005-0000-0000-00006D1B0000}"/>
    <cellStyle name="Normal 2 2 10 2 17 2 8" xfId="7068" xr:uid="{00000000-0005-0000-0000-00006E1B0000}"/>
    <cellStyle name="Normal 2 2 10 2 17 2 9" xfId="7069" xr:uid="{00000000-0005-0000-0000-00006F1B0000}"/>
    <cellStyle name="Normal 2 2 10 2 17 3" xfId="7070" xr:uid="{00000000-0005-0000-0000-0000701B0000}"/>
    <cellStyle name="Normal 2 2 10 2 17 3 10" xfId="7071" xr:uid="{00000000-0005-0000-0000-0000711B0000}"/>
    <cellStyle name="Normal 2 2 10 2 17 3 2" xfId="7072" xr:uid="{00000000-0005-0000-0000-0000721B0000}"/>
    <cellStyle name="Normal 2 2 10 2 17 3 3" xfId="7073" xr:uid="{00000000-0005-0000-0000-0000731B0000}"/>
    <cellStyle name="Normal 2 2 10 2 17 3 4" xfId="7074" xr:uid="{00000000-0005-0000-0000-0000741B0000}"/>
    <cellStyle name="Normal 2 2 10 2 17 3 5" xfId="7075" xr:uid="{00000000-0005-0000-0000-0000751B0000}"/>
    <cellStyle name="Normal 2 2 10 2 17 3 6" xfId="7076" xr:uid="{00000000-0005-0000-0000-0000761B0000}"/>
    <cellStyle name="Normal 2 2 10 2 17 3 7" xfId="7077" xr:uid="{00000000-0005-0000-0000-0000771B0000}"/>
    <cellStyle name="Normal 2 2 10 2 17 3 8" xfId="7078" xr:uid="{00000000-0005-0000-0000-0000781B0000}"/>
    <cellStyle name="Normal 2 2 10 2 17 3 9" xfId="7079" xr:uid="{00000000-0005-0000-0000-0000791B0000}"/>
    <cellStyle name="Normal 2 2 10 2 17 4" xfId="7080" xr:uid="{00000000-0005-0000-0000-00007A1B0000}"/>
    <cellStyle name="Normal 2 2 10 2 17 4 10" xfId="7081" xr:uid="{00000000-0005-0000-0000-00007B1B0000}"/>
    <cellStyle name="Normal 2 2 10 2 17 4 2" xfId="7082" xr:uid="{00000000-0005-0000-0000-00007C1B0000}"/>
    <cellStyle name="Normal 2 2 10 2 17 4 3" xfId="7083" xr:uid="{00000000-0005-0000-0000-00007D1B0000}"/>
    <cellStyle name="Normal 2 2 10 2 17 4 4" xfId="7084" xr:uid="{00000000-0005-0000-0000-00007E1B0000}"/>
    <cellStyle name="Normal 2 2 10 2 17 4 5" xfId="7085" xr:uid="{00000000-0005-0000-0000-00007F1B0000}"/>
    <cellStyle name="Normal 2 2 10 2 17 4 6" xfId="7086" xr:uid="{00000000-0005-0000-0000-0000801B0000}"/>
    <cellStyle name="Normal 2 2 10 2 17 4 7" xfId="7087" xr:uid="{00000000-0005-0000-0000-0000811B0000}"/>
    <cellStyle name="Normal 2 2 10 2 17 4 8" xfId="7088" xr:uid="{00000000-0005-0000-0000-0000821B0000}"/>
    <cellStyle name="Normal 2 2 10 2 17 4 9" xfId="7089" xr:uid="{00000000-0005-0000-0000-0000831B0000}"/>
    <cellStyle name="Normal 2 2 10 2 17 5" xfId="7090" xr:uid="{00000000-0005-0000-0000-0000841B0000}"/>
    <cellStyle name="Normal 2 2 10 2 17 5 10" xfId="7091" xr:uid="{00000000-0005-0000-0000-0000851B0000}"/>
    <cellStyle name="Normal 2 2 10 2 17 5 2" xfId="7092" xr:uid="{00000000-0005-0000-0000-0000861B0000}"/>
    <cellStyle name="Normal 2 2 10 2 17 5 3" xfId="7093" xr:uid="{00000000-0005-0000-0000-0000871B0000}"/>
    <cellStyle name="Normal 2 2 10 2 17 5 4" xfId="7094" xr:uid="{00000000-0005-0000-0000-0000881B0000}"/>
    <cellStyle name="Normal 2 2 10 2 17 5 5" xfId="7095" xr:uid="{00000000-0005-0000-0000-0000891B0000}"/>
    <cellStyle name="Normal 2 2 10 2 17 5 6" xfId="7096" xr:uid="{00000000-0005-0000-0000-00008A1B0000}"/>
    <cellStyle name="Normal 2 2 10 2 17 5 7" xfId="7097" xr:uid="{00000000-0005-0000-0000-00008B1B0000}"/>
    <cellStyle name="Normal 2 2 10 2 17 5 8" xfId="7098" xr:uid="{00000000-0005-0000-0000-00008C1B0000}"/>
    <cellStyle name="Normal 2 2 10 2 17 5 9" xfId="7099" xr:uid="{00000000-0005-0000-0000-00008D1B0000}"/>
    <cellStyle name="Normal 2 2 10 2 17 6" xfId="7100" xr:uid="{00000000-0005-0000-0000-00008E1B0000}"/>
    <cellStyle name="Normal 2 2 10 2 17 7" xfId="7101" xr:uid="{00000000-0005-0000-0000-00008F1B0000}"/>
    <cellStyle name="Normal 2 2 10 2 17 8" xfId="7102" xr:uid="{00000000-0005-0000-0000-0000901B0000}"/>
    <cellStyle name="Normal 2 2 10 2 17 9" xfId="7103" xr:uid="{00000000-0005-0000-0000-0000911B0000}"/>
    <cellStyle name="Normal 2 2 10 2 18" xfId="7104" xr:uid="{00000000-0005-0000-0000-0000921B0000}"/>
    <cellStyle name="Normal 2 2 10 2 18 10" xfId="7105" xr:uid="{00000000-0005-0000-0000-0000931B0000}"/>
    <cellStyle name="Normal 2 2 10 2 18 11" xfId="7106" xr:uid="{00000000-0005-0000-0000-0000941B0000}"/>
    <cellStyle name="Normal 2 2 10 2 18 12" xfId="7107" xr:uid="{00000000-0005-0000-0000-0000951B0000}"/>
    <cellStyle name="Normal 2 2 10 2 18 13" xfId="7108" xr:uid="{00000000-0005-0000-0000-0000961B0000}"/>
    <cellStyle name="Normal 2 2 10 2 18 14" xfId="7109" xr:uid="{00000000-0005-0000-0000-0000971B0000}"/>
    <cellStyle name="Normal 2 2 10 2 18 2" xfId="7110" xr:uid="{00000000-0005-0000-0000-0000981B0000}"/>
    <cellStyle name="Normal 2 2 10 2 18 2 10" xfId="7111" xr:uid="{00000000-0005-0000-0000-0000991B0000}"/>
    <cellStyle name="Normal 2 2 10 2 18 2 2" xfId="7112" xr:uid="{00000000-0005-0000-0000-00009A1B0000}"/>
    <cellStyle name="Normal 2 2 10 2 18 2 3" xfId="7113" xr:uid="{00000000-0005-0000-0000-00009B1B0000}"/>
    <cellStyle name="Normal 2 2 10 2 18 2 4" xfId="7114" xr:uid="{00000000-0005-0000-0000-00009C1B0000}"/>
    <cellStyle name="Normal 2 2 10 2 18 2 5" xfId="7115" xr:uid="{00000000-0005-0000-0000-00009D1B0000}"/>
    <cellStyle name="Normal 2 2 10 2 18 2 6" xfId="7116" xr:uid="{00000000-0005-0000-0000-00009E1B0000}"/>
    <cellStyle name="Normal 2 2 10 2 18 2 7" xfId="7117" xr:uid="{00000000-0005-0000-0000-00009F1B0000}"/>
    <cellStyle name="Normal 2 2 10 2 18 2 8" xfId="7118" xr:uid="{00000000-0005-0000-0000-0000A01B0000}"/>
    <cellStyle name="Normal 2 2 10 2 18 2 9" xfId="7119" xr:uid="{00000000-0005-0000-0000-0000A11B0000}"/>
    <cellStyle name="Normal 2 2 10 2 18 3" xfId="7120" xr:uid="{00000000-0005-0000-0000-0000A21B0000}"/>
    <cellStyle name="Normal 2 2 10 2 18 3 10" xfId="7121" xr:uid="{00000000-0005-0000-0000-0000A31B0000}"/>
    <cellStyle name="Normal 2 2 10 2 18 3 2" xfId="7122" xr:uid="{00000000-0005-0000-0000-0000A41B0000}"/>
    <cellStyle name="Normal 2 2 10 2 18 3 3" xfId="7123" xr:uid="{00000000-0005-0000-0000-0000A51B0000}"/>
    <cellStyle name="Normal 2 2 10 2 18 3 4" xfId="7124" xr:uid="{00000000-0005-0000-0000-0000A61B0000}"/>
    <cellStyle name="Normal 2 2 10 2 18 3 5" xfId="7125" xr:uid="{00000000-0005-0000-0000-0000A71B0000}"/>
    <cellStyle name="Normal 2 2 10 2 18 3 6" xfId="7126" xr:uid="{00000000-0005-0000-0000-0000A81B0000}"/>
    <cellStyle name="Normal 2 2 10 2 18 3 7" xfId="7127" xr:uid="{00000000-0005-0000-0000-0000A91B0000}"/>
    <cellStyle name="Normal 2 2 10 2 18 3 8" xfId="7128" xr:uid="{00000000-0005-0000-0000-0000AA1B0000}"/>
    <cellStyle name="Normal 2 2 10 2 18 3 9" xfId="7129" xr:uid="{00000000-0005-0000-0000-0000AB1B0000}"/>
    <cellStyle name="Normal 2 2 10 2 18 4" xfId="7130" xr:uid="{00000000-0005-0000-0000-0000AC1B0000}"/>
    <cellStyle name="Normal 2 2 10 2 18 4 10" xfId="7131" xr:uid="{00000000-0005-0000-0000-0000AD1B0000}"/>
    <cellStyle name="Normal 2 2 10 2 18 4 2" xfId="7132" xr:uid="{00000000-0005-0000-0000-0000AE1B0000}"/>
    <cellStyle name="Normal 2 2 10 2 18 4 3" xfId="7133" xr:uid="{00000000-0005-0000-0000-0000AF1B0000}"/>
    <cellStyle name="Normal 2 2 10 2 18 4 4" xfId="7134" xr:uid="{00000000-0005-0000-0000-0000B01B0000}"/>
    <cellStyle name="Normal 2 2 10 2 18 4 5" xfId="7135" xr:uid="{00000000-0005-0000-0000-0000B11B0000}"/>
    <cellStyle name="Normal 2 2 10 2 18 4 6" xfId="7136" xr:uid="{00000000-0005-0000-0000-0000B21B0000}"/>
    <cellStyle name="Normal 2 2 10 2 18 4 7" xfId="7137" xr:uid="{00000000-0005-0000-0000-0000B31B0000}"/>
    <cellStyle name="Normal 2 2 10 2 18 4 8" xfId="7138" xr:uid="{00000000-0005-0000-0000-0000B41B0000}"/>
    <cellStyle name="Normal 2 2 10 2 18 4 9" xfId="7139" xr:uid="{00000000-0005-0000-0000-0000B51B0000}"/>
    <cellStyle name="Normal 2 2 10 2 18 5" xfId="7140" xr:uid="{00000000-0005-0000-0000-0000B61B0000}"/>
    <cellStyle name="Normal 2 2 10 2 18 5 10" xfId="7141" xr:uid="{00000000-0005-0000-0000-0000B71B0000}"/>
    <cellStyle name="Normal 2 2 10 2 18 5 2" xfId="7142" xr:uid="{00000000-0005-0000-0000-0000B81B0000}"/>
    <cellStyle name="Normal 2 2 10 2 18 5 3" xfId="7143" xr:uid="{00000000-0005-0000-0000-0000B91B0000}"/>
    <cellStyle name="Normal 2 2 10 2 18 5 4" xfId="7144" xr:uid="{00000000-0005-0000-0000-0000BA1B0000}"/>
    <cellStyle name="Normal 2 2 10 2 18 5 5" xfId="7145" xr:uid="{00000000-0005-0000-0000-0000BB1B0000}"/>
    <cellStyle name="Normal 2 2 10 2 18 5 6" xfId="7146" xr:uid="{00000000-0005-0000-0000-0000BC1B0000}"/>
    <cellStyle name="Normal 2 2 10 2 18 5 7" xfId="7147" xr:uid="{00000000-0005-0000-0000-0000BD1B0000}"/>
    <cellStyle name="Normal 2 2 10 2 18 5 8" xfId="7148" xr:uid="{00000000-0005-0000-0000-0000BE1B0000}"/>
    <cellStyle name="Normal 2 2 10 2 18 5 9" xfId="7149" xr:uid="{00000000-0005-0000-0000-0000BF1B0000}"/>
    <cellStyle name="Normal 2 2 10 2 18 6" xfId="7150" xr:uid="{00000000-0005-0000-0000-0000C01B0000}"/>
    <cellStyle name="Normal 2 2 10 2 18 7" xfId="7151" xr:uid="{00000000-0005-0000-0000-0000C11B0000}"/>
    <cellStyle name="Normal 2 2 10 2 18 8" xfId="7152" xr:uid="{00000000-0005-0000-0000-0000C21B0000}"/>
    <cellStyle name="Normal 2 2 10 2 18 9" xfId="7153" xr:uid="{00000000-0005-0000-0000-0000C31B0000}"/>
    <cellStyle name="Normal 2 2 10 2 19" xfId="7154" xr:uid="{00000000-0005-0000-0000-0000C41B0000}"/>
    <cellStyle name="Normal 2 2 10 2 19 10" xfId="7155" xr:uid="{00000000-0005-0000-0000-0000C51B0000}"/>
    <cellStyle name="Normal 2 2 10 2 19 11" xfId="7156" xr:uid="{00000000-0005-0000-0000-0000C61B0000}"/>
    <cellStyle name="Normal 2 2 10 2 19 12" xfId="7157" xr:uid="{00000000-0005-0000-0000-0000C71B0000}"/>
    <cellStyle name="Normal 2 2 10 2 19 13" xfId="7158" xr:uid="{00000000-0005-0000-0000-0000C81B0000}"/>
    <cellStyle name="Normal 2 2 10 2 19 14" xfId="7159" xr:uid="{00000000-0005-0000-0000-0000C91B0000}"/>
    <cellStyle name="Normal 2 2 10 2 19 2" xfId="7160" xr:uid="{00000000-0005-0000-0000-0000CA1B0000}"/>
    <cellStyle name="Normal 2 2 10 2 19 2 10" xfId="7161" xr:uid="{00000000-0005-0000-0000-0000CB1B0000}"/>
    <cellStyle name="Normal 2 2 10 2 19 2 2" xfId="7162" xr:uid="{00000000-0005-0000-0000-0000CC1B0000}"/>
    <cellStyle name="Normal 2 2 10 2 19 2 3" xfId="7163" xr:uid="{00000000-0005-0000-0000-0000CD1B0000}"/>
    <cellStyle name="Normal 2 2 10 2 19 2 4" xfId="7164" xr:uid="{00000000-0005-0000-0000-0000CE1B0000}"/>
    <cellStyle name="Normal 2 2 10 2 19 2 5" xfId="7165" xr:uid="{00000000-0005-0000-0000-0000CF1B0000}"/>
    <cellStyle name="Normal 2 2 10 2 19 2 6" xfId="7166" xr:uid="{00000000-0005-0000-0000-0000D01B0000}"/>
    <cellStyle name="Normal 2 2 10 2 19 2 7" xfId="7167" xr:uid="{00000000-0005-0000-0000-0000D11B0000}"/>
    <cellStyle name="Normal 2 2 10 2 19 2 8" xfId="7168" xr:uid="{00000000-0005-0000-0000-0000D21B0000}"/>
    <cellStyle name="Normal 2 2 10 2 19 2 9" xfId="7169" xr:uid="{00000000-0005-0000-0000-0000D31B0000}"/>
    <cellStyle name="Normal 2 2 10 2 19 3" xfId="7170" xr:uid="{00000000-0005-0000-0000-0000D41B0000}"/>
    <cellStyle name="Normal 2 2 10 2 19 3 10" xfId="7171" xr:uid="{00000000-0005-0000-0000-0000D51B0000}"/>
    <cellStyle name="Normal 2 2 10 2 19 3 2" xfId="7172" xr:uid="{00000000-0005-0000-0000-0000D61B0000}"/>
    <cellStyle name="Normal 2 2 10 2 19 3 3" xfId="7173" xr:uid="{00000000-0005-0000-0000-0000D71B0000}"/>
    <cellStyle name="Normal 2 2 10 2 19 3 4" xfId="7174" xr:uid="{00000000-0005-0000-0000-0000D81B0000}"/>
    <cellStyle name="Normal 2 2 10 2 19 3 5" xfId="7175" xr:uid="{00000000-0005-0000-0000-0000D91B0000}"/>
    <cellStyle name="Normal 2 2 10 2 19 3 6" xfId="7176" xr:uid="{00000000-0005-0000-0000-0000DA1B0000}"/>
    <cellStyle name="Normal 2 2 10 2 19 3 7" xfId="7177" xr:uid="{00000000-0005-0000-0000-0000DB1B0000}"/>
    <cellStyle name="Normal 2 2 10 2 19 3 8" xfId="7178" xr:uid="{00000000-0005-0000-0000-0000DC1B0000}"/>
    <cellStyle name="Normal 2 2 10 2 19 3 9" xfId="7179" xr:uid="{00000000-0005-0000-0000-0000DD1B0000}"/>
    <cellStyle name="Normal 2 2 10 2 19 4" xfId="7180" xr:uid="{00000000-0005-0000-0000-0000DE1B0000}"/>
    <cellStyle name="Normal 2 2 10 2 19 4 10" xfId="7181" xr:uid="{00000000-0005-0000-0000-0000DF1B0000}"/>
    <cellStyle name="Normal 2 2 10 2 19 4 2" xfId="7182" xr:uid="{00000000-0005-0000-0000-0000E01B0000}"/>
    <cellStyle name="Normal 2 2 10 2 19 4 3" xfId="7183" xr:uid="{00000000-0005-0000-0000-0000E11B0000}"/>
    <cellStyle name="Normal 2 2 10 2 19 4 4" xfId="7184" xr:uid="{00000000-0005-0000-0000-0000E21B0000}"/>
    <cellStyle name="Normal 2 2 10 2 19 4 5" xfId="7185" xr:uid="{00000000-0005-0000-0000-0000E31B0000}"/>
    <cellStyle name="Normal 2 2 10 2 19 4 6" xfId="7186" xr:uid="{00000000-0005-0000-0000-0000E41B0000}"/>
    <cellStyle name="Normal 2 2 10 2 19 4 7" xfId="7187" xr:uid="{00000000-0005-0000-0000-0000E51B0000}"/>
    <cellStyle name="Normal 2 2 10 2 19 4 8" xfId="7188" xr:uid="{00000000-0005-0000-0000-0000E61B0000}"/>
    <cellStyle name="Normal 2 2 10 2 19 4 9" xfId="7189" xr:uid="{00000000-0005-0000-0000-0000E71B0000}"/>
    <cellStyle name="Normal 2 2 10 2 19 5" xfId="7190" xr:uid="{00000000-0005-0000-0000-0000E81B0000}"/>
    <cellStyle name="Normal 2 2 10 2 19 5 10" xfId="7191" xr:uid="{00000000-0005-0000-0000-0000E91B0000}"/>
    <cellStyle name="Normal 2 2 10 2 19 5 2" xfId="7192" xr:uid="{00000000-0005-0000-0000-0000EA1B0000}"/>
    <cellStyle name="Normal 2 2 10 2 19 5 3" xfId="7193" xr:uid="{00000000-0005-0000-0000-0000EB1B0000}"/>
    <cellStyle name="Normal 2 2 10 2 19 5 4" xfId="7194" xr:uid="{00000000-0005-0000-0000-0000EC1B0000}"/>
    <cellStyle name="Normal 2 2 10 2 19 5 5" xfId="7195" xr:uid="{00000000-0005-0000-0000-0000ED1B0000}"/>
    <cellStyle name="Normal 2 2 10 2 19 5 6" xfId="7196" xr:uid="{00000000-0005-0000-0000-0000EE1B0000}"/>
    <cellStyle name="Normal 2 2 10 2 19 5 7" xfId="7197" xr:uid="{00000000-0005-0000-0000-0000EF1B0000}"/>
    <cellStyle name="Normal 2 2 10 2 19 5 8" xfId="7198" xr:uid="{00000000-0005-0000-0000-0000F01B0000}"/>
    <cellStyle name="Normal 2 2 10 2 19 5 9" xfId="7199" xr:uid="{00000000-0005-0000-0000-0000F11B0000}"/>
    <cellStyle name="Normal 2 2 10 2 19 6" xfId="7200" xr:uid="{00000000-0005-0000-0000-0000F21B0000}"/>
    <cellStyle name="Normal 2 2 10 2 19 7" xfId="7201" xr:uid="{00000000-0005-0000-0000-0000F31B0000}"/>
    <cellStyle name="Normal 2 2 10 2 19 8" xfId="7202" xr:uid="{00000000-0005-0000-0000-0000F41B0000}"/>
    <cellStyle name="Normal 2 2 10 2 19 9" xfId="7203" xr:uid="{00000000-0005-0000-0000-0000F51B0000}"/>
    <cellStyle name="Normal 2 2 10 2 2" xfId="7204" xr:uid="{00000000-0005-0000-0000-0000F61B0000}"/>
    <cellStyle name="Normal 2 2 10 2 2 10" xfId="7205" xr:uid="{00000000-0005-0000-0000-0000F71B0000}"/>
    <cellStyle name="Normal 2 2 10 2 2 11" xfId="7206" xr:uid="{00000000-0005-0000-0000-0000F81B0000}"/>
    <cellStyle name="Normal 2 2 10 2 2 12" xfId="7207" xr:uid="{00000000-0005-0000-0000-0000F91B0000}"/>
    <cellStyle name="Normal 2 2 10 2 2 13" xfId="7208" xr:uid="{00000000-0005-0000-0000-0000FA1B0000}"/>
    <cellStyle name="Normal 2 2 10 2 2 14" xfId="7209" xr:uid="{00000000-0005-0000-0000-0000FB1B0000}"/>
    <cellStyle name="Normal 2 2 10 2 2 2" xfId="7210" xr:uid="{00000000-0005-0000-0000-0000FC1B0000}"/>
    <cellStyle name="Normal 2 2 10 2 2 2 10" xfId="7211" xr:uid="{00000000-0005-0000-0000-0000FD1B0000}"/>
    <cellStyle name="Normal 2 2 10 2 2 2 2" xfId="7212" xr:uid="{00000000-0005-0000-0000-0000FE1B0000}"/>
    <cellStyle name="Normal 2 2 10 2 2 2 3" xfId="7213" xr:uid="{00000000-0005-0000-0000-0000FF1B0000}"/>
    <cellStyle name="Normal 2 2 10 2 2 2 4" xfId="7214" xr:uid="{00000000-0005-0000-0000-0000001C0000}"/>
    <cellStyle name="Normal 2 2 10 2 2 2 5" xfId="7215" xr:uid="{00000000-0005-0000-0000-0000011C0000}"/>
    <cellStyle name="Normal 2 2 10 2 2 2 6" xfId="7216" xr:uid="{00000000-0005-0000-0000-0000021C0000}"/>
    <cellStyle name="Normal 2 2 10 2 2 2 7" xfId="7217" xr:uid="{00000000-0005-0000-0000-0000031C0000}"/>
    <cellStyle name="Normal 2 2 10 2 2 2 8" xfId="7218" xr:uid="{00000000-0005-0000-0000-0000041C0000}"/>
    <cellStyle name="Normal 2 2 10 2 2 2 9" xfId="7219" xr:uid="{00000000-0005-0000-0000-0000051C0000}"/>
    <cellStyle name="Normal 2 2 10 2 2 3" xfId="7220" xr:uid="{00000000-0005-0000-0000-0000061C0000}"/>
    <cellStyle name="Normal 2 2 10 2 2 3 10" xfId="7221" xr:uid="{00000000-0005-0000-0000-0000071C0000}"/>
    <cellStyle name="Normal 2 2 10 2 2 3 2" xfId="7222" xr:uid="{00000000-0005-0000-0000-0000081C0000}"/>
    <cellStyle name="Normal 2 2 10 2 2 3 3" xfId="7223" xr:uid="{00000000-0005-0000-0000-0000091C0000}"/>
    <cellStyle name="Normal 2 2 10 2 2 3 4" xfId="7224" xr:uid="{00000000-0005-0000-0000-00000A1C0000}"/>
    <cellStyle name="Normal 2 2 10 2 2 3 5" xfId="7225" xr:uid="{00000000-0005-0000-0000-00000B1C0000}"/>
    <cellStyle name="Normal 2 2 10 2 2 3 6" xfId="7226" xr:uid="{00000000-0005-0000-0000-00000C1C0000}"/>
    <cellStyle name="Normal 2 2 10 2 2 3 7" xfId="7227" xr:uid="{00000000-0005-0000-0000-00000D1C0000}"/>
    <cellStyle name="Normal 2 2 10 2 2 3 8" xfId="7228" xr:uid="{00000000-0005-0000-0000-00000E1C0000}"/>
    <cellStyle name="Normal 2 2 10 2 2 3 9" xfId="7229" xr:uid="{00000000-0005-0000-0000-00000F1C0000}"/>
    <cellStyle name="Normal 2 2 10 2 2 4" xfId="7230" xr:uid="{00000000-0005-0000-0000-0000101C0000}"/>
    <cellStyle name="Normal 2 2 10 2 2 4 10" xfId="7231" xr:uid="{00000000-0005-0000-0000-0000111C0000}"/>
    <cellStyle name="Normal 2 2 10 2 2 4 2" xfId="7232" xr:uid="{00000000-0005-0000-0000-0000121C0000}"/>
    <cellStyle name="Normal 2 2 10 2 2 4 3" xfId="7233" xr:uid="{00000000-0005-0000-0000-0000131C0000}"/>
    <cellStyle name="Normal 2 2 10 2 2 4 4" xfId="7234" xr:uid="{00000000-0005-0000-0000-0000141C0000}"/>
    <cellStyle name="Normal 2 2 10 2 2 4 5" xfId="7235" xr:uid="{00000000-0005-0000-0000-0000151C0000}"/>
    <cellStyle name="Normal 2 2 10 2 2 4 6" xfId="7236" xr:uid="{00000000-0005-0000-0000-0000161C0000}"/>
    <cellStyle name="Normal 2 2 10 2 2 4 7" xfId="7237" xr:uid="{00000000-0005-0000-0000-0000171C0000}"/>
    <cellStyle name="Normal 2 2 10 2 2 4 8" xfId="7238" xr:uid="{00000000-0005-0000-0000-0000181C0000}"/>
    <cellStyle name="Normal 2 2 10 2 2 4 9" xfId="7239" xr:uid="{00000000-0005-0000-0000-0000191C0000}"/>
    <cellStyle name="Normal 2 2 10 2 2 5" xfId="7240" xr:uid="{00000000-0005-0000-0000-00001A1C0000}"/>
    <cellStyle name="Normal 2 2 10 2 2 5 10" xfId="7241" xr:uid="{00000000-0005-0000-0000-00001B1C0000}"/>
    <cellStyle name="Normal 2 2 10 2 2 5 2" xfId="7242" xr:uid="{00000000-0005-0000-0000-00001C1C0000}"/>
    <cellStyle name="Normal 2 2 10 2 2 5 3" xfId="7243" xr:uid="{00000000-0005-0000-0000-00001D1C0000}"/>
    <cellStyle name="Normal 2 2 10 2 2 5 4" xfId="7244" xr:uid="{00000000-0005-0000-0000-00001E1C0000}"/>
    <cellStyle name="Normal 2 2 10 2 2 5 5" xfId="7245" xr:uid="{00000000-0005-0000-0000-00001F1C0000}"/>
    <cellStyle name="Normal 2 2 10 2 2 5 6" xfId="7246" xr:uid="{00000000-0005-0000-0000-0000201C0000}"/>
    <cellStyle name="Normal 2 2 10 2 2 5 7" xfId="7247" xr:uid="{00000000-0005-0000-0000-0000211C0000}"/>
    <cellStyle name="Normal 2 2 10 2 2 5 8" xfId="7248" xr:uid="{00000000-0005-0000-0000-0000221C0000}"/>
    <cellStyle name="Normal 2 2 10 2 2 5 9" xfId="7249" xr:uid="{00000000-0005-0000-0000-0000231C0000}"/>
    <cellStyle name="Normal 2 2 10 2 2 6" xfId="7250" xr:uid="{00000000-0005-0000-0000-0000241C0000}"/>
    <cellStyle name="Normal 2 2 10 2 2 7" xfId="7251" xr:uid="{00000000-0005-0000-0000-0000251C0000}"/>
    <cellStyle name="Normal 2 2 10 2 2 8" xfId="7252" xr:uid="{00000000-0005-0000-0000-0000261C0000}"/>
    <cellStyle name="Normal 2 2 10 2 2 9" xfId="7253" xr:uid="{00000000-0005-0000-0000-0000271C0000}"/>
    <cellStyle name="Normal 2 2 10 2 20" xfId="7254" xr:uid="{00000000-0005-0000-0000-0000281C0000}"/>
    <cellStyle name="Normal 2 2 10 2 20 10" xfId="7255" xr:uid="{00000000-0005-0000-0000-0000291C0000}"/>
    <cellStyle name="Normal 2 2 10 2 20 11" xfId="7256" xr:uid="{00000000-0005-0000-0000-00002A1C0000}"/>
    <cellStyle name="Normal 2 2 10 2 20 12" xfId="7257" xr:uid="{00000000-0005-0000-0000-00002B1C0000}"/>
    <cellStyle name="Normal 2 2 10 2 20 13" xfId="7258" xr:uid="{00000000-0005-0000-0000-00002C1C0000}"/>
    <cellStyle name="Normal 2 2 10 2 20 14" xfId="7259" xr:uid="{00000000-0005-0000-0000-00002D1C0000}"/>
    <cellStyle name="Normal 2 2 10 2 20 2" xfId="7260" xr:uid="{00000000-0005-0000-0000-00002E1C0000}"/>
    <cellStyle name="Normal 2 2 10 2 20 2 10" xfId="7261" xr:uid="{00000000-0005-0000-0000-00002F1C0000}"/>
    <cellStyle name="Normal 2 2 10 2 20 2 2" xfId="7262" xr:uid="{00000000-0005-0000-0000-0000301C0000}"/>
    <cellStyle name="Normal 2 2 10 2 20 2 3" xfId="7263" xr:uid="{00000000-0005-0000-0000-0000311C0000}"/>
    <cellStyle name="Normal 2 2 10 2 20 2 4" xfId="7264" xr:uid="{00000000-0005-0000-0000-0000321C0000}"/>
    <cellStyle name="Normal 2 2 10 2 20 2 5" xfId="7265" xr:uid="{00000000-0005-0000-0000-0000331C0000}"/>
    <cellStyle name="Normal 2 2 10 2 20 2 6" xfId="7266" xr:uid="{00000000-0005-0000-0000-0000341C0000}"/>
    <cellStyle name="Normal 2 2 10 2 20 2 7" xfId="7267" xr:uid="{00000000-0005-0000-0000-0000351C0000}"/>
    <cellStyle name="Normal 2 2 10 2 20 2 8" xfId="7268" xr:uid="{00000000-0005-0000-0000-0000361C0000}"/>
    <cellStyle name="Normal 2 2 10 2 20 2 9" xfId="7269" xr:uid="{00000000-0005-0000-0000-0000371C0000}"/>
    <cellStyle name="Normal 2 2 10 2 20 3" xfId="7270" xr:uid="{00000000-0005-0000-0000-0000381C0000}"/>
    <cellStyle name="Normal 2 2 10 2 20 3 10" xfId="7271" xr:uid="{00000000-0005-0000-0000-0000391C0000}"/>
    <cellStyle name="Normal 2 2 10 2 20 3 2" xfId="7272" xr:uid="{00000000-0005-0000-0000-00003A1C0000}"/>
    <cellStyle name="Normal 2 2 10 2 20 3 3" xfId="7273" xr:uid="{00000000-0005-0000-0000-00003B1C0000}"/>
    <cellStyle name="Normal 2 2 10 2 20 3 4" xfId="7274" xr:uid="{00000000-0005-0000-0000-00003C1C0000}"/>
    <cellStyle name="Normal 2 2 10 2 20 3 5" xfId="7275" xr:uid="{00000000-0005-0000-0000-00003D1C0000}"/>
    <cellStyle name="Normal 2 2 10 2 20 3 6" xfId="7276" xr:uid="{00000000-0005-0000-0000-00003E1C0000}"/>
    <cellStyle name="Normal 2 2 10 2 20 3 7" xfId="7277" xr:uid="{00000000-0005-0000-0000-00003F1C0000}"/>
    <cellStyle name="Normal 2 2 10 2 20 3 8" xfId="7278" xr:uid="{00000000-0005-0000-0000-0000401C0000}"/>
    <cellStyle name="Normal 2 2 10 2 20 3 9" xfId="7279" xr:uid="{00000000-0005-0000-0000-0000411C0000}"/>
    <cellStyle name="Normal 2 2 10 2 20 4" xfId="7280" xr:uid="{00000000-0005-0000-0000-0000421C0000}"/>
    <cellStyle name="Normal 2 2 10 2 20 4 10" xfId="7281" xr:uid="{00000000-0005-0000-0000-0000431C0000}"/>
    <cellStyle name="Normal 2 2 10 2 20 4 2" xfId="7282" xr:uid="{00000000-0005-0000-0000-0000441C0000}"/>
    <cellStyle name="Normal 2 2 10 2 20 4 3" xfId="7283" xr:uid="{00000000-0005-0000-0000-0000451C0000}"/>
    <cellStyle name="Normal 2 2 10 2 20 4 4" xfId="7284" xr:uid="{00000000-0005-0000-0000-0000461C0000}"/>
    <cellStyle name="Normal 2 2 10 2 20 4 5" xfId="7285" xr:uid="{00000000-0005-0000-0000-0000471C0000}"/>
    <cellStyle name="Normal 2 2 10 2 20 4 6" xfId="7286" xr:uid="{00000000-0005-0000-0000-0000481C0000}"/>
    <cellStyle name="Normal 2 2 10 2 20 4 7" xfId="7287" xr:uid="{00000000-0005-0000-0000-0000491C0000}"/>
    <cellStyle name="Normal 2 2 10 2 20 4 8" xfId="7288" xr:uid="{00000000-0005-0000-0000-00004A1C0000}"/>
    <cellStyle name="Normal 2 2 10 2 20 4 9" xfId="7289" xr:uid="{00000000-0005-0000-0000-00004B1C0000}"/>
    <cellStyle name="Normal 2 2 10 2 20 5" xfId="7290" xr:uid="{00000000-0005-0000-0000-00004C1C0000}"/>
    <cellStyle name="Normal 2 2 10 2 20 5 10" xfId="7291" xr:uid="{00000000-0005-0000-0000-00004D1C0000}"/>
    <cellStyle name="Normal 2 2 10 2 20 5 2" xfId="7292" xr:uid="{00000000-0005-0000-0000-00004E1C0000}"/>
    <cellStyle name="Normal 2 2 10 2 20 5 3" xfId="7293" xr:uid="{00000000-0005-0000-0000-00004F1C0000}"/>
    <cellStyle name="Normal 2 2 10 2 20 5 4" xfId="7294" xr:uid="{00000000-0005-0000-0000-0000501C0000}"/>
    <cellStyle name="Normal 2 2 10 2 20 5 5" xfId="7295" xr:uid="{00000000-0005-0000-0000-0000511C0000}"/>
    <cellStyle name="Normal 2 2 10 2 20 5 6" xfId="7296" xr:uid="{00000000-0005-0000-0000-0000521C0000}"/>
    <cellStyle name="Normal 2 2 10 2 20 5 7" xfId="7297" xr:uid="{00000000-0005-0000-0000-0000531C0000}"/>
    <cellStyle name="Normal 2 2 10 2 20 5 8" xfId="7298" xr:uid="{00000000-0005-0000-0000-0000541C0000}"/>
    <cellStyle name="Normal 2 2 10 2 20 5 9" xfId="7299" xr:uid="{00000000-0005-0000-0000-0000551C0000}"/>
    <cellStyle name="Normal 2 2 10 2 20 6" xfId="7300" xr:uid="{00000000-0005-0000-0000-0000561C0000}"/>
    <cellStyle name="Normal 2 2 10 2 20 7" xfId="7301" xr:uid="{00000000-0005-0000-0000-0000571C0000}"/>
    <cellStyle name="Normal 2 2 10 2 20 8" xfId="7302" xr:uid="{00000000-0005-0000-0000-0000581C0000}"/>
    <cellStyle name="Normal 2 2 10 2 20 9" xfId="7303" xr:uid="{00000000-0005-0000-0000-0000591C0000}"/>
    <cellStyle name="Normal 2 2 10 2 21" xfId="7304" xr:uid="{00000000-0005-0000-0000-00005A1C0000}"/>
    <cellStyle name="Normal 2 2 10 2 21 10" xfId="7305" xr:uid="{00000000-0005-0000-0000-00005B1C0000}"/>
    <cellStyle name="Normal 2 2 10 2 21 11" xfId="7306" xr:uid="{00000000-0005-0000-0000-00005C1C0000}"/>
    <cellStyle name="Normal 2 2 10 2 21 12" xfId="7307" xr:uid="{00000000-0005-0000-0000-00005D1C0000}"/>
    <cellStyle name="Normal 2 2 10 2 21 13" xfId="7308" xr:uid="{00000000-0005-0000-0000-00005E1C0000}"/>
    <cellStyle name="Normal 2 2 10 2 21 14" xfId="7309" xr:uid="{00000000-0005-0000-0000-00005F1C0000}"/>
    <cellStyle name="Normal 2 2 10 2 21 2" xfId="7310" xr:uid="{00000000-0005-0000-0000-0000601C0000}"/>
    <cellStyle name="Normal 2 2 10 2 21 2 10" xfId="7311" xr:uid="{00000000-0005-0000-0000-0000611C0000}"/>
    <cellStyle name="Normal 2 2 10 2 21 2 2" xfId="7312" xr:uid="{00000000-0005-0000-0000-0000621C0000}"/>
    <cellStyle name="Normal 2 2 10 2 21 2 3" xfId="7313" xr:uid="{00000000-0005-0000-0000-0000631C0000}"/>
    <cellStyle name="Normal 2 2 10 2 21 2 4" xfId="7314" xr:uid="{00000000-0005-0000-0000-0000641C0000}"/>
    <cellStyle name="Normal 2 2 10 2 21 2 5" xfId="7315" xr:uid="{00000000-0005-0000-0000-0000651C0000}"/>
    <cellStyle name="Normal 2 2 10 2 21 2 6" xfId="7316" xr:uid="{00000000-0005-0000-0000-0000661C0000}"/>
    <cellStyle name="Normal 2 2 10 2 21 2 7" xfId="7317" xr:uid="{00000000-0005-0000-0000-0000671C0000}"/>
    <cellStyle name="Normal 2 2 10 2 21 2 8" xfId="7318" xr:uid="{00000000-0005-0000-0000-0000681C0000}"/>
    <cellStyle name="Normal 2 2 10 2 21 2 9" xfId="7319" xr:uid="{00000000-0005-0000-0000-0000691C0000}"/>
    <cellStyle name="Normal 2 2 10 2 21 3" xfId="7320" xr:uid="{00000000-0005-0000-0000-00006A1C0000}"/>
    <cellStyle name="Normal 2 2 10 2 21 3 10" xfId="7321" xr:uid="{00000000-0005-0000-0000-00006B1C0000}"/>
    <cellStyle name="Normal 2 2 10 2 21 3 2" xfId="7322" xr:uid="{00000000-0005-0000-0000-00006C1C0000}"/>
    <cellStyle name="Normal 2 2 10 2 21 3 3" xfId="7323" xr:uid="{00000000-0005-0000-0000-00006D1C0000}"/>
    <cellStyle name="Normal 2 2 10 2 21 3 4" xfId="7324" xr:uid="{00000000-0005-0000-0000-00006E1C0000}"/>
    <cellStyle name="Normal 2 2 10 2 21 3 5" xfId="7325" xr:uid="{00000000-0005-0000-0000-00006F1C0000}"/>
    <cellStyle name="Normal 2 2 10 2 21 3 6" xfId="7326" xr:uid="{00000000-0005-0000-0000-0000701C0000}"/>
    <cellStyle name="Normal 2 2 10 2 21 3 7" xfId="7327" xr:uid="{00000000-0005-0000-0000-0000711C0000}"/>
    <cellStyle name="Normal 2 2 10 2 21 3 8" xfId="7328" xr:uid="{00000000-0005-0000-0000-0000721C0000}"/>
    <cellStyle name="Normal 2 2 10 2 21 3 9" xfId="7329" xr:uid="{00000000-0005-0000-0000-0000731C0000}"/>
    <cellStyle name="Normal 2 2 10 2 21 4" xfId="7330" xr:uid="{00000000-0005-0000-0000-0000741C0000}"/>
    <cellStyle name="Normal 2 2 10 2 21 4 10" xfId="7331" xr:uid="{00000000-0005-0000-0000-0000751C0000}"/>
    <cellStyle name="Normal 2 2 10 2 21 4 2" xfId="7332" xr:uid="{00000000-0005-0000-0000-0000761C0000}"/>
    <cellStyle name="Normal 2 2 10 2 21 4 3" xfId="7333" xr:uid="{00000000-0005-0000-0000-0000771C0000}"/>
    <cellStyle name="Normal 2 2 10 2 21 4 4" xfId="7334" xr:uid="{00000000-0005-0000-0000-0000781C0000}"/>
    <cellStyle name="Normal 2 2 10 2 21 4 5" xfId="7335" xr:uid="{00000000-0005-0000-0000-0000791C0000}"/>
    <cellStyle name="Normal 2 2 10 2 21 4 6" xfId="7336" xr:uid="{00000000-0005-0000-0000-00007A1C0000}"/>
    <cellStyle name="Normal 2 2 10 2 21 4 7" xfId="7337" xr:uid="{00000000-0005-0000-0000-00007B1C0000}"/>
    <cellStyle name="Normal 2 2 10 2 21 4 8" xfId="7338" xr:uid="{00000000-0005-0000-0000-00007C1C0000}"/>
    <cellStyle name="Normal 2 2 10 2 21 4 9" xfId="7339" xr:uid="{00000000-0005-0000-0000-00007D1C0000}"/>
    <cellStyle name="Normal 2 2 10 2 21 5" xfId="7340" xr:uid="{00000000-0005-0000-0000-00007E1C0000}"/>
    <cellStyle name="Normal 2 2 10 2 21 5 10" xfId="7341" xr:uid="{00000000-0005-0000-0000-00007F1C0000}"/>
    <cellStyle name="Normal 2 2 10 2 21 5 2" xfId="7342" xr:uid="{00000000-0005-0000-0000-0000801C0000}"/>
    <cellStyle name="Normal 2 2 10 2 21 5 3" xfId="7343" xr:uid="{00000000-0005-0000-0000-0000811C0000}"/>
    <cellStyle name="Normal 2 2 10 2 21 5 4" xfId="7344" xr:uid="{00000000-0005-0000-0000-0000821C0000}"/>
    <cellStyle name="Normal 2 2 10 2 21 5 5" xfId="7345" xr:uid="{00000000-0005-0000-0000-0000831C0000}"/>
    <cellStyle name="Normal 2 2 10 2 21 5 6" xfId="7346" xr:uid="{00000000-0005-0000-0000-0000841C0000}"/>
    <cellStyle name="Normal 2 2 10 2 21 5 7" xfId="7347" xr:uid="{00000000-0005-0000-0000-0000851C0000}"/>
    <cellStyle name="Normal 2 2 10 2 21 5 8" xfId="7348" xr:uid="{00000000-0005-0000-0000-0000861C0000}"/>
    <cellStyle name="Normal 2 2 10 2 21 5 9" xfId="7349" xr:uid="{00000000-0005-0000-0000-0000871C0000}"/>
    <cellStyle name="Normal 2 2 10 2 21 6" xfId="7350" xr:uid="{00000000-0005-0000-0000-0000881C0000}"/>
    <cellStyle name="Normal 2 2 10 2 21 7" xfId="7351" xr:uid="{00000000-0005-0000-0000-0000891C0000}"/>
    <cellStyle name="Normal 2 2 10 2 21 8" xfId="7352" xr:uid="{00000000-0005-0000-0000-00008A1C0000}"/>
    <cellStyle name="Normal 2 2 10 2 21 9" xfId="7353" xr:uid="{00000000-0005-0000-0000-00008B1C0000}"/>
    <cellStyle name="Normal 2 2 10 2 22" xfId="7354" xr:uid="{00000000-0005-0000-0000-00008C1C0000}"/>
    <cellStyle name="Normal 2 2 10 2 22 10" xfId="7355" xr:uid="{00000000-0005-0000-0000-00008D1C0000}"/>
    <cellStyle name="Normal 2 2 10 2 22 11" xfId="7356" xr:uid="{00000000-0005-0000-0000-00008E1C0000}"/>
    <cellStyle name="Normal 2 2 10 2 22 12" xfId="7357" xr:uid="{00000000-0005-0000-0000-00008F1C0000}"/>
    <cellStyle name="Normal 2 2 10 2 22 13" xfId="7358" xr:uid="{00000000-0005-0000-0000-0000901C0000}"/>
    <cellStyle name="Normal 2 2 10 2 22 14" xfId="7359" xr:uid="{00000000-0005-0000-0000-0000911C0000}"/>
    <cellStyle name="Normal 2 2 10 2 22 2" xfId="7360" xr:uid="{00000000-0005-0000-0000-0000921C0000}"/>
    <cellStyle name="Normal 2 2 10 2 22 2 10" xfId="7361" xr:uid="{00000000-0005-0000-0000-0000931C0000}"/>
    <cellStyle name="Normal 2 2 10 2 22 2 2" xfId="7362" xr:uid="{00000000-0005-0000-0000-0000941C0000}"/>
    <cellStyle name="Normal 2 2 10 2 22 2 3" xfId="7363" xr:uid="{00000000-0005-0000-0000-0000951C0000}"/>
    <cellStyle name="Normal 2 2 10 2 22 2 4" xfId="7364" xr:uid="{00000000-0005-0000-0000-0000961C0000}"/>
    <cellStyle name="Normal 2 2 10 2 22 2 5" xfId="7365" xr:uid="{00000000-0005-0000-0000-0000971C0000}"/>
    <cellStyle name="Normal 2 2 10 2 22 2 6" xfId="7366" xr:uid="{00000000-0005-0000-0000-0000981C0000}"/>
    <cellStyle name="Normal 2 2 10 2 22 2 7" xfId="7367" xr:uid="{00000000-0005-0000-0000-0000991C0000}"/>
    <cellStyle name="Normal 2 2 10 2 22 2 8" xfId="7368" xr:uid="{00000000-0005-0000-0000-00009A1C0000}"/>
    <cellStyle name="Normal 2 2 10 2 22 2 9" xfId="7369" xr:uid="{00000000-0005-0000-0000-00009B1C0000}"/>
    <cellStyle name="Normal 2 2 10 2 22 3" xfId="7370" xr:uid="{00000000-0005-0000-0000-00009C1C0000}"/>
    <cellStyle name="Normal 2 2 10 2 22 3 10" xfId="7371" xr:uid="{00000000-0005-0000-0000-00009D1C0000}"/>
    <cellStyle name="Normal 2 2 10 2 22 3 2" xfId="7372" xr:uid="{00000000-0005-0000-0000-00009E1C0000}"/>
    <cellStyle name="Normal 2 2 10 2 22 3 3" xfId="7373" xr:uid="{00000000-0005-0000-0000-00009F1C0000}"/>
    <cellStyle name="Normal 2 2 10 2 22 3 4" xfId="7374" xr:uid="{00000000-0005-0000-0000-0000A01C0000}"/>
    <cellStyle name="Normal 2 2 10 2 22 3 5" xfId="7375" xr:uid="{00000000-0005-0000-0000-0000A11C0000}"/>
    <cellStyle name="Normal 2 2 10 2 22 3 6" xfId="7376" xr:uid="{00000000-0005-0000-0000-0000A21C0000}"/>
    <cellStyle name="Normal 2 2 10 2 22 3 7" xfId="7377" xr:uid="{00000000-0005-0000-0000-0000A31C0000}"/>
    <cellStyle name="Normal 2 2 10 2 22 3 8" xfId="7378" xr:uid="{00000000-0005-0000-0000-0000A41C0000}"/>
    <cellStyle name="Normal 2 2 10 2 22 3 9" xfId="7379" xr:uid="{00000000-0005-0000-0000-0000A51C0000}"/>
    <cellStyle name="Normal 2 2 10 2 22 4" xfId="7380" xr:uid="{00000000-0005-0000-0000-0000A61C0000}"/>
    <cellStyle name="Normal 2 2 10 2 22 4 10" xfId="7381" xr:uid="{00000000-0005-0000-0000-0000A71C0000}"/>
    <cellStyle name="Normal 2 2 10 2 22 4 2" xfId="7382" xr:uid="{00000000-0005-0000-0000-0000A81C0000}"/>
    <cellStyle name="Normal 2 2 10 2 22 4 3" xfId="7383" xr:uid="{00000000-0005-0000-0000-0000A91C0000}"/>
    <cellStyle name="Normal 2 2 10 2 22 4 4" xfId="7384" xr:uid="{00000000-0005-0000-0000-0000AA1C0000}"/>
    <cellStyle name="Normal 2 2 10 2 22 4 5" xfId="7385" xr:uid="{00000000-0005-0000-0000-0000AB1C0000}"/>
    <cellStyle name="Normal 2 2 10 2 22 4 6" xfId="7386" xr:uid="{00000000-0005-0000-0000-0000AC1C0000}"/>
    <cellStyle name="Normal 2 2 10 2 22 4 7" xfId="7387" xr:uid="{00000000-0005-0000-0000-0000AD1C0000}"/>
    <cellStyle name="Normal 2 2 10 2 22 4 8" xfId="7388" xr:uid="{00000000-0005-0000-0000-0000AE1C0000}"/>
    <cellStyle name="Normal 2 2 10 2 22 4 9" xfId="7389" xr:uid="{00000000-0005-0000-0000-0000AF1C0000}"/>
    <cellStyle name="Normal 2 2 10 2 22 5" xfId="7390" xr:uid="{00000000-0005-0000-0000-0000B01C0000}"/>
    <cellStyle name="Normal 2 2 10 2 22 5 10" xfId="7391" xr:uid="{00000000-0005-0000-0000-0000B11C0000}"/>
    <cellStyle name="Normal 2 2 10 2 22 5 2" xfId="7392" xr:uid="{00000000-0005-0000-0000-0000B21C0000}"/>
    <cellStyle name="Normal 2 2 10 2 22 5 3" xfId="7393" xr:uid="{00000000-0005-0000-0000-0000B31C0000}"/>
    <cellStyle name="Normal 2 2 10 2 22 5 4" xfId="7394" xr:uid="{00000000-0005-0000-0000-0000B41C0000}"/>
    <cellStyle name="Normal 2 2 10 2 22 5 5" xfId="7395" xr:uid="{00000000-0005-0000-0000-0000B51C0000}"/>
    <cellStyle name="Normal 2 2 10 2 22 5 6" xfId="7396" xr:uid="{00000000-0005-0000-0000-0000B61C0000}"/>
    <cellStyle name="Normal 2 2 10 2 22 5 7" xfId="7397" xr:uid="{00000000-0005-0000-0000-0000B71C0000}"/>
    <cellStyle name="Normal 2 2 10 2 22 5 8" xfId="7398" xr:uid="{00000000-0005-0000-0000-0000B81C0000}"/>
    <cellStyle name="Normal 2 2 10 2 22 5 9" xfId="7399" xr:uid="{00000000-0005-0000-0000-0000B91C0000}"/>
    <cellStyle name="Normal 2 2 10 2 22 6" xfId="7400" xr:uid="{00000000-0005-0000-0000-0000BA1C0000}"/>
    <cellStyle name="Normal 2 2 10 2 22 7" xfId="7401" xr:uid="{00000000-0005-0000-0000-0000BB1C0000}"/>
    <cellStyle name="Normal 2 2 10 2 22 8" xfId="7402" xr:uid="{00000000-0005-0000-0000-0000BC1C0000}"/>
    <cellStyle name="Normal 2 2 10 2 22 9" xfId="7403" xr:uid="{00000000-0005-0000-0000-0000BD1C0000}"/>
    <cellStyle name="Normal 2 2 10 2 23" xfId="7404" xr:uid="{00000000-0005-0000-0000-0000BE1C0000}"/>
    <cellStyle name="Normal 2 2 10 2 23 10" xfId="7405" xr:uid="{00000000-0005-0000-0000-0000BF1C0000}"/>
    <cellStyle name="Normal 2 2 10 2 23 11" xfId="7406" xr:uid="{00000000-0005-0000-0000-0000C01C0000}"/>
    <cellStyle name="Normal 2 2 10 2 23 12" xfId="7407" xr:uid="{00000000-0005-0000-0000-0000C11C0000}"/>
    <cellStyle name="Normal 2 2 10 2 23 13" xfId="7408" xr:uid="{00000000-0005-0000-0000-0000C21C0000}"/>
    <cellStyle name="Normal 2 2 10 2 23 14" xfId="7409" xr:uid="{00000000-0005-0000-0000-0000C31C0000}"/>
    <cellStyle name="Normal 2 2 10 2 23 2" xfId="7410" xr:uid="{00000000-0005-0000-0000-0000C41C0000}"/>
    <cellStyle name="Normal 2 2 10 2 23 2 10" xfId="7411" xr:uid="{00000000-0005-0000-0000-0000C51C0000}"/>
    <cellStyle name="Normal 2 2 10 2 23 2 2" xfId="7412" xr:uid="{00000000-0005-0000-0000-0000C61C0000}"/>
    <cellStyle name="Normal 2 2 10 2 23 2 3" xfId="7413" xr:uid="{00000000-0005-0000-0000-0000C71C0000}"/>
    <cellStyle name="Normal 2 2 10 2 23 2 4" xfId="7414" xr:uid="{00000000-0005-0000-0000-0000C81C0000}"/>
    <cellStyle name="Normal 2 2 10 2 23 2 5" xfId="7415" xr:uid="{00000000-0005-0000-0000-0000C91C0000}"/>
    <cellStyle name="Normal 2 2 10 2 23 2 6" xfId="7416" xr:uid="{00000000-0005-0000-0000-0000CA1C0000}"/>
    <cellStyle name="Normal 2 2 10 2 23 2 7" xfId="7417" xr:uid="{00000000-0005-0000-0000-0000CB1C0000}"/>
    <cellStyle name="Normal 2 2 10 2 23 2 8" xfId="7418" xr:uid="{00000000-0005-0000-0000-0000CC1C0000}"/>
    <cellStyle name="Normal 2 2 10 2 23 2 9" xfId="7419" xr:uid="{00000000-0005-0000-0000-0000CD1C0000}"/>
    <cellStyle name="Normal 2 2 10 2 23 3" xfId="7420" xr:uid="{00000000-0005-0000-0000-0000CE1C0000}"/>
    <cellStyle name="Normal 2 2 10 2 23 3 10" xfId="7421" xr:uid="{00000000-0005-0000-0000-0000CF1C0000}"/>
    <cellStyle name="Normal 2 2 10 2 23 3 2" xfId="7422" xr:uid="{00000000-0005-0000-0000-0000D01C0000}"/>
    <cellStyle name="Normal 2 2 10 2 23 3 3" xfId="7423" xr:uid="{00000000-0005-0000-0000-0000D11C0000}"/>
    <cellStyle name="Normal 2 2 10 2 23 3 4" xfId="7424" xr:uid="{00000000-0005-0000-0000-0000D21C0000}"/>
    <cellStyle name="Normal 2 2 10 2 23 3 5" xfId="7425" xr:uid="{00000000-0005-0000-0000-0000D31C0000}"/>
    <cellStyle name="Normal 2 2 10 2 23 3 6" xfId="7426" xr:uid="{00000000-0005-0000-0000-0000D41C0000}"/>
    <cellStyle name="Normal 2 2 10 2 23 3 7" xfId="7427" xr:uid="{00000000-0005-0000-0000-0000D51C0000}"/>
    <cellStyle name="Normal 2 2 10 2 23 3 8" xfId="7428" xr:uid="{00000000-0005-0000-0000-0000D61C0000}"/>
    <cellStyle name="Normal 2 2 10 2 23 3 9" xfId="7429" xr:uid="{00000000-0005-0000-0000-0000D71C0000}"/>
    <cellStyle name="Normal 2 2 10 2 23 4" xfId="7430" xr:uid="{00000000-0005-0000-0000-0000D81C0000}"/>
    <cellStyle name="Normal 2 2 10 2 23 4 10" xfId="7431" xr:uid="{00000000-0005-0000-0000-0000D91C0000}"/>
    <cellStyle name="Normal 2 2 10 2 23 4 2" xfId="7432" xr:uid="{00000000-0005-0000-0000-0000DA1C0000}"/>
    <cellStyle name="Normal 2 2 10 2 23 4 3" xfId="7433" xr:uid="{00000000-0005-0000-0000-0000DB1C0000}"/>
    <cellStyle name="Normal 2 2 10 2 23 4 4" xfId="7434" xr:uid="{00000000-0005-0000-0000-0000DC1C0000}"/>
    <cellStyle name="Normal 2 2 10 2 23 4 5" xfId="7435" xr:uid="{00000000-0005-0000-0000-0000DD1C0000}"/>
    <cellStyle name="Normal 2 2 10 2 23 4 6" xfId="7436" xr:uid="{00000000-0005-0000-0000-0000DE1C0000}"/>
    <cellStyle name="Normal 2 2 10 2 23 4 7" xfId="7437" xr:uid="{00000000-0005-0000-0000-0000DF1C0000}"/>
    <cellStyle name="Normal 2 2 10 2 23 4 8" xfId="7438" xr:uid="{00000000-0005-0000-0000-0000E01C0000}"/>
    <cellStyle name="Normal 2 2 10 2 23 4 9" xfId="7439" xr:uid="{00000000-0005-0000-0000-0000E11C0000}"/>
    <cellStyle name="Normal 2 2 10 2 23 5" xfId="7440" xr:uid="{00000000-0005-0000-0000-0000E21C0000}"/>
    <cellStyle name="Normal 2 2 10 2 23 5 10" xfId="7441" xr:uid="{00000000-0005-0000-0000-0000E31C0000}"/>
    <cellStyle name="Normal 2 2 10 2 23 5 2" xfId="7442" xr:uid="{00000000-0005-0000-0000-0000E41C0000}"/>
    <cellStyle name="Normal 2 2 10 2 23 5 3" xfId="7443" xr:uid="{00000000-0005-0000-0000-0000E51C0000}"/>
    <cellStyle name="Normal 2 2 10 2 23 5 4" xfId="7444" xr:uid="{00000000-0005-0000-0000-0000E61C0000}"/>
    <cellStyle name="Normal 2 2 10 2 23 5 5" xfId="7445" xr:uid="{00000000-0005-0000-0000-0000E71C0000}"/>
    <cellStyle name="Normal 2 2 10 2 23 5 6" xfId="7446" xr:uid="{00000000-0005-0000-0000-0000E81C0000}"/>
    <cellStyle name="Normal 2 2 10 2 23 5 7" xfId="7447" xr:uid="{00000000-0005-0000-0000-0000E91C0000}"/>
    <cellStyle name="Normal 2 2 10 2 23 5 8" xfId="7448" xr:uid="{00000000-0005-0000-0000-0000EA1C0000}"/>
    <cellStyle name="Normal 2 2 10 2 23 5 9" xfId="7449" xr:uid="{00000000-0005-0000-0000-0000EB1C0000}"/>
    <cellStyle name="Normal 2 2 10 2 23 6" xfId="7450" xr:uid="{00000000-0005-0000-0000-0000EC1C0000}"/>
    <cellStyle name="Normal 2 2 10 2 23 7" xfId="7451" xr:uid="{00000000-0005-0000-0000-0000ED1C0000}"/>
    <cellStyle name="Normal 2 2 10 2 23 8" xfId="7452" xr:uid="{00000000-0005-0000-0000-0000EE1C0000}"/>
    <cellStyle name="Normal 2 2 10 2 23 9" xfId="7453" xr:uid="{00000000-0005-0000-0000-0000EF1C0000}"/>
    <cellStyle name="Normal 2 2 10 2 24" xfId="7454" xr:uid="{00000000-0005-0000-0000-0000F01C0000}"/>
    <cellStyle name="Normal 2 2 10 2 24 10" xfId="7455" xr:uid="{00000000-0005-0000-0000-0000F11C0000}"/>
    <cellStyle name="Normal 2 2 10 2 24 11" xfId="7456" xr:uid="{00000000-0005-0000-0000-0000F21C0000}"/>
    <cellStyle name="Normal 2 2 10 2 24 12" xfId="7457" xr:uid="{00000000-0005-0000-0000-0000F31C0000}"/>
    <cellStyle name="Normal 2 2 10 2 24 13" xfId="7458" xr:uid="{00000000-0005-0000-0000-0000F41C0000}"/>
    <cellStyle name="Normal 2 2 10 2 24 14" xfId="7459" xr:uid="{00000000-0005-0000-0000-0000F51C0000}"/>
    <cellStyle name="Normal 2 2 10 2 24 2" xfId="7460" xr:uid="{00000000-0005-0000-0000-0000F61C0000}"/>
    <cellStyle name="Normal 2 2 10 2 24 2 10" xfId="7461" xr:uid="{00000000-0005-0000-0000-0000F71C0000}"/>
    <cellStyle name="Normal 2 2 10 2 24 2 2" xfId="7462" xr:uid="{00000000-0005-0000-0000-0000F81C0000}"/>
    <cellStyle name="Normal 2 2 10 2 24 2 3" xfId="7463" xr:uid="{00000000-0005-0000-0000-0000F91C0000}"/>
    <cellStyle name="Normal 2 2 10 2 24 2 4" xfId="7464" xr:uid="{00000000-0005-0000-0000-0000FA1C0000}"/>
    <cellStyle name="Normal 2 2 10 2 24 2 5" xfId="7465" xr:uid="{00000000-0005-0000-0000-0000FB1C0000}"/>
    <cellStyle name="Normal 2 2 10 2 24 2 6" xfId="7466" xr:uid="{00000000-0005-0000-0000-0000FC1C0000}"/>
    <cellStyle name="Normal 2 2 10 2 24 2 7" xfId="7467" xr:uid="{00000000-0005-0000-0000-0000FD1C0000}"/>
    <cellStyle name="Normal 2 2 10 2 24 2 8" xfId="7468" xr:uid="{00000000-0005-0000-0000-0000FE1C0000}"/>
    <cellStyle name="Normal 2 2 10 2 24 2 9" xfId="7469" xr:uid="{00000000-0005-0000-0000-0000FF1C0000}"/>
    <cellStyle name="Normal 2 2 10 2 24 3" xfId="7470" xr:uid="{00000000-0005-0000-0000-0000001D0000}"/>
    <cellStyle name="Normal 2 2 10 2 24 3 10" xfId="7471" xr:uid="{00000000-0005-0000-0000-0000011D0000}"/>
    <cellStyle name="Normal 2 2 10 2 24 3 2" xfId="7472" xr:uid="{00000000-0005-0000-0000-0000021D0000}"/>
    <cellStyle name="Normal 2 2 10 2 24 3 3" xfId="7473" xr:uid="{00000000-0005-0000-0000-0000031D0000}"/>
    <cellStyle name="Normal 2 2 10 2 24 3 4" xfId="7474" xr:uid="{00000000-0005-0000-0000-0000041D0000}"/>
    <cellStyle name="Normal 2 2 10 2 24 3 5" xfId="7475" xr:uid="{00000000-0005-0000-0000-0000051D0000}"/>
    <cellStyle name="Normal 2 2 10 2 24 3 6" xfId="7476" xr:uid="{00000000-0005-0000-0000-0000061D0000}"/>
    <cellStyle name="Normal 2 2 10 2 24 3 7" xfId="7477" xr:uid="{00000000-0005-0000-0000-0000071D0000}"/>
    <cellStyle name="Normal 2 2 10 2 24 3 8" xfId="7478" xr:uid="{00000000-0005-0000-0000-0000081D0000}"/>
    <cellStyle name="Normal 2 2 10 2 24 3 9" xfId="7479" xr:uid="{00000000-0005-0000-0000-0000091D0000}"/>
    <cellStyle name="Normal 2 2 10 2 24 4" xfId="7480" xr:uid="{00000000-0005-0000-0000-00000A1D0000}"/>
    <cellStyle name="Normal 2 2 10 2 24 4 10" xfId="7481" xr:uid="{00000000-0005-0000-0000-00000B1D0000}"/>
    <cellStyle name="Normal 2 2 10 2 24 4 2" xfId="7482" xr:uid="{00000000-0005-0000-0000-00000C1D0000}"/>
    <cellStyle name="Normal 2 2 10 2 24 4 3" xfId="7483" xr:uid="{00000000-0005-0000-0000-00000D1D0000}"/>
    <cellStyle name="Normal 2 2 10 2 24 4 4" xfId="7484" xr:uid="{00000000-0005-0000-0000-00000E1D0000}"/>
    <cellStyle name="Normal 2 2 10 2 24 4 5" xfId="7485" xr:uid="{00000000-0005-0000-0000-00000F1D0000}"/>
    <cellStyle name="Normal 2 2 10 2 24 4 6" xfId="7486" xr:uid="{00000000-0005-0000-0000-0000101D0000}"/>
    <cellStyle name="Normal 2 2 10 2 24 4 7" xfId="7487" xr:uid="{00000000-0005-0000-0000-0000111D0000}"/>
    <cellStyle name="Normal 2 2 10 2 24 4 8" xfId="7488" xr:uid="{00000000-0005-0000-0000-0000121D0000}"/>
    <cellStyle name="Normal 2 2 10 2 24 4 9" xfId="7489" xr:uid="{00000000-0005-0000-0000-0000131D0000}"/>
    <cellStyle name="Normal 2 2 10 2 24 5" xfId="7490" xr:uid="{00000000-0005-0000-0000-0000141D0000}"/>
    <cellStyle name="Normal 2 2 10 2 24 5 10" xfId="7491" xr:uid="{00000000-0005-0000-0000-0000151D0000}"/>
    <cellStyle name="Normal 2 2 10 2 24 5 2" xfId="7492" xr:uid="{00000000-0005-0000-0000-0000161D0000}"/>
    <cellStyle name="Normal 2 2 10 2 24 5 3" xfId="7493" xr:uid="{00000000-0005-0000-0000-0000171D0000}"/>
    <cellStyle name="Normal 2 2 10 2 24 5 4" xfId="7494" xr:uid="{00000000-0005-0000-0000-0000181D0000}"/>
    <cellStyle name="Normal 2 2 10 2 24 5 5" xfId="7495" xr:uid="{00000000-0005-0000-0000-0000191D0000}"/>
    <cellStyle name="Normal 2 2 10 2 24 5 6" xfId="7496" xr:uid="{00000000-0005-0000-0000-00001A1D0000}"/>
    <cellStyle name="Normal 2 2 10 2 24 5 7" xfId="7497" xr:uid="{00000000-0005-0000-0000-00001B1D0000}"/>
    <cellStyle name="Normal 2 2 10 2 24 5 8" xfId="7498" xr:uid="{00000000-0005-0000-0000-00001C1D0000}"/>
    <cellStyle name="Normal 2 2 10 2 24 5 9" xfId="7499" xr:uid="{00000000-0005-0000-0000-00001D1D0000}"/>
    <cellStyle name="Normal 2 2 10 2 24 6" xfId="7500" xr:uid="{00000000-0005-0000-0000-00001E1D0000}"/>
    <cellStyle name="Normal 2 2 10 2 24 7" xfId="7501" xr:uid="{00000000-0005-0000-0000-00001F1D0000}"/>
    <cellStyle name="Normal 2 2 10 2 24 8" xfId="7502" xr:uid="{00000000-0005-0000-0000-0000201D0000}"/>
    <cellStyle name="Normal 2 2 10 2 24 9" xfId="7503" xr:uid="{00000000-0005-0000-0000-0000211D0000}"/>
    <cellStyle name="Normal 2 2 10 2 25" xfId="7504" xr:uid="{00000000-0005-0000-0000-0000221D0000}"/>
    <cellStyle name="Normal 2 2 10 2 25 10" xfId="7505" xr:uid="{00000000-0005-0000-0000-0000231D0000}"/>
    <cellStyle name="Normal 2 2 10 2 25 11" xfId="7506" xr:uid="{00000000-0005-0000-0000-0000241D0000}"/>
    <cellStyle name="Normal 2 2 10 2 25 12" xfId="7507" xr:uid="{00000000-0005-0000-0000-0000251D0000}"/>
    <cellStyle name="Normal 2 2 10 2 25 13" xfId="7508" xr:uid="{00000000-0005-0000-0000-0000261D0000}"/>
    <cellStyle name="Normal 2 2 10 2 25 14" xfId="7509" xr:uid="{00000000-0005-0000-0000-0000271D0000}"/>
    <cellStyle name="Normal 2 2 10 2 25 2" xfId="7510" xr:uid="{00000000-0005-0000-0000-0000281D0000}"/>
    <cellStyle name="Normal 2 2 10 2 25 2 10" xfId="7511" xr:uid="{00000000-0005-0000-0000-0000291D0000}"/>
    <cellStyle name="Normal 2 2 10 2 25 2 2" xfId="7512" xr:uid="{00000000-0005-0000-0000-00002A1D0000}"/>
    <cellStyle name="Normal 2 2 10 2 25 2 3" xfId="7513" xr:uid="{00000000-0005-0000-0000-00002B1D0000}"/>
    <cellStyle name="Normal 2 2 10 2 25 2 4" xfId="7514" xr:uid="{00000000-0005-0000-0000-00002C1D0000}"/>
    <cellStyle name="Normal 2 2 10 2 25 2 5" xfId="7515" xr:uid="{00000000-0005-0000-0000-00002D1D0000}"/>
    <cellStyle name="Normal 2 2 10 2 25 2 6" xfId="7516" xr:uid="{00000000-0005-0000-0000-00002E1D0000}"/>
    <cellStyle name="Normal 2 2 10 2 25 2 7" xfId="7517" xr:uid="{00000000-0005-0000-0000-00002F1D0000}"/>
    <cellStyle name="Normal 2 2 10 2 25 2 8" xfId="7518" xr:uid="{00000000-0005-0000-0000-0000301D0000}"/>
    <cellStyle name="Normal 2 2 10 2 25 2 9" xfId="7519" xr:uid="{00000000-0005-0000-0000-0000311D0000}"/>
    <cellStyle name="Normal 2 2 10 2 25 3" xfId="7520" xr:uid="{00000000-0005-0000-0000-0000321D0000}"/>
    <cellStyle name="Normal 2 2 10 2 25 3 10" xfId="7521" xr:uid="{00000000-0005-0000-0000-0000331D0000}"/>
    <cellStyle name="Normal 2 2 10 2 25 3 2" xfId="7522" xr:uid="{00000000-0005-0000-0000-0000341D0000}"/>
    <cellStyle name="Normal 2 2 10 2 25 3 3" xfId="7523" xr:uid="{00000000-0005-0000-0000-0000351D0000}"/>
    <cellStyle name="Normal 2 2 10 2 25 3 4" xfId="7524" xr:uid="{00000000-0005-0000-0000-0000361D0000}"/>
    <cellStyle name="Normal 2 2 10 2 25 3 5" xfId="7525" xr:uid="{00000000-0005-0000-0000-0000371D0000}"/>
    <cellStyle name="Normal 2 2 10 2 25 3 6" xfId="7526" xr:uid="{00000000-0005-0000-0000-0000381D0000}"/>
    <cellStyle name="Normal 2 2 10 2 25 3 7" xfId="7527" xr:uid="{00000000-0005-0000-0000-0000391D0000}"/>
    <cellStyle name="Normal 2 2 10 2 25 3 8" xfId="7528" xr:uid="{00000000-0005-0000-0000-00003A1D0000}"/>
    <cellStyle name="Normal 2 2 10 2 25 3 9" xfId="7529" xr:uid="{00000000-0005-0000-0000-00003B1D0000}"/>
    <cellStyle name="Normal 2 2 10 2 25 4" xfId="7530" xr:uid="{00000000-0005-0000-0000-00003C1D0000}"/>
    <cellStyle name="Normal 2 2 10 2 25 4 10" xfId="7531" xr:uid="{00000000-0005-0000-0000-00003D1D0000}"/>
    <cellStyle name="Normal 2 2 10 2 25 4 2" xfId="7532" xr:uid="{00000000-0005-0000-0000-00003E1D0000}"/>
    <cellStyle name="Normal 2 2 10 2 25 4 3" xfId="7533" xr:uid="{00000000-0005-0000-0000-00003F1D0000}"/>
    <cellStyle name="Normal 2 2 10 2 25 4 4" xfId="7534" xr:uid="{00000000-0005-0000-0000-0000401D0000}"/>
    <cellStyle name="Normal 2 2 10 2 25 4 5" xfId="7535" xr:uid="{00000000-0005-0000-0000-0000411D0000}"/>
    <cellStyle name="Normal 2 2 10 2 25 4 6" xfId="7536" xr:uid="{00000000-0005-0000-0000-0000421D0000}"/>
    <cellStyle name="Normal 2 2 10 2 25 4 7" xfId="7537" xr:uid="{00000000-0005-0000-0000-0000431D0000}"/>
    <cellStyle name="Normal 2 2 10 2 25 4 8" xfId="7538" xr:uid="{00000000-0005-0000-0000-0000441D0000}"/>
    <cellStyle name="Normal 2 2 10 2 25 4 9" xfId="7539" xr:uid="{00000000-0005-0000-0000-0000451D0000}"/>
    <cellStyle name="Normal 2 2 10 2 25 5" xfId="7540" xr:uid="{00000000-0005-0000-0000-0000461D0000}"/>
    <cellStyle name="Normal 2 2 10 2 25 5 10" xfId="7541" xr:uid="{00000000-0005-0000-0000-0000471D0000}"/>
    <cellStyle name="Normal 2 2 10 2 25 5 2" xfId="7542" xr:uid="{00000000-0005-0000-0000-0000481D0000}"/>
    <cellStyle name="Normal 2 2 10 2 25 5 3" xfId="7543" xr:uid="{00000000-0005-0000-0000-0000491D0000}"/>
    <cellStyle name="Normal 2 2 10 2 25 5 4" xfId="7544" xr:uid="{00000000-0005-0000-0000-00004A1D0000}"/>
    <cellStyle name="Normal 2 2 10 2 25 5 5" xfId="7545" xr:uid="{00000000-0005-0000-0000-00004B1D0000}"/>
    <cellStyle name="Normal 2 2 10 2 25 5 6" xfId="7546" xr:uid="{00000000-0005-0000-0000-00004C1D0000}"/>
    <cellStyle name="Normal 2 2 10 2 25 5 7" xfId="7547" xr:uid="{00000000-0005-0000-0000-00004D1D0000}"/>
    <cellStyle name="Normal 2 2 10 2 25 5 8" xfId="7548" xr:uid="{00000000-0005-0000-0000-00004E1D0000}"/>
    <cellStyle name="Normal 2 2 10 2 25 5 9" xfId="7549" xr:uid="{00000000-0005-0000-0000-00004F1D0000}"/>
    <cellStyle name="Normal 2 2 10 2 25 6" xfId="7550" xr:uid="{00000000-0005-0000-0000-0000501D0000}"/>
    <cellStyle name="Normal 2 2 10 2 25 7" xfId="7551" xr:uid="{00000000-0005-0000-0000-0000511D0000}"/>
    <cellStyle name="Normal 2 2 10 2 25 8" xfId="7552" xr:uid="{00000000-0005-0000-0000-0000521D0000}"/>
    <cellStyle name="Normal 2 2 10 2 25 9" xfId="7553" xr:uid="{00000000-0005-0000-0000-0000531D0000}"/>
    <cellStyle name="Normal 2 2 10 2 26" xfId="7554" xr:uid="{00000000-0005-0000-0000-0000541D0000}"/>
    <cellStyle name="Normal 2 2 10 2 26 10" xfId="7555" xr:uid="{00000000-0005-0000-0000-0000551D0000}"/>
    <cellStyle name="Normal 2 2 10 2 26 11" xfId="7556" xr:uid="{00000000-0005-0000-0000-0000561D0000}"/>
    <cellStyle name="Normal 2 2 10 2 26 12" xfId="7557" xr:uid="{00000000-0005-0000-0000-0000571D0000}"/>
    <cellStyle name="Normal 2 2 10 2 26 13" xfId="7558" xr:uid="{00000000-0005-0000-0000-0000581D0000}"/>
    <cellStyle name="Normal 2 2 10 2 26 14" xfId="7559" xr:uid="{00000000-0005-0000-0000-0000591D0000}"/>
    <cellStyle name="Normal 2 2 10 2 26 2" xfId="7560" xr:uid="{00000000-0005-0000-0000-00005A1D0000}"/>
    <cellStyle name="Normal 2 2 10 2 26 2 10" xfId="7561" xr:uid="{00000000-0005-0000-0000-00005B1D0000}"/>
    <cellStyle name="Normal 2 2 10 2 26 2 2" xfId="7562" xr:uid="{00000000-0005-0000-0000-00005C1D0000}"/>
    <cellStyle name="Normal 2 2 10 2 26 2 3" xfId="7563" xr:uid="{00000000-0005-0000-0000-00005D1D0000}"/>
    <cellStyle name="Normal 2 2 10 2 26 2 4" xfId="7564" xr:uid="{00000000-0005-0000-0000-00005E1D0000}"/>
    <cellStyle name="Normal 2 2 10 2 26 2 5" xfId="7565" xr:uid="{00000000-0005-0000-0000-00005F1D0000}"/>
    <cellStyle name="Normal 2 2 10 2 26 2 6" xfId="7566" xr:uid="{00000000-0005-0000-0000-0000601D0000}"/>
    <cellStyle name="Normal 2 2 10 2 26 2 7" xfId="7567" xr:uid="{00000000-0005-0000-0000-0000611D0000}"/>
    <cellStyle name="Normal 2 2 10 2 26 2 8" xfId="7568" xr:uid="{00000000-0005-0000-0000-0000621D0000}"/>
    <cellStyle name="Normal 2 2 10 2 26 2 9" xfId="7569" xr:uid="{00000000-0005-0000-0000-0000631D0000}"/>
    <cellStyle name="Normal 2 2 10 2 26 3" xfId="7570" xr:uid="{00000000-0005-0000-0000-0000641D0000}"/>
    <cellStyle name="Normal 2 2 10 2 26 3 10" xfId="7571" xr:uid="{00000000-0005-0000-0000-0000651D0000}"/>
    <cellStyle name="Normal 2 2 10 2 26 3 2" xfId="7572" xr:uid="{00000000-0005-0000-0000-0000661D0000}"/>
    <cellStyle name="Normal 2 2 10 2 26 3 3" xfId="7573" xr:uid="{00000000-0005-0000-0000-0000671D0000}"/>
    <cellStyle name="Normal 2 2 10 2 26 3 4" xfId="7574" xr:uid="{00000000-0005-0000-0000-0000681D0000}"/>
    <cellStyle name="Normal 2 2 10 2 26 3 5" xfId="7575" xr:uid="{00000000-0005-0000-0000-0000691D0000}"/>
    <cellStyle name="Normal 2 2 10 2 26 3 6" xfId="7576" xr:uid="{00000000-0005-0000-0000-00006A1D0000}"/>
    <cellStyle name="Normal 2 2 10 2 26 3 7" xfId="7577" xr:uid="{00000000-0005-0000-0000-00006B1D0000}"/>
    <cellStyle name="Normal 2 2 10 2 26 3 8" xfId="7578" xr:uid="{00000000-0005-0000-0000-00006C1D0000}"/>
    <cellStyle name="Normal 2 2 10 2 26 3 9" xfId="7579" xr:uid="{00000000-0005-0000-0000-00006D1D0000}"/>
    <cellStyle name="Normal 2 2 10 2 26 4" xfId="7580" xr:uid="{00000000-0005-0000-0000-00006E1D0000}"/>
    <cellStyle name="Normal 2 2 10 2 26 4 10" xfId="7581" xr:uid="{00000000-0005-0000-0000-00006F1D0000}"/>
    <cellStyle name="Normal 2 2 10 2 26 4 2" xfId="7582" xr:uid="{00000000-0005-0000-0000-0000701D0000}"/>
    <cellStyle name="Normal 2 2 10 2 26 4 3" xfId="7583" xr:uid="{00000000-0005-0000-0000-0000711D0000}"/>
    <cellStyle name="Normal 2 2 10 2 26 4 4" xfId="7584" xr:uid="{00000000-0005-0000-0000-0000721D0000}"/>
    <cellStyle name="Normal 2 2 10 2 26 4 5" xfId="7585" xr:uid="{00000000-0005-0000-0000-0000731D0000}"/>
    <cellStyle name="Normal 2 2 10 2 26 4 6" xfId="7586" xr:uid="{00000000-0005-0000-0000-0000741D0000}"/>
    <cellStyle name="Normal 2 2 10 2 26 4 7" xfId="7587" xr:uid="{00000000-0005-0000-0000-0000751D0000}"/>
    <cellStyle name="Normal 2 2 10 2 26 4 8" xfId="7588" xr:uid="{00000000-0005-0000-0000-0000761D0000}"/>
    <cellStyle name="Normal 2 2 10 2 26 4 9" xfId="7589" xr:uid="{00000000-0005-0000-0000-0000771D0000}"/>
    <cellStyle name="Normal 2 2 10 2 26 5" xfId="7590" xr:uid="{00000000-0005-0000-0000-0000781D0000}"/>
    <cellStyle name="Normal 2 2 10 2 26 5 10" xfId="7591" xr:uid="{00000000-0005-0000-0000-0000791D0000}"/>
    <cellStyle name="Normal 2 2 10 2 26 5 2" xfId="7592" xr:uid="{00000000-0005-0000-0000-00007A1D0000}"/>
    <cellStyle name="Normal 2 2 10 2 26 5 3" xfId="7593" xr:uid="{00000000-0005-0000-0000-00007B1D0000}"/>
    <cellStyle name="Normal 2 2 10 2 26 5 4" xfId="7594" xr:uid="{00000000-0005-0000-0000-00007C1D0000}"/>
    <cellStyle name="Normal 2 2 10 2 26 5 5" xfId="7595" xr:uid="{00000000-0005-0000-0000-00007D1D0000}"/>
    <cellStyle name="Normal 2 2 10 2 26 5 6" xfId="7596" xr:uid="{00000000-0005-0000-0000-00007E1D0000}"/>
    <cellStyle name="Normal 2 2 10 2 26 5 7" xfId="7597" xr:uid="{00000000-0005-0000-0000-00007F1D0000}"/>
    <cellStyle name="Normal 2 2 10 2 26 5 8" xfId="7598" xr:uid="{00000000-0005-0000-0000-0000801D0000}"/>
    <cellStyle name="Normal 2 2 10 2 26 5 9" xfId="7599" xr:uid="{00000000-0005-0000-0000-0000811D0000}"/>
    <cellStyle name="Normal 2 2 10 2 26 6" xfId="7600" xr:uid="{00000000-0005-0000-0000-0000821D0000}"/>
    <cellStyle name="Normal 2 2 10 2 26 7" xfId="7601" xr:uid="{00000000-0005-0000-0000-0000831D0000}"/>
    <cellStyle name="Normal 2 2 10 2 26 8" xfId="7602" xr:uid="{00000000-0005-0000-0000-0000841D0000}"/>
    <cellStyle name="Normal 2 2 10 2 26 9" xfId="7603" xr:uid="{00000000-0005-0000-0000-0000851D0000}"/>
    <cellStyle name="Normal 2 2 10 2 27" xfId="7604" xr:uid="{00000000-0005-0000-0000-0000861D0000}"/>
    <cellStyle name="Normal 2 2 10 2 27 10" xfId="7605" xr:uid="{00000000-0005-0000-0000-0000871D0000}"/>
    <cellStyle name="Normal 2 2 10 2 27 11" xfId="7606" xr:uid="{00000000-0005-0000-0000-0000881D0000}"/>
    <cellStyle name="Normal 2 2 10 2 27 12" xfId="7607" xr:uid="{00000000-0005-0000-0000-0000891D0000}"/>
    <cellStyle name="Normal 2 2 10 2 27 13" xfId="7608" xr:uid="{00000000-0005-0000-0000-00008A1D0000}"/>
    <cellStyle name="Normal 2 2 10 2 27 14" xfId="7609" xr:uid="{00000000-0005-0000-0000-00008B1D0000}"/>
    <cellStyle name="Normal 2 2 10 2 27 2" xfId="7610" xr:uid="{00000000-0005-0000-0000-00008C1D0000}"/>
    <cellStyle name="Normal 2 2 10 2 27 2 10" xfId="7611" xr:uid="{00000000-0005-0000-0000-00008D1D0000}"/>
    <cellStyle name="Normal 2 2 10 2 27 2 2" xfId="7612" xr:uid="{00000000-0005-0000-0000-00008E1D0000}"/>
    <cellStyle name="Normal 2 2 10 2 27 2 3" xfId="7613" xr:uid="{00000000-0005-0000-0000-00008F1D0000}"/>
    <cellStyle name="Normal 2 2 10 2 27 2 4" xfId="7614" xr:uid="{00000000-0005-0000-0000-0000901D0000}"/>
    <cellStyle name="Normal 2 2 10 2 27 2 5" xfId="7615" xr:uid="{00000000-0005-0000-0000-0000911D0000}"/>
    <cellStyle name="Normal 2 2 10 2 27 2 6" xfId="7616" xr:uid="{00000000-0005-0000-0000-0000921D0000}"/>
    <cellStyle name="Normal 2 2 10 2 27 2 7" xfId="7617" xr:uid="{00000000-0005-0000-0000-0000931D0000}"/>
    <cellStyle name="Normal 2 2 10 2 27 2 8" xfId="7618" xr:uid="{00000000-0005-0000-0000-0000941D0000}"/>
    <cellStyle name="Normal 2 2 10 2 27 2 9" xfId="7619" xr:uid="{00000000-0005-0000-0000-0000951D0000}"/>
    <cellStyle name="Normal 2 2 10 2 27 3" xfId="7620" xr:uid="{00000000-0005-0000-0000-0000961D0000}"/>
    <cellStyle name="Normal 2 2 10 2 27 3 10" xfId="7621" xr:uid="{00000000-0005-0000-0000-0000971D0000}"/>
    <cellStyle name="Normal 2 2 10 2 27 3 2" xfId="7622" xr:uid="{00000000-0005-0000-0000-0000981D0000}"/>
    <cellStyle name="Normal 2 2 10 2 27 3 3" xfId="7623" xr:uid="{00000000-0005-0000-0000-0000991D0000}"/>
    <cellStyle name="Normal 2 2 10 2 27 3 4" xfId="7624" xr:uid="{00000000-0005-0000-0000-00009A1D0000}"/>
    <cellStyle name="Normal 2 2 10 2 27 3 5" xfId="7625" xr:uid="{00000000-0005-0000-0000-00009B1D0000}"/>
    <cellStyle name="Normal 2 2 10 2 27 3 6" xfId="7626" xr:uid="{00000000-0005-0000-0000-00009C1D0000}"/>
    <cellStyle name="Normal 2 2 10 2 27 3 7" xfId="7627" xr:uid="{00000000-0005-0000-0000-00009D1D0000}"/>
    <cellStyle name="Normal 2 2 10 2 27 3 8" xfId="7628" xr:uid="{00000000-0005-0000-0000-00009E1D0000}"/>
    <cellStyle name="Normal 2 2 10 2 27 3 9" xfId="7629" xr:uid="{00000000-0005-0000-0000-00009F1D0000}"/>
    <cellStyle name="Normal 2 2 10 2 27 4" xfId="7630" xr:uid="{00000000-0005-0000-0000-0000A01D0000}"/>
    <cellStyle name="Normal 2 2 10 2 27 4 10" xfId="7631" xr:uid="{00000000-0005-0000-0000-0000A11D0000}"/>
    <cellStyle name="Normal 2 2 10 2 27 4 2" xfId="7632" xr:uid="{00000000-0005-0000-0000-0000A21D0000}"/>
    <cellStyle name="Normal 2 2 10 2 27 4 3" xfId="7633" xr:uid="{00000000-0005-0000-0000-0000A31D0000}"/>
    <cellStyle name="Normal 2 2 10 2 27 4 4" xfId="7634" xr:uid="{00000000-0005-0000-0000-0000A41D0000}"/>
    <cellStyle name="Normal 2 2 10 2 27 4 5" xfId="7635" xr:uid="{00000000-0005-0000-0000-0000A51D0000}"/>
    <cellStyle name="Normal 2 2 10 2 27 4 6" xfId="7636" xr:uid="{00000000-0005-0000-0000-0000A61D0000}"/>
    <cellStyle name="Normal 2 2 10 2 27 4 7" xfId="7637" xr:uid="{00000000-0005-0000-0000-0000A71D0000}"/>
    <cellStyle name="Normal 2 2 10 2 27 4 8" xfId="7638" xr:uid="{00000000-0005-0000-0000-0000A81D0000}"/>
    <cellStyle name="Normal 2 2 10 2 27 4 9" xfId="7639" xr:uid="{00000000-0005-0000-0000-0000A91D0000}"/>
    <cellStyle name="Normal 2 2 10 2 27 5" xfId="7640" xr:uid="{00000000-0005-0000-0000-0000AA1D0000}"/>
    <cellStyle name="Normal 2 2 10 2 27 5 10" xfId="7641" xr:uid="{00000000-0005-0000-0000-0000AB1D0000}"/>
    <cellStyle name="Normal 2 2 10 2 27 5 2" xfId="7642" xr:uid="{00000000-0005-0000-0000-0000AC1D0000}"/>
    <cellStyle name="Normal 2 2 10 2 27 5 3" xfId="7643" xr:uid="{00000000-0005-0000-0000-0000AD1D0000}"/>
    <cellStyle name="Normal 2 2 10 2 27 5 4" xfId="7644" xr:uid="{00000000-0005-0000-0000-0000AE1D0000}"/>
    <cellStyle name="Normal 2 2 10 2 27 5 5" xfId="7645" xr:uid="{00000000-0005-0000-0000-0000AF1D0000}"/>
    <cellStyle name="Normal 2 2 10 2 27 5 6" xfId="7646" xr:uid="{00000000-0005-0000-0000-0000B01D0000}"/>
    <cellStyle name="Normal 2 2 10 2 27 5 7" xfId="7647" xr:uid="{00000000-0005-0000-0000-0000B11D0000}"/>
    <cellStyle name="Normal 2 2 10 2 27 5 8" xfId="7648" xr:uid="{00000000-0005-0000-0000-0000B21D0000}"/>
    <cellStyle name="Normal 2 2 10 2 27 5 9" xfId="7649" xr:uid="{00000000-0005-0000-0000-0000B31D0000}"/>
    <cellStyle name="Normal 2 2 10 2 27 6" xfId="7650" xr:uid="{00000000-0005-0000-0000-0000B41D0000}"/>
    <cellStyle name="Normal 2 2 10 2 27 7" xfId="7651" xr:uid="{00000000-0005-0000-0000-0000B51D0000}"/>
    <cellStyle name="Normal 2 2 10 2 27 8" xfId="7652" xr:uid="{00000000-0005-0000-0000-0000B61D0000}"/>
    <cellStyle name="Normal 2 2 10 2 27 9" xfId="7653" xr:uid="{00000000-0005-0000-0000-0000B71D0000}"/>
    <cellStyle name="Normal 2 2 10 2 28" xfId="7654" xr:uid="{00000000-0005-0000-0000-0000B81D0000}"/>
    <cellStyle name="Normal 2 2 10 2 28 10" xfId="7655" xr:uid="{00000000-0005-0000-0000-0000B91D0000}"/>
    <cellStyle name="Normal 2 2 10 2 28 11" xfId="7656" xr:uid="{00000000-0005-0000-0000-0000BA1D0000}"/>
    <cellStyle name="Normal 2 2 10 2 28 12" xfId="7657" xr:uid="{00000000-0005-0000-0000-0000BB1D0000}"/>
    <cellStyle name="Normal 2 2 10 2 28 13" xfId="7658" xr:uid="{00000000-0005-0000-0000-0000BC1D0000}"/>
    <cellStyle name="Normal 2 2 10 2 28 14" xfId="7659" xr:uid="{00000000-0005-0000-0000-0000BD1D0000}"/>
    <cellStyle name="Normal 2 2 10 2 28 2" xfId="7660" xr:uid="{00000000-0005-0000-0000-0000BE1D0000}"/>
    <cellStyle name="Normal 2 2 10 2 28 2 10" xfId="7661" xr:uid="{00000000-0005-0000-0000-0000BF1D0000}"/>
    <cellStyle name="Normal 2 2 10 2 28 2 2" xfId="7662" xr:uid="{00000000-0005-0000-0000-0000C01D0000}"/>
    <cellStyle name="Normal 2 2 10 2 28 2 3" xfId="7663" xr:uid="{00000000-0005-0000-0000-0000C11D0000}"/>
    <cellStyle name="Normal 2 2 10 2 28 2 4" xfId="7664" xr:uid="{00000000-0005-0000-0000-0000C21D0000}"/>
    <cellStyle name="Normal 2 2 10 2 28 2 5" xfId="7665" xr:uid="{00000000-0005-0000-0000-0000C31D0000}"/>
    <cellStyle name="Normal 2 2 10 2 28 2 6" xfId="7666" xr:uid="{00000000-0005-0000-0000-0000C41D0000}"/>
    <cellStyle name="Normal 2 2 10 2 28 2 7" xfId="7667" xr:uid="{00000000-0005-0000-0000-0000C51D0000}"/>
    <cellStyle name="Normal 2 2 10 2 28 2 8" xfId="7668" xr:uid="{00000000-0005-0000-0000-0000C61D0000}"/>
    <cellStyle name="Normal 2 2 10 2 28 2 9" xfId="7669" xr:uid="{00000000-0005-0000-0000-0000C71D0000}"/>
    <cellStyle name="Normal 2 2 10 2 28 3" xfId="7670" xr:uid="{00000000-0005-0000-0000-0000C81D0000}"/>
    <cellStyle name="Normal 2 2 10 2 28 3 10" xfId="7671" xr:uid="{00000000-0005-0000-0000-0000C91D0000}"/>
    <cellStyle name="Normal 2 2 10 2 28 3 2" xfId="7672" xr:uid="{00000000-0005-0000-0000-0000CA1D0000}"/>
    <cellStyle name="Normal 2 2 10 2 28 3 3" xfId="7673" xr:uid="{00000000-0005-0000-0000-0000CB1D0000}"/>
    <cellStyle name="Normal 2 2 10 2 28 3 4" xfId="7674" xr:uid="{00000000-0005-0000-0000-0000CC1D0000}"/>
    <cellStyle name="Normal 2 2 10 2 28 3 5" xfId="7675" xr:uid="{00000000-0005-0000-0000-0000CD1D0000}"/>
    <cellStyle name="Normal 2 2 10 2 28 3 6" xfId="7676" xr:uid="{00000000-0005-0000-0000-0000CE1D0000}"/>
    <cellStyle name="Normal 2 2 10 2 28 3 7" xfId="7677" xr:uid="{00000000-0005-0000-0000-0000CF1D0000}"/>
    <cellStyle name="Normal 2 2 10 2 28 3 8" xfId="7678" xr:uid="{00000000-0005-0000-0000-0000D01D0000}"/>
    <cellStyle name="Normal 2 2 10 2 28 3 9" xfId="7679" xr:uid="{00000000-0005-0000-0000-0000D11D0000}"/>
    <cellStyle name="Normal 2 2 10 2 28 4" xfId="7680" xr:uid="{00000000-0005-0000-0000-0000D21D0000}"/>
    <cellStyle name="Normal 2 2 10 2 28 4 10" xfId="7681" xr:uid="{00000000-0005-0000-0000-0000D31D0000}"/>
    <cellStyle name="Normal 2 2 10 2 28 4 2" xfId="7682" xr:uid="{00000000-0005-0000-0000-0000D41D0000}"/>
    <cellStyle name="Normal 2 2 10 2 28 4 3" xfId="7683" xr:uid="{00000000-0005-0000-0000-0000D51D0000}"/>
    <cellStyle name="Normal 2 2 10 2 28 4 4" xfId="7684" xr:uid="{00000000-0005-0000-0000-0000D61D0000}"/>
    <cellStyle name="Normal 2 2 10 2 28 4 5" xfId="7685" xr:uid="{00000000-0005-0000-0000-0000D71D0000}"/>
    <cellStyle name="Normal 2 2 10 2 28 4 6" xfId="7686" xr:uid="{00000000-0005-0000-0000-0000D81D0000}"/>
    <cellStyle name="Normal 2 2 10 2 28 4 7" xfId="7687" xr:uid="{00000000-0005-0000-0000-0000D91D0000}"/>
    <cellStyle name="Normal 2 2 10 2 28 4 8" xfId="7688" xr:uid="{00000000-0005-0000-0000-0000DA1D0000}"/>
    <cellStyle name="Normal 2 2 10 2 28 4 9" xfId="7689" xr:uid="{00000000-0005-0000-0000-0000DB1D0000}"/>
    <cellStyle name="Normal 2 2 10 2 28 5" xfId="7690" xr:uid="{00000000-0005-0000-0000-0000DC1D0000}"/>
    <cellStyle name="Normal 2 2 10 2 28 5 10" xfId="7691" xr:uid="{00000000-0005-0000-0000-0000DD1D0000}"/>
    <cellStyle name="Normal 2 2 10 2 28 5 2" xfId="7692" xr:uid="{00000000-0005-0000-0000-0000DE1D0000}"/>
    <cellStyle name="Normal 2 2 10 2 28 5 3" xfId="7693" xr:uid="{00000000-0005-0000-0000-0000DF1D0000}"/>
    <cellStyle name="Normal 2 2 10 2 28 5 4" xfId="7694" xr:uid="{00000000-0005-0000-0000-0000E01D0000}"/>
    <cellStyle name="Normal 2 2 10 2 28 5 5" xfId="7695" xr:uid="{00000000-0005-0000-0000-0000E11D0000}"/>
    <cellStyle name="Normal 2 2 10 2 28 5 6" xfId="7696" xr:uid="{00000000-0005-0000-0000-0000E21D0000}"/>
    <cellStyle name="Normal 2 2 10 2 28 5 7" xfId="7697" xr:uid="{00000000-0005-0000-0000-0000E31D0000}"/>
    <cellStyle name="Normal 2 2 10 2 28 5 8" xfId="7698" xr:uid="{00000000-0005-0000-0000-0000E41D0000}"/>
    <cellStyle name="Normal 2 2 10 2 28 5 9" xfId="7699" xr:uid="{00000000-0005-0000-0000-0000E51D0000}"/>
    <cellStyle name="Normal 2 2 10 2 28 6" xfId="7700" xr:uid="{00000000-0005-0000-0000-0000E61D0000}"/>
    <cellStyle name="Normal 2 2 10 2 28 7" xfId="7701" xr:uid="{00000000-0005-0000-0000-0000E71D0000}"/>
    <cellStyle name="Normal 2 2 10 2 28 8" xfId="7702" xr:uid="{00000000-0005-0000-0000-0000E81D0000}"/>
    <cellStyle name="Normal 2 2 10 2 28 9" xfId="7703" xr:uid="{00000000-0005-0000-0000-0000E91D0000}"/>
    <cellStyle name="Normal 2 2 10 2 29" xfId="7704" xr:uid="{00000000-0005-0000-0000-0000EA1D0000}"/>
    <cellStyle name="Normal 2 2 10 2 29 10" xfId="7705" xr:uid="{00000000-0005-0000-0000-0000EB1D0000}"/>
    <cellStyle name="Normal 2 2 10 2 29 11" xfId="7706" xr:uid="{00000000-0005-0000-0000-0000EC1D0000}"/>
    <cellStyle name="Normal 2 2 10 2 29 12" xfId="7707" xr:uid="{00000000-0005-0000-0000-0000ED1D0000}"/>
    <cellStyle name="Normal 2 2 10 2 29 13" xfId="7708" xr:uid="{00000000-0005-0000-0000-0000EE1D0000}"/>
    <cellStyle name="Normal 2 2 10 2 29 14" xfId="7709" xr:uid="{00000000-0005-0000-0000-0000EF1D0000}"/>
    <cellStyle name="Normal 2 2 10 2 29 2" xfId="7710" xr:uid="{00000000-0005-0000-0000-0000F01D0000}"/>
    <cellStyle name="Normal 2 2 10 2 29 2 10" xfId="7711" xr:uid="{00000000-0005-0000-0000-0000F11D0000}"/>
    <cellStyle name="Normal 2 2 10 2 29 2 2" xfId="7712" xr:uid="{00000000-0005-0000-0000-0000F21D0000}"/>
    <cellStyle name="Normal 2 2 10 2 29 2 3" xfId="7713" xr:uid="{00000000-0005-0000-0000-0000F31D0000}"/>
    <cellStyle name="Normal 2 2 10 2 29 2 4" xfId="7714" xr:uid="{00000000-0005-0000-0000-0000F41D0000}"/>
    <cellStyle name="Normal 2 2 10 2 29 2 5" xfId="7715" xr:uid="{00000000-0005-0000-0000-0000F51D0000}"/>
    <cellStyle name="Normal 2 2 10 2 29 2 6" xfId="7716" xr:uid="{00000000-0005-0000-0000-0000F61D0000}"/>
    <cellStyle name="Normal 2 2 10 2 29 2 7" xfId="7717" xr:uid="{00000000-0005-0000-0000-0000F71D0000}"/>
    <cellStyle name="Normal 2 2 10 2 29 2 8" xfId="7718" xr:uid="{00000000-0005-0000-0000-0000F81D0000}"/>
    <cellStyle name="Normal 2 2 10 2 29 2 9" xfId="7719" xr:uid="{00000000-0005-0000-0000-0000F91D0000}"/>
    <cellStyle name="Normal 2 2 10 2 29 3" xfId="7720" xr:uid="{00000000-0005-0000-0000-0000FA1D0000}"/>
    <cellStyle name="Normal 2 2 10 2 29 3 10" xfId="7721" xr:uid="{00000000-0005-0000-0000-0000FB1D0000}"/>
    <cellStyle name="Normal 2 2 10 2 29 3 2" xfId="7722" xr:uid="{00000000-0005-0000-0000-0000FC1D0000}"/>
    <cellStyle name="Normal 2 2 10 2 29 3 3" xfId="7723" xr:uid="{00000000-0005-0000-0000-0000FD1D0000}"/>
    <cellStyle name="Normal 2 2 10 2 29 3 4" xfId="7724" xr:uid="{00000000-0005-0000-0000-0000FE1D0000}"/>
    <cellStyle name="Normal 2 2 10 2 29 3 5" xfId="7725" xr:uid="{00000000-0005-0000-0000-0000FF1D0000}"/>
    <cellStyle name="Normal 2 2 10 2 29 3 6" xfId="7726" xr:uid="{00000000-0005-0000-0000-0000001E0000}"/>
    <cellStyle name="Normal 2 2 10 2 29 3 7" xfId="7727" xr:uid="{00000000-0005-0000-0000-0000011E0000}"/>
    <cellStyle name="Normal 2 2 10 2 29 3 8" xfId="7728" xr:uid="{00000000-0005-0000-0000-0000021E0000}"/>
    <cellStyle name="Normal 2 2 10 2 29 3 9" xfId="7729" xr:uid="{00000000-0005-0000-0000-0000031E0000}"/>
    <cellStyle name="Normal 2 2 10 2 29 4" xfId="7730" xr:uid="{00000000-0005-0000-0000-0000041E0000}"/>
    <cellStyle name="Normal 2 2 10 2 29 4 10" xfId="7731" xr:uid="{00000000-0005-0000-0000-0000051E0000}"/>
    <cellStyle name="Normal 2 2 10 2 29 4 2" xfId="7732" xr:uid="{00000000-0005-0000-0000-0000061E0000}"/>
    <cellStyle name="Normal 2 2 10 2 29 4 3" xfId="7733" xr:uid="{00000000-0005-0000-0000-0000071E0000}"/>
    <cellStyle name="Normal 2 2 10 2 29 4 4" xfId="7734" xr:uid="{00000000-0005-0000-0000-0000081E0000}"/>
    <cellStyle name="Normal 2 2 10 2 29 4 5" xfId="7735" xr:uid="{00000000-0005-0000-0000-0000091E0000}"/>
    <cellStyle name="Normal 2 2 10 2 29 4 6" xfId="7736" xr:uid="{00000000-0005-0000-0000-00000A1E0000}"/>
    <cellStyle name="Normal 2 2 10 2 29 4 7" xfId="7737" xr:uid="{00000000-0005-0000-0000-00000B1E0000}"/>
    <cellStyle name="Normal 2 2 10 2 29 4 8" xfId="7738" xr:uid="{00000000-0005-0000-0000-00000C1E0000}"/>
    <cellStyle name="Normal 2 2 10 2 29 4 9" xfId="7739" xr:uid="{00000000-0005-0000-0000-00000D1E0000}"/>
    <cellStyle name="Normal 2 2 10 2 29 5" xfId="7740" xr:uid="{00000000-0005-0000-0000-00000E1E0000}"/>
    <cellStyle name="Normal 2 2 10 2 29 5 10" xfId="7741" xr:uid="{00000000-0005-0000-0000-00000F1E0000}"/>
    <cellStyle name="Normal 2 2 10 2 29 5 2" xfId="7742" xr:uid="{00000000-0005-0000-0000-0000101E0000}"/>
    <cellStyle name="Normal 2 2 10 2 29 5 3" xfId="7743" xr:uid="{00000000-0005-0000-0000-0000111E0000}"/>
    <cellStyle name="Normal 2 2 10 2 29 5 4" xfId="7744" xr:uid="{00000000-0005-0000-0000-0000121E0000}"/>
    <cellStyle name="Normal 2 2 10 2 29 5 5" xfId="7745" xr:uid="{00000000-0005-0000-0000-0000131E0000}"/>
    <cellStyle name="Normal 2 2 10 2 29 5 6" xfId="7746" xr:uid="{00000000-0005-0000-0000-0000141E0000}"/>
    <cellStyle name="Normal 2 2 10 2 29 5 7" xfId="7747" xr:uid="{00000000-0005-0000-0000-0000151E0000}"/>
    <cellStyle name="Normal 2 2 10 2 29 5 8" xfId="7748" xr:uid="{00000000-0005-0000-0000-0000161E0000}"/>
    <cellStyle name="Normal 2 2 10 2 29 5 9" xfId="7749" xr:uid="{00000000-0005-0000-0000-0000171E0000}"/>
    <cellStyle name="Normal 2 2 10 2 29 6" xfId="7750" xr:uid="{00000000-0005-0000-0000-0000181E0000}"/>
    <cellStyle name="Normal 2 2 10 2 29 7" xfId="7751" xr:uid="{00000000-0005-0000-0000-0000191E0000}"/>
    <cellStyle name="Normal 2 2 10 2 29 8" xfId="7752" xr:uid="{00000000-0005-0000-0000-00001A1E0000}"/>
    <cellStyle name="Normal 2 2 10 2 29 9" xfId="7753" xr:uid="{00000000-0005-0000-0000-00001B1E0000}"/>
    <cellStyle name="Normal 2 2 10 2 3" xfId="7754" xr:uid="{00000000-0005-0000-0000-00001C1E0000}"/>
    <cellStyle name="Normal 2 2 10 2 3 10" xfId="7755" xr:uid="{00000000-0005-0000-0000-00001D1E0000}"/>
    <cellStyle name="Normal 2 2 10 2 3 11" xfId="7756" xr:uid="{00000000-0005-0000-0000-00001E1E0000}"/>
    <cellStyle name="Normal 2 2 10 2 3 12" xfId="7757" xr:uid="{00000000-0005-0000-0000-00001F1E0000}"/>
    <cellStyle name="Normal 2 2 10 2 3 13" xfId="7758" xr:uid="{00000000-0005-0000-0000-0000201E0000}"/>
    <cellStyle name="Normal 2 2 10 2 3 14" xfId="7759" xr:uid="{00000000-0005-0000-0000-0000211E0000}"/>
    <cellStyle name="Normal 2 2 10 2 3 2" xfId="7760" xr:uid="{00000000-0005-0000-0000-0000221E0000}"/>
    <cellStyle name="Normal 2 2 10 2 3 2 10" xfId="7761" xr:uid="{00000000-0005-0000-0000-0000231E0000}"/>
    <cellStyle name="Normal 2 2 10 2 3 2 2" xfId="7762" xr:uid="{00000000-0005-0000-0000-0000241E0000}"/>
    <cellStyle name="Normal 2 2 10 2 3 2 3" xfId="7763" xr:uid="{00000000-0005-0000-0000-0000251E0000}"/>
    <cellStyle name="Normal 2 2 10 2 3 2 4" xfId="7764" xr:uid="{00000000-0005-0000-0000-0000261E0000}"/>
    <cellStyle name="Normal 2 2 10 2 3 2 5" xfId="7765" xr:uid="{00000000-0005-0000-0000-0000271E0000}"/>
    <cellStyle name="Normal 2 2 10 2 3 2 6" xfId="7766" xr:uid="{00000000-0005-0000-0000-0000281E0000}"/>
    <cellStyle name="Normal 2 2 10 2 3 2 7" xfId="7767" xr:uid="{00000000-0005-0000-0000-0000291E0000}"/>
    <cellStyle name="Normal 2 2 10 2 3 2 8" xfId="7768" xr:uid="{00000000-0005-0000-0000-00002A1E0000}"/>
    <cellStyle name="Normal 2 2 10 2 3 2 9" xfId="7769" xr:uid="{00000000-0005-0000-0000-00002B1E0000}"/>
    <cellStyle name="Normal 2 2 10 2 3 3" xfId="7770" xr:uid="{00000000-0005-0000-0000-00002C1E0000}"/>
    <cellStyle name="Normal 2 2 10 2 3 3 10" xfId="7771" xr:uid="{00000000-0005-0000-0000-00002D1E0000}"/>
    <cellStyle name="Normal 2 2 10 2 3 3 2" xfId="7772" xr:uid="{00000000-0005-0000-0000-00002E1E0000}"/>
    <cellStyle name="Normal 2 2 10 2 3 3 3" xfId="7773" xr:uid="{00000000-0005-0000-0000-00002F1E0000}"/>
    <cellStyle name="Normal 2 2 10 2 3 3 4" xfId="7774" xr:uid="{00000000-0005-0000-0000-0000301E0000}"/>
    <cellStyle name="Normal 2 2 10 2 3 3 5" xfId="7775" xr:uid="{00000000-0005-0000-0000-0000311E0000}"/>
    <cellStyle name="Normal 2 2 10 2 3 3 6" xfId="7776" xr:uid="{00000000-0005-0000-0000-0000321E0000}"/>
    <cellStyle name="Normal 2 2 10 2 3 3 7" xfId="7777" xr:uid="{00000000-0005-0000-0000-0000331E0000}"/>
    <cellStyle name="Normal 2 2 10 2 3 3 8" xfId="7778" xr:uid="{00000000-0005-0000-0000-0000341E0000}"/>
    <cellStyle name="Normal 2 2 10 2 3 3 9" xfId="7779" xr:uid="{00000000-0005-0000-0000-0000351E0000}"/>
    <cellStyle name="Normal 2 2 10 2 3 4" xfId="7780" xr:uid="{00000000-0005-0000-0000-0000361E0000}"/>
    <cellStyle name="Normal 2 2 10 2 3 4 10" xfId="7781" xr:uid="{00000000-0005-0000-0000-0000371E0000}"/>
    <cellStyle name="Normal 2 2 10 2 3 4 2" xfId="7782" xr:uid="{00000000-0005-0000-0000-0000381E0000}"/>
    <cellStyle name="Normal 2 2 10 2 3 4 3" xfId="7783" xr:uid="{00000000-0005-0000-0000-0000391E0000}"/>
    <cellStyle name="Normal 2 2 10 2 3 4 4" xfId="7784" xr:uid="{00000000-0005-0000-0000-00003A1E0000}"/>
    <cellStyle name="Normal 2 2 10 2 3 4 5" xfId="7785" xr:uid="{00000000-0005-0000-0000-00003B1E0000}"/>
    <cellStyle name="Normal 2 2 10 2 3 4 6" xfId="7786" xr:uid="{00000000-0005-0000-0000-00003C1E0000}"/>
    <cellStyle name="Normal 2 2 10 2 3 4 7" xfId="7787" xr:uid="{00000000-0005-0000-0000-00003D1E0000}"/>
    <cellStyle name="Normal 2 2 10 2 3 4 8" xfId="7788" xr:uid="{00000000-0005-0000-0000-00003E1E0000}"/>
    <cellStyle name="Normal 2 2 10 2 3 4 9" xfId="7789" xr:uid="{00000000-0005-0000-0000-00003F1E0000}"/>
    <cellStyle name="Normal 2 2 10 2 3 5" xfId="7790" xr:uid="{00000000-0005-0000-0000-0000401E0000}"/>
    <cellStyle name="Normal 2 2 10 2 3 5 10" xfId="7791" xr:uid="{00000000-0005-0000-0000-0000411E0000}"/>
    <cellStyle name="Normal 2 2 10 2 3 5 2" xfId="7792" xr:uid="{00000000-0005-0000-0000-0000421E0000}"/>
    <cellStyle name="Normal 2 2 10 2 3 5 3" xfId="7793" xr:uid="{00000000-0005-0000-0000-0000431E0000}"/>
    <cellStyle name="Normal 2 2 10 2 3 5 4" xfId="7794" xr:uid="{00000000-0005-0000-0000-0000441E0000}"/>
    <cellStyle name="Normal 2 2 10 2 3 5 5" xfId="7795" xr:uid="{00000000-0005-0000-0000-0000451E0000}"/>
    <cellStyle name="Normal 2 2 10 2 3 5 6" xfId="7796" xr:uid="{00000000-0005-0000-0000-0000461E0000}"/>
    <cellStyle name="Normal 2 2 10 2 3 5 7" xfId="7797" xr:uid="{00000000-0005-0000-0000-0000471E0000}"/>
    <cellStyle name="Normal 2 2 10 2 3 5 8" xfId="7798" xr:uid="{00000000-0005-0000-0000-0000481E0000}"/>
    <cellStyle name="Normal 2 2 10 2 3 5 9" xfId="7799" xr:uid="{00000000-0005-0000-0000-0000491E0000}"/>
    <cellStyle name="Normal 2 2 10 2 3 6" xfId="7800" xr:uid="{00000000-0005-0000-0000-00004A1E0000}"/>
    <cellStyle name="Normal 2 2 10 2 3 7" xfId="7801" xr:uid="{00000000-0005-0000-0000-00004B1E0000}"/>
    <cellStyle name="Normal 2 2 10 2 3 8" xfId="7802" xr:uid="{00000000-0005-0000-0000-00004C1E0000}"/>
    <cellStyle name="Normal 2 2 10 2 3 9" xfId="7803" xr:uid="{00000000-0005-0000-0000-00004D1E0000}"/>
    <cellStyle name="Normal 2 2 10 2 30" xfId="7804" xr:uid="{00000000-0005-0000-0000-00004E1E0000}"/>
    <cellStyle name="Normal 2 2 10 2 30 10" xfId="7805" xr:uid="{00000000-0005-0000-0000-00004F1E0000}"/>
    <cellStyle name="Normal 2 2 10 2 30 11" xfId="7806" xr:uid="{00000000-0005-0000-0000-0000501E0000}"/>
    <cellStyle name="Normal 2 2 10 2 30 12" xfId="7807" xr:uid="{00000000-0005-0000-0000-0000511E0000}"/>
    <cellStyle name="Normal 2 2 10 2 30 13" xfId="7808" xr:uid="{00000000-0005-0000-0000-0000521E0000}"/>
    <cellStyle name="Normal 2 2 10 2 30 14" xfId="7809" xr:uid="{00000000-0005-0000-0000-0000531E0000}"/>
    <cellStyle name="Normal 2 2 10 2 30 2" xfId="7810" xr:uid="{00000000-0005-0000-0000-0000541E0000}"/>
    <cellStyle name="Normal 2 2 10 2 30 2 10" xfId="7811" xr:uid="{00000000-0005-0000-0000-0000551E0000}"/>
    <cellStyle name="Normal 2 2 10 2 30 2 2" xfId="7812" xr:uid="{00000000-0005-0000-0000-0000561E0000}"/>
    <cellStyle name="Normal 2 2 10 2 30 2 3" xfId="7813" xr:uid="{00000000-0005-0000-0000-0000571E0000}"/>
    <cellStyle name="Normal 2 2 10 2 30 2 4" xfId="7814" xr:uid="{00000000-0005-0000-0000-0000581E0000}"/>
    <cellStyle name="Normal 2 2 10 2 30 2 5" xfId="7815" xr:uid="{00000000-0005-0000-0000-0000591E0000}"/>
    <cellStyle name="Normal 2 2 10 2 30 2 6" xfId="7816" xr:uid="{00000000-0005-0000-0000-00005A1E0000}"/>
    <cellStyle name="Normal 2 2 10 2 30 2 7" xfId="7817" xr:uid="{00000000-0005-0000-0000-00005B1E0000}"/>
    <cellStyle name="Normal 2 2 10 2 30 2 8" xfId="7818" xr:uid="{00000000-0005-0000-0000-00005C1E0000}"/>
    <cellStyle name="Normal 2 2 10 2 30 2 9" xfId="7819" xr:uid="{00000000-0005-0000-0000-00005D1E0000}"/>
    <cellStyle name="Normal 2 2 10 2 30 3" xfId="7820" xr:uid="{00000000-0005-0000-0000-00005E1E0000}"/>
    <cellStyle name="Normal 2 2 10 2 30 3 10" xfId="7821" xr:uid="{00000000-0005-0000-0000-00005F1E0000}"/>
    <cellStyle name="Normal 2 2 10 2 30 3 2" xfId="7822" xr:uid="{00000000-0005-0000-0000-0000601E0000}"/>
    <cellStyle name="Normal 2 2 10 2 30 3 3" xfId="7823" xr:uid="{00000000-0005-0000-0000-0000611E0000}"/>
    <cellStyle name="Normal 2 2 10 2 30 3 4" xfId="7824" xr:uid="{00000000-0005-0000-0000-0000621E0000}"/>
    <cellStyle name="Normal 2 2 10 2 30 3 5" xfId="7825" xr:uid="{00000000-0005-0000-0000-0000631E0000}"/>
    <cellStyle name="Normal 2 2 10 2 30 3 6" xfId="7826" xr:uid="{00000000-0005-0000-0000-0000641E0000}"/>
    <cellStyle name="Normal 2 2 10 2 30 3 7" xfId="7827" xr:uid="{00000000-0005-0000-0000-0000651E0000}"/>
    <cellStyle name="Normal 2 2 10 2 30 3 8" xfId="7828" xr:uid="{00000000-0005-0000-0000-0000661E0000}"/>
    <cellStyle name="Normal 2 2 10 2 30 3 9" xfId="7829" xr:uid="{00000000-0005-0000-0000-0000671E0000}"/>
    <cellStyle name="Normal 2 2 10 2 30 4" xfId="7830" xr:uid="{00000000-0005-0000-0000-0000681E0000}"/>
    <cellStyle name="Normal 2 2 10 2 30 4 10" xfId="7831" xr:uid="{00000000-0005-0000-0000-0000691E0000}"/>
    <cellStyle name="Normal 2 2 10 2 30 4 2" xfId="7832" xr:uid="{00000000-0005-0000-0000-00006A1E0000}"/>
    <cellStyle name="Normal 2 2 10 2 30 4 3" xfId="7833" xr:uid="{00000000-0005-0000-0000-00006B1E0000}"/>
    <cellStyle name="Normal 2 2 10 2 30 4 4" xfId="7834" xr:uid="{00000000-0005-0000-0000-00006C1E0000}"/>
    <cellStyle name="Normal 2 2 10 2 30 4 5" xfId="7835" xr:uid="{00000000-0005-0000-0000-00006D1E0000}"/>
    <cellStyle name="Normal 2 2 10 2 30 4 6" xfId="7836" xr:uid="{00000000-0005-0000-0000-00006E1E0000}"/>
    <cellStyle name="Normal 2 2 10 2 30 4 7" xfId="7837" xr:uid="{00000000-0005-0000-0000-00006F1E0000}"/>
    <cellStyle name="Normal 2 2 10 2 30 4 8" xfId="7838" xr:uid="{00000000-0005-0000-0000-0000701E0000}"/>
    <cellStyle name="Normal 2 2 10 2 30 4 9" xfId="7839" xr:uid="{00000000-0005-0000-0000-0000711E0000}"/>
    <cellStyle name="Normal 2 2 10 2 30 5" xfId="7840" xr:uid="{00000000-0005-0000-0000-0000721E0000}"/>
    <cellStyle name="Normal 2 2 10 2 30 5 10" xfId="7841" xr:uid="{00000000-0005-0000-0000-0000731E0000}"/>
    <cellStyle name="Normal 2 2 10 2 30 5 2" xfId="7842" xr:uid="{00000000-0005-0000-0000-0000741E0000}"/>
    <cellStyle name="Normal 2 2 10 2 30 5 3" xfId="7843" xr:uid="{00000000-0005-0000-0000-0000751E0000}"/>
    <cellStyle name="Normal 2 2 10 2 30 5 4" xfId="7844" xr:uid="{00000000-0005-0000-0000-0000761E0000}"/>
    <cellStyle name="Normal 2 2 10 2 30 5 5" xfId="7845" xr:uid="{00000000-0005-0000-0000-0000771E0000}"/>
    <cellStyle name="Normal 2 2 10 2 30 5 6" xfId="7846" xr:uid="{00000000-0005-0000-0000-0000781E0000}"/>
    <cellStyle name="Normal 2 2 10 2 30 5 7" xfId="7847" xr:uid="{00000000-0005-0000-0000-0000791E0000}"/>
    <cellStyle name="Normal 2 2 10 2 30 5 8" xfId="7848" xr:uid="{00000000-0005-0000-0000-00007A1E0000}"/>
    <cellStyle name="Normal 2 2 10 2 30 5 9" xfId="7849" xr:uid="{00000000-0005-0000-0000-00007B1E0000}"/>
    <cellStyle name="Normal 2 2 10 2 30 6" xfId="7850" xr:uid="{00000000-0005-0000-0000-00007C1E0000}"/>
    <cellStyle name="Normal 2 2 10 2 30 7" xfId="7851" xr:uid="{00000000-0005-0000-0000-00007D1E0000}"/>
    <cellStyle name="Normal 2 2 10 2 30 8" xfId="7852" xr:uid="{00000000-0005-0000-0000-00007E1E0000}"/>
    <cellStyle name="Normal 2 2 10 2 30 9" xfId="7853" xr:uid="{00000000-0005-0000-0000-00007F1E0000}"/>
    <cellStyle name="Normal 2 2 10 2 31" xfId="7854" xr:uid="{00000000-0005-0000-0000-0000801E0000}"/>
    <cellStyle name="Normal 2 2 10 2 31 10" xfId="7855" xr:uid="{00000000-0005-0000-0000-0000811E0000}"/>
    <cellStyle name="Normal 2 2 10 2 31 11" xfId="7856" xr:uid="{00000000-0005-0000-0000-0000821E0000}"/>
    <cellStyle name="Normal 2 2 10 2 31 12" xfId="7857" xr:uid="{00000000-0005-0000-0000-0000831E0000}"/>
    <cellStyle name="Normal 2 2 10 2 31 13" xfId="7858" xr:uid="{00000000-0005-0000-0000-0000841E0000}"/>
    <cellStyle name="Normal 2 2 10 2 31 14" xfId="7859" xr:uid="{00000000-0005-0000-0000-0000851E0000}"/>
    <cellStyle name="Normal 2 2 10 2 31 2" xfId="7860" xr:uid="{00000000-0005-0000-0000-0000861E0000}"/>
    <cellStyle name="Normal 2 2 10 2 31 2 10" xfId="7861" xr:uid="{00000000-0005-0000-0000-0000871E0000}"/>
    <cellStyle name="Normal 2 2 10 2 31 2 2" xfId="7862" xr:uid="{00000000-0005-0000-0000-0000881E0000}"/>
    <cellStyle name="Normal 2 2 10 2 31 2 3" xfId="7863" xr:uid="{00000000-0005-0000-0000-0000891E0000}"/>
    <cellStyle name="Normal 2 2 10 2 31 2 4" xfId="7864" xr:uid="{00000000-0005-0000-0000-00008A1E0000}"/>
    <cellStyle name="Normal 2 2 10 2 31 2 5" xfId="7865" xr:uid="{00000000-0005-0000-0000-00008B1E0000}"/>
    <cellStyle name="Normal 2 2 10 2 31 2 6" xfId="7866" xr:uid="{00000000-0005-0000-0000-00008C1E0000}"/>
    <cellStyle name="Normal 2 2 10 2 31 2 7" xfId="7867" xr:uid="{00000000-0005-0000-0000-00008D1E0000}"/>
    <cellStyle name="Normal 2 2 10 2 31 2 8" xfId="7868" xr:uid="{00000000-0005-0000-0000-00008E1E0000}"/>
    <cellStyle name="Normal 2 2 10 2 31 2 9" xfId="7869" xr:uid="{00000000-0005-0000-0000-00008F1E0000}"/>
    <cellStyle name="Normal 2 2 10 2 31 3" xfId="7870" xr:uid="{00000000-0005-0000-0000-0000901E0000}"/>
    <cellStyle name="Normal 2 2 10 2 31 3 10" xfId="7871" xr:uid="{00000000-0005-0000-0000-0000911E0000}"/>
    <cellStyle name="Normal 2 2 10 2 31 3 2" xfId="7872" xr:uid="{00000000-0005-0000-0000-0000921E0000}"/>
    <cellStyle name="Normal 2 2 10 2 31 3 3" xfId="7873" xr:uid="{00000000-0005-0000-0000-0000931E0000}"/>
    <cellStyle name="Normal 2 2 10 2 31 3 4" xfId="7874" xr:uid="{00000000-0005-0000-0000-0000941E0000}"/>
    <cellStyle name="Normal 2 2 10 2 31 3 5" xfId="7875" xr:uid="{00000000-0005-0000-0000-0000951E0000}"/>
    <cellStyle name="Normal 2 2 10 2 31 3 6" xfId="7876" xr:uid="{00000000-0005-0000-0000-0000961E0000}"/>
    <cellStyle name="Normal 2 2 10 2 31 3 7" xfId="7877" xr:uid="{00000000-0005-0000-0000-0000971E0000}"/>
    <cellStyle name="Normal 2 2 10 2 31 3 8" xfId="7878" xr:uid="{00000000-0005-0000-0000-0000981E0000}"/>
    <cellStyle name="Normal 2 2 10 2 31 3 9" xfId="7879" xr:uid="{00000000-0005-0000-0000-0000991E0000}"/>
    <cellStyle name="Normal 2 2 10 2 31 4" xfId="7880" xr:uid="{00000000-0005-0000-0000-00009A1E0000}"/>
    <cellStyle name="Normal 2 2 10 2 31 4 10" xfId="7881" xr:uid="{00000000-0005-0000-0000-00009B1E0000}"/>
    <cellStyle name="Normal 2 2 10 2 31 4 2" xfId="7882" xr:uid="{00000000-0005-0000-0000-00009C1E0000}"/>
    <cellStyle name="Normal 2 2 10 2 31 4 3" xfId="7883" xr:uid="{00000000-0005-0000-0000-00009D1E0000}"/>
    <cellStyle name="Normal 2 2 10 2 31 4 4" xfId="7884" xr:uid="{00000000-0005-0000-0000-00009E1E0000}"/>
    <cellStyle name="Normal 2 2 10 2 31 4 5" xfId="7885" xr:uid="{00000000-0005-0000-0000-00009F1E0000}"/>
    <cellStyle name="Normal 2 2 10 2 31 4 6" xfId="7886" xr:uid="{00000000-0005-0000-0000-0000A01E0000}"/>
    <cellStyle name="Normal 2 2 10 2 31 4 7" xfId="7887" xr:uid="{00000000-0005-0000-0000-0000A11E0000}"/>
    <cellStyle name="Normal 2 2 10 2 31 4 8" xfId="7888" xr:uid="{00000000-0005-0000-0000-0000A21E0000}"/>
    <cellStyle name="Normal 2 2 10 2 31 4 9" xfId="7889" xr:uid="{00000000-0005-0000-0000-0000A31E0000}"/>
    <cellStyle name="Normal 2 2 10 2 31 5" xfId="7890" xr:uid="{00000000-0005-0000-0000-0000A41E0000}"/>
    <cellStyle name="Normal 2 2 10 2 31 5 10" xfId="7891" xr:uid="{00000000-0005-0000-0000-0000A51E0000}"/>
    <cellStyle name="Normal 2 2 10 2 31 5 2" xfId="7892" xr:uid="{00000000-0005-0000-0000-0000A61E0000}"/>
    <cellStyle name="Normal 2 2 10 2 31 5 3" xfId="7893" xr:uid="{00000000-0005-0000-0000-0000A71E0000}"/>
    <cellStyle name="Normal 2 2 10 2 31 5 4" xfId="7894" xr:uid="{00000000-0005-0000-0000-0000A81E0000}"/>
    <cellStyle name="Normal 2 2 10 2 31 5 5" xfId="7895" xr:uid="{00000000-0005-0000-0000-0000A91E0000}"/>
    <cellStyle name="Normal 2 2 10 2 31 5 6" xfId="7896" xr:uid="{00000000-0005-0000-0000-0000AA1E0000}"/>
    <cellStyle name="Normal 2 2 10 2 31 5 7" xfId="7897" xr:uid="{00000000-0005-0000-0000-0000AB1E0000}"/>
    <cellStyle name="Normal 2 2 10 2 31 5 8" xfId="7898" xr:uid="{00000000-0005-0000-0000-0000AC1E0000}"/>
    <cellStyle name="Normal 2 2 10 2 31 5 9" xfId="7899" xr:uid="{00000000-0005-0000-0000-0000AD1E0000}"/>
    <cellStyle name="Normal 2 2 10 2 31 6" xfId="7900" xr:uid="{00000000-0005-0000-0000-0000AE1E0000}"/>
    <cellStyle name="Normal 2 2 10 2 31 7" xfId="7901" xr:uid="{00000000-0005-0000-0000-0000AF1E0000}"/>
    <cellStyle name="Normal 2 2 10 2 31 8" xfId="7902" xr:uid="{00000000-0005-0000-0000-0000B01E0000}"/>
    <cellStyle name="Normal 2 2 10 2 31 9" xfId="7903" xr:uid="{00000000-0005-0000-0000-0000B11E0000}"/>
    <cellStyle name="Normal 2 2 10 2 32" xfId="7904" xr:uid="{00000000-0005-0000-0000-0000B21E0000}"/>
    <cellStyle name="Normal 2 2 10 2 32 10" xfId="7905" xr:uid="{00000000-0005-0000-0000-0000B31E0000}"/>
    <cellStyle name="Normal 2 2 10 2 32 11" xfId="7906" xr:uid="{00000000-0005-0000-0000-0000B41E0000}"/>
    <cellStyle name="Normal 2 2 10 2 32 12" xfId="7907" xr:uid="{00000000-0005-0000-0000-0000B51E0000}"/>
    <cellStyle name="Normal 2 2 10 2 32 13" xfId="7908" xr:uid="{00000000-0005-0000-0000-0000B61E0000}"/>
    <cellStyle name="Normal 2 2 10 2 32 14" xfId="7909" xr:uid="{00000000-0005-0000-0000-0000B71E0000}"/>
    <cellStyle name="Normal 2 2 10 2 32 2" xfId="7910" xr:uid="{00000000-0005-0000-0000-0000B81E0000}"/>
    <cellStyle name="Normal 2 2 10 2 32 2 10" xfId="7911" xr:uid="{00000000-0005-0000-0000-0000B91E0000}"/>
    <cellStyle name="Normal 2 2 10 2 32 2 2" xfId="7912" xr:uid="{00000000-0005-0000-0000-0000BA1E0000}"/>
    <cellStyle name="Normal 2 2 10 2 32 2 3" xfId="7913" xr:uid="{00000000-0005-0000-0000-0000BB1E0000}"/>
    <cellStyle name="Normal 2 2 10 2 32 2 4" xfId="7914" xr:uid="{00000000-0005-0000-0000-0000BC1E0000}"/>
    <cellStyle name="Normal 2 2 10 2 32 2 5" xfId="7915" xr:uid="{00000000-0005-0000-0000-0000BD1E0000}"/>
    <cellStyle name="Normal 2 2 10 2 32 2 6" xfId="7916" xr:uid="{00000000-0005-0000-0000-0000BE1E0000}"/>
    <cellStyle name="Normal 2 2 10 2 32 2 7" xfId="7917" xr:uid="{00000000-0005-0000-0000-0000BF1E0000}"/>
    <cellStyle name="Normal 2 2 10 2 32 2 8" xfId="7918" xr:uid="{00000000-0005-0000-0000-0000C01E0000}"/>
    <cellStyle name="Normal 2 2 10 2 32 2 9" xfId="7919" xr:uid="{00000000-0005-0000-0000-0000C11E0000}"/>
    <cellStyle name="Normal 2 2 10 2 32 3" xfId="7920" xr:uid="{00000000-0005-0000-0000-0000C21E0000}"/>
    <cellStyle name="Normal 2 2 10 2 32 3 10" xfId="7921" xr:uid="{00000000-0005-0000-0000-0000C31E0000}"/>
    <cellStyle name="Normal 2 2 10 2 32 3 2" xfId="7922" xr:uid="{00000000-0005-0000-0000-0000C41E0000}"/>
    <cellStyle name="Normal 2 2 10 2 32 3 3" xfId="7923" xr:uid="{00000000-0005-0000-0000-0000C51E0000}"/>
    <cellStyle name="Normal 2 2 10 2 32 3 4" xfId="7924" xr:uid="{00000000-0005-0000-0000-0000C61E0000}"/>
    <cellStyle name="Normal 2 2 10 2 32 3 5" xfId="7925" xr:uid="{00000000-0005-0000-0000-0000C71E0000}"/>
    <cellStyle name="Normal 2 2 10 2 32 3 6" xfId="7926" xr:uid="{00000000-0005-0000-0000-0000C81E0000}"/>
    <cellStyle name="Normal 2 2 10 2 32 3 7" xfId="7927" xr:uid="{00000000-0005-0000-0000-0000C91E0000}"/>
    <cellStyle name="Normal 2 2 10 2 32 3 8" xfId="7928" xr:uid="{00000000-0005-0000-0000-0000CA1E0000}"/>
    <cellStyle name="Normal 2 2 10 2 32 3 9" xfId="7929" xr:uid="{00000000-0005-0000-0000-0000CB1E0000}"/>
    <cellStyle name="Normal 2 2 10 2 32 4" xfId="7930" xr:uid="{00000000-0005-0000-0000-0000CC1E0000}"/>
    <cellStyle name="Normal 2 2 10 2 32 4 10" xfId="7931" xr:uid="{00000000-0005-0000-0000-0000CD1E0000}"/>
    <cellStyle name="Normal 2 2 10 2 32 4 2" xfId="7932" xr:uid="{00000000-0005-0000-0000-0000CE1E0000}"/>
    <cellStyle name="Normal 2 2 10 2 32 4 3" xfId="7933" xr:uid="{00000000-0005-0000-0000-0000CF1E0000}"/>
    <cellStyle name="Normal 2 2 10 2 32 4 4" xfId="7934" xr:uid="{00000000-0005-0000-0000-0000D01E0000}"/>
    <cellStyle name="Normal 2 2 10 2 32 4 5" xfId="7935" xr:uid="{00000000-0005-0000-0000-0000D11E0000}"/>
    <cellStyle name="Normal 2 2 10 2 32 4 6" xfId="7936" xr:uid="{00000000-0005-0000-0000-0000D21E0000}"/>
    <cellStyle name="Normal 2 2 10 2 32 4 7" xfId="7937" xr:uid="{00000000-0005-0000-0000-0000D31E0000}"/>
    <cellStyle name="Normal 2 2 10 2 32 4 8" xfId="7938" xr:uid="{00000000-0005-0000-0000-0000D41E0000}"/>
    <cellStyle name="Normal 2 2 10 2 32 4 9" xfId="7939" xr:uid="{00000000-0005-0000-0000-0000D51E0000}"/>
    <cellStyle name="Normal 2 2 10 2 32 5" xfId="7940" xr:uid="{00000000-0005-0000-0000-0000D61E0000}"/>
    <cellStyle name="Normal 2 2 10 2 32 5 10" xfId="7941" xr:uid="{00000000-0005-0000-0000-0000D71E0000}"/>
    <cellStyle name="Normal 2 2 10 2 32 5 2" xfId="7942" xr:uid="{00000000-0005-0000-0000-0000D81E0000}"/>
    <cellStyle name="Normal 2 2 10 2 32 5 3" xfId="7943" xr:uid="{00000000-0005-0000-0000-0000D91E0000}"/>
    <cellStyle name="Normal 2 2 10 2 32 5 4" xfId="7944" xr:uid="{00000000-0005-0000-0000-0000DA1E0000}"/>
    <cellStyle name="Normal 2 2 10 2 32 5 5" xfId="7945" xr:uid="{00000000-0005-0000-0000-0000DB1E0000}"/>
    <cellStyle name="Normal 2 2 10 2 32 5 6" xfId="7946" xr:uid="{00000000-0005-0000-0000-0000DC1E0000}"/>
    <cellStyle name="Normal 2 2 10 2 32 5 7" xfId="7947" xr:uid="{00000000-0005-0000-0000-0000DD1E0000}"/>
    <cellStyle name="Normal 2 2 10 2 32 5 8" xfId="7948" xr:uid="{00000000-0005-0000-0000-0000DE1E0000}"/>
    <cellStyle name="Normal 2 2 10 2 32 5 9" xfId="7949" xr:uid="{00000000-0005-0000-0000-0000DF1E0000}"/>
    <cellStyle name="Normal 2 2 10 2 32 6" xfId="7950" xr:uid="{00000000-0005-0000-0000-0000E01E0000}"/>
    <cellStyle name="Normal 2 2 10 2 32 7" xfId="7951" xr:uid="{00000000-0005-0000-0000-0000E11E0000}"/>
    <cellStyle name="Normal 2 2 10 2 32 8" xfId="7952" xr:uid="{00000000-0005-0000-0000-0000E21E0000}"/>
    <cellStyle name="Normal 2 2 10 2 32 9" xfId="7953" xr:uid="{00000000-0005-0000-0000-0000E31E0000}"/>
    <cellStyle name="Normal 2 2 10 2 33" xfId="7954" xr:uid="{00000000-0005-0000-0000-0000E41E0000}"/>
    <cellStyle name="Normal 2 2 10 2 33 10" xfId="7955" xr:uid="{00000000-0005-0000-0000-0000E51E0000}"/>
    <cellStyle name="Normal 2 2 10 2 33 11" xfId="7956" xr:uid="{00000000-0005-0000-0000-0000E61E0000}"/>
    <cellStyle name="Normal 2 2 10 2 33 12" xfId="7957" xr:uid="{00000000-0005-0000-0000-0000E71E0000}"/>
    <cellStyle name="Normal 2 2 10 2 33 13" xfId="7958" xr:uid="{00000000-0005-0000-0000-0000E81E0000}"/>
    <cellStyle name="Normal 2 2 10 2 33 14" xfId="7959" xr:uid="{00000000-0005-0000-0000-0000E91E0000}"/>
    <cellStyle name="Normal 2 2 10 2 33 2" xfId="7960" xr:uid="{00000000-0005-0000-0000-0000EA1E0000}"/>
    <cellStyle name="Normal 2 2 10 2 33 2 10" xfId="7961" xr:uid="{00000000-0005-0000-0000-0000EB1E0000}"/>
    <cellStyle name="Normal 2 2 10 2 33 2 2" xfId="7962" xr:uid="{00000000-0005-0000-0000-0000EC1E0000}"/>
    <cellStyle name="Normal 2 2 10 2 33 2 3" xfId="7963" xr:uid="{00000000-0005-0000-0000-0000ED1E0000}"/>
    <cellStyle name="Normal 2 2 10 2 33 2 4" xfId="7964" xr:uid="{00000000-0005-0000-0000-0000EE1E0000}"/>
    <cellStyle name="Normal 2 2 10 2 33 2 5" xfId="7965" xr:uid="{00000000-0005-0000-0000-0000EF1E0000}"/>
    <cellStyle name="Normal 2 2 10 2 33 2 6" xfId="7966" xr:uid="{00000000-0005-0000-0000-0000F01E0000}"/>
    <cellStyle name="Normal 2 2 10 2 33 2 7" xfId="7967" xr:uid="{00000000-0005-0000-0000-0000F11E0000}"/>
    <cellStyle name="Normal 2 2 10 2 33 2 8" xfId="7968" xr:uid="{00000000-0005-0000-0000-0000F21E0000}"/>
    <cellStyle name="Normal 2 2 10 2 33 2 9" xfId="7969" xr:uid="{00000000-0005-0000-0000-0000F31E0000}"/>
    <cellStyle name="Normal 2 2 10 2 33 3" xfId="7970" xr:uid="{00000000-0005-0000-0000-0000F41E0000}"/>
    <cellStyle name="Normal 2 2 10 2 33 3 10" xfId="7971" xr:uid="{00000000-0005-0000-0000-0000F51E0000}"/>
    <cellStyle name="Normal 2 2 10 2 33 3 2" xfId="7972" xr:uid="{00000000-0005-0000-0000-0000F61E0000}"/>
    <cellStyle name="Normal 2 2 10 2 33 3 3" xfId="7973" xr:uid="{00000000-0005-0000-0000-0000F71E0000}"/>
    <cellStyle name="Normal 2 2 10 2 33 3 4" xfId="7974" xr:uid="{00000000-0005-0000-0000-0000F81E0000}"/>
    <cellStyle name="Normal 2 2 10 2 33 3 5" xfId="7975" xr:uid="{00000000-0005-0000-0000-0000F91E0000}"/>
    <cellStyle name="Normal 2 2 10 2 33 3 6" xfId="7976" xr:uid="{00000000-0005-0000-0000-0000FA1E0000}"/>
    <cellStyle name="Normal 2 2 10 2 33 3 7" xfId="7977" xr:uid="{00000000-0005-0000-0000-0000FB1E0000}"/>
    <cellStyle name="Normal 2 2 10 2 33 3 8" xfId="7978" xr:uid="{00000000-0005-0000-0000-0000FC1E0000}"/>
    <cellStyle name="Normal 2 2 10 2 33 3 9" xfId="7979" xr:uid="{00000000-0005-0000-0000-0000FD1E0000}"/>
    <cellStyle name="Normal 2 2 10 2 33 4" xfId="7980" xr:uid="{00000000-0005-0000-0000-0000FE1E0000}"/>
    <cellStyle name="Normal 2 2 10 2 33 4 10" xfId="7981" xr:uid="{00000000-0005-0000-0000-0000FF1E0000}"/>
    <cellStyle name="Normal 2 2 10 2 33 4 2" xfId="7982" xr:uid="{00000000-0005-0000-0000-0000001F0000}"/>
    <cellStyle name="Normal 2 2 10 2 33 4 3" xfId="7983" xr:uid="{00000000-0005-0000-0000-0000011F0000}"/>
    <cellStyle name="Normal 2 2 10 2 33 4 4" xfId="7984" xr:uid="{00000000-0005-0000-0000-0000021F0000}"/>
    <cellStyle name="Normal 2 2 10 2 33 4 5" xfId="7985" xr:uid="{00000000-0005-0000-0000-0000031F0000}"/>
    <cellStyle name="Normal 2 2 10 2 33 4 6" xfId="7986" xr:uid="{00000000-0005-0000-0000-0000041F0000}"/>
    <cellStyle name="Normal 2 2 10 2 33 4 7" xfId="7987" xr:uid="{00000000-0005-0000-0000-0000051F0000}"/>
    <cellStyle name="Normal 2 2 10 2 33 4 8" xfId="7988" xr:uid="{00000000-0005-0000-0000-0000061F0000}"/>
    <cellStyle name="Normal 2 2 10 2 33 4 9" xfId="7989" xr:uid="{00000000-0005-0000-0000-0000071F0000}"/>
    <cellStyle name="Normal 2 2 10 2 33 5" xfId="7990" xr:uid="{00000000-0005-0000-0000-0000081F0000}"/>
    <cellStyle name="Normal 2 2 10 2 33 5 10" xfId="7991" xr:uid="{00000000-0005-0000-0000-0000091F0000}"/>
    <cellStyle name="Normal 2 2 10 2 33 5 2" xfId="7992" xr:uid="{00000000-0005-0000-0000-00000A1F0000}"/>
    <cellStyle name="Normal 2 2 10 2 33 5 3" xfId="7993" xr:uid="{00000000-0005-0000-0000-00000B1F0000}"/>
    <cellStyle name="Normal 2 2 10 2 33 5 4" xfId="7994" xr:uid="{00000000-0005-0000-0000-00000C1F0000}"/>
    <cellStyle name="Normal 2 2 10 2 33 5 5" xfId="7995" xr:uid="{00000000-0005-0000-0000-00000D1F0000}"/>
    <cellStyle name="Normal 2 2 10 2 33 5 6" xfId="7996" xr:uid="{00000000-0005-0000-0000-00000E1F0000}"/>
    <cellStyle name="Normal 2 2 10 2 33 5 7" xfId="7997" xr:uid="{00000000-0005-0000-0000-00000F1F0000}"/>
    <cellStyle name="Normal 2 2 10 2 33 5 8" xfId="7998" xr:uid="{00000000-0005-0000-0000-0000101F0000}"/>
    <cellStyle name="Normal 2 2 10 2 33 5 9" xfId="7999" xr:uid="{00000000-0005-0000-0000-0000111F0000}"/>
    <cellStyle name="Normal 2 2 10 2 33 6" xfId="8000" xr:uid="{00000000-0005-0000-0000-0000121F0000}"/>
    <cellStyle name="Normal 2 2 10 2 33 7" xfId="8001" xr:uid="{00000000-0005-0000-0000-0000131F0000}"/>
    <cellStyle name="Normal 2 2 10 2 33 8" xfId="8002" xr:uid="{00000000-0005-0000-0000-0000141F0000}"/>
    <cellStyle name="Normal 2 2 10 2 33 9" xfId="8003" xr:uid="{00000000-0005-0000-0000-0000151F0000}"/>
    <cellStyle name="Normal 2 2 10 2 34" xfId="8004" xr:uid="{00000000-0005-0000-0000-0000161F0000}"/>
    <cellStyle name="Normal 2 2 10 2 34 10" xfId="8005" xr:uid="{00000000-0005-0000-0000-0000171F0000}"/>
    <cellStyle name="Normal 2 2 10 2 34 2" xfId="8006" xr:uid="{00000000-0005-0000-0000-0000181F0000}"/>
    <cellStyle name="Normal 2 2 10 2 34 3" xfId="8007" xr:uid="{00000000-0005-0000-0000-0000191F0000}"/>
    <cellStyle name="Normal 2 2 10 2 34 4" xfId="8008" xr:uid="{00000000-0005-0000-0000-00001A1F0000}"/>
    <cellStyle name="Normal 2 2 10 2 34 5" xfId="8009" xr:uid="{00000000-0005-0000-0000-00001B1F0000}"/>
    <cellStyle name="Normal 2 2 10 2 34 6" xfId="8010" xr:uid="{00000000-0005-0000-0000-00001C1F0000}"/>
    <cellStyle name="Normal 2 2 10 2 34 7" xfId="8011" xr:uid="{00000000-0005-0000-0000-00001D1F0000}"/>
    <cellStyle name="Normal 2 2 10 2 34 8" xfId="8012" xr:uid="{00000000-0005-0000-0000-00001E1F0000}"/>
    <cellStyle name="Normal 2 2 10 2 34 9" xfId="8013" xr:uid="{00000000-0005-0000-0000-00001F1F0000}"/>
    <cellStyle name="Normal 2 2 10 2 35" xfId="8014" xr:uid="{00000000-0005-0000-0000-0000201F0000}"/>
    <cellStyle name="Normal 2 2 10 2 35 10" xfId="8015" xr:uid="{00000000-0005-0000-0000-0000211F0000}"/>
    <cellStyle name="Normal 2 2 10 2 35 2" xfId="8016" xr:uid="{00000000-0005-0000-0000-0000221F0000}"/>
    <cellStyle name="Normal 2 2 10 2 35 3" xfId="8017" xr:uid="{00000000-0005-0000-0000-0000231F0000}"/>
    <cellStyle name="Normal 2 2 10 2 35 4" xfId="8018" xr:uid="{00000000-0005-0000-0000-0000241F0000}"/>
    <cellStyle name="Normal 2 2 10 2 35 5" xfId="8019" xr:uid="{00000000-0005-0000-0000-0000251F0000}"/>
    <cellStyle name="Normal 2 2 10 2 35 6" xfId="8020" xr:uid="{00000000-0005-0000-0000-0000261F0000}"/>
    <cellStyle name="Normal 2 2 10 2 35 7" xfId="8021" xr:uid="{00000000-0005-0000-0000-0000271F0000}"/>
    <cellStyle name="Normal 2 2 10 2 35 8" xfId="8022" xr:uid="{00000000-0005-0000-0000-0000281F0000}"/>
    <cellStyle name="Normal 2 2 10 2 35 9" xfId="8023" xr:uid="{00000000-0005-0000-0000-0000291F0000}"/>
    <cellStyle name="Normal 2 2 10 2 36" xfId="8024" xr:uid="{00000000-0005-0000-0000-00002A1F0000}"/>
    <cellStyle name="Normal 2 2 10 2 36 10" xfId="8025" xr:uid="{00000000-0005-0000-0000-00002B1F0000}"/>
    <cellStyle name="Normal 2 2 10 2 36 2" xfId="8026" xr:uid="{00000000-0005-0000-0000-00002C1F0000}"/>
    <cellStyle name="Normal 2 2 10 2 36 3" xfId="8027" xr:uid="{00000000-0005-0000-0000-00002D1F0000}"/>
    <cellStyle name="Normal 2 2 10 2 36 4" xfId="8028" xr:uid="{00000000-0005-0000-0000-00002E1F0000}"/>
    <cellStyle name="Normal 2 2 10 2 36 5" xfId="8029" xr:uid="{00000000-0005-0000-0000-00002F1F0000}"/>
    <cellStyle name="Normal 2 2 10 2 36 6" xfId="8030" xr:uid="{00000000-0005-0000-0000-0000301F0000}"/>
    <cellStyle name="Normal 2 2 10 2 36 7" xfId="8031" xr:uid="{00000000-0005-0000-0000-0000311F0000}"/>
    <cellStyle name="Normal 2 2 10 2 36 8" xfId="8032" xr:uid="{00000000-0005-0000-0000-0000321F0000}"/>
    <cellStyle name="Normal 2 2 10 2 36 9" xfId="8033" xr:uid="{00000000-0005-0000-0000-0000331F0000}"/>
    <cellStyle name="Normal 2 2 10 2 37" xfId="8034" xr:uid="{00000000-0005-0000-0000-0000341F0000}"/>
    <cellStyle name="Normal 2 2 10 2 37 10" xfId="8035" xr:uid="{00000000-0005-0000-0000-0000351F0000}"/>
    <cellStyle name="Normal 2 2 10 2 37 2" xfId="8036" xr:uid="{00000000-0005-0000-0000-0000361F0000}"/>
    <cellStyle name="Normal 2 2 10 2 37 3" xfId="8037" xr:uid="{00000000-0005-0000-0000-0000371F0000}"/>
    <cellStyle name="Normal 2 2 10 2 37 4" xfId="8038" xr:uid="{00000000-0005-0000-0000-0000381F0000}"/>
    <cellStyle name="Normal 2 2 10 2 37 5" xfId="8039" xr:uid="{00000000-0005-0000-0000-0000391F0000}"/>
    <cellStyle name="Normal 2 2 10 2 37 6" xfId="8040" xr:uid="{00000000-0005-0000-0000-00003A1F0000}"/>
    <cellStyle name="Normal 2 2 10 2 37 7" xfId="8041" xr:uid="{00000000-0005-0000-0000-00003B1F0000}"/>
    <cellStyle name="Normal 2 2 10 2 37 8" xfId="8042" xr:uid="{00000000-0005-0000-0000-00003C1F0000}"/>
    <cellStyle name="Normal 2 2 10 2 37 9" xfId="8043" xr:uid="{00000000-0005-0000-0000-00003D1F0000}"/>
    <cellStyle name="Normal 2 2 10 2 38" xfId="8044" xr:uid="{00000000-0005-0000-0000-00003E1F0000}"/>
    <cellStyle name="Normal 2 2 10 2 39" xfId="8045" xr:uid="{00000000-0005-0000-0000-00003F1F0000}"/>
    <cellStyle name="Normal 2 2 10 2 4" xfId="8046" xr:uid="{00000000-0005-0000-0000-0000401F0000}"/>
    <cellStyle name="Normal 2 2 10 2 4 10" xfId="8047" xr:uid="{00000000-0005-0000-0000-0000411F0000}"/>
    <cellStyle name="Normal 2 2 10 2 4 11" xfId="8048" xr:uid="{00000000-0005-0000-0000-0000421F0000}"/>
    <cellStyle name="Normal 2 2 10 2 4 12" xfId="8049" xr:uid="{00000000-0005-0000-0000-0000431F0000}"/>
    <cellStyle name="Normal 2 2 10 2 4 13" xfId="8050" xr:uid="{00000000-0005-0000-0000-0000441F0000}"/>
    <cellStyle name="Normal 2 2 10 2 4 14" xfId="8051" xr:uid="{00000000-0005-0000-0000-0000451F0000}"/>
    <cellStyle name="Normal 2 2 10 2 4 2" xfId="8052" xr:uid="{00000000-0005-0000-0000-0000461F0000}"/>
    <cellStyle name="Normal 2 2 10 2 4 2 10" xfId="8053" xr:uid="{00000000-0005-0000-0000-0000471F0000}"/>
    <cellStyle name="Normal 2 2 10 2 4 2 2" xfId="8054" xr:uid="{00000000-0005-0000-0000-0000481F0000}"/>
    <cellStyle name="Normal 2 2 10 2 4 2 3" xfId="8055" xr:uid="{00000000-0005-0000-0000-0000491F0000}"/>
    <cellStyle name="Normal 2 2 10 2 4 2 4" xfId="8056" xr:uid="{00000000-0005-0000-0000-00004A1F0000}"/>
    <cellStyle name="Normal 2 2 10 2 4 2 5" xfId="8057" xr:uid="{00000000-0005-0000-0000-00004B1F0000}"/>
    <cellStyle name="Normal 2 2 10 2 4 2 6" xfId="8058" xr:uid="{00000000-0005-0000-0000-00004C1F0000}"/>
    <cellStyle name="Normal 2 2 10 2 4 2 7" xfId="8059" xr:uid="{00000000-0005-0000-0000-00004D1F0000}"/>
    <cellStyle name="Normal 2 2 10 2 4 2 8" xfId="8060" xr:uid="{00000000-0005-0000-0000-00004E1F0000}"/>
    <cellStyle name="Normal 2 2 10 2 4 2 9" xfId="8061" xr:uid="{00000000-0005-0000-0000-00004F1F0000}"/>
    <cellStyle name="Normal 2 2 10 2 4 3" xfId="8062" xr:uid="{00000000-0005-0000-0000-0000501F0000}"/>
    <cellStyle name="Normal 2 2 10 2 4 3 10" xfId="8063" xr:uid="{00000000-0005-0000-0000-0000511F0000}"/>
    <cellStyle name="Normal 2 2 10 2 4 3 2" xfId="8064" xr:uid="{00000000-0005-0000-0000-0000521F0000}"/>
    <cellStyle name="Normal 2 2 10 2 4 3 3" xfId="8065" xr:uid="{00000000-0005-0000-0000-0000531F0000}"/>
    <cellStyle name="Normal 2 2 10 2 4 3 4" xfId="8066" xr:uid="{00000000-0005-0000-0000-0000541F0000}"/>
    <cellStyle name="Normal 2 2 10 2 4 3 5" xfId="8067" xr:uid="{00000000-0005-0000-0000-0000551F0000}"/>
    <cellStyle name="Normal 2 2 10 2 4 3 6" xfId="8068" xr:uid="{00000000-0005-0000-0000-0000561F0000}"/>
    <cellStyle name="Normal 2 2 10 2 4 3 7" xfId="8069" xr:uid="{00000000-0005-0000-0000-0000571F0000}"/>
    <cellStyle name="Normal 2 2 10 2 4 3 8" xfId="8070" xr:uid="{00000000-0005-0000-0000-0000581F0000}"/>
    <cellStyle name="Normal 2 2 10 2 4 3 9" xfId="8071" xr:uid="{00000000-0005-0000-0000-0000591F0000}"/>
    <cellStyle name="Normal 2 2 10 2 4 4" xfId="8072" xr:uid="{00000000-0005-0000-0000-00005A1F0000}"/>
    <cellStyle name="Normal 2 2 10 2 4 4 10" xfId="8073" xr:uid="{00000000-0005-0000-0000-00005B1F0000}"/>
    <cellStyle name="Normal 2 2 10 2 4 4 2" xfId="8074" xr:uid="{00000000-0005-0000-0000-00005C1F0000}"/>
    <cellStyle name="Normal 2 2 10 2 4 4 3" xfId="8075" xr:uid="{00000000-0005-0000-0000-00005D1F0000}"/>
    <cellStyle name="Normal 2 2 10 2 4 4 4" xfId="8076" xr:uid="{00000000-0005-0000-0000-00005E1F0000}"/>
    <cellStyle name="Normal 2 2 10 2 4 4 5" xfId="8077" xr:uid="{00000000-0005-0000-0000-00005F1F0000}"/>
    <cellStyle name="Normal 2 2 10 2 4 4 6" xfId="8078" xr:uid="{00000000-0005-0000-0000-0000601F0000}"/>
    <cellStyle name="Normal 2 2 10 2 4 4 7" xfId="8079" xr:uid="{00000000-0005-0000-0000-0000611F0000}"/>
    <cellStyle name="Normal 2 2 10 2 4 4 8" xfId="8080" xr:uid="{00000000-0005-0000-0000-0000621F0000}"/>
    <cellStyle name="Normal 2 2 10 2 4 4 9" xfId="8081" xr:uid="{00000000-0005-0000-0000-0000631F0000}"/>
    <cellStyle name="Normal 2 2 10 2 4 5" xfId="8082" xr:uid="{00000000-0005-0000-0000-0000641F0000}"/>
    <cellStyle name="Normal 2 2 10 2 4 5 10" xfId="8083" xr:uid="{00000000-0005-0000-0000-0000651F0000}"/>
    <cellStyle name="Normal 2 2 10 2 4 5 2" xfId="8084" xr:uid="{00000000-0005-0000-0000-0000661F0000}"/>
    <cellStyle name="Normal 2 2 10 2 4 5 3" xfId="8085" xr:uid="{00000000-0005-0000-0000-0000671F0000}"/>
    <cellStyle name="Normal 2 2 10 2 4 5 4" xfId="8086" xr:uid="{00000000-0005-0000-0000-0000681F0000}"/>
    <cellStyle name="Normal 2 2 10 2 4 5 5" xfId="8087" xr:uid="{00000000-0005-0000-0000-0000691F0000}"/>
    <cellStyle name="Normal 2 2 10 2 4 5 6" xfId="8088" xr:uid="{00000000-0005-0000-0000-00006A1F0000}"/>
    <cellStyle name="Normal 2 2 10 2 4 5 7" xfId="8089" xr:uid="{00000000-0005-0000-0000-00006B1F0000}"/>
    <cellStyle name="Normal 2 2 10 2 4 5 8" xfId="8090" xr:uid="{00000000-0005-0000-0000-00006C1F0000}"/>
    <cellStyle name="Normal 2 2 10 2 4 5 9" xfId="8091" xr:uid="{00000000-0005-0000-0000-00006D1F0000}"/>
    <cellStyle name="Normal 2 2 10 2 4 6" xfId="8092" xr:uid="{00000000-0005-0000-0000-00006E1F0000}"/>
    <cellStyle name="Normal 2 2 10 2 4 7" xfId="8093" xr:uid="{00000000-0005-0000-0000-00006F1F0000}"/>
    <cellStyle name="Normal 2 2 10 2 4 8" xfId="8094" xr:uid="{00000000-0005-0000-0000-0000701F0000}"/>
    <cellStyle name="Normal 2 2 10 2 4 9" xfId="8095" xr:uid="{00000000-0005-0000-0000-0000711F0000}"/>
    <cellStyle name="Normal 2 2 10 2 40" xfId="8096" xr:uid="{00000000-0005-0000-0000-0000721F0000}"/>
    <cellStyle name="Normal 2 2 10 2 41" xfId="8097" xr:uid="{00000000-0005-0000-0000-0000731F0000}"/>
    <cellStyle name="Normal 2 2 10 2 42" xfId="8098" xr:uid="{00000000-0005-0000-0000-0000741F0000}"/>
    <cellStyle name="Normal 2 2 10 2 43" xfId="8099" xr:uid="{00000000-0005-0000-0000-0000751F0000}"/>
    <cellStyle name="Normal 2 2 10 2 44" xfId="8100" xr:uid="{00000000-0005-0000-0000-0000761F0000}"/>
    <cellStyle name="Normal 2 2 10 2 45" xfId="8101" xr:uid="{00000000-0005-0000-0000-0000771F0000}"/>
    <cellStyle name="Normal 2 2 10 2 46" xfId="8102" xr:uid="{00000000-0005-0000-0000-0000781F0000}"/>
    <cellStyle name="Normal 2 2 10 2 5" xfId="8103" xr:uid="{00000000-0005-0000-0000-0000791F0000}"/>
    <cellStyle name="Normal 2 2 10 2 5 10" xfId="8104" xr:uid="{00000000-0005-0000-0000-00007A1F0000}"/>
    <cellStyle name="Normal 2 2 10 2 5 11" xfId="8105" xr:uid="{00000000-0005-0000-0000-00007B1F0000}"/>
    <cellStyle name="Normal 2 2 10 2 5 12" xfId="8106" xr:uid="{00000000-0005-0000-0000-00007C1F0000}"/>
    <cellStyle name="Normal 2 2 10 2 5 13" xfId="8107" xr:uid="{00000000-0005-0000-0000-00007D1F0000}"/>
    <cellStyle name="Normal 2 2 10 2 5 14" xfId="8108" xr:uid="{00000000-0005-0000-0000-00007E1F0000}"/>
    <cellStyle name="Normal 2 2 10 2 5 2" xfId="8109" xr:uid="{00000000-0005-0000-0000-00007F1F0000}"/>
    <cellStyle name="Normal 2 2 10 2 5 2 10" xfId="8110" xr:uid="{00000000-0005-0000-0000-0000801F0000}"/>
    <cellStyle name="Normal 2 2 10 2 5 2 2" xfId="8111" xr:uid="{00000000-0005-0000-0000-0000811F0000}"/>
    <cellStyle name="Normal 2 2 10 2 5 2 3" xfId="8112" xr:uid="{00000000-0005-0000-0000-0000821F0000}"/>
    <cellStyle name="Normal 2 2 10 2 5 2 4" xfId="8113" xr:uid="{00000000-0005-0000-0000-0000831F0000}"/>
    <cellStyle name="Normal 2 2 10 2 5 2 5" xfId="8114" xr:uid="{00000000-0005-0000-0000-0000841F0000}"/>
    <cellStyle name="Normal 2 2 10 2 5 2 6" xfId="8115" xr:uid="{00000000-0005-0000-0000-0000851F0000}"/>
    <cellStyle name="Normal 2 2 10 2 5 2 7" xfId="8116" xr:uid="{00000000-0005-0000-0000-0000861F0000}"/>
    <cellStyle name="Normal 2 2 10 2 5 2 8" xfId="8117" xr:uid="{00000000-0005-0000-0000-0000871F0000}"/>
    <cellStyle name="Normal 2 2 10 2 5 2 9" xfId="8118" xr:uid="{00000000-0005-0000-0000-0000881F0000}"/>
    <cellStyle name="Normal 2 2 10 2 5 3" xfId="8119" xr:uid="{00000000-0005-0000-0000-0000891F0000}"/>
    <cellStyle name="Normal 2 2 10 2 5 3 10" xfId="8120" xr:uid="{00000000-0005-0000-0000-00008A1F0000}"/>
    <cellStyle name="Normal 2 2 10 2 5 3 2" xfId="8121" xr:uid="{00000000-0005-0000-0000-00008B1F0000}"/>
    <cellStyle name="Normal 2 2 10 2 5 3 3" xfId="8122" xr:uid="{00000000-0005-0000-0000-00008C1F0000}"/>
    <cellStyle name="Normal 2 2 10 2 5 3 4" xfId="8123" xr:uid="{00000000-0005-0000-0000-00008D1F0000}"/>
    <cellStyle name="Normal 2 2 10 2 5 3 5" xfId="8124" xr:uid="{00000000-0005-0000-0000-00008E1F0000}"/>
    <cellStyle name="Normal 2 2 10 2 5 3 6" xfId="8125" xr:uid="{00000000-0005-0000-0000-00008F1F0000}"/>
    <cellStyle name="Normal 2 2 10 2 5 3 7" xfId="8126" xr:uid="{00000000-0005-0000-0000-0000901F0000}"/>
    <cellStyle name="Normal 2 2 10 2 5 3 8" xfId="8127" xr:uid="{00000000-0005-0000-0000-0000911F0000}"/>
    <cellStyle name="Normal 2 2 10 2 5 3 9" xfId="8128" xr:uid="{00000000-0005-0000-0000-0000921F0000}"/>
    <cellStyle name="Normal 2 2 10 2 5 4" xfId="8129" xr:uid="{00000000-0005-0000-0000-0000931F0000}"/>
    <cellStyle name="Normal 2 2 10 2 5 4 10" xfId="8130" xr:uid="{00000000-0005-0000-0000-0000941F0000}"/>
    <cellStyle name="Normal 2 2 10 2 5 4 2" xfId="8131" xr:uid="{00000000-0005-0000-0000-0000951F0000}"/>
    <cellStyle name="Normal 2 2 10 2 5 4 3" xfId="8132" xr:uid="{00000000-0005-0000-0000-0000961F0000}"/>
    <cellStyle name="Normal 2 2 10 2 5 4 4" xfId="8133" xr:uid="{00000000-0005-0000-0000-0000971F0000}"/>
    <cellStyle name="Normal 2 2 10 2 5 4 5" xfId="8134" xr:uid="{00000000-0005-0000-0000-0000981F0000}"/>
    <cellStyle name="Normal 2 2 10 2 5 4 6" xfId="8135" xr:uid="{00000000-0005-0000-0000-0000991F0000}"/>
    <cellStyle name="Normal 2 2 10 2 5 4 7" xfId="8136" xr:uid="{00000000-0005-0000-0000-00009A1F0000}"/>
    <cellStyle name="Normal 2 2 10 2 5 4 8" xfId="8137" xr:uid="{00000000-0005-0000-0000-00009B1F0000}"/>
    <cellStyle name="Normal 2 2 10 2 5 4 9" xfId="8138" xr:uid="{00000000-0005-0000-0000-00009C1F0000}"/>
    <cellStyle name="Normal 2 2 10 2 5 5" xfId="8139" xr:uid="{00000000-0005-0000-0000-00009D1F0000}"/>
    <cellStyle name="Normal 2 2 10 2 5 5 10" xfId="8140" xr:uid="{00000000-0005-0000-0000-00009E1F0000}"/>
    <cellStyle name="Normal 2 2 10 2 5 5 2" xfId="8141" xr:uid="{00000000-0005-0000-0000-00009F1F0000}"/>
    <cellStyle name="Normal 2 2 10 2 5 5 3" xfId="8142" xr:uid="{00000000-0005-0000-0000-0000A01F0000}"/>
    <cellStyle name="Normal 2 2 10 2 5 5 4" xfId="8143" xr:uid="{00000000-0005-0000-0000-0000A11F0000}"/>
    <cellStyle name="Normal 2 2 10 2 5 5 5" xfId="8144" xr:uid="{00000000-0005-0000-0000-0000A21F0000}"/>
    <cellStyle name="Normal 2 2 10 2 5 5 6" xfId="8145" xr:uid="{00000000-0005-0000-0000-0000A31F0000}"/>
    <cellStyle name="Normal 2 2 10 2 5 5 7" xfId="8146" xr:uid="{00000000-0005-0000-0000-0000A41F0000}"/>
    <cellStyle name="Normal 2 2 10 2 5 5 8" xfId="8147" xr:uid="{00000000-0005-0000-0000-0000A51F0000}"/>
    <cellStyle name="Normal 2 2 10 2 5 5 9" xfId="8148" xr:uid="{00000000-0005-0000-0000-0000A61F0000}"/>
    <cellStyle name="Normal 2 2 10 2 5 6" xfId="8149" xr:uid="{00000000-0005-0000-0000-0000A71F0000}"/>
    <cellStyle name="Normal 2 2 10 2 5 7" xfId="8150" xr:uid="{00000000-0005-0000-0000-0000A81F0000}"/>
    <cellStyle name="Normal 2 2 10 2 5 8" xfId="8151" xr:uid="{00000000-0005-0000-0000-0000A91F0000}"/>
    <cellStyle name="Normal 2 2 10 2 5 9" xfId="8152" xr:uid="{00000000-0005-0000-0000-0000AA1F0000}"/>
    <cellStyle name="Normal 2 2 10 2 6" xfId="8153" xr:uid="{00000000-0005-0000-0000-0000AB1F0000}"/>
    <cellStyle name="Normal 2 2 10 2 6 10" xfId="8154" xr:uid="{00000000-0005-0000-0000-0000AC1F0000}"/>
    <cellStyle name="Normal 2 2 10 2 6 11" xfId="8155" xr:uid="{00000000-0005-0000-0000-0000AD1F0000}"/>
    <cellStyle name="Normal 2 2 10 2 6 12" xfId="8156" xr:uid="{00000000-0005-0000-0000-0000AE1F0000}"/>
    <cellStyle name="Normal 2 2 10 2 6 13" xfId="8157" xr:uid="{00000000-0005-0000-0000-0000AF1F0000}"/>
    <cellStyle name="Normal 2 2 10 2 6 14" xfId="8158" xr:uid="{00000000-0005-0000-0000-0000B01F0000}"/>
    <cellStyle name="Normal 2 2 10 2 6 2" xfId="8159" xr:uid="{00000000-0005-0000-0000-0000B11F0000}"/>
    <cellStyle name="Normal 2 2 10 2 6 2 10" xfId="8160" xr:uid="{00000000-0005-0000-0000-0000B21F0000}"/>
    <cellStyle name="Normal 2 2 10 2 6 2 2" xfId="8161" xr:uid="{00000000-0005-0000-0000-0000B31F0000}"/>
    <cellStyle name="Normal 2 2 10 2 6 2 3" xfId="8162" xr:uid="{00000000-0005-0000-0000-0000B41F0000}"/>
    <cellStyle name="Normal 2 2 10 2 6 2 4" xfId="8163" xr:uid="{00000000-0005-0000-0000-0000B51F0000}"/>
    <cellStyle name="Normal 2 2 10 2 6 2 5" xfId="8164" xr:uid="{00000000-0005-0000-0000-0000B61F0000}"/>
    <cellStyle name="Normal 2 2 10 2 6 2 6" xfId="8165" xr:uid="{00000000-0005-0000-0000-0000B71F0000}"/>
    <cellStyle name="Normal 2 2 10 2 6 2 7" xfId="8166" xr:uid="{00000000-0005-0000-0000-0000B81F0000}"/>
    <cellStyle name="Normal 2 2 10 2 6 2 8" xfId="8167" xr:uid="{00000000-0005-0000-0000-0000B91F0000}"/>
    <cellStyle name="Normal 2 2 10 2 6 2 9" xfId="8168" xr:uid="{00000000-0005-0000-0000-0000BA1F0000}"/>
    <cellStyle name="Normal 2 2 10 2 6 3" xfId="8169" xr:uid="{00000000-0005-0000-0000-0000BB1F0000}"/>
    <cellStyle name="Normal 2 2 10 2 6 3 10" xfId="8170" xr:uid="{00000000-0005-0000-0000-0000BC1F0000}"/>
    <cellStyle name="Normal 2 2 10 2 6 3 2" xfId="8171" xr:uid="{00000000-0005-0000-0000-0000BD1F0000}"/>
    <cellStyle name="Normal 2 2 10 2 6 3 3" xfId="8172" xr:uid="{00000000-0005-0000-0000-0000BE1F0000}"/>
    <cellStyle name="Normal 2 2 10 2 6 3 4" xfId="8173" xr:uid="{00000000-0005-0000-0000-0000BF1F0000}"/>
    <cellStyle name="Normal 2 2 10 2 6 3 5" xfId="8174" xr:uid="{00000000-0005-0000-0000-0000C01F0000}"/>
    <cellStyle name="Normal 2 2 10 2 6 3 6" xfId="8175" xr:uid="{00000000-0005-0000-0000-0000C11F0000}"/>
    <cellStyle name="Normal 2 2 10 2 6 3 7" xfId="8176" xr:uid="{00000000-0005-0000-0000-0000C21F0000}"/>
    <cellStyle name="Normal 2 2 10 2 6 3 8" xfId="8177" xr:uid="{00000000-0005-0000-0000-0000C31F0000}"/>
    <cellStyle name="Normal 2 2 10 2 6 3 9" xfId="8178" xr:uid="{00000000-0005-0000-0000-0000C41F0000}"/>
    <cellStyle name="Normal 2 2 10 2 6 4" xfId="8179" xr:uid="{00000000-0005-0000-0000-0000C51F0000}"/>
    <cellStyle name="Normal 2 2 10 2 6 4 10" xfId="8180" xr:uid="{00000000-0005-0000-0000-0000C61F0000}"/>
    <cellStyle name="Normal 2 2 10 2 6 4 2" xfId="8181" xr:uid="{00000000-0005-0000-0000-0000C71F0000}"/>
    <cellStyle name="Normal 2 2 10 2 6 4 3" xfId="8182" xr:uid="{00000000-0005-0000-0000-0000C81F0000}"/>
    <cellStyle name="Normal 2 2 10 2 6 4 4" xfId="8183" xr:uid="{00000000-0005-0000-0000-0000C91F0000}"/>
    <cellStyle name="Normal 2 2 10 2 6 4 5" xfId="8184" xr:uid="{00000000-0005-0000-0000-0000CA1F0000}"/>
    <cellStyle name="Normal 2 2 10 2 6 4 6" xfId="8185" xr:uid="{00000000-0005-0000-0000-0000CB1F0000}"/>
    <cellStyle name="Normal 2 2 10 2 6 4 7" xfId="8186" xr:uid="{00000000-0005-0000-0000-0000CC1F0000}"/>
    <cellStyle name="Normal 2 2 10 2 6 4 8" xfId="8187" xr:uid="{00000000-0005-0000-0000-0000CD1F0000}"/>
    <cellStyle name="Normal 2 2 10 2 6 4 9" xfId="8188" xr:uid="{00000000-0005-0000-0000-0000CE1F0000}"/>
    <cellStyle name="Normal 2 2 10 2 6 5" xfId="8189" xr:uid="{00000000-0005-0000-0000-0000CF1F0000}"/>
    <cellStyle name="Normal 2 2 10 2 6 5 10" xfId="8190" xr:uid="{00000000-0005-0000-0000-0000D01F0000}"/>
    <cellStyle name="Normal 2 2 10 2 6 5 2" xfId="8191" xr:uid="{00000000-0005-0000-0000-0000D11F0000}"/>
    <cellStyle name="Normal 2 2 10 2 6 5 3" xfId="8192" xr:uid="{00000000-0005-0000-0000-0000D21F0000}"/>
    <cellStyle name="Normal 2 2 10 2 6 5 4" xfId="8193" xr:uid="{00000000-0005-0000-0000-0000D31F0000}"/>
    <cellStyle name="Normal 2 2 10 2 6 5 5" xfId="8194" xr:uid="{00000000-0005-0000-0000-0000D41F0000}"/>
    <cellStyle name="Normal 2 2 10 2 6 5 6" xfId="8195" xr:uid="{00000000-0005-0000-0000-0000D51F0000}"/>
    <cellStyle name="Normal 2 2 10 2 6 5 7" xfId="8196" xr:uid="{00000000-0005-0000-0000-0000D61F0000}"/>
    <cellStyle name="Normal 2 2 10 2 6 5 8" xfId="8197" xr:uid="{00000000-0005-0000-0000-0000D71F0000}"/>
    <cellStyle name="Normal 2 2 10 2 6 5 9" xfId="8198" xr:uid="{00000000-0005-0000-0000-0000D81F0000}"/>
    <cellStyle name="Normal 2 2 10 2 6 6" xfId="8199" xr:uid="{00000000-0005-0000-0000-0000D91F0000}"/>
    <cellStyle name="Normal 2 2 10 2 6 7" xfId="8200" xr:uid="{00000000-0005-0000-0000-0000DA1F0000}"/>
    <cellStyle name="Normal 2 2 10 2 6 8" xfId="8201" xr:uid="{00000000-0005-0000-0000-0000DB1F0000}"/>
    <cellStyle name="Normal 2 2 10 2 6 9" xfId="8202" xr:uid="{00000000-0005-0000-0000-0000DC1F0000}"/>
    <cellStyle name="Normal 2 2 10 2 7" xfId="8203" xr:uid="{00000000-0005-0000-0000-0000DD1F0000}"/>
    <cellStyle name="Normal 2 2 10 2 7 10" xfId="8204" xr:uid="{00000000-0005-0000-0000-0000DE1F0000}"/>
    <cellStyle name="Normal 2 2 10 2 7 11" xfId="8205" xr:uid="{00000000-0005-0000-0000-0000DF1F0000}"/>
    <cellStyle name="Normal 2 2 10 2 7 12" xfId="8206" xr:uid="{00000000-0005-0000-0000-0000E01F0000}"/>
    <cellStyle name="Normal 2 2 10 2 7 13" xfId="8207" xr:uid="{00000000-0005-0000-0000-0000E11F0000}"/>
    <cellStyle name="Normal 2 2 10 2 7 14" xfId="8208" xr:uid="{00000000-0005-0000-0000-0000E21F0000}"/>
    <cellStyle name="Normal 2 2 10 2 7 2" xfId="8209" xr:uid="{00000000-0005-0000-0000-0000E31F0000}"/>
    <cellStyle name="Normal 2 2 10 2 7 2 10" xfId="8210" xr:uid="{00000000-0005-0000-0000-0000E41F0000}"/>
    <cellStyle name="Normal 2 2 10 2 7 2 2" xfId="8211" xr:uid="{00000000-0005-0000-0000-0000E51F0000}"/>
    <cellStyle name="Normal 2 2 10 2 7 2 3" xfId="8212" xr:uid="{00000000-0005-0000-0000-0000E61F0000}"/>
    <cellStyle name="Normal 2 2 10 2 7 2 4" xfId="8213" xr:uid="{00000000-0005-0000-0000-0000E71F0000}"/>
    <cellStyle name="Normal 2 2 10 2 7 2 5" xfId="8214" xr:uid="{00000000-0005-0000-0000-0000E81F0000}"/>
    <cellStyle name="Normal 2 2 10 2 7 2 6" xfId="8215" xr:uid="{00000000-0005-0000-0000-0000E91F0000}"/>
    <cellStyle name="Normal 2 2 10 2 7 2 7" xfId="8216" xr:uid="{00000000-0005-0000-0000-0000EA1F0000}"/>
    <cellStyle name="Normal 2 2 10 2 7 2 8" xfId="8217" xr:uid="{00000000-0005-0000-0000-0000EB1F0000}"/>
    <cellStyle name="Normal 2 2 10 2 7 2 9" xfId="8218" xr:uid="{00000000-0005-0000-0000-0000EC1F0000}"/>
    <cellStyle name="Normal 2 2 10 2 7 3" xfId="8219" xr:uid="{00000000-0005-0000-0000-0000ED1F0000}"/>
    <cellStyle name="Normal 2 2 10 2 7 3 10" xfId="8220" xr:uid="{00000000-0005-0000-0000-0000EE1F0000}"/>
    <cellStyle name="Normal 2 2 10 2 7 3 2" xfId="8221" xr:uid="{00000000-0005-0000-0000-0000EF1F0000}"/>
    <cellStyle name="Normal 2 2 10 2 7 3 3" xfId="8222" xr:uid="{00000000-0005-0000-0000-0000F01F0000}"/>
    <cellStyle name="Normal 2 2 10 2 7 3 4" xfId="8223" xr:uid="{00000000-0005-0000-0000-0000F11F0000}"/>
    <cellStyle name="Normal 2 2 10 2 7 3 5" xfId="8224" xr:uid="{00000000-0005-0000-0000-0000F21F0000}"/>
    <cellStyle name="Normal 2 2 10 2 7 3 6" xfId="8225" xr:uid="{00000000-0005-0000-0000-0000F31F0000}"/>
    <cellStyle name="Normal 2 2 10 2 7 3 7" xfId="8226" xr:uid="{00000000-0005-0000-0000-0000F41F0000}"/>
    <cellStyle name="Normal 2 2 10 2 7 3 8" xfId="8227" xr:uid="{00000000-0005-0000-0000-0000F51F0000}"/>
    <cellStyle name="Normal 2 2 10 2 7 3 9" xfId="8228" xr:uid="{00000000-0005-0000-0000-0000F61F0000}"/>
    <cellStyle name="Normal 2 2 10 2 7 4" xfId="8229" xr:uid="{00000000-0005-0000-0000-0000F71F0000}"/>
    <cellStyle name="Normal 2 2 10 2 7 4 10" xfId="8230" xr:uid="{00000000-0005-0000-0000-0000F81F0000}"/>
    <cellStyle name="Normal 2 2 10 2 7 4 2" xfId="8231" xr:uid="{00000000-0005-0000-0000-0000F91F0000}"/>
    <cellStyle name="Normal 2 2 10 2 7 4 3" xfId="8232" xr:uid="{00000000-0005-0000-0000-0000FA1F0000}"/>
    <cellStyle name="Normal 2 2 10 2 7 4 4" xfId="8233" xr:uid="{00000000-0005-0000-0000-0000FB1F0000}"/>
    <cellStyle name="Normal 2 2 10 2 7 4 5" xfId="8234" xr:uid="{00000000-0005-0000-0000-0000FC1F0000}"/>
    <cellStyle name="Normal 2 2 10 2 7 4 6" xfId="8235" xr:uid="{00000000-0005-0000-0000-0000FD1F0000}"/>
    <cellStyle name="Normal 2 2 10 2 7 4 7" xfId="8236" xr:uid="{00000000-0005-0000-0000-0000FE1F0000}"/>
    <cellStyle name="Normal 2 2 10 2 7 4 8" xfId="8237" xr:uid="{00000000-0005-0000-0000-0000FF1F0000}"/>
    <cellStyle name="Normal 2 2 10 2 7 4 9" xfId="8238" xr:uid="{00000000-0005-0000-0000-000000200000}"/>
    <cellStyle name="Normal 2 2 10 2 7 5" xfId="8239" xr:uid="{00000000-0005-0000-0000-000001200000}"/>
    <cellStyle name="Normal 2 2 10 2 7 5 10" xfId="8240" xr:uid="{00000000-0005-0000-0000-000002200000}"/>
    <cellStyle name="Normal 2 2 10 2 7 5 2" xfId="8241" xr:uid="{00000000-0005-0000-0000-000003200000}"/>
    <cellStyle name="Normal 2 2 10 2 7 5 3" xfId="8242" xr:uid="{00000000-0005-0000-0000-000004200000}"/>
    <cellStyle name="Normal 2 2 10 2 7 5 4" xfId="8243" xr:uid="{00000000-0005-0000-0000-000005200000}"/>
    <cellStyle name="Normal 2 2 10 2 7 5 5" xfId="8244" xr:uid="{00000000-0005-0000-0000-000006200000}"/>
    <cellStyle name="Normal 2 2 10 2 7 5 6" xfId="8245" xr:uid="{00000000-0005-0000-0000-000007200000}"/>
    <cellStyle name="Normal 2 2 10 2 7 5 7" xfId="8246" xr:uid="{00000000-0005-0000-0000-000008200000}"/>
    <cellStyle name="Normal 2 2 10 2 7 5 8" xfId="8247" xr:uid="{00000000-0005-0000-0000-000009200000}"/>
    <cellStyle name="Normal 2 2 10 2 7 5 9" xfId="8248" xr:uid="{00000000-0005-0000-0000-00000A200000}"/>
    <cellStyle name="Normal 2 2 10 2 7 6" xfId="8249" xr:uid="{00000000-0005-0000-0000-00000B200000}"/>
    <cellStyle name="Normal 2 2 10 2 7 7" xfId="8250" xr:uid="{00000000-0005-0000-0000-00000C200000}"/>
    <cellStyle name="Normal 2 2 10 2 7 8" xfId="8251" xr:uid="{00000000-0005-0000-0000-00000D200000}"/>
    <cellStyle name="Normal 2 2 10 2 7 9" xfId="8252" xr:uid="{00000000-0005-0000-0000-00000E200000}"/>
    <cellStyle name="Normal 2 2 10 2 8" xfId="8253" xr:uid="{00000000-0005-0000-0000-00000F200000}"/>
    <cellStyle name="Normal 2 2 10 2 8 10" xfId="8254" xr:uid="{00000000-0005-0000-0000-000010200000}"/>
    <cellStyle name="Normal 2 2 10 2 8 11" xfId="8255" xr:uid="{00000000-0005-0000-0000-000011200000}"/>
    <cellStyle name="Normal 2 2 10 2 8 12" xfId="8256" xr:uid="{00000000-0005-0000-0000-000012200000}"/>
    <cellStyle name="Normal 2 2 10 2 8 13" xfId="8257" xr:uid="{00000000-0005-0000-0000-000013200000}"/>
    <cellStyle name="Normal 2 2 10 2 8 14" xfId="8258" xr:uid="{00000000-0005-0000-0000-000014200000}"/>
    <cellStyle name="Normal 2 2 10 2 8 2" xfId="8259" xr:uid="{00000000-0005-0000-0000-000015200000}"/>
    <cellStyle name="Normal 2 2 10 2 8 2 10" xfId="8260" xr:uid="{00000000-0005-0000-0000-000016200000}"/>
    <cellStyle name="Normal 2 2 10 2 8 2 2" xfId="8261" xr:uid="{00000000-0005-0000-0000-000017200000}"/>
    <cellStyle name="Normal 2 2 10 2 8 2 3" xfId="8262" xr:uid="{00000000-0005-0000-0000-000018200000}"/>
    <cellStyle name="Normal 2 2 10 2 8 2 4" xfId="8263" xr:uid="{00000000-0005-0000-0000-000019200000}"/>
    <cellStyle name="Normal 2 2 10 2 8 2 5" xfId="8264" xr:uid="{00000000-0005-0000-0000-00001A200000}"/>
    <cellStyle name="Normal 2 2 10 2 8 2 6" xfId="8265" xr:uid="{00000000-0005-0000-0000-00001B200000}"/>
    <cellStyle name="Normal 2 2 10 2 8 2 7" xfId="8266" xr:uid="{00000000-0005-0000-0000-00001C200000}"/>
    <cellStyle name="Normal 2 2 10 2 8 2 8" xfId="8267" xr:uid="{00000000-0005-0000-0000-00001D200000}"/>
    <cellStyle name="Normal 2 2 10 2 8 2 9" xfId="8268" xr:uid="{00000000-0005-0000-0000-00001E200000}"/>
    <cellStyle name="Normal 2 2 10 2 8 3" xfId="8269" xr:uid="{00000000-0005-0000-0000-00001F200000}"/>
    <cellStyle name="Normal 2 2 10 2 8 3 10" xfId="8270" xr:uid="{00000000-0005-0000-0000-000020200000}"/>
    <cellStyle name="Normal 2 2 10 2 8 3 2" xfId="8271" xr:uid="{00000000-0005-0000-0000-000021200000}"/>
    <cellStyle name="Normal 2 2 10 2 8 3 3" xfId="8272" xr:uid="{00000000-0005-0000-0000-000022200000}"/>
    <cellStyle name="Normal 2 2 10 2 8 3 4" xfId="8273" xr:uid="{00000000-0005-0000-0000-000023200000}"/>
    <cellStyle name="Normal 2 2 10 2 8 3 5" xfId="8274" xr:uid="{00000000-0005-0000-0000-000024200000}"/>
    <cellStyle name="Normal 2 2 10 2 8 3 6" xfId="8275" xr:uid="{00000000-0005-0000-0000-000025200000}"/>
    <cellStyle name="Normal 2 2 10 2 8 3 7" xfId="8276" xr:uid="{00000000-0005-0000-0000-000026200000}"/>
    <cellStyle name="Normal 2 2 10 2 8 3 8" xfId="8277" xr:uid="{00000000-0005-0000-0000-000027200000}"/>
    <cellStyle name="Normal 2 2 10 2 8 3 9" xfId="8278" xr:uid="{00000000-0005-0000-0000-000028200000}"/>
    <cellStyle name="Normal 2 2 10 2 8 4" xfId="8279" xr:uid="{00000000-0005-0000-0000-000029200000}"/>
    <cellStyle name="Normal 2 2 10 2 8 4 10" xfId="8280" xr:uid="{00000000-0005-0000-0000-00002A200000}"/>
    <cellStyle name="Normal 2 2 10 2 8 4 2" xfId="8281" xr:uid="{00000000-0005-0000-0000-00002B200000}"/>
    <cellStyle name="Normal 2 2 10 2 8 4 3" xfId="8282" xr:uid="{00000000-0005-0000-0000-00002C200000}"/>
    <cellStyle name="Normal 2 2 10 2 8 4 4" xfId="8283" xr:uid="{00000000-0005-0000-0000-00002D200000}"/>
    <cellStyle name="Normal 2 2 10 2 8 4 5" xfId="8284" xr:uid="{00000000-0005-0000-0000-00002E200000}"/>
    <cellStyle name="Normal 2 2 10 2 8 4 6" xfId="8285" xr:uid="{00000000-0005-0000-0000-00002F200000}"/>
    <cellStyle name="Normal 2 2 10 2 8 4 7" xfId="8286" xr:uid="{00000000-0005-0000-0000-000030200000}"/>
    <cellStyle name="Normal 2 2 10 2 8 4 8" xfId="8287" xr:uid="{00000000-0005-0000-0000-000031200000}"/>
    <cellStyle name="Normal 2 2 10 2 8 4 9" xfId="8288" xr:uid="{00000000-0005-0000-0000-000032200000}"/>
    <cellStyle name="Normal 2 2 10 2 8 5" xfId="8289" xr:uid="{00000000-0005-0000-0000-000033200000}"/>
    <cellStyle name="Normal 2 2 10 2 8 5 10" xfId="8290" xr:uid="{00000000-0005-0000-0000-000034200000}"/>
    <cellStyle name="Normal 2 2 10 2 8 5 2" xfId="8291" xr:uid="{00000000-0005-0000-0000-000035200000}"/>
    <cellStyle name="Normal 2 2 10 2 8 5 3" xfId="8292" xr:uid="{00000000-0005-0000-0000-000036200000}"/>
    <cellStyle name="Normal 2 2 10 2 8 5 4" xfId="8293" xr:uid="{00000000-0005-0000-0000-000037200000}"/>
    <cellStyle name="Normal 2 2 10 2 8 5 5" xfId="8294" xr:uid="{00000000-0005-0000-0000-000038200000}"/>
    <cellStyle name="Normal 2 2 10 2 8 5 6" xfId="8295" xr:uid="{00000000-0005-0000-0000-000039200000}"/>
    <cellStyle name="Normal 2 2 10 2 8 5 7" xfId="8296" xr:uid="{00000000-0005-0000-0000-00003A200000}"/>
    <cellStyle name="Normal 2 2 10 2 8 5 8" xfId="8297" xr:uid="{00000000-0005-0000-0000-00003B200000}"/>
    <cellStyle name="Normal 2 2 10 2 8 5 9" xfId="8298" xr:uid="{00000000-0005-0000-0000-00003C200000}"/>
    <cellStyle name="Normal 2 2 10 2 8 6" xfId="8299" xr:uid="{00000000-0005-0000-0000-00003D200000}"/>
    <cellStyle name="Normal 2 2 10 2 8 7" xfId="8300" xr:uid="{00000000-0005-0000-0000-00003E200000}"/>
    <cellStyle name="Normal 2 2 10 2 8 8" xfId="8301" xr:uid="{00000000-0005-0000-0000-00003F200000}"/>
    <cellStyle name="Normal 2 2 10 2 8 9" xfId="8302" xr:uid="{00000000-0005-0000-0000-000040200000}"/>
    <cellStyle name="Normal 2 2 10 2 9" xfId="8303" xr:uid="{00000000-0005-0000-0000-000041200000}"/>
    <cellStyle name="Normal 2 2 10 2 9 10" xfId="8304" xr:uid="{00000000-0005-0000-0000-000042200000}"/>
    <cellStyle name="Normal 2 2 10 2 9 11" xfId="8305" xr:uid="{00000000-0005-0000-0000-000043200000}"/>
    <cellStyle name="Normal 2 2 10 2 9 12" xfId="8306" xr:uid="{00000000-0005-0000-0000-000044200000}"/>
    <cellStyle name="Normal 2 2 10 2 9 13" xfId="8307" xr:uid="{00000000-0005-0000-0000-000045200000}"/>
    <cellStyle name="Normal 2 2 10 2 9 14" xfId="8308" xr:uid="{00000000-0005-0000-0000-000046200000}"/>
    <cellStyle name="Normal 2 2 10 2 9 2" xfId="8309" xr:uid="{00000000-0005-0000-0000-000047200000}"/>
    <cellStyle name="Normal 2 2 10 2 9 2 10" xfId="8310" xr:uid="{00000000-0005-0000-0000-000048200000}"/>
    <cellStyle name="Normal 2 2 10 2 9 2 2" xfId="8311" xr:uid="{00000000-0005-0000-0000-000049200000}"/>
    <cellStyle name="Normal 2 2 10 2 9 2 3" xfId="8312" xr:uid="{00000000-0005-0000-0000-00004A200000}"/>
    <cellStyle name="Normal 2 2 10 2 9 2 4" xfId="8313" xr:uid="{00000000-0005-0000-0000-00004B200000}"/>
    <cellStyle name="Normal 2 2 10 2 9 2 5" xfId="8314" xr:uid="{00000000-0005-0000-0000-00004C200000}"/>
    <cellStyle name="Normal 2 2 10 2 9 2 6" xfId="8315" xr:uid="{00000000-0005-0000-0000-00004D200000}"/>
    <cellStyle name="Normal 2 2 10 2 9 2 7" xfId="8316" xr:uid="{00000000-0005-0000-0000-00004E200000}"/>
    <cellStyle name="Normal 2 2 10 2 9 2 8" xfId="8317" xr:uid="{00000000-0005-0000-0000-00004F200000}"/>
    <cellStyle name="Normal 2 2 10 2 9 2 9" xfId="8318" xr:uid="{00000000-0005-0000-0000-000050200000}"/>
    <cellStyle name="Normal 2 2 10 2 9 3" xfId="8319" xr:uid="{00000000-0005-0000-0000-000051200000}"/>
    <cellStyle name="Normal 2 2 10 2 9 3 10" xfId="8320" xr:uid="{00000000-0005-0000-0000-000052200000}"/>
    <cellStyle name="Normal 2 2 10 2 9 3 2" xfId="8321" xr:uid="{00000000-0005-0000-0000-000053200000}"/>
    <cellStyle name="Normal 2 2 10 2 9 3 3" xfId="8322" xr:uid="{00000000-0005-0000-0000-000054200000}"/>
    <cellStyle name="Normal 2 2 10 2 9 3 4" xfId="8323" xr:uid="{00000000-0005-0000-0000-000055200000}"/>
    <cellStyle name="Normal 2 2 10 2 9 3 5" xfId="8324" xr:uid="{00000000-0005-0000-0000-000056200000}"/>
    <cellStyle name="Normal 2 2 10 2 9 3 6" xfId="8325" xr:uid="{00000000-0005-0000-0000-000057200000}"/>
    <cellStyle name="Normal 2 2 10 2 9 3 7" xfId="8326" xr:uid="{00000000-0005-0000-0000-000058200000}"/>
    <cellStyle name="Normal 2 2 10 2 9 3 8" xfId="8327" xr:uid="{00000000-0005-0000-0000-000059200000}"/>
    <cellStyle name="Normal 2 2 10 2 9 3 9" xfId="8328" xr:uid="{00000000-0005-0000-0000-00005A200000}"/>
    <cellStyle name="Normal 2 2 10 2 9 4" xfId="8329" xr:uid="{00000000-0005-0000-0000-00005B200000}"/>
    <cellStyle name="Normal 2 2 10 2 9 4 10" xfId="8330" xr:uid="{00000000-0005-0000-0000-00005C200000}"/>
    <cellStyle name="Normal 2 2 10 2 9 4 2" xfId="8331" xr:uid="{00000000-0005-0000-0000-00005D200000}"/>
    <cellStyle name="Normal 2 2 10 2 9 4 3" xfId="8332" xr:uid="{00000000-0005-0000-0000-00005E200000}"/>
    <cellStyle name="Normal 2 2 10 2 9 4 4" xfId="8333" xr:uid="{00000000-0005-0000-0000-00005F200000}"/>
    <cellStyle name="Normal 2 2 10 2 9 4 5" xfId="8334" xr:uid="{00000000-0005-0000-0000-000060200000}"/>
    <cellStyle name="Normal 2 2 10 2 9 4 6" xfId="8335" xr:uid="{00000000-0005-0000-0000-000061200000}"/>
    <cellStyle name="Normal 2 2 10 2 9 4 7" xfId="8336" xr:uid="{00000000-0005-0000-0000-000062200000}"/>
    <cellStyle name="Normal 2 2 10 2 9 4 8" xfId="8337" xr:uid="{00000000-0005-0000-0000-000063200000}"/>
    <cellStyle name="Normal 2 2 10 2 9 4 9" xfId="8338" xr:uid="{00000000-0005-0000-0000-000064200000}"/>
    <cellStyle name="Normal 2 2 10 2 9 5" xfId="8339" xr:uid="{00000000-0005-0000-0000-000065200000}"/>
    <cellStyle name="Normal 2 2 10 2 9 5 10" xfId="8340" xr:uid="{00000000-0005-0000-0000-000066200000}"/>
    <cellStyle name="Normal 2 2 10 2 9 5 2" xfId="8341" xr:uid="{00000000-0005-0000-0000-000067200000}"/>
    <cellStyle name="Normal 2 2 10 2 9 5 3" xfId="8342" xr:uid="{00000000-0005-0000-0000-000068200000}"/>
    <cellStyle name="Normal 2 2 10 2 9 5 4" xfId="8343" xr:uid="{00000000-0005-0000-0000-000069200000}"/>
    <cellStyle name="Normal 2 2 10 2 9 5 5" xfId="8344" xr:uid="{00000000-0005-0000-0000-00006A200000}"/>
    <cellStyle name="Normal 2 2 10 2 9 5 6" xfId="8345" xr:uid="{00000000-0005-0000-0000-00006B200000}"/>
    <cellStyle name="Normal 2 2 10 2 9 5 7" xfId="8346" xr:uid="{00000000-0005-0000-0000-00006C200000}"/>
    <cellStyle name="Normal 2 2 10 2 9 5 8" xfId="8347" xr:uid="{00000000-0005-0000-0000-00006D200000}"/>
    <cellStyle name="Normal 2 2 10 2 9 5 9" xfId="8348" xr:uid="{00000000-0005-0000-0000-00006E200000}"/>
    <cellStyle name="Normal 2 2 10 2 9 6" xfId="8349" xr:uid="{00000000-0005-0000-0000-00006F200000}"/>
    <cellStyle name="Normal 2 2 10 2 9 7" xfId="8350" xr:uid="{00000000-0005-0000-0000-000070200000}"/>
    <cellStyle name="Normal 2 2 10 2 9 8" xfId="8351" xr:uid="{00000000-0005-0000-0000-000071200000}"/>
    <cellStyle name="Normal 2 2 10 2 9 9" xfId="8352" xr:uid="{00000000-0005-0000-0000-000072200000}"/>
    <cellStyle name="Normal 2 2 10 20" xfId="8353" xr:uid="{00000000-0005-0000-0000-000073200000}"/>
    <cellStyle name="Normal 2 2 10 20 10" xfId="8354" xr:uid="{00000000-0005-0000-0000-000074200000}"/>
    <cellStyle name="Normal 2 2 10 20 11" xfId="8355" xr:uid="{00000000-0005-0000-0000-000075200000}"/>
    <cellStyle name="Normal 2 2 10 20 12" xfId="8356" xr:uid="{00000000-0005-0000-0000-000076200000}"/>
    <cellStyle name="Normal 2 2 10 20 13" xfId="8357" xr:uid="{00000000-0005-0000-0000-000077200000}"/>
    <cellStyle name="Normal 2 2 10 20 14" xfId="8358" xr:uid="{00000000-0005-0000-0000-000078200000}"/>
    <cellStyle name="Normal 2 2 10 20 2" xfId="8359" xr:uid="{00000000-0005-0000-0000-000079200000}"/>
    <cellStyle name="Normal 2 2 10 20 2 10" xfId="8360" xr:uid="{00000000-0005-0000-0000-00007A200000}"/>
    <cellStyle name="Normal 2 2 10 20 2 2" xfId="8361" xr:uid="{00000000-0005-0000-0000-00007B200000}"/>
    <cellStyle name="Normal 2 2 10 20 2 3" xfId="8362" xr:uid="{00000000-0005-0000-0000-00007C200000}"/>
    <cellStyle name="Normal 2 2 10 20 2 4" xfId="8363" xr:uid="{00000000-0005-0000-0000-00007D200000}"/>
    <cellStyle name="Normal 2 2 10 20 2 5" xfId="8364" xr:uid="{00000000-0005-0000-0000-00007E200000}"/>
    <cellStyle name="Normal 2 2 10 20 2 6" xfId="8365" xr:uid="{00000000-0005-0000-0000-00007F200000}"/>
    <cellStyle name="Normal 2 2 10 20 2 7" xfId="8366" xr:uid="{00000000-0005-0000-0000-000080200000}"/>
    <cellStyle name="Normal 2 2 10 20 2 8" xfId="8367" xr:uid="{00000000-0005-0000-0000-000081200000}"/>
    <cellStyle name="Normal 2 2 10 20 2 9" xfId="8368" xr:uid="{00000000-0005-0000-0000-000082200000}"/>
    <cellStyle name="Normal 2 2 10 20 3" xfId="8369" xr:uid="{00000000-0005-0000-0000-000083200000}"/>
    <cellStyle name="Normal 2 2 10 20 3 10" xfId="8370" xr:uid="{00000000-0005-0000-0000-000084200000}"/>
    <cellStyle name="Normal 2 2 10 20 3 2" xfId="8371" xr:uid="{00000000-0005-0000-0000-000085200000}"/>
    <cellStyle name="Normal 2 2 10 20 3 3" xfId="8372" xr:uid="{00000000-0005-0000-0000-000086200000}"/>
    <cellStyle name="Normal 2 2 10 20 3 4" xfId="8373" xr:uid="{00000000-0005-0000-0000-000087200000}"/>
    <cellStyle name="Normal 2 2 10 20 3 5" xfId="8374" xr:uid="{00000000-0005-0000-0000-000088200000}"/>
    <cellStyle name="Normal 2 2 10 20 3 6" xfId="8375" xr:uid="{00000000-0005-0000-0000-000089200000}"/>
    <cellStyle name="Normal 2 2 10 20 3 7" xfId="8376" xr:uid="{00000000-0005-0000-0000-00008A200000}"/>
    <cellStyle name="Normal 2 2 10 20 3 8" xfId="8377" xr:uid="{00000000-0005-0000-0000-00008B200000}"/>
    <cellStyle name="Normal 2 2 10 20 3 9" xfId="8378" xr:uid="{00000000-0005-0000-0000-00008C200000}"/>
    <cellStyle name="Normal 2 2 10 20 4" xfId="8379" xr:uid="{00000000-0005-0000-0000-00008D200000}"/>
    <cellStyle name="Normal 2 2 10 20 4 10" xfId="8380" xr:uid="{00000000-0005-0000-0000-00008E200000}"/>
    <cellStyle name="Normal 2 2 10 20 4 2" xfId="8381" xr:uid="{00000000-0005-0000-0000-00008F200000}"/>
    <cellStyle name="Normal 2 2 10 20 4 3" xfId="8382" xr:uid="{00000000-0005-0000-0000-000090200000}"/>
    <cellStyle name="Normal 2 2 10 20 4 4" xfId="8383" xr:uid="{00000000-0005-0000-0000-000091200000}"/>
    <cellStyle name="Normal 2 2 10 20 4 5" xfId="8384" xr:uid="{00000000-0005-0000-0000-000092200000}"/>
    <cellStyle name="Normal 2 2 10 20 4 6" xfId="8385" xr:uid="{00000000-0005-0000-0000-000093200000}"/>
    <cellStyle name="Normal 2 2 10 20 4 7" xfId="8386" xr:uid="{00000000-0005-0000-0000-000094200000}"/>
    <cellStyle name="Normal 2 2 10 20 4 8" xfId="8387" xr:uid="{00000000-0005-0000-0000-000095200000}"/>
    <cellStyle name="Normal 2 2 10 20 4 9" xfId="8388" xr:uid="{00000000-0005-0000-0000-000096200000}"/>
    <cellStyle name="Normal 2 2 10 20 5" xfId="8389" xr:uid="{00000000-0005-0000-0000-000097200000}"/>
    <cellStyle name="Normal 2 2 10 20 5 10" xfId="8390" xr:uid="{00000000-0005-0000-0000-000098200000}"/>
    <cellStyle name="Normal 2 2 10 20 5 2" xfId="8391" xr:uid="{00000000-0005-0000-0000-000099200000}"/>
    <cellStyle name="Normal 2 2 10 20 5 3" xfId="8392" xr:uid="{00000000-0005-0000-0000-00009A200000}"/>
    <cellStyle name="Normal 2 2 10 20 5 4" xfId="8393" xr:uid="{00000000-0005-0000-0000-00009B200000}"/>
    <cellStyle name="Normal 2 2 10 20 5 5" xfId="8394" xr:uid="{00000000-0005-0000-0000-00009C200000}"/>
    <cellStyle name="Normal 2 2 10 20 5 6" xfId="8395" xr:uid="{00000000-0005-0000-0000-00009D200000}"/>
    <cellStyle name="Normal 2 2 10 20 5 7" xfId="8396" xr:uid="{00000000-0005-0000-0000-00009E200000}"/>
    <cellStyle name="Normal 2 2 10 20 5 8" xfId="8397" xr:uid="{00000000-0005-0000-0000-00009F200000}"/>
    <cellStyle name="Normal 2 2 10 20 5 9" xfId="8398" xr:uid="{00000000-0005-0000-0000-0000A0200000}"/>
    <cellStyle name="Normal 2 2 10 20 6" xfId="8399" xr:uid="{00000000-0005-0000-0000-0000A1200000}"/>
    <cellStyle name="Normal 2 2 10 20 7" xfId="8400" xr:uid="{00000000-0005-0000-0000-0000A2200000}"/>
    <cellStyle name="Normal 2 2 10 20 8" xfId="8401" xr:uid="{00000000-0005-0000-0000-0000A3200000}"/>
    <cellStyle name="Normal 2 2 10 20 9" xfId="8402" xr:uid="{00000000-0005-0000-0000-0000A4200000}"/>
    <cellStyle name="Normal 2 2 10 21" xfId="8403" xr:uid="{00000000-0005-0000-0000-0000A5200000}"/>
    <cellStyle name="Normal 2 2 10 21 10" xfId="8404" xr:uid="{00000000-0005-0000-0000-0000A6200000}"/>
    <cellStyle name="Normal 2 2 10 21 11" xfId="8405" xr:uid="{00000000-0005-0000-0000-0000A7200000}"/>
    <cellStyle name="Normal 2 2 10 21 12" xfId="8406" xr:uid="{00000000-0005-0000-0000-0000A8200000}"/>
    <cellStyle name="Normal 2 2 10 21 13" xfId="8407" xr:uid="{00000000-0005-0000-0000-0000A9200000}"/>
    <cellStyle name="Normal 2 2 10 21 14" xfId="8408" xr:uid="{00000000-0005-0000-0000-0000AA200000}"/>
    <cellStyle name="Normal 2 2 10 21 2" xfId="8409" xr:uid="{00000000-0005-0000-0000-0000AB200000}"/>
    <cellStyle name="Normal 2 2 10 21 2 10" xfId="8410" xr:uid="{00000000-0005-0000-0000-0000AC200000}"/>
    <cellStyle name="Normal 2 2 10 21 2 2" xfId="8411" xr:uid="{00000000-0005-0000-0000-0000AD200000}"/>
    <cellStyle name="Normal 2 2 10 21 2 3" xfId="8412" xr:uid="{00000000-0005-0000-0000-0000AE200000}"/>
    <cellStyle name="Normal 2 2 10 21 2 4" xfId="8413" xr:uid="{00000000-0005-0000-0000-0000AF200000}"/>
    <cellStyle name="Normal 2 2 10 21 2 5" xfId="8414" xr:uid="{00000000-0005-0000-0000-0000B0200000}"/>
    <cellStyle name="Normal 2 2 10 21 2 6" xfId="8415" xr:uid="{00000000-0005-0000-0000-0000B1200000}"/>
    <cellStyle name="Normal 2 2 10 21 2 7" xfId="8416" xr:uid="{00000000-0005-0000-0000-0000B2200000}"/>
    <cellStyle name="Normal 2 2 10 21 2 8" xfId="8417" xr:uid="{00000000-0005-0000-0000-0000B3200000}"/>
    <cellStyle name="Normal 2 2 10 21 2 9" xfId="8418" xr:uid="{00000000-0005-0000-0000-0000B4200000}"/>
    <cellStyle name="Normal 2 2 10 21 3" xfId="8419" xr:uid="{00000000-0005-0000-0000-0000B5200000}"/>
    <cellStyle name="Normal 2 2 10 21 3 10" xfId="8420" xr:uid="{00000000-0005-0000-0000-0000B6200000}"/>
    <cellStyle name="Normal 2 2 10 21 3 2" xfId="8421" xr:uid="{00000000-0005-0000-0000-0000B7200000}"/>
    <cellStyle name="Normal 2 2 10 21 3 3" xfId="8422" xr:uid="{00000000-0005-0000-0000-0000B8200000}"/>
    <cellStyle name="Normal 2 2 10 21 3 4" xfId="8423" xr:uid="{00000000-0005-0000-0000-0000B9200000}"/>
    <cellStyle name="Normal 2 2 10 21 3 5" xfId="8424" xr:uid="{00000000-0005-0000-0000-0000BA200000}"/>
    <cellStyle name="Normal 2 2 10 21 3 6" xfId="8425" xr:uid="{00000000-0005-0000-0000-0000BB200000}"/>
    <cellStyle name="Normal 2 2 10 21 3 7" xfId="8426" xr:uid="{00000000-0005-0000-0000-0000BC200000}"/>
    <cellStyle name="Normal 2 2 10 21 3 8" xfId="8427" xr:uid="{00000000-0005-0000-0000-0000BD200000}"/>
    <cellStyle name="Normal 2 2 10 21 3 9" xfId="8428" xr:uid="{00000000-0005-0000-0000-0000BE200000}"/>
    <cellStyle name="Normal 2 2 10 21 4" xfId="8429" xr:uid="{00000000-0005-0000-0000-0000BF200000}"/>
    <cellStyle name="Normal 2 2 10 21 4 10" xfId="8430" xr:uid="{00000000-0005-0000-0000-0000C0200000}"/>
    <cellStyle name="Normal 2 2 10 21 4 2" xfId="8431" xr:uid="{00000000-0005-0000-0000-0000C1200000}"/>
    <cellStyle name="Normal 2 2 10 21 4 3" xfId="8432" xr:uid="{00000000-0005-0000-0000-0000C2200000}"/>
    <cellStyle name="Normal 2 2 10 21 4 4" xfId="8433" xr:uid="{00000000-0005-0000-0000-0000C3200000}"/>
    <cellStyle name="Normal 2 2 10 21 4 5" xfId="8434" xr:uid="{00000000-0005-0000-0000-0000C4200000}"/>
    <cellStyle name="Normal 2 2 10 21 4 6" xfId="8435" xr:uid="{00000000-0005-0000-0000-0000C5200000}"/>
    <cellStyle name="Normal 2 2 10 21 4 7" xfId="8436" xr:uid="{00000000-0005-0000-0000-0000C6200000}"/>
    <cellStyle name="Normal 2 2 10 21 4 8" xfId="8437" xr:uid="{00000000-0005-0000-0000-0000C7200000}"/>
    <cellStyle name="Normal 2 2 10 21 4 9" xfId="8438" xr:uid="{00000000-0005-0000-0000-0000C8200000}"/>
    <cellStyle name="Normal 2 2 10 21 5" xfId="8439" xr:uid="{00000000-0005-0000-0000-0000C9200000}"/>
    <cellStyle name="Normal 2 2 10 21 5 10" xfId="8440" xr:uid="{00000000-0005-0000-0000-0000CA200000}"/>
    <cellStyle name="Normal 2 2 10 21 5 2" xfId="8441" xr:uid="{00000000-0005-0000-0000-0000CB200000}"/>
    <cellStyle name="Normal 2 2 10 21 5 3" xfId="8442" xr:uid="{00000000-0005-0000-0000-0000CC200000}"/>
    <cellStyle name="Normal 2 2 10 21 5 4" xfId="8443" xr:uid="{00000000-0005-0000-0000-0000CD200000}"/>
    <cellStyle name="Normal 2 2 10 21 5 5" xfId="8444" xr:uid="{00000000-0005-0000-0000-0000CE200000}"/>
    <cellStyle name="Normal 2 2 10 21 5 6" xfId="8445" xr:uid="{00000000-0005-0000-0000-0000CF200000}"/>
    <cellStyle name="Normal 2 2 10 21 5 7" xfId="8446" xr:uid="{00000000-0005-0000-0000-0000D0200000}"/>
    <cellStyle name="Normal 2 2 10 21 5 8" xfId="8447" xr:uid="{00000000-0005-0000-0000-0000D1200000}"/>
    <cellStyle name="Normal 2 2 10 21 5 9" xfId="8448" xr:uid="{00000000-0005-0000-0000-0000D2200000}"/>
    <cellStyle name="Normal 2 2 10 21 6" xfId="8449" xr:uid="{00000000-0005-0000-0000-0000D3200000}"/>
    <cellStyle name="Normal 2 2 10 21 7" xfId="8450" xr:uid="{00000000-0005-0000-0000-0000D4200000}"/>
    <cellStyle name="Normal 2 2 10 21 8" xfId="8451" xr:uid="{00000000-0005-0000-0000-0000D5200000}"/>
    <cellStyle name="Normal 2 2 10 21 9" xfId="8452" xr:uid="{00000000-0005-0000-0000-0000D6200000}"/>
    <cellStyle name="Normal 2 2 10 22" xfId="8453" xr:uid="{00000000-0005-0000-0000-0000D7200000}"/>
    <cellStyle name="Normal 2 2 10 22 10" xfId="8454" xr:uid="{00000000-0005-0000-0000-0000D8200000}"/>
    <cellStyle name="Normal 2 2 10 22 11" xfId="8455" xr:uid="{00000000-0005-0000-0000-0000D9200000}"/>
    <cellStyle name="Normal 2 2 10 22 12" xfId="8456" xr:uid="{00000000-0005-0000-0000-0000DA200000}"/>
    <cellStyle name="Normal 2 2 10 22 13" xfId="8457" xr:uid="{00000000-0005-0000-0000-0000DB200000}"/>
    <cellStyle name="Normal 2 2 10 22 14" xfId="8458" xr:uid="{00000000-0005-0000-0000-0000DC200000}"/>
    <cellStyle name="Normal 2 2 10 22 2" xfId="8459" xr:uid="{00000000-0005-0000-0000-0000DD200000}"/>
    <cellStyle name="Normal 2 2 10 22 2 10" xfId="8460" xr:uid="{00000000-0005-0000-0000-0000DE200000}"/>
    <cellStyle name="Normal 2 2 10 22 2 2" xfId="8461" xr:uid="{00000000-0005-0000-0000-0000DF200000}"/>
    <cellStyle name="Normal 2 2 10 22 2 3" xfId="8462" xr:uid="{00000000-0005-0000-0000-0000E0200000}"/>
    <cellStyle name="Normal 2 2 10 22 2 4" xfId="8463" xr:uid="{00000000-0005-0000-0000-0000E1200000}"/>
    <cellStyle name="Normal 2 2 10 22 2 5" xfId="8464" xr:uid="{00000000-0005-0000-0000-0000E2200000}"/>
    <cellStyle name="Normal 2 2 10 22 2 6" xfId="8465" xr:uid="{00000000-0005-0000-0000-0000E3200000}"/>
    <cellStyle name="Normal 2 2 10 22 2 7" xfId="8466" xr:uid="{00000000-0005-0000-0000-0000E4200000}"/>
    <cellStyle name="Normal 2 2 10 22 2 8" xfId="8467" xr:uid="{00000000-0005-0000-0000-0000E5200000}"/>
    <cellStyle name="Normal 2 2 10 22 2 9" xfId="8468" xr:uid="{00000000-0005-0000-0000-0000E6200000}"/>
    <cellStyle name="Normal 2 2 10 22 3" xfId="8469" xr:uid="{00000000-0005-0000-0000-0000E7200000}"/>
    <cellStyle name="Normal 2 2 10 22 3 10" xfId="8470" xr:uid="{00000000-0005-0000-0000-0000E8200000}"/>
    <cellStyle name="Normal 2 2 10 22 3 2" xfId="8471" xr:uid="{00000000-0005-0000-0000-0000E9200000}"/>
    <cellStyle name="Normal 2 2 10 22 3 3" xfId="8472" xr:uid="{00000000-0005-0000-0000-0000EA200000}"/>
    <cellStyle name="Normal 2 2 10 22 3 4" xfId="8473" xr:uid="{00000000-0005-0000-0000-0000EB200000}"/>
    <cellStyle name="Normal 2 2 10 22 3 5" xfId="8474" xr:uid="{00000000-0005-0000-0000-0000EC200000}"/>
    <cellStyle name="Normal 2 2 10 22 3 6" xfId="8475" xr:uid="{00000000-0005-0000-0000-0000ED200000}"/>
    <cellStyle name="Normal 2 2 10 22 3 7" xfId="8476" xr:uid="{00000000-0005-0000-0000-0000EE200000}"/>
    <cellStyle name="Normal 2 2 10 22 3 8" xfId="8477" xr:uid="{00000000-0005-0000-0000-0000EF200000}"/>
    <cellStyle name="Normal 2 2 10 22 3 9" xfId="8478" xr:uid="{00000000-0005-0000-0000-0000F0200000}"/>
    <cellStyle name="Normal 2 2 10 22 4" xfId="8479" xr:uid="{00000000-0005-0000-0000-0000F1200000}"/>
    <cellStyle name="Normal 2 2 10 22 4 10" xfId="8480" xr:uid="{00000000-0005-0000-0000-0000F2200000}"/>
    <cellStyle name="Normal 2 2 10 22 4 2" xfId="8481" xr:uid="{00000000-0005-0000-0000-0000F3200000}"/>
    <cellStyle name="Normal 2 2 10 22 4 3" xfId="8482" xr:uid="{00000000-0005-0000-0000-0000F4200000}"/>
    <cellStyle name="Normal 2 2 10 22 4 4" xfId="8483" xr:uid="{00000000-0005-0000-0000-0000F5200000}"/>
    <cellStyle name="Normal 2 2 10 22 4 5" xfId="8484" xr:uid="{00000000-0005-0000-0000-0000F6200000}"/>
    <cellStyle name="Normal 2 2 10 22 4 6" xfId="8485" xr:uid="{00000000-0005-0000-0000-0000F7200000}"/>
    <cellStyle name="Normal 2 2 10 22 4 7" xfId="8486" xr:uid="{00000000-0005-0000-0000-0000F8200000}"/>
    <cellStyle name="Normal 2 2 10 22 4 8" xfId="8487" xr:uid="{00000000-0005-0000-0000-0000F9200000}"/>
    <cellStyle name="Normal 2 2 10 22 4 9" xfId="8488" xr:uid="{00000000-0005-0000-0000-0000FA200000}"/>
    <cellStyle name="Normal 2 2 10 22 5" xfId="8489" xr:uid="{00000000-0005-0000-0000-0000FB200000}"/>
    <cellStyle name="Normal 2 2 10 22 5 10" xfId="8490" xr:uid="{00000000-0005-0000-0000-0000FC200000}"/>
    <cellStyle name="Normal 2 2 10 22 5 2" xfId="8491" xr:uid="{00000000-0005-0000-0000-0000FD200000}"/>
    <cellStyle name="Normal 2 2 10 22 5 3" xfId="8492" xr:uid="{00000000-0005-0000-0000-0000FE200000}"/>
    <cellStyle name="Normal 2 2 10 22 5 4" xfId="8493" xr:uid="{00000000-0005-0000-0000-0000FF200000}"/>
    <cellStyle name="Normal 2 2 10 22 5 5" xfId="8494" xr:uid="{00000000-0005-0000-0000-000000210000}"/>
    <cellStyle name="Normal 2 2 10 22 5 6" xfId="8495" xr:uid="{00000000-0005-0000-0000-000001210000}"/>
    <cellStyle name="Normal 2 2 10 22 5 7" xfId="8496" xr:uid="{00000000-0005-0000-0000-000002210000}"/>
    <cellStyle name="Normal 2 2 10 22 5 8" xfId="8497" xr:uid="{00000000-0005-0000-0000-000003210000}"/>
    <cellStyle name="Normal 2 2 10 22 5 9" xfId="8498" xr:uid="{00000000-0005-0000-0000-000004210000}"/>
    <cellStyle name="Normal 2 2 10 22 6" xfId="8499" xr:uid="{00000000-0005-0000-0000-000005210000}"/>
    <cellStyle name="Normal 2 2 10 22 7" xfId="8500" xr:uid="{00000000-0005-0000-0000-000006210000}"/>
    <cellStyle name="Normal 2 2 10 22 8" xfId="8501" xr:uid="{00000000-0005-0000-0000-000007210000}"/>
    <cellStyle name="Normal 2 2 10 22 9" xfId="8502" xr:uid="{00000000-0005-0000-0000-000008210000}"/>
    <cellStyle name="Normal 2 2 10 23" xfId="8503" xr:uid="{00000000-0005-0000-0000-000009210000}"/>
    <cellStyle name="Normal 2 2 10 23 10" xfId="8504" xr:uid="{00000000-0005-0000-0000-00000A210000}"/>
    <cellStyle name="Normal 2 2 10 23 11" xfId="8505" xr:uid="{00000000-0005-0000-0000-00000B210000}"/>
    <cellStyle name="Normal 2 2 10 23 12" xfId="8506" xr:uid="{00000000-0005-0000-0000-00000C210000}"/>
    <cellStyle name="Normal 2 2 10 23 13" xfId="8507" xr:uid="{00000000-0005-0000-0000-00000D210000}"/>
    <cellStyle name="Normal 2 2 10 23 14" xfId="8508" xr:uid="{00000000-0005-0000-0000-00000E210000}"/>
    <cellStyle name="Normal 2 2 10 23 2" xfId="8509" xr:uid="{00000000-0005-0000-0000-00000F210000}"/>
    <cellStyle name="Normal 2 2 10 23 2 10" xfId="8510" xr:uid="{00000000-0005-0000-0000-000010210000}"/>
    <cellStyle name="Normal 2 2 10 23 2 2" xfId="8511" xr:uid="{00000000-0005-0000-0000-000011210000}"/>
    <cellStyle name="Normal 2 2 10 23 2 3" xfId="8512" xr:uid="{00000000-0005-0000-0000-000012210000}"/>
    <cellStyle name="Normal 2 2 10 23 2 4" xfId="8513" xr:uid="{00000000-0005-0000-0000-000013210000}"/>
    <cellStyle name="Normal 2 2 10 23 2 5" xfId="8514" xr:uid="{00000000-0005-0000-0000-000014210000}"/>
    <cellStyle name="Normal 2 2 10 23 2 6" xfId="8515" xr:uid="{00000000-0005-0000-0000-000015210000}"/>
    <cellStyle name="Normal 2 2 10 23 2 7" xfId="8516" xr:uid="{00000000-0005-0000-0000-000016210000}"/>
    <cellStyle name="Normal 2 2 10 23 2 8" xfId="8517" xr:uid="{00000000-0005-0000-0000-000017210000}"/>
    <cellStyle name="Normal 2 2 10 23 2 9" xfId="8518" xr:uid="{00000000-0005-0000-0000-000018210000}"/>
    <cellStyle name="Normal 2 2 10 23 3" xfId="8519" xr:uid="{00000000-0005-0000-0000-000019210000}"/>
    <cellStyle name="Normal 2 2 10 23 3 10" xfId="8520" xr:uid="{00000000-0005-0000-0000-00001A210000}"/>
    <cellStyle name="Normal 2 2 10 23 3 2" xfId="8521" xr:uid="{00000000-0005-0000-0000-00001B210000}"/>
    <cellStyle name="Normal 2 2 10 23 3 3" xfId="8522" xr:uid="{00000000-0005-0000-0000-00001C210000}"/>
    <cellStyle name="Normal 2 2 10 23 3 4" xfId="8523" xr:uid="{00000000-0005-0000-0000-00001D210000}"/>
    <cellStyle name="Normal 2 2 10 23 3 5" xfId="8524" xr:uid="{00000000-0005-0000-0000-00001E210000}"/>
    <cellStyle name="Normal 2 2 10 23 3 6" xfId="8525" xr:uid="{00000000-0005-0000-0000-00001F210000}"/>
    <cellStyle name="Normal 2 2 10 23 3 7" xfId="8526" xr:uid="{00000000-0005-0000-0000-000020210000}"/>
    <cellStyle name="Normal 2 2 10 23 3 8" xfId="8527" xr:uid="{00000000-0005-0000-0000-000021210000}"/>
    <cellStyle name="Normal 2 2 10 23 3 9" xfId="8528" xr:uid="{00000000-0005-0000-0000-000022210000}"/>
    <cellStyle name="Normal 2 2 10 23 4" xfId="8529" xr:uid="{00000000-0005-0000-0000-000023210000}"/>
    <cellStyle name="Normal 2 2 10 23 4 10" xfId="8530" xr:uid="{00000000-0005-0000-0000-000024210000}"/>
    <cellStyle name="Normal 2 2 10 23 4 2" xfId="8531" xr:uid="{00000000-0005-0000-0000-000025210000}"/>
    <cellStyle name="Normal 2 2 10 23 4 3" xfId="8532" xr:uid="{00000000-0005-0000-0000-000026210000}"/>
    <cellStyle name="Normal 2 2 10 23 4 4" xfId="8533" xr:uid="{00000000-0005-0000-0000-000027210000}"/>
    <cellStyle name="Normal 2 2 10 23 4 5" xfId="8534" xr:uid="{00000000-0005-0000-0000-000028210000}"/>
    <cellStyle name="Normal 2 2 10 23 4 6" xfId="8535" xr:uid="{00000000-0005-0000-0000-000029210000}"/>
    <cellStyle name="Normal 2 2 10 23 4 7" xfId="8536" xr:uid="{00000000-0005-0000-0000-00002A210000}"/>
    <cellStyle name="Normal 2 2 10 23 4 8" xfId="8537" xr:uid="{00000000-0005-0000-0000-00002B210000}"/>
    <cellStyle name="Normal 2 2 10 23 4 9" xfId="8538" xr:uid="{00000000-0005-0000-0000-00002C210000}"/>
    <cellStyle name="Normal 2 2 10 23 5" xfId="8539" xr:uid="{00000000-0005-0000-0000-00002D210000}"/>
    <cellStyle name="Normal 2 2 10 23 5 10" xfId="8540" xr:uid="{00000000-0005-0000-0000-00002E210000}"/>
    <cellStyle name="Normal 2 2 10 23 5 2" xfId="8541" xr:uid="{00000000-0005-0000-0000-00002F210000}"/>
    <cellStyle name="Normal 2 2 10 23 5 3" xfId="8542" xr:uid="{00000000-0005-0000-0000-000030210000}"/>
    <cellStyle name="Normal 2 2 10 23 5 4" xfId="8543" xr:uid="{00000000-0005-0000-0000-000031210000}"/>
    <cellStyle name="Normal 2 2 10 23 5 5" xfId="8544" xr:uid="{00000000-0005-0000-0000-000032210000}"/>
    <cellStyle name="Normal 2 2 10 23 5 6" xfId="8545" xr:uid="{00000000-0005-0000-0000-000033210000}"/>
    <cellStyle name="Normal 2 2 10 23 5 7" xfId="8546" xr:uid="{00000000-0005-0000-0000-000034210000}"/>
    <cellStyle name="Normal 2 2 10 23 5 8" xfId="8547" xr:uid="{00000000-0005-0000-0000-000035210000}"/>
    <cellStyle name="Normal 2 2 10 23 5 9" xfId="8548" xr:uid="{00000000-0005-0000-0000-000036210000}"/>
    <cellStyle name="Normal 2 2 10 23 6" xfId="8549" xr:uid="{00000000-0005-0000-0000-000037210000}"/>
    <cellStyle name="Normal 2 2 10 23 7" xfId="8550" xr:uid="{00000000-0005-0000-0000-000038210000}"/>
    <cellStyle name="Normal 2 2 10 23 8" xfId="8551" xr:uid="{00000000-0005-0000-0000-000039210000}"/>
    <cellStyle name="Normal 2 2 10 23 9" xfId="8552" xr:uid="{00000000-0005-0000-0000-00003A210000}"/>
    <cellStyle name="Normal 2 2 10 24" xfId="8553" xr:uid="{00000000-0005-0000-0000-00003B210000}"/>
    <cellStyle name="Normal 2 2 10 24 10" xfId="8554" xr:uid="{00000000-0005-0000-0000-00003C210000}"/>
    <cellStyle name="Normal 2 2 10 24 11" xfId="8555" xr:uid="{00000000-0005-0000-0000-00003D210000}"/>
    <cellStyle name="Normal 2 2 10 24 12" xfId="8556" xr:uid="{00000000-0005-0000-0000-00003E210000}"/>
    <cellStyle name="Normal 2 2 10 24 13" xfId="8557" xr:uid="{00000000-0005-0000-0000-00003F210000}"/>
    <cellStyle name="Normal 2 2 10 24 14" xfId="8558" xr:uid="{00000000-0005-0000-0000-000040210000}"/>
    <cellStyle name="Normal 2 2 10 24 2" xfId="8559" xr:uid="{00000000-0005-0000-0000-000041210000}"/>
    <cellStyle name="Normal 2 2 10 24 2 10" xfId="8560" xr:uid="{00000000-0005-0000-0000-000042210000}"/>
    <cellStyle name="Normal 2 2 10 24 2 2" xfId="8561" xr:uid="{00000000-0005-0000-0000-000043210000}"/>
    <cellStyle name="Normal 2 2 10 24 2 3" xfId="8562" xr:uid="{00000000-0005-0000-0000-000044210000}"/>
    <cellStyle name="Normal 2 2 10 24 2 4" xfId="8563" xr:uid="{00000000-0005-0000-0000-000045210000}"/>
    <cellStyle name="Normal 2 2 10 24 2 5" xfId="8564" xr:uid="{00000000-0005-0000-0000-000046210000}"/>
    <cellStyle name="Normal 2 2 10 24 2 6" xfId="8565" xr:uid="{00000000-0005-0000-0000-000047210000}"/>
    <cellStyle name="Normal 2 2 10 24 2 7" xfId="8566" xr:uid="{00000000-0005-0000-0000-000048210000}"/>
    <cellStyle name="Normal 2 2 10 24 2 8" xfId="8567" xr:uid="{00000000-0005-0000-0000-000049210000}"/>
    <cellStyle name="Normal 2 2 10 24 2 9" xfId="8568" xr:uid="{00000000-0005-0000-0000-00004A210000}"/>
    <cellStyle name="Normal 2 2 10 24 3" xfId="8569" xr:uid="{00000000-0005-0000-0000-00004B210000}"/>
    <cellStyle name="Normal 2 2 10 24 3 10" xfId="8570" xr:uid="{00000000-0005-0000-0000-00004C210000}"/>
    <cellStyle name="Normal 2 2 10 24 3 2" xfId="8571" xr:uid="{00000000-0005-0000-0000-00004D210000}"/>
    <cellStyle name="Normal 2 2 10 24 3 3" xfId="8572" xr:uid="{00000000-0005-0000-0000-00004E210000}"/>
    <cellStyle name="Normal 2 2 10 24 3 4" xfId="8573" xr:uid="{00000000-0005-0000-0000-00004F210000}"/>
    <cellStyle name="Normal 2 2 10 24 3 5" xfId="8574" xr:uid="{00000000-0005-0000-0000-000050210000}"/>
    <cellStyle name="Normal 2 2 10 24 3 6" xfId="8575" xr:uid="{00000000-0005-0000-0000-000051210000}"/>
    <cellStyle name="Normal 2 2 10 24 3 7" xfId="8576" xr:uid="{00000000-0005-0000-0000-000052210000}"/>
    <cellStyle name="Normal 2 2 10 24 3 8" xfId="8577" xr:uid="{00000000-0005-0000-0000-000053210000}"/>
    <cellStyle name="Normal 2 2 10 24 3 9" xfId="8578" xr:uid="{00000000-0005-0000-0000-000054210000}"/>
    <cellStyle name="Normal 2 2 10 24 4" xfId="8579" xr:uid="{00000000-0005-0000-0000-000055210000}"/>
    <cellStyle name="Normal 2 2 10 24 4 10" xfId="8580" xr:uid="{00000000-0005-0000-0000-000056210000}"/>
    <cellStyle name="Normal 2 2 10 24 4 2" xfId="8581" xr:uid="{00000000-0005-0000-0000-000057210000}"/>
    <cellStyle name="Normal 2 2 10 24 4 3" xfId="8582" xr:uid="{00000000-0005-0000-0000-000058210000}"/>
    <cellStyle name="Normal 2 2 10 24 4 4" xfId="8583" xr:uid="{00000000-0005-0000-0000-000059210000}"/>
    <cellStyle name="Normal 2 2 10 24 4 5" xfId="8584" xr:uid="{00000000-0005-0000-0000-00005A210000}"/>
    <cellStyle name="Normal 2 2 10 24 4 6" xfId="8585" xr:uid="{00000000-0005-0000-0000-00005B210000}"/>
    <cellStyle name="Normal 2 2 10 24 4 7" xfId="8586" xr:uid="{00000000-0005-0000-0000-00005C210000}"/>
    <cellStyle name="Normal 2 2 10 24 4 8" xfId="8587" xr:uid="{00000000-0005-0000-0000-00005D210000}"/>
    <cellStyle name="Normal 2 2 10 24 4 9" xfId="8588" xr:uid="{00000000-0005-0000-0000-00005E210000}"/>
    <cellStyle name="Normal 2 2 10 24 5" xfId="8589" xr:uid="{00000000-0005-0000-0000-00005F210000}"/>
    <cellStyle name="Normal 2 2 10 24 5 10" xfId="8590" xr:uid="{00000000-0005-0000-0000-000060210000}"/>
    <cellStyle name="Normal 2 2 10 24 5 2" xfId="8591" xr:uid="{00000000-0005-0000-0000-000061210000}"/>
    <cellStyle name="Normal 2 2 10 24 5 3" xfId="8592" xr:uid="{00000000-0005-0000-0000-000062210000}"/>
    <cellStyle name="Normal 2 2 10 24 5 4" xfId="8593" xr:uid="{00000000-0005-0000-0000-000063210000}"/>
    <cellStyle name="Normal 2 2 10 24 5 5" xfId="8594" xr:uid="{00000000-0005-0000-0000-000064210000}"/>
    <cellStyle name="Normal 2 2 10 24 5 6" xfId="8595" xr:uid="{00000000-0005-0000-0000-000065210000}"/>
    <cellStyle name="Normal 2 2 10 24 5 7" xfId="8596" xr:uid="{00000000-0005-0000-0000-000066210000}"/>
    <cellStyle name="Normal 2 2 10 24 5 8" xfId="8597" xr:uid="{00000000-0005-0000-0000-000067210000}"/>
    <cellStyle name="Normal 2 2 10 24 5 9" xfId="8598" xr:uid="{00000000-0005-0000-0000-000068210000}"/>
    <cellStyle name="Normal 2 2 10 24 6" xfId="8599" xr:uid="{00000000-0005-0000-0000-000069210000}"/>
    <cellStyle name="Normal 2 2 10 24 7" xfId="8600" xr:uid="{00000000-0005-0000-0000-00006A210000}"/>
    <cellStyle name="Normal 2 2 10 24 8" xfId="8601" xr:uid="{00000000-0005-0000-0000-00006B210000}"/>
    <cellStyle name="Normal 2 2 10 24 9" xfId="8602" xr:uid="{00000000-0005-0000-0000-00006C210000}"/>
    <cellStyle name="Normal 2 2 10 25" xfId="8603" xr:uid="{00000000-0005-0000-0000-00006D210000}"/>
    <cellStyle name="Normal 2 2 10 25 10" xfId="8604" xr:uid="{00000000-0005-0000-0000-00006E210000}"/>
    <cellStyle name="Normal 2 2 10 25 11" xfId="8605" xr:uid="{00000000-0005-0000-0000-00006F210000}"/>
    <cellStyle name="Normal 2 2 10 25 12" xfId="8606" xr:uid="{00000000-0005-0000-0000-000070210000}"/>
    <cellStyle name="Normal 2 2 10 25 13" xfId="8607" xr:uid="{00000000-0005-0000-0000-000071210000}"/>
    <cellStyle name="Normal 2 2 10 25 14" xfId="8608" xr:uid="{00000000-0005-0000-0000-000072210000}"/>
    <cellStyle name="Normal 2 2 10 25 2" xfId="8609" xr:uid="{00000000-0005-0000-0000-000073210000}"/>
    <cellStyle name="Normal 2 2 10 25 2 10" xfId="8610" xr:uid="{00000000-0005-0000-0000-000074210000}"/>
    <cellStyle name="Normal 2 2 10 25 2 2" xfId="8611" xr:uid="{00000000-0005-0000-0000-000075210000}"/>
    <cellStyle name="Normal 2 2 10 25 2 3" xfId="8612" xr:uid="{00000000-0005-0000-0000-000076210000}"/>
    <cellStyle name="Normal 2 2 10 25 2 4" xfId="8613" xr:uid="{00000000-0005-0000-0000-000077210000}"/>
    <cellStyle name="Normal 2 2 10 25 2 5" xfId="8614" xr:uid="{00000000-0005-0000-0000-000078210000}"/>
    <cellStyle name="Normal 2 2 10 25 2 6" xfId="8615" xr:uid="{00000000-0005-0000-0000-000079210000}"/>
    <cellStyle name="Normal 2 2 10 25 2 7" xfId="8616" xr:uid="{00000000-0005-0000-0000-00007A210000}"/>
    <cellStyle name="Normal 2 2 10 25 2 8" xfId="8617" xr:uid="{00000000-0005-0000-0000-00007B210000}"/>
    <cellStyle name="Normal 2 2 10 25 2 9" xfId="8618" xr:uid="{00000000-0005-0000-0000-00007C210000}"/>
    <cellStyle name="Normal 2 2 10 25 3" xfId="8619" xr:uid="{00000000-0005-0000-0000-00007D210000}"/>
    <cellStyle name="Normal 2 2 10 25 3 10" xfId="8620" xr:uid="{00000000-0005-0000-0000-00007E210000}"/>
    <cellStyle name="Normal 2 2 10 25 3 2" xfId="8621" xr:uid="{00000000-0005-0000-0000-00007F210000}"/>
    <cellStyle name="Normal 2 2 10 25 3 3" xfId="8622" xr:uid="{00000000-0005-0000-0000-000080210000}"/>
    <cellStyle name="Normal 2 2 10 25 3 4" xfId="8623" xr:uid="{00000000-0005-0000-0000-000081210000}"/>
    <cellStyle name="Normal 2 2 10 25 3 5" xfId="8624" xr:uid="{00000000-0005-0000-0000-000082210000}"/>
    <cellStyle name="Normal 2 2 10 25 3 6" xfId="8625" xr:uid="{00000000-0005-0000-0000-000083210000}"/>
    <cellStyle name="Normal 2 2 10 25 3 7" xfId="8626" xr:uid="{00000000-0005-0000-0000-000084210000}"/>
    <cellStyle name="Normal 2 2 10 25 3 8" xfId="8627" xr:uid="{00000000-0005-0000-0000-000085210000}"/>
    <cellStyle name="Normal 2 2 10 25 3 9" xfId="8628" xr:uid="{00000000-0005-0000-0000-000086210000}"/>
    <cellStyle name="Normal 2 2 10 25 4" xfId="8629" xr:uid="{00000000-0005-0000-0000-000087210000}"/>
    <cellStyle name="Normal 2 2 10 25 4 10" xfId="8630" xr:uid="{00000000-0005-0000-0000-000088210000}"/>
    <cellStyle name="Normal 2 2 10 25 4 2" xfId="8631" xr:uid="{00000000-0005-0000-0000-000089210000}"/>
    <cellStyle name="Normal 2 2 10 25 4 3" xfId="8632" xr:uid="{00000000-0005-0000-0000-00008A210000}"/>
    <cellStyle name="Normal 2 2 10 25 4 4" xfId="8633" xr:uid="{00000000-0005-0000-0000-00008B210000}"/>
    <cellStyle name="Normal 2 2 10 25 4 5" xfId="8634" xr:uid="{00000000-0005-0000-0000-00008C210000}"/>
    <cellStyle name="Normal 2 2 10 25 4 6" xfId="8635" xr:uid="{00000000-0005-0000-0000-00008D210000}"/>
    <cellStyle name="Normal 2 2 10 25 4 7" xfId="8636" xr:uid="{00000000-0005-0000-0000-00008E210000}"/>
    <cellStyle name="Normal 2 2 10 25 4 8" xfId="8637" xr:uid="{00000000-0005-0000-0000-00008F210000}"/>
    <cellStyle name="Normal 2 2 10 25 4 9" xfId="8638" xr:uid="{00000000-0005-0000-0000-000090210000}"/>
    <cellStyle name="Normal 2 2 10 25 5" xfId="8639" xr:uid="{00000000-0005-0000-0000-000091210000}"/>
    <cellStyle name="Normal 2 2 10 25 5 10" xfId="8640" xr:uid="{00000000-0005-0000-0000-000092210000}"/>
    <cellStyle name="Normal 2 2 10 25 5 2" xfId="8641" xr:uid="{00000000-0005-0000-0000-000093210000}"/>
    <cellStyle name="Normal 2 2 10 25 5 3" xfId="8642" xr:uid="{00000000-0005-0000-0000-000094210000}"/>
    <cellStyle name="Normal 2 2 10 25 5 4" xfId="8643" xr:uid="{00000000-0005-0000-0000-000095210000}"/>
    <cellStyle name="Normal 2 2 10 25 5 5" xfId="8644" xr:uid="{00000000-0005-0000-0000-000096210000}"/>
    <cellStyle name="Normal 2 2 10 25 5 6" xfId="8645" xr:uid="{00000000-0005-0000-0000-000097210000}"/>
    <cellStyle name="Normal 2 2 10 25 5 7" xfId="8646" xr:uid="{00000000-0005-0000-0000-000098210000}"/>
    <cellStyle name="Normal 2 2 10 25 5 8" xfId="8647" xr:uid="{00000000-0005-0000-0000-000099210000}"/>
    <cellStyle name="Normal 2 2 10 25 5 9" xfId="8648" xr:uid="{00000000-0005-0000-0000-00009A210000}"/>
    <cellStyle name="Normal 2 2 10 25 6" xfId="8649" xr:uid="{00000000-0005-0000-0000-00009B210000}"/>
    <cellStyle name="Normal 2 2 10 25 7" xfId="8650" xr:uid="{00000000-0005-0000-0000-00009C210000}"/>
    <cellStyle name="Normal 2 2 10 25 8" xfId="8651" xr:uid="{00000000-0005-0000-0000-00009D210000}"/>
    <cellStyle name="Normal 2 2 10 25 9" xfId="8652" xr:uid="{00000000-0005-0000-0000-00009E210000}"/>
    <cellStyle name="Normal 2 2 10 26" xfId="8653" xr:uid="{00000000-0005-0000-0000-00009F210000}"/>
    <cellStyle name="Normal 2 2 10 26 10" xfId="8654" xr:uid="{00000000-0005-0000-0000-0000A0210000}"/>
    <cellStyle name="Normal 2 2 10 26 11" xfId="8655" xr:uid="{00000000-0005-0000-0000-0000A1210000}"/>
    <cellStyle name="Normal 2 2 10 26 12" xfId="8656" xr:uid="{00000000-0005-0000-0000-0000A2210000}"/>
    <cellStyle name="Normal 2 2 10 26 13" xfId="8657" xr:uid="{00000000-0005-0000-0000-0000A3210000}"/>
    <cellStyle name="Normal 2 2 10 26 14" xfId="8658" xr:uid="{00000000-0005-0000-0000-0000A4210000}"/>
    <cellStyle name="Normal 2 2 10 26 2" xfId="8659" xr:uid="{00000000-0005-0000-0000-0000A5210000}"/>
    <cellStyle name="Normal 2 2 10 26 2 10" xfId="8660" xr:uid="{00000000-0005-0000-0000-0000A6210000}"/>
    <cellStyle name="Normal 2 2 10 26 2 2" xfId="8661" xr:uid="{00000000-0005-0000-0000-0000A7210000}"/>
    <cellStyle name="Normal 2 2 10 26 2 3" xfId="8662" xr:uid="{00000000-0005-0000-0000-0000A8210000}"/>
    <cellStyle name="Normal 2 2 10 26 2 4" xfId="8663" xr:uid="{00000000-0005-0000-0000-0000A9210000}"/>
    <cellStyle name="Normal 2 2 10 26 2 5" xfId="8664" xr:uid="{00000000-0005-0000-0000-0000AA210000}"/>
    <cellStyle name="Normal 2 2 10 26 2 6" xfId="8665" xr:uid="{00000000-0005-0000-0000-0000AB210000}"/>
    <cellStyle name="Normal 2 2 10 26 2 7" xfId="8666" xr:uid="{00000000-0005-0000-0000-0000AC210000}"/>
    <cellStyle name="Normal 2 2 10 26 2 8" xfId="8667" xr:uid="{00000000-0005-0000-0000-0000AD210000}"/>
    <cellStyle name="Normal 2 2 10 26 2 9" xfId="8668" xr:uid="{00000000-0005-0000-0000-0000AE210000}"/>
    <cellStyle name="Normal 2 2 10 26 3" xfId="8669" xr:uid="{00000000-0005-0000-0000-0000AF210000}"/>
    <cellStyle name="Normal 2 2 10 26 3 10" xfId="8670" xr:uid="{00000000-0005-0000-0000-0000B0210000}"/>
    <cellStyle name="Normal 2 2 10 26 3 2" xfId="8671" xr:uid="{00000000-0005-0000-0000-0000B1210000}"/>
    <cellStyle name="Normal 2 2 10 26 3 3" xfId="8672" xr:uid="{00000000-0005-0000-0000-0000B2210000}"/>
    <cellStyle name="Normal 2 2 10 26 3 4" xfId="8673" xr:uid="{00000000-0005-0000-0000-0000B3210000}"/>
    <cellStyle name="Normal 2 2 10 26 3 5" xfId="8674" xr:uid="{00000000-0005-0000-0000-0000B4210000}"/>
    <cellStyle name="Normal 2 2 10 26 3 6" xfId="8675" xr:uid="{00000000-0005-0000-0000-0000B5210000}"/>
    <cellStyle name="Normal 2 2 10 26 3 7" xfId="8676" xr:uid="{00000000-0005-0000-0000-0000B6210000}"/>
    <cellStyle name="Normal 2 2 10 26 3 8" xfId="8677" xr:uid="{00000000-0005-0000-0000-0000B7210000}"/>
    <cellStyle name="Normal 2 2 10 26 3 9" xfId="8678" xr:uid="{00000000-0005-0000-0000-0000B8210000}"/>
    <cellStyle name="Normal 2 2 10 26 4" xfId="8679" xr:uid="{00000000-0005-0000-0000-0000B9210000}"/>
    <cellStyle name="Normal 2 2 10 26 4 10" xfId="8680" xr:uid="{00000000-0005-0000-0000-0000BA210000}"/>
    <cellStyle name="Normal 2 2 10 26 4 2" xfId="8681" xr:uid="{00000000-0005-0000-0000-0000BB210000}"/>
    <cellStyle name="Normal 2 2 10 26 4 3" xfId="8682" xr:uid="{00000000-0005-0000-0000-0000BC210000}"/>
    <cellStyle name="Normal 2 2 10 26 4 4" xfId="8683" xr:uid="{00000000-0005-0000-0000-0000BD210000}"/>
    <cellStyle name="Normal 2 2 10 26 4 5" xfId="8684" xr:uid="{00000000-0005-0000-0000-0000BE210000}"/>
    <cellStyle name="Normal 2 2 10 26 4 6" xfId="8685" xr:uid="{00000000-0005-0000-0000-0000BF210000}"/>
    <cellStyle name="Normal 2 2 10 26 4 7" xfId="8686" xr:uid="{00000000-0005-0000-0000-0000C0210000}"/>
    <cellStyle name="Normal 2 2 10 26 4 8" xfId="8687" xr:uid="{00000000-0005-0000-0000-0000C1210000}"/>
    <cellStyle name="Normal 2 2 10 26 4 9" xfId="8688" xr:uid="{00000000-0005-0000-0000-0000C2210000}"/>
    <cellStyle name="Normal 2 2 10 26 5" xfId="8689" xr:uid="{00000000-0005-0000-0000-0000C3210000}"/>
    <cellStyle name="Normal 2 2 10 26 5 10" xfId="8690" xr:uid="{00000000-0005-0000-0000-0000C4210000}"/>
    <cellStyle name="Normal 2 2 10 26 5 2" xfId="8691" xr:uid="{00000000-0005-0000-0000-0000C5210000}"/>
    <cellStyle name="Normal 2 2 10 26 5 3" xfId="8692" xr:uid="{00000000-0005-0000-0000-0000C6210000}"/>
    <cellStyle name="Normal 2 2 10 26 5 4" xfId="8693" xr:uid="{00000000-0005-0000-0000-0000C7210000}"/>
    <cellStyle name="Normal 2 2 10 26 5 5" xfId="8694" xr:uid="{00000000-0005-0000-0000-0000C8210000}"/>
    <cellStyle name="Normal 2 2 10 26 5 6" xfId="8695" xr:uid="{00000000-0005-0000-0000-0000C9210000}"/>
    <cellStyle name="Normal 2 2 10 26 5 7" xfId="8696" xr:uid="{00000000-0005-0000-0000-0000CA210000}"/>
    <cellStyle name="Normal 2 2 10 26 5 8" xfId="8697" xr:uid="{00000000-0005-0000-0000-0000CB210000}"/>
    <cellStyle name="Normal 2 2 10 26 5 9" xfId="8698" xr:uid="{00000000-0005-0000-0000-0000CC210000}"/>
    <cellStyle name="Normal 2 2 10 26 6" xfId="8699" xr:uid="{00000000-0005-0000-0000-0000CD210000}"/>
    <cellStyle name="Normal 2 2 10 26 7" xfId="8700" xr:uid="{00000000-0005-0000-0000-0000CE210000}"/>
    <cellStyle name="Normal 2 2 10 26 8" xfId="8701" xr:uid="{00000000-0005-0000-0000-0000CF210000}"/>
    <cellStyle name="Normal 2 2 10 26 9" xfId="8702" xr:uid="{00000000-0005-0000-0000-0000D0210000}"/>
    <cellStyle name="Normal 2 2 10 27" xfId="8703" xr:uid="{00000000-0005-0000-0000-0000D1210000}"/>
    <cellStyle name="Normal 2 2 10 27 10" xfId="8704" xr:uid="{00000000-0005-0000-0000-0000D2210000}"/>
    <cellStyle name="Normal 2 2 10 27 11" xfId="8705" xr:uid="{00000000-0005-0000-0000-0000D3210000}"/>
    <cellStyle name="Normal 2 2 10 27 12" xfId="8706" xr:uid="{00000000-0005-0000-0000-0000D4210000}"/>
    <cellStyle name="Normal 2 2 10 27 13" xfId="8707" xr:uid="{00000000-0005-0000-0000-0000D5210000}"/>
    <cellStyle name="Normal 2 2 10 27 14" xfId="8708" xr:uid="{00000000-0005-0000-0000-0000D6210000}"/>
    <cellStyle name="Normal 2 2 10 27 2" xfId="8709" xr:uid="{00000000-0005-0000-0000-0000D7210000}"/>
    <cellStyle name="Normal 2 2 10 27 2 10" xfId="8710" xr:uid="{00000000-0005-0000-0000-0000D8210000}"/>
    <cellStyle name="Normal 2 2 10 27 2 2" xfId="8711" xr:uid="{00000000-0005-0000-0000-0000D9210000}"/>
    <cellStyle name="Normal 2 2 10 27 2 3" xfId="8712" xr:uid="{00000000-0005-0000-0000-0000DA210000}"/>
    <cellStyle name="Normal 2 2 10 27 2 4" xfId="8713" xr:uid="{00000000-0005-0000-0000-0000DB210000}"/>
    <cellStyle name="Normal 2 2 10 27 2 5" xfId="8714" xr:uid="{00000000-0005-0000-0000-0000DC210000}"/>
    <cellStyle name="Normal 2 2 10 27 2 6" xfId="8715" xr:uid="{00000000-0005-0000-0000-0000DD210000}"/>
    <cellStyle name="Normal 2 2 10 27 2 7" xfId="8716" xr:uid="{00000000-0005-0000-0000-0000DE210000}"/>
    <cellStyle name="Normal 2 2 10 27 2 8" xfId="8717" xr:uid="{00000000-0005-0000-0000-0000DF210000}"/>
    <cellStyle name="Normal 2 2 10 27 2 9" xfId="8718" xr:uid="{00000000-0005-0000-0000-0000E0210000}"/>
    <cellStyle name="Normal 2 2 10 27 3" xfId="8719" xr:uid="{00000000-0005-0000-0000-0000E1210000}"/>
    <cellStyle name="Normal 2 2 10 27 3 10" xfId="8720" xr:uid="{00000000-0005-0000-0000-0000E2210000}"/>
    <cellStyle name="Normal 2 2 10 27 3 2" xfId="8721" xr:uid="{00000000-0005-0000-0000-0000E3210000}"/>
    <cellStyle name="Normal 2 2 10 27 3 3" xfId="8722" xr:uid="{00000000-0005-0000-0000-0000E4210000}"/>
    <cellStyle name="Normal 2 2 10 27 3 4" xfId="8723" xr:uid="{00000000-0005-0000-0000-0000E5210000}"/>
    <cellStyle name="Normal 2 2 10 27 3 5" xfId="8724" xr:uid="{00000000-0005-0000-0000-0000E6210000}"/>
    <cellStyle name="Normal 2 2 10 27 3 6" xfId="8725" xr:uid="{00000000-0005-0000-0000-0000E7210000}"/>
    <cellStyle name="Normal 2 2 10 27 3 7" xfId="8726" xr:uid="{00000000-0005-0000-0000-0000E8210000}"/>
    <cellStyle name="Normal 2 2 10 27 3 8" xfId="8727" xr:uid="{00000000-0005-0000-0000-0000E9210000}"/>
    <cellStyle name="Normal 2 2 10 27 3 9" xfId="8728" xr:uid="{00000000-0005-0000-0000-0000EA210000}"/>
    <cellStyle name="Normal 2 2 10 27 4" xfId="8729" xr:uid="{00000000-0005-0000-0000-0000EB210000}"/>
    <cellStyle name="Normal 2 2 10 27 4 10" xfId="8730" xr:uid="{00000000-0005-0000-0000-0000EC210000}"/>
    <cellStyle name="Normal 2 2 10 27 4 2" xfId="8731" xr:uid="{00000000-0005-0000-0000-0000ED210000}"/>
    <cellStyle name="Normal 2 2 10 27 4 3" xfId="8732" xr:uid="{00000000-0005-0000-0000-0000EE210000}"/>
    <cellStyle name="Normal 2 2 10 27 4 4" xfId="8733" xr:uid="{00000000-0005-0000-0000-0000EF210000}"/>
    <cellStyle name="Normal 2 2 10 27 4 5" xfId="8734" xr:uid="{00000000-0005-0000-0000-0000F0210000}"/>
    <cellStyle name="Normal 2 2 10 27 4 6" xfId="8735" xr:uid="{00000000-0005-0000-0000-0000F1210000}"/>
    <cellStyle name="Normal 2 2 10 27 4 7" xfId="8736" xr:uid="{00000000-0005-0000-0000-0000F2210000}"/>
    <cellStyle name="Normal 2 2 10 27 4 8" xfId="8737" xr:uid="{00000000-0005-0000-0000-0000F3210000}"/>
    <cellStyle name="Normal 2 2 10 27 4 9" xfId="8738" xr:uid="{00000000-0005-0000-0000-0000F4210000}"/>
    <cellStyle name="Normal 2 2 10 27 5" xfId="8739" xr:uid="{00000000-0005-0000-0000-0000F5210000}"/>
    <cellStyle name="Normal 2 2 10 27 5 10" xfId="8740" xr:uid="{00000000-0005-0000-0000-0000F6210000}"/>
    <cellStyle name="Normal 2 2 10 27 5 2" xfId="8741" xr:uid="{00000000-0005-0000-0000-0000F7210000}"/>
    <cellStyle name="Normal 2 2 10 27 5 3" xfId="8742" xr:uid="{00000000-0005-0000-0000-0000F8210000}"/>
    <cellStyle name="Normal 2 2 10 27 5 4" xfId="8743" xr:uid="{00000000-0005-0000-0000-0000F9210000}"/>
    <cellStyle name="Normal 2 2 10 27 5 5" xfId="8744" xr:uid="{00000000-0005-0000-0000-0000FA210000}"/>
    <cellStyle name="Normal 2 2 10 27 5 6" xfId="8745" xr:uid="{00000000-0005-0000-0000-0000FB210000}"/>
    <cellStyle name="Normal 2 2 10 27 5 7" xfId="8746" xr:uid="{00000000-0005-0000-0000-0000FC210000}"/>
    <cellStyle name="Normal 2 2 10 27 5 8" xfId="8747" xr:uid="{00000000-0005-0000-0000-0000FD210000}"/>
    <cellStyle name="Normal 2 2 10 27 5 9" xfId="8748" xr:uid="{00000000-0005-0000-0000-0000FE210000}"/>
    <cellStyle name="Normal 2 2 10 27 6" xfId="8749" xr:uid="{00000000-0005-0000-0000-0000FF210000}"/>
    <cellStyle name="Normal 2 2 10 27 7" xfId="8750" xr:uid="{00000000-0005-0000-0000-000000220000}"/>
    <cellStyle name="Normal 2 2 10 27 8" xfId="8751" xr:uid="{00000000-0005-0000-0000-000001220000}"/>
    <cellStyle name="Normal 2 2 10 27 9" xfId="8752" xr:uid="{00000000-0005-0000-0000-000002220000}"/>
    <cellStyle name="Normal 2 2 10 28" xfId="8753" xr:uid="{00000000-0005-0000-0000-000003220000}"/>
    <cellStyle name="Normal 2 2 10 28 10" xfId="8754" xr:uid="{00000000-0005-0000-0000-000004220000}"/>
    <cellStyle name="Normal 2 2 10 28 11" xfId="8755" xr:uid="{00000000-0005-0000-0000-000005220000}"/>
    <cellStyle name="Normal 2 2 10 28 12" xfId="8756" xr:uid="{00000000-0005-0000-0000-000006220000}"/>
    <cellStyle name="Normal 2 2 10 28 13" xfId="8757" xr:uid="{00000000-0005-0000-0000-000007220000}"/>
    <cellStyle name="Normal 2 2 10 28 14" xfId="8758" xr:uid="{00000000-0005-0000-0000-000008220000}"/>
    <cellStyle name="Normal 2 2 10 28 2" xfId="8759" xr:uid="{00000000-0005-0000-0000-000009220000}"/>
    <cellStyle name="Normal 2 2 10 28 2 10" xfId="8760" xr:uid="{00000000-0005-0000-0000-00000A220000}"/>
    <cellStyle name="Normal 2 2 10 28 2 2" xfId="8761" xr:uid="{00000000-0005-0000-0000-00000B220000}"/>
    <cellStyle name="Normal 2 2 10 28 2 3" xfId="8762" xr:uid="{00000000-0005-0000-0000-00000C220000}"/>
    <cellStyle name="Normal 2 2 10 28 2 4" xfId="8763" xr:uid="{00000000-0005-0000-0000-00000D220000}"/>
    <cellStyle name="Normal 2 2 10 28 2 5" xfId="8764" xr:uid="{00000000-0005-0000-0000-00000E220000}"/>
    <cellStyle name="Normal 2 2 10 28 2 6" xfId="8765" xr:uid="{00000000-0005-0000-0000-00000F220000}"/>
    <cellStyle name="Normal 2 2 10 28 2 7" xfId="8766" xr:uid="{00000000-0005-0000-0000-000010220000}"/>
    <cellStyle name="Normal 2 2 10 28 2 8" xfId="8767" xr:uid="{00000000-0005-0000-0000-000011220000}"/>
    <cellStyle name="Normal 2 2 10 28 2 9" xfId="8768" xr:uid="{00000000-0005-0000-0000-000012220000}"/>
    <cellStyle name="Normal 2 2 10 28 3" xfId="8769" xr:uid="{00000000-0005-0000-0000-000013220000}"/>
    <cellStyle name="Normal 2 2 10 28 3 10" xfId="8770" xr:uid="{00000000-0005-0000-0000-000014220000}"/>
    <cellStyle name="Normal 2 2 10 28 3 2" xfId="8771" xr:uid="{00000000-0005-0000-0000-000015220000}"/>
    <cellStyle name="Normal 2 2 10 28 3 3" xfId="8772" xr:uid="{00000000-0005-0000-0000-000016220000}"/>
    <cellStyle name="Normal 2 2 10 28 3 4" xfId="8773" xr:uid="{00000000-0005-0000-0000-000017220000}"/>
    <cellStyle name="Normal 2 2 10 28 3 5" xfId="8774" xr:uid="{00000000-0005-0000-0000-000018220000}"/>
    <cellStyle name="Normal 2 2 10 28 3 6" xfId="8775" xr:uid="{00000000-0005-0000-0000-000019220000}"/>
    <cellStyle name="Normal 2 2 10 28 3 7" xfId="8776" xr:uid="{00000000-0005-0000-0000-00001A220000}"/>
    <cellStyle name="Normal 2 2 10 28 3 8" xfId="8777" xr:uid="{00000000-0005-0000-0000-00001B220000}"/>
    <cellStyle name="Normal 2 2 10 28 3 9" xfId="8778" xr:uid="{00000000-0005-0000-0000-00001C220000}"/>
    <cellStyle name="Normal 2 2 10 28 4" xfId="8779" xr:uid="{00000000-0005-0000-0000-00001D220000}"/>
    <cellStyle name="Normal 2 2 10 28 4 10" xfId="8780" xr:uid="{00000000-0005-0000-0000-00001E220000}"/>
    <cellStyle name="Normal 2 2 10 28 4 2" xfId="8781" xr:uid="{00000000-0005-0000-0000-00001F220000}"/>
    <cellStyle name="Normal 2 2 10 28 4 3" xfId="8782" xr:uid="{00000000-0005-0000-0000-000020220000}"/>
    <cellStyle name="Normal 2 2 10 28 4 4" xfId="8783" xr:uid="{00000000-0005-0000-0000-000021220000}"/>
    <cellStyle name="Normal 2 2 10 28 4 5" xfId="8784" xr:uid="{00000000-0005-0000-0000-000022220000}"/>
    <cellStyle name="Normal 2 2 10 28 4 6" xfId="8785" xr:uid="{00000000-0005-0000-0000-000023220000}"/>
    <cellStyle name="Normal 2 2 10 28 4 7" xfId="8786" xr:uid="{00000000-0005-0000-0000-000024220000}"/>
    <cellStyle name="Normal 2 2 10 28 4 8" xfId="8787" xr:uid="{00000000-0005-0000-0000-000025220000}"/>
    <cellStyle name="Normal 2 2 10 28 4 9" xfId="8788" xr:uid="{00000000-0005-0000-0000-000026220000}"/>
    <cellStyle name="Normal 2 2 10 28 5" xfId="8789" xr:uid="{00000000-0005-0000-0000-000027220000}"/>
    <cellStyle name="Normal 2 2 10 28 5 10" xfId="8790" xr:uid="{00000000-0005-0000-0000-000028220000}"/>
    <cellStyle name="Normal 2 2 10 28 5 2" xfId="8791" xr:uid="{00000000-0005-0000-0000-000029220000}"/>
    <cellStyle name="Normal 2 2 10 28 5 3" xfId="8792" xr:uid="{00000000-0005-0000-0000-00002A220000}"/>
    <cellStyle name="Normal 2 2 10 28 5 4" xfId="8793" xr:uid="{00000000-0005-0000-0000-00002B220000}"/>
    <cellStyle name="Normal 2 2 10 28 5 5" xfId="8794" xr:uid="{00000000-0005-0000-0000-00002C220000}"/>
    <cellStyle name="Normal 2 2 10 28 5 6" xfId="8795" xr:uid="{00000000-0005-0000-0000-00002D220000}"/>
    <cellStyle name="Normal 2 2 10 28 5 7" xfId="8796" xr:uid="{00000000-0005-0000-0000-00002E220000}"/>
    <cellStyle name="Normal 2 2 10 28 5 8" xfId="8797" xr:uid="{00000000-0005-0000-0000-00002F220000}"/>
    <cellStyle name="Normal 2 2 10 28 5 9" xfId="8798" xr:uid="{00000000-0005-0000-0000-000030220000}"/>
    <cellStyle name="Normal 2 2 10 28 6" xfId="8799" xr:uid="{00000000-0005-0000-0000-000031220000}"/>
    <cellStyle name="Normal 2 2 10 28 7" xfId="8800" xr:uid="{00000000-0005-0000-0000-000032220000}"/>
    <cellStyle name="Normal 2 2 10 28 8" xfId="8801" xr:uid="{00000000-0005-0000-0000-000033220000}"/>
    <cellStyle name="Normal 2 2 10 28 9" xfId="8802" xr:uid="{00000000-0005-0000-0000-000034220000}"/>
    <cellStyle name="Normal 2 2 10 29" xfId="8803" xr:uid="{00000000-0005-0000-0000-000035220000}"/>
    <cellStyle name="Normal 2 2 10 29 10" xfId="8804" xr:uid="{00000000-0005-0000-0000-000036220000}"/>
    <cellStyle name="Normal 2 2 10 29 11" xfId="8805" xr:uid="{00000000-0005-0000-0000-000037220000}"/>
    <cellStyle name="Normal 2 2 10 29 12" xfId="8806" xr:uid="{00000000-0005-0000-0000-000038220000}"/>
    <cellStyle name="Normal 2 2 10 29 13" xfId="8807" xr:uid="{00000000-0005-0000-0000-000039220000}"/>
    <cellStyle name="Normal 2 2 10 29 14" xfId="8808" xr:uid="{00000000-0005-0000-0000-00003A220000}"/>
    <cellStyle name="Normal 2 2 10 29 2" xfId="8809" xr:uid="{00000000-0005-0000-0000-00003B220000}"/>
    <cellStyle name="Normal 2 2 10 29 2 10" xfId="8810" xr:uid="{00000000-0005-0000-0000-00003C220000}"/>
    <cellStyle name="Normal 2 2 10 29 2 2" xfId="8811" xr:uid="{00000000-0005-0000-0000-00003D220000}"/>
    <cellStyle name="Normal 2 2 10 29 2 3" xfId="8812" xr:uid="{00000000-0005-0000-0000-00003E220000}"/>
    <cellStyle name="Normal 2 2 10 29 2 4" xfId="8813" xr:uid="{00000000-0005-0000-0000-00003F220000}"/>
    <cellStyle name="Normal 2 2 10 29 2 5" xfId="8814" xr:uid="{00000000-0005-0000-0000-000040220000}"/>
    <cellStyle name="Normal 2 2 10 29 2 6" xfId="8815" xr:uid="{00000000-0005-0000-0000-000041220000}"/>
    <cellStyle name="Normal 2 2 10 29 2 7" xfId="8816" xr:uid="{00000000-0005-0000-0000-000042220000}"/>
    <cellStyle name="Normal 2 2 10 29 2 8" xfId="8817" xr:uid="{00000000-0005-0000-0000-000043220000}"/>
    <cellStyle name="Normal 2 2 10 29 2 9" xfId="8818" xr:uid="{00000000-0005-0000-0000-000044220000}"/>
    <cellStyle name="Normal 2 2 10 29 3" xfId="8819" xr:uid="{00000000-0005-0000-0000-000045220000}"/>
    <cellStyle name="Normal 2 2 10 29 3 10" xfId="8820" xr:uid="{00000000-0005-0000-0000-000046220000}"/>
    <cellStyle name="Normal 2 2 10 29 3 2" xfId="8821" xr:uid="{00000000-0005-0000-0000-000047220000}"/>
    <cellStyle name="Normal 2 2 10 29 3 3" xfId="8822" xr:uid="{00000000-0005-0000-0000-000048220000}"/>
    <cellStyle name="Normal 2 2 10 29 3 4" xfId="8823" xr:uid="{00000000-0005-0000-0000-000049220000}"/>
    <cellStyle name="Normal 2 2 10 29 3 5" xfId="8824" xr:uid="{00000000-0005-0000-0000-00004A220000}"/>
    <cellStyle name="Normal 2 2 10 29 3 6" xfId="8825" xr:uid="{00000000-0005-0000-0000-00004B220000}"/>
    <cellStyle name="Normal 2 2 10 29 3 7" xfId="8826" xr:uid="{00000000-0005-0000-0000-00004C220000}"/>
    <cellStyle name="Normal 2 2 10 29 3 8" xfId="8827" xr:uid="{00000000-0005-0000-0000-00004D220000}"/>
    <cellStyle name="Normal 2 2 10 29 3 9" xfId="8828" xr:uid="{00000000-0005-0000-0000-00004E220000}"/>
    <cellStyle name="Normal 2 2 10 29 4" xfId="8829" xr:uid="{00000000-0005-0000-0000-00004F220000}"/>
    <cellStyle name="Normal 2 2 10 29 4 10" xfId="8830" xr:uid="{00000000-0005-0000-0000-000050220000}"/>
    <cellStyle name="Normal 2 2 10 29 4 2" xfId="8831" xr:uid="{00000000-0005-0000-0000-000051220000}"/>
    <cellStyle name="Normal 2 2 10 29 4 3" xfId="8832" xr:uid="{00000000-0005-0000-0000-000052220000}"/>
    <cellStyle name="Normal 2 2 10 29 4 4" xfId="8833" xr:uid="{00000000-0005-0000-0000-000053220000}"/>
    <cellStyle name="Normal 2 2 10 29 4 5" xfId="8834" xr:uid="{00000000-0005-0000-0000-000054220000}"/>
    <cellStyle name="Normal 2 2 10 29 4 6" xfId="8835" xr:uid="{00000000-0005-0000-0000-000055220000}"/>
    <cellStyle name="Normal 2 2 10 29 4 7" xfId="8836" xr:uid="{00000000-0005-0000-0000-000056220000}"/>
    <cellStyle name="Normal 2 2 10 29 4 8" xfId="8837" xr:uid="{00000000-0005-0000-0000-000057220000}"/>
    <cellStyle name="Normal 2 2 10 29 4 9" xfId="8838" xr:uid="{00000000-0005-0000-0000-000058220000}"/>
    <cellStyle name="Normal 2 2 10 29 5" xfId="8839" xr:uid="{00000000-0005-0000-0000-000059220000}"/>
    <cellStyle name="Normal 2 2 10 29 5 10" xfId="8840" xr:uid="{00000000-0005-0000-0000-00005A220000}"/>
    <cellStyle name="Normal 2 2 10 29 5 2" xfId="8841" xr:uid="{00000000-0005-0000-0000-00005B220000}"/>
    <cellStyle name="Normal 2 2 10 29 5 3" xfId="8842" xr:uid="{00000000-0005-0000-0000-00005C220000}"/>
    <cellStyle name="Normal 2 2 10 29 5 4" xfId="8843" xr:uid="{00000000-0005-0000-0000-00005D220000}"/>
    <cellStyle name="Normal 2 2 10 29 5 5" xfId="8844" xr:uid="{00000000-0005-0000-0000-00005E220000}"/>
    <cellStyle name="Normal 2 2 10 29 5 6" xfId="8845" xr:uid="{00000000-0005-0000-0000-00005F220000}"/>
    <cellStyle name="Normal 2 2 10 29 5 7" xfId="8846" xr:uid="{00000000-0005-0000-0000-000060220000}"/>
    <cellStyle name="Normal 2 2 10 29 5 8" xfId="8847" xr:uid="{00000000-0005-0000-0000-000061220000}"/>
    <cellStyle name="Normal 2 2 10 29 5 9" xfId="8848" xr:uid="{00000000-0005-0000-0000-000062220000}"/>
    <cellStyle name="Normal 2 2 10 29 6" xfId="8849" xr:uid="{00000000-0005-0000-0000-000063220000}"/>
    <cellStyle name="Normal 2 2 10 29 7" xfId="8850" xr:uid="{00000000-0005-0000-0000-000064220000}"/>
    <cellStyle name="Normal 2 2 10 29 8" xfId="8851" xr:uid="{00000000-0005-0000-0000-000065220000}"/>
    <cellStyle name="Normal 2 2 10 29 9" xfId="8852" xr:uid="{00000000-0005-0000-0000-000066220000}"/>
    <cellStyle name="Normal 2 2 10 3" xfId="8853" xr:uid="{00000000-0005-0000-0000-000067220000}"/>
    <cellStyle name="Normal 2 2 10 3 10" xfId="8854" xr:uid="{00000000-0005-0000-0000-000068220000}"/>
    <cellStyle name="Normal 2 2 10 3 11" xfId="8855" xr:uid="{00000000-0005-0000-0000-000069220000}"/>
    <cellStyle name="Normal 2 2 10 3 12" xfId="8856" xr:uid="{00000000-0005-0000-0000-00006A220000}"/>
    <cellStyle name="Normal 2 2 10 3 13" xfId="8857" xr:uid="{00000000-0005-0000-0000-00006B220000}"/>
    <cellStyle name="Normal 2 2 10 3 14" xfId="8858" xr:uid="{00000000-0005-0000-0000-00006C220000}"/>
    <cellStyle name="Normal 2 2 10 3 2" xfId="8859" xr:uid="{00000000-0005-0000-0000-00006D220000}"/>
    <cellStyle name="Normal 2 2 10 3 2 10" xfId="8860" xr:uid="{00000000-0005-0000-0000-00006E220000}"/>
    <cellStyle name="Normal 2 2 10 3 2 2" xfId="8861" xr:uid="{00000000-0005-0000-0000-00006F220000}"/>
    <cellStyle name="Normal 2 2 10 3 2 3" xfId="8862" xr:uid="{00000000-0005-0000-0000-000070220000}"/>
    <cellStyle name="Normal 2 2 10 3 2 4" xfId="8863" xr:uid="{00000000-0005-0000-0000-000071220000}"/>
    <cellStyle name="Normal 2 2 10 3 2 5" xfId="8864" xr:uid="{00000000-0005-0000-0000-000072220000}"/>
    <cellStyle name="Normal 2 2 10 3 2 6" xfId="8865" xr:uid="{00000000-0005-0000-0000-000073220000}"/>
    <cellStyle name="Normal 2 2 10 3 2 7" xfId="8866" xr:uid="{00000000-0005-0000-0000-000074220000}"/>
    <cellStyle name="Normal 2 2 10 3 2 8" xfId="8867" xr:uid="{00000000-0005-0000-0000-000075220000}"/>
    <cellStyle name="Normal 2 2 10 3 2 9" xfId="8868" xr:uid="{00000000-0005-0000-0000-000076220000}"/>
    <cellStyle name="Normal 2 2 10 3 3" xfId="8869" xr:uid="{00000000-0005-0000-0000-000077220000}"/>
    <cellStyle name="Normal 2 2 10 3 3 10" xfId="8870" xr:uid="{00000000-0005-0000-0000-000078220000}"/>
    <cellStyle name="Normal 2 2 10 3 3 2" xfId="8871" xr:uid="{00000000-0005-0000-0000-000079220000}"/>
    <cellStyle name="Normal 2 2 10 3 3 3" xfId="8872" xr:uid="{00000000-0005-0000-0000-00007A220000}"/>
    <cellStyle name="Normal 2 2 10 3 3 4" xfId="8873" xr:uid="{00000000-0005-0000-0000-00007B220000}"/>
    <cellStyle name="Normal 2 2 10 3 3 5" xfId="8874" xr:uid="{00000000-0005-0000-0000-00007C220000}"/>
    <cellStyle name="Normal 2 2 10 3 3 6" xfId="8875" xr:uid="{00000000-0005-0000-0000-00007D220000}"/>
    <cellStyle name="Normal 2 2 10 3 3 7" xfId="8876" xr:uid="{00000000-0005-0000-0000-00007E220000}"/>
    <cellStyle name="Normal 2 2 10 3 3 8" xfId="8877" xr:uid="{00000000-0005-0000-0000-00007F220000}"/>
    <cellStyle name="Normal 2 2 10 3 3 9" xfId="8878" xr:uid="{00000000-0005-0000-0000-000080220000}"/>
    <cellStyle name="Normal 2 2 10 3 4" xfId="8879" xr:uid="{00000000-0005-0000-0000-000081220000}"/>
    <cellStyle name="Normal 2 2 10 3 4 10" xfId="8880" xr:uid="{00000000-0005-0000-0000-000082220000}"/>
    <cellStyle name="Normal 2 2 10 3 4 2" xfId="8881" xr:uid="{00000000-0005-0000-0000-000083220000}"/>
    <cellStyle name="Normal 2 2 10 3 4 3" xfId="8882" xr:uid="{00000000-0005-0000-0000-000084220000}"/>
    <cellStyle name="Normal 2 2 10 3 4 4" xfId="8883" xr:uid="{00000000-0005-0000-0000-000085220000}"/>
    <cellStyle name="Normal 2 2 10 3 4 5" xfId="8884" xr:uid="{00000000-0005-0000-0000-000086220000}"/>
    <cellStyle name="Normal 2 2 10 3 4 6" xfId="8885" xr:uid="{00000000-0005-0000-0000-000087220000}"/>
    <cellStyle name="Normal 2 2 10 3 4 7" xfId="8886" xr:uid="{00000000-0005-0000-0000-000088220000}"/>
    <cellStyle name="Normal 2 2 10 3 4 8" xfId="8887" xr:uid="{00000000-0005-0000-0000-000089220000}"/>
    <cellStyle name="Normal 2 2 10 3 4 9" xfId="8888" xr:uid="{00000000-0005-0000-0000-00008A220000}"/>
    <cellStyle name="Normal 2 2 10 3 5" xfId="8889" xr:uid="{00000000-0005-0000-0000-00008B220000}"/>
    <cellStyle name="Normal 2 2 10 3 5 10" xfId="8890" xr:uid="{00000000-0005-0000-0000-00008C220000}"/>
    <cellStyle name="Normal 2 2 10 3 5 2" xfId="8891" xr:uid="{00000000-0005-0000-0000-00008D220000}"/>
    <cellStyle name="Normal 2 2 10 3 5 3" xfId="8892" xr:uid="{00000000-0005-0000-0000-00008E220000}"/>
    <cellStyle name="Normal 2 2 10 3 5 4" xfId="8893" xr:uid="{00000000-0005-0000-0000-00008F220000}"/>
    <cellStyle name="Normal 2 2 10 3 5 5" xfId="8894" xr:uid="{00000000-0005-0000-0000-000090220000}"/>
    <cellStyle name="Normal 2 2 10 3 5 6" xfId="8895" xr:uid="{00000000-0005-0000-0000-000091220000}"/>
    <cellStyle name="Normal 2 2 10 3 5 7" xfId="8896" xr:uid="{00000000-0005-0000-0000-000092220000}"/>
    <cellStyle name="Normal 2 2 10 3 5 8" xfId="8897" xr:uid="{00000000-0005-0000-0000-000093220000}"/>
    <cellStyle name="Normal 2 2 10 3 5 9" xfId="8898" xr:uid="{00000000-0005-0000-0000-000094220000}"/>
    <cellStyle name="Normal 2 2 10 3 6" xfId="8899" xr:uid="{00000000-0005-0000-0000-000095220000}"/>
    <cellStyle name="Normal 2 2 10 3 7" xfId="8900" xr:uid="{00000000-0005-0000-0000-000096220000}"/>
    <cellStyle name="Normal 2 2 10 3 8" xfId="8901" xr:uid="{00000000-0005-0000-0000-000097220000}"/>
    <cellStyle name="Normal 2 2 10 3 9" xfId="8902" xr:uid="{00000000-0005-0000-0000-000098220000}"/>
    <cellStyle name="Normal 2 2 10 30" xfId="8903" xr:uid="{00000000-0005-0000-0000-000099220000}"/>
    <cellStyle name="Normal 2 2 10 30 10" xfId="8904" xr:uid="{00000000-0005-0000-0000-00009A220000}"/>
    <cellStyle name="Normal 2 2 10 30 11" xfId="8905" xr:uid="{00000000-0005-0000-0000-00009B220000}"/>
    <cellStyle name="Normal 2 2 10 30 12" xfId="8906" xr:uid="{00000000-0005-0000-0000-00009C220000}"/>
    <cellStyle name="Normal 2 2 10 30 13" xfId="8907" xr:uid="{00000000-0005-0000-0000-00009D220000}"/>
    <cellStyle name="Normal 2 2 10 30 14" xfId="8908" xr:uid="{00000000-0005-0000-0000-00009E220000}"/>
    <cellStyle name="Normal 2 2 10 30 2" xfId="8909" xr:uid="{00000000-0005-0000-0000-00009F220000}"/>
    <cellStyle name="Normal 2 2 10 30 2 10" xfId="8910" xr:uid="{00000000-0005-0000-0000-0000A0220000}"/>
    <cellStyle name="Normal 2 2 10 30 2 2" xfId="8911" xr:uid="{00000000-0005-0000-0000-0000A1220000}"/>
    <cellStyle name="Normal 2 2 10 30 2 3" xfId="8912" xr:uid="{00000000-0005-0000-0000-0000A2220000}"/>
    <cellStyle name="Normal 2 2 10 30 2 4" xfId="8913" xr:uid="{00000000-0005-0000-0000-0000A3220000}"/>
    <cellStyle name="Normal 2 2 10 30 2 5" xfId="8914" xr:uid="{00000000-0005-0000-0000-0000A4220000}"/>
    <cellStyle name="Normal 2 2 10 30 2 6" xfId="8915" xr:uid="{00000000-0005-0000-0000-0000A5220000}"/>
    <cellStyle name="Normal 2 2 10 30 2 7" xfId="8916" xr:uid="{00000000-0005-0000-0000-0000A6220000}"/>
    <cellStyle name="Normal 2 2 10 30 2 8" xfId="8917" xr:uid="{00000000-0005-0000-0000-0000A7220000}"/>
    <cellStyle name="Normal 2 2 10 30 2 9" xfId="8918" xr:uid="{00000000-0005-0000-0000-0000A8220000}"/>
    <cellStyle name="Normal 2 2 10 30 3" xfId="8919" xr:uid="{00000000-0005-0000-0000-0000A9220000}"/>
    <cellStyle name="Normal 2 2 10 30 3 10" xfId="8920" xr:uid="{00000000-0005-0000-0000-0000AA220000}"/>
    <cellStyle name="Normal 2 2 10 30 3 2" xfId="8921" xr:uid="{00000000-0005-0000-0000-0000AB220000}"/>
    <cellStyle name="Normal 2 2 10 30 3 3" xfId="8922" xr:uid="{00000000-0005-0000-0000-0000AC220000}"/>
    <cellStyle name="Normal 2 2 10 30 3 4" xfId="8923" xr:uid="{00000000-0005-0000-0000-0000AD220000}"/>
    <cellStyle name="Normal 2 2 10 30 3 5" xfId="8924" xr:uid="{00000000-0005-0000-0000-0000AE220000}"/>
    <cellStyle name="Normal 2 2 10 30 3 6" xfId="8925" xr:uid="{00000000-0005-0000-0000-0000AF220000}"/>
    <cellStyle name="Normal 2 2 10 30 3 7" xfId="8926" xr:uid="{00000000-0005-0000-0000-0000B0220000}"/>
    <cellStyle name="Normal 2 2 10 30 3 8" xfId="8927" xr:uid="{00000000-0005-0000-0000-0000B1220000}"/>
    <cellStyle name="Normal 2 2 10 30 3 9" xfId="8928" xr:uid="{00000000-0005-0000-0000-0000B2220000}"/>
    <cellStyle name="Normal 2 2 10 30 4" xfId="8929" xr:uid="{00000000-0005-0000-0000-0000B3220000}"/>
    <cellStyle name="Normal 2 2 10 30 4 10" xfId="8930" xr:uid="{00000000-0005-0000-0000-0000B4220000}"/>
    <cellStyle name="Normal 2 2 10 30 4 2" xfId="8931" xr:uid="{00000000-0005-0000-0000-0000B5220000}"/>
    <cellStyle name="Normal 2 2 10 30 4 3" xfId="8932" xr:uid="{00000000-0005-0000-0000-0000B6220000}"/>
    <cellStyle name="Normal 2 2 10 30 4 4" xfId="8933" xr:uid="{00000000-0005-0000-0000-0000B7220000}"/>
    <cellStyle name="Normal 2 2 10 30 4 5" xfId="8934" xr:uid="{00000000-0005-0000-0000-0000B8220000}"/>
    <cellStyle name="Normal 2 2 10 30 4 6" xfId="8935" xr:uid="{00000000-0005-0000-0000-0000B9220000}"/>
    <cellStyle name="Normal 2 2 10 30 4 7" xfId="8936" xr:uid="{00000000-0005-0000-0000-0000BA220000}"/>
    <cellStyle name="Normal 2 2 10 30 4 8" xfId="8937" xr:uid="{00000000-0005-0000-0000-0000BB220000}"/>
    <cellStyle name="Normal 2 2 10 30 4 9" xfId="8938" xr:uid="{00000000-0005-0000-0000-0000BC220000}"/>
    <cellStyle name="Normal 2 2 10 30 5" xfId="8939" xr:uid="{00000000-0005-0000-0000-0000BD220000}"/>
    <cellStyle name="Normal 2 2 10 30 5 10" xfId="8940" xr:uid="{00000000-0005-0000-0000-0000BE220000}"/>
    <cellStyle name="Normal 2 2 10 30 5 2" xfId="8941" xr:uid="{00000000-0005-0000-0000-0000BF220000}"/>
    <cellStyle name="Normal 2 2 10 30 5 3" xfId="8942" xr:uid="{00000000-0005-0000-0000-0000C0220000}"/>
    <cellStyle name="Normal 2 2 10 30 5 4" xfId="8943" xr:uid="{00000000-0005-0000-0000-0000C1220000}"/>
    <cellStyle name="Normal 2 2 10 30 5 5" xfId="8944" xr:uid="{00000000-0005-0000-0000-0000C2220000}"/>
    <cellStyle name="Normal 2 2 10 30 5 6" xfId="8945" xr:uid="{00000000-0005-0000-0000-0000C3220000}"/>
    <cellStyle name="Normal 2 2 10 30 5 7" xfId="8946" xr:uid="{00000000-0005-0000-0000-0000C4220000}"/>
    <cellStyle name="Normal 2 2 10 30 5 8" xfId="8947" xr:uid="{00000000-0005-0000-0000-0000C5220000}"/>
    <cellStyle name="Normal 2 2 10 30 5 9" xfId="8948" xr:uid="{00000000-0005-0000-0000-0000C6220000}"/>
    <cellStyle name="Normal 2 2 10 30 6" xfId="8949" xr:uid="{00000000-0005-0000-0000-0000C7220000}"/>
    <cellStyle name="Normal 2 2 10 30 7" xfId="8950" xr:uid="{00000000-0005-0000-0000-0000C8220000}"/>
    <cellStyle name="Normal 2 2 10 30 8" xfId="8951" xr:uid="{00000000-0005-0000-0000-0000C9220000}"/>
    <cellStyle name="Normal 2 2 10 30 9" xfId="8952" xr:uid="{00000000-0005-0000-0000-0000CA220000}"/>
    <cellStyle name="Normal 2 2 10 31" xfId="8953" xr:uid="{00000000-0005-0000-0000-0000CB220000}"/>
    <cellStyle name="Normal 2 2 10 31 10" xfId="8954" xr:uid="{00000000-0005-0000-0000-0000CC220000}"/>
    <cellStyle name="Normal 2 2 10 31 11" xfId="8955" xr:uid="{00000000-0005-0000-0000-0000CD220000}"/>
    <cellStyle name="Normal 2 2 10 31 12" xfId="8956" xr:uid="{00000000-0005-0000-0000-0000CE220000}"/>
    <cellStyle name="Normal 2 2 10 31 13" xfId="8957" xr:uid="{00000000-0005-0000-0000-0000CF220000}"/>
    <cellStyle name="Normal 2 2 10 31 14" xfId="8958" xr:uid="{00000000-0005-0000-0000-0000D0220000}"/>
    <cellStyle name="Normal 2 2 10 31 2" xfId="8959" xr:uid="{00000000-0005-0000-0000-0000D1220000}"/>
    <cellStyle name="Normal 2 2 10 31 2 10" xfId="8960" xr:uid="{00000000-0005-0000-0000-0000D2220000}"/>
    <cellStyle name="Normal 2 2 10 31 2 2" xfId="8961" xr:uid="{00000000-0005-0000-0000-0000D3220000}"/>
    <cellStyle name="Normal 2 2 10 31 2 3" xfId="8962" xr:uid="{00000000-0005-0000-0000-0000D4220000}"/>
    <cellStyle name="Normal 2 2 10 31 2 4" xfId="8963" xr:uid="{00000000-0005-0000-0000-0000D5220000}"/>
    <cellStyle name="Normal 2 2 10 31 2 5" xfId="8964" xr:uid="{00000000-0005-0000-0000-0000D6220000}"/>
    <cellStyle name="Normal 2 2 10 31 2 6" xfId="8965" xr:uid="{00000000-0005-0000-0000-0000D7220000}"/>
    <cellStyle name="Normal 2 2 10 31 2 7" xfId="8966" xr:uid="{00000000-0005-0000-0000-0000D8220000}"/>
    <cellStyle name="Normal 2 2 10 31 2 8" xfId="8967" xr:uid="{00000000-0005-0000-0000-0000D9220000}"/>
    <cellStyle name="Normal 2 2 10 31 2 9" xfId="8968" xr:uid="{00000000-0005-0000-0000-0000DA220000}"/>
    <cellStyle name="Normal 2 2 10 31 3" xfId="8969" xr:uid="{00000000-0005-0000-0000-0000DB220000}"/>
    <cellStyle name="Normal 2 2 10 31 3 10" xfId="8970" xr:uid="{00000000-0005-0000-0000-0000DC220000}"/>
    <cellStyle name="Normal 2 2 10 31 3 2" xfId="8971" xr:uid="{00000000-0005-0000-0000-0000DD220000}"/>
    <cellStyle name="Normal 2 2 10 31 3 3" xfId="8972" xr:uid="{00000000-0005-0000-0000-0000DE220000}"/>
    <cellStyle name="Normal 2 2 10 31 3 4" xfId="8973" xr:uid="{00000000-0005-0000-0000-0000DF220000}"/>
    <cellStyle name="Normal 2 2 10 31 3 5" xfId="8974" xr:uid="{00000000-0005-0000-0000-0000E0220000}"/>
    <cellStyle name="Normal 2 2 10 31 3 6" xfId="8975" xr:uid="{00000000-0005-0000-0000-0000E1220000}"/>
    <cellStyle name="Normal 2 2 10 31 3 7" xfId="8976" xr:uid="{00000000-0005-0000-0000-0000E2220000}"/>
    <cellStyle name="Normal 2 2 10 31 3 8" xfId="8977" xr:uid="{00000000-0005-0000-0000-0000E3220000}"/>
    <cellStyle name="Normal 2 2 10 31 3 9" xfId="8978" xr:uid="{00000000-0005-0000-0000-0000E4220000}"/>
    <cellStyle name="Normal 2 2 10 31 4" xfId="8979" xr:uid="{00000000-0005-0000-0000-0000E5220000}"/>
    <cellStyle name="Normal 2 2 10 31 4 10" xfId="8980" xr:uid="{00000000-0005-0000-0000-0000E6220000}"/>
    <cellStyle name="Normal 2 2 10 31 4 2" xfId="8981" xr:uid="{00000000-0005-0000-0000-0000E7220000}"/>
    <cellStyle name="Normal 2 2 10 31 4 3" xfId="8982" xr:uid="{00000000-0005-0000-0000-0000E8220000}"/>
    <cellStyle name="Normal 2 2 10 31 4 4" xfId="8983" xr:uid="{00000000-0005-0000-0000-0000E9220000}"/>
    <cellStyle name="Normal 2 2 10 31 4 5" xfId="8984" xr:uid="{00000000-0005-0000-0000-0000EA220000}"/>
    <cellStyle name="Normal 2 2 10 31 4 6" xfId="8985" xr:uid="{00000000-0005-0000-0000-0000EB220000}"/>
    <cellStyle name="Normal 2 2 10 31 4 7" xfId="8986" xr:uid="{00000000-0005-0000-0000-0000EC220000}"/>
    <cellStyle name="Normal 2 2 10 31 4 8" xfId="8987" xr:uid="{00000000-0005-0000-0000-0000ED220000}"/>
    <cellStyle name="Normal 2 2 10 31 4 9" xfId="8988" xr:uid="{00000000-0005-0000-0000-0000EE220000}"/>
    <cellStyle name="Normal 2 2 10 31 5" xfId="8989" xr:uid="{00000000-0005-0000-0000-0000EF220000}"/>
    <cellStyle name="Normal 2 2 10 31 5 10" xfId="8990" xr:uid="{00000000-0005-0000-0000-0000F0220000}"/>
    <cellStyle name="Normal 2 2 10 31 5 2" xfId="8991" xr:uid="{00000000-0005-0000-0000-0000F1220000}"/>
    <cellStyle name="Normal 2 2 10 31 5 3" xfId="8992" xr:uid="{00000000-0005-0000-0000-0000F2220000}"/>
    <cellStyle name="Normal 2 2 10 31 5 4" xfId="8993" xr:uid="{00000000-0005-0000-0000-0000F3220000}"/>
    <cellStyle name="Normal 2 2 10 31 5 5" xfId="8994" xr:uid="{00000000-0005-0000-0000-0000F4220000}"/>
    <cellStyle name="Normal 2 2 10 31 5 6" xfId="8995" xr:uid="{00000000-0005-0000-0000-0000F5220000}"/>
    <cellStyle name="Normal 2 2 10 31 5 7" xfId="8996" xr:uid="{00000000-0005-0000-0000-0000F6220000}"/>
    <cellStyle name="Normal 2 2 10 31 5 8" xfId="8997" xr:uid="{00000000-0005-0000-0000-0000F7220000}"/>
    <cellStyle name="Normal 2 2 10 31 5 9" xfId="8998" xr:uid="{00000000-0005-0000-0000-0000F8220000}"/>
    <cellStyle name="Normal 2 2 10 31 6" xfId="8999" xr:uid="{00000000-0005-0000-0000-0000F9220000}"/>
    <cellStyle name="Normal 2 2 10 31 7" xfId="9000" xr:uid="{00000000-0005-0000-0000-0000FA220000}"/>
    <cellStyle name="Normal 2 2 10 31 8" xfId="9001" xr:uid="{00000000-0005-0000-0000-0000FB220000}"/>
    <cellStyle name="Normal 2 2 10 31 9" xfId="9002" xr:uid="{00000000-0005-0000-0000-0000FC220000}"/>
    <cellStyle name="Normal 2 2 10 32" xfId="9003" xr:uid="{00000000-0005-0000-0000-0000FD220000}"/>
    <cellStyle name="Normal 2 2 10 32 10" xfId="9004" xr:uid="{00000000-0005-0000-0000-0000FE220000}"/>
    <cellStyle name="Normal 2 2 10 32 11" xfId="9005" xr:uid="{00000000-0005-0000-0000-0000FF220000}"/>
    <cellStyle name="Normal 2 2 10 32 12" xfId="9006" xr:uid="{00000000-0005-0000-0000-000000230000}"/>
    <cellStyle name="Normal 2 2 10 32 13" xfId="9007" xr:uid="{00000000-0005-0000-0000-000001230000}"/>
    <cellStyle name="Normal 2 2 10 32 14" xfId="9008" xr:uid="{00000000-0005-0000-0000-000002230000}"/>
    <cellStyle name="Normal 2 2 10 32 2" xfId="9009" xr:uid="{00000000-0005-0000-0000-000003230000}"/>
    <cellStyle name="Normal 2 2 10 32 2 10" xfId="9010" xr:uid="{00000000-0005-0000-0000-000004230000}"/>
    <cellStyle name="Normal 2 2 10 32 2 2" xfId="9011" xr:uid="{00000000-0005-0000-0000-000005230000}"/>
    <cellStyle name="Normal 2 2 10 32 2 3" xfId="9012" xr:uid="{00000000-0005-0000-0000-000006230000}"/>
    <cellStyle name="Normal 2 2 10 32 2 4" xfId="9013" xr:uid="{00000000-0005-0000-0000-000007230000}"/>
    <cellStyle name="Normal 2 2 10 32 2 5" xfId="9014" xr:uid="{00000000-0005-0000-0000-000008230000}"/>
    <cellStyle name="Normal 2 2 10 32 2 6" xfId="9015" xr:uid="{00000000-0005-0000-0000-000009230000}"/>
    <cellStyle name="Normal 2 2 10 32 2 7" xfId="9016" xr:uid="{00000000-0005-0000-0000-00000A230000}"/>
    <cellStyle name="Normal 2 2 10 32 2 8" xfId="9017" xr:uid="{00000000-0005-0000-0000-00000B230000}"/>
    <cellStyle name="Normal 2 2 10 32 2 9" xfId="9018" xr:uid="{00000000-0005-0000-0000-00000C230000}"/>
    <cellStyle name="Normal 2 2 10 32 3" xfId="9019" xr:uid="{00000000-0005-0000-0000-00000D230000}"/>
    <cellStyle name="Normal 2 2 10 32 3 10" xfId="9020" xr:uid="{00000000-0005-0000-0000-00000E230000}"/>
    <cellStyle name="Normal 2 2 10 32 3 2" xfId="9021" xr:uid="{00000000-0005-0000-0000-00000F230000}"/>
    <cellStyle name="Normal 2 2 10 32 3 3" xfId="9022" xr:uid="{00000000-0005-0000-0000-000010230000}"/>
    <cellStyle name="Normal 2 2 10 32 3 4" xfId="9023" xr:uid="{00000000-0005-0000-0000-000011230000}"/>
    <cellStyle name="Normal 2 2 10 32 3 5" xfId="9024" xr:uid="{00000000-0005-0000-0000-000012230000}"/>
    <cellStyle name="Normal 2 2 10 32 3 6" xfId="9025" xr:uid="{00000000-0005-0000-0000-000013230000}"/>
    <cellStyle name="Normal 2 2 10 32 3 7" xfId="9026" xr:uid="{00000000-0005-0000-0000-000014230000}"/>
    <cellStyle name="Normal 2 2 10 32 3 8" xfId="9027" xr:uid="{00000000-0005-0000-0000-000015230000}"/>
    <cellStyle name="Normal 2 2 10 32 3 9" xfId="9028" xr:uid="{00000000-0005-0000-0000-000016230000}"/>
    <cellStyle name="Normal 2 2 10 32 4" xfId="9029" xr:uid="{00000000-0005-0000-0000-000017230000}"/>
    <cellStyle name="Normal 2 2 10 32 4 10" xfId="9030" xr:uid="{00000000-0005-0000-0000-000018230000}"/>
    <cellStyle name="Normal 2 2 10 32 4 2" xfId="9031" xr:uid="{00000000-0005-0000-0000-000019230000}"/>
    <cellStyle name="Normal 2 2 10 32 4 3" xfId="9032" xr:uid="{00000000-0005-0000-0000-00001A230000}"/>
    <cellStyle name="Normal 2 2 10 32 4 4" xfId="9033" xr:uid="{00000000-0005-0000-0000-00001B230000}"/>
    <cellStyle name="Normal 2 2 10 32 4 5" xfId="9034" xr:uid="{00000000-0005-0000-0000-00001C230000}"/>
    <cellStyle name="Normal 2 2 10 32 4 6" xfId="9035" xr:uid="{00000000-0005-0000-0000-00001D230000}"/>
    <cellStyle name="Normal 2 2 10 32 4 7" xfId="9036" xr:uid="{00000000-0005-0000-0000-00001E230000}"/>
    <cellStyle name="Normal 2 2 10 32 4 8" xfId="9037" xr:uid="{00000000-0005-0000-0000-00001F230000}"/>
    <cellStyle name="Normal 2 2 10 32 4 9" xfId="9038" xr:uid="{00000000-0005-0000-0000-000020230000}"/>
    <cellStyle name="Normal 2 2 10 32 5" xfId="9039" xr:uid="{00000000-0005-0000-0000-000021230000}"/>
    <cellStyle name="Normal 2 2 10 32 5 10" xfId="9040" xr:uid="{00000000-0005-0000-0000-000022230000}"/>
    <cellStyle name="Normal 2 2 10 32 5 2" xfId="9041" xr:uid="{00000000-0005-0000-0000-000023230000}"/>
    <cellStyle name="Normal 2 2 10 32 5 3" xfId="9042" xr:uid="{00000000-0005-0000-0000-000024230000}"/>
    <cellStyle name="Normal 2 2 10 32 5 4" xfId="9043" xr:uid="{00000000-0005-0000-0000-000025230000}"/>
    <cellStyle name="Normal 2 2 10 32 5 5" xfId="9044" xr:uid="{00000000-0005-0000-0000-000026230000}"/>
    <cellStyle name="Normal 2 2 10 32 5 6" xfId="9045" xr:uid="{00000000-0005-0000-0000-000027230000}"/>
    <cellStyle name="Normal 2 2 10 32 5 7" xfId="9046" xr:uid="{00000000-0005-0000-0000-000028230000}"/>
    <cellStyle name="Normal 2 2 10 32 5 8" xfId="9047" xr:uid="{00000000-0005-0000-0000-000029230000}"/>
    <cellStyle name="Normal 2 2 10 32 5 9" xfId="9048" xr:uid="{00000000-0005-0000-0000-00002A230000}"/>
    <cellStyle name="Normal 2 2 10 32 6" xfId="9049" xr:uid="{00000000-0005-0000-0000-00002B230000}"/>
    <cellStyle name="Normal 2 2 10 32 7" xfId="9050" xr:uid="{00000000-0005-0000-0000-00002C230000}"/>
    <cellStyle name="Normal 2 2 10 32 8" xfId="9051" xr:uid="{00000000-0005-0000-0000-00002D230000}"/>
    <cellStyle name="Normal 2 2 10 32 9" xfId="9052" xr:uid="{00000000-0005-0000-0000-00002E230000}"/>
    <cellStyle name="Normal 2 2 10 33" xfId="9053" xr:uid="{00000000-0005-0000-0000-00002F230000}"/>
    <cellStyle name="Normal 2 2 10 33 10" xfId="9054" xr:uid="{00000000-0005-0000-0000-000030230000}"/>
    <cellStyle name="Normal 2 2 10 33 11" xfId="9055" xr:uid="{00000000-0005-0000-0000-000031230000}"/>
    <cellStyle name="Normal 2 2 10 33 12" xfId="9056" xr:uid="{00000000-0005-0000-0000-000032230000}"/>
    <cellStyle name="Normal 2 2 10 33 13" xfId="9057" xr:uid="{00000000-0005-0000-0000-000033230000}"/>
    <cellStyle name="Normal 2 2 10 33 14" xfId="9058" xr:uid="{00000000-0005-0000-0000-000034230000}"/>
    <cellStyle name="Normal 2 2 10 33 2" xfId="9059" xr:uid="{00000000-0005-0000-0000-000035230000}"/>
    <cellStyle name="Normal 2 2 10 33 2 10" xfId="9060" xr:uid="{00000000-0005-0000-0000-000036230000}"/>
    <cellStyle name="Normal 2 2 10 33 2 2" xfId="9061" xr:uid="{00000000-0005-0000-0000-000037230000}"/>
    <cellStyle name="Normal 2 2 10 33 2 3" xfId="9062" xr:uid="{00000000-0005-0000-0000-000038230000}"/>
    <cellStyle name="Normal 2 2 10 33 2 4" xfId="9063" xr:uid="{00000000-0005-0000-0000-000039230000}"/>
    <cellStyle name="Normal 2 2 10 33 2 5" xfId="9064" xr:uid="{00000000-0005-0000-0000-00003A230000}"/>
    <cellStyle name="Normal 2 2 10 33 2 6" xfId="9065" xr:uid="{00000000-0005-0000-0000-00003B230000}"/>
    <cellStyle name="Normal 2 2 10 33 2 7" xfId="9066" xr:uid="{00000000-0005-0000-0000-00003C230000}"/>
    <cellStyle name="Normal 2 2 10 33 2 8" xfId="9067" xr:uid="{00000000-0005-0000-0000-00003D230000}"/>
    <cellStyle name="Normal 2 2 10 33 2 9" xfId="9068" xr:uid="{00000000-0005-0000-0000-00003E230000}"/>
    <cellStyle name="Normal 2 2 10 33 3" xfId="9069" xr:uid="{00000000-0005-0000-0000-00003F230000}"/>
    <cellStyle name="Normal 2 2 10 33 3 10" xfId="9070" xr:uid="{00000000-0005-0000-0000-000040230000}"/>
    <cellStyle name="Normal 2 2 10 33 3 2" xfId="9071" xr:uid="{00000000-0005-0000-0000-000041230000}"/>
    <cellStyle name="Normal 2 2 10 33 3 3" xfId="9072" xr:uid="{00000000-0005-0000-0000-000042230000}"/>
    <cellStyle name="Normal 2 2 10 33 3 4" xfId="9073" xr:uid="{00000000-0005-0000-0000-000043230000}"/>
    <cellStyle name="Normal 2 2 10 33 3 5" xfId="9074" xr:uid="{00000000-0005-0000-0000-000044230000}"/>
    <cellStyle name="Normal 2 2 10 33 3 6" xfId="9075" xr:uid="{00000000-0005-0000-0000-000045230000}"/>
    <cellStyle name="Normal 2 2 10 33 3 7" xfId="9076" xr:uid="{00000000-0005-0000-0000-000046230000}"/>
    <cellStyle name="Normal 2 2 10 33 3 8" xfId="9077" xr:uid="{00000000-0005-0000-0000-000047230000}"/>
    <cellStyle name="Normal 2 2 10 33 3 9" xfId="9078" xr:uid="{00000000-0005-0000-0000-000048230000}"/>
    <cellStyle name="Normal 2 2 10 33 4" xfId="9079" xr:uid="{00000000-0005-0000-0000-000049230000}"/>
    <cellStyle name="Normal 2 2 10 33 4 10" xfId="9080" xr:uid="{00000000-0005-0000-0000-00004A230000}"/>
    <cellStyle name="Normal 2 2 10 33 4 2" xfId="9081" xr:uid="{00000000-0005-0000-0000-00004B230000}"/>
    <cellStyle name="Normal 2 2 10 33 4 3" xfId="9082" xr:uid="{00000000-0005-0000-0000-00004C230000}"/>
    <cellStyle name="Normal 2 2 10 33 4 4" xfId="9083" xr:uid="{00000000-0005-0000-0000-00004D230000}"/>
    <cellStyle name="Normal 2 2 10 33 4 5" xfId="9084" xr:uid="{00000000-0005-0000-0000-00004E230000}"/>
    <cellStyle name="Normal 2 2 10 33 4 6" xfId="9085" xr:uid="{00000000-0005-0000-0000-00004F230000}"/>
    <cellStyle name="Normal 2 2 10 33 4 7" xfId="9086" xr:uid="{00000000-0005-0000-0000-000050230000}"/>
    <cellStyle name="Normal 2 2 10 33 4 8" xfId="9087" xr:uid="{00000000-0005-0000-0000-000051230000}"/>
    <cellStyle name="Normal 2 2 10 33 4 9" xfId="9088" xr:uid="{00000000-0005-0000-0000-000052230000}"/>
    <cellStyle name="Normal 2 2 10 33 5" xfId="9089" xr:uid="{00000000-0005-0000-0000-000053230000}"/>
    <cellStyle name="Normal 2 2 10 33 5 10" xfId="9090" xr:uid="{00000000-0005-0000-0000-000054230000}"/>
    <cellStyle name="Normal 2 2 10 33 5 2" xfId="9091" xr:uid="{00000000-0005-0000-0000-000055230000}"/>
    <cellStyle name="Normal 2 2 10 33 5 3" xfId="9092" xr:uid="{00000000-0005-0000-0000-000056230000}"/>
    <cellStyle name="Normal 2 2 10 33 5 4" xfId="9093" xr:uid="{00000000-0005-0000-0000-000057230000}"/>
    <cellStyle name="Normal 2 2 10 33 5 5" xfId="9094" xr:uid="{00000000-0005-0000-0000-000058230000}"/>
    <cellStyle name="Normal 2 2 10 33 5 6" xfId="9095" xr:uid="{00000000-0005-0000-0000-000059230000}"/>
    <cellStyle name="Normal 2 2 10 33 5 7" xfId="9096" xr:uid="{00000000-0005-0000-0000-00005A230000}"/>
    <cellStyle name="Normal 2 2 10 33 5 8" xfId="9097" xr:uid="{00000000-0005-0000-0000-00005B230000}"/>
    <cellStyle name="Normal 2 2 10 33 5 9" xfId="9098" xr:uid="{00000000-0005-0000-0000-00005C230000}"/>
    <cellStyle name="Normal 2 2 10 33 6" xfId="9099" xr:uid="{00000000-0005-0000-0000-00005D230000}"/>
    <cellStyle name="Normal 2 2 10 33 7" xfId="9100" xr:uid="{00000000-0005-0000-0000-00005E230000}"/>
    <cellStyle name="Normal 2 2 10 33 8" xfId="9101" xr:uid="{00000000-0005-0000-0000-00005F230000}"/>
    <cellStyle name="Normal 2 2 10 33 9" xfId="9102" xr:uid="{00000000-0005-0000-0000-000060230000}"/>
    <cellStyle name="Normal 2 2 10 34" xfId="9103" xr:uid="{00000000-0005-0000-0000-000061230000}"/>
    <cellStyle name="Normal 2 2 10 34 10" xfId="9104" xr:uid="{00000000-0005-0000-0000-000062230000}"/>
    <cellStyle name="Normal 2 2 10 34 11" xfId="9105" xr:uid="{00000000-0005-0000-0000-000063230000}"/>
    <cellStyle name="Normal 2 2 10 34 12" xfId="9106" xr:uid="{00000000-0005-0000-0000-000064230000}"/>
    <cellStyle name="Normal 2 2 10 34 13" xfId="9107" xr:uid="{00000000-0005-0000-0000-000065230000}"/>
    <cellStyle name="Normal 2 2 10 34 14" xfId="9108" xr:uid="{00000000-0005-0000-0000-000066230000}"/>
    <cellStyle name="Normal 2 2 10 34 2" xfId="9109" xr:uid="{00000000-0005-0000-0000-000067230000}"/>
    <cellStyle name="Normal 2 2 10 34 2 10" xfId="9110" xr:uid="{00000000-0005-0000-0000-000068230000}"/>
    <cellStyle name="Normal 2 2 10 34 2 2" xfId="9111" xr:uid="{00000000-0005-0000-0000-000069230000}"/>
    <cellStyle name="Normal 2 2 10 34 2 3" xfId="9112" xr:uid="{00000000-0005-0000-0000-00006A230000}"/>
    <cellStyle name="Normal 2 2 10 34 2 4" xfId="9113" xr:uid="{00000000-0005-0000-0000-00006B230000}"/>
    <cellStyle name="Normal 2 2 10 34 2 5" xfId="9114" xr:uid="{00000000-0005-0000-0000-00006C230000}"/>
    <cellStyle name="Normal 2 2 10 34 2 6" xfId="9115" xr:uid="{00000000-0005-0000-0000-00006D230000}"/>
    <cellStyle name="Normal 2 2 10 34 2 7" xfId="9116" xr:uid="{00000000-0005-0000-0000-00006E230000}"/>
    <cellStyle name="Normal 2 2 10 34 2 8" xfId="9117" xr:uid="{00000000-0005-0000-0000-00006F230000}"/>
    <cellStyle name="Normal 2 2 10 34 2 9" xfId="9118" xr:uid="{00000000-0005-0000-0000-000070230000}"/>
    <cellStyle name="Normal 2 2 10 34 3" xfId="9119" xr:uid="{00000000-0005-0000-0000-000071230000}"/>
    <cellStyle name="Normal 2 2 10 34 3 10" xfId="9120" xr:uid="{00000000-0005-0000-0000-000072230000}"/>
    <cellStyle name="Normal 2 2 10 34 3 2" xfId="9121" xr:uid="{00000000-0005-0000-0000-000073230000}"/>
    <cellStyle name="Normal 2 2 10 34 3 3" xfId="9122" xr:uid="{00000000-0005-0000-0000-000074230000}"/>
    <cellStyle name="Normal 2 2 10 34 3 4" xfId="9123" xr:uid="{00000000-0005-0000-0000-000075230000}"/>
    <cellStyle name="Normal 2 2 10 34 3 5" xfId="9124" xr:uid="{00000000-0005-0000-0000-000076230000}"/>
    <cellStyle name="Normal 2 2 10 34 3 6" xfId="9125" xr:uid="{00000000-0005-0000-0000-000077230000}"/>
    <cellStyle name="Normal 2 2 10 34 3 7" xfId="9126" xr:uid="{00000000-0005-0000-0000-000078230000}"/>
    <cellStyle name="Normal 2 2 10 34 3 8" xfId="9127" xr:uid="{00000000-0005-0000-0000-000079230000}"/>
    <cellStyle name="Normal 2 2 10 34 3 9" xfId="9128" xr:uid="{00000000-0005-0000-0000-00007A230000}"/>
    <cellStyle name="Normal 2 2 10 34 4" xfId="9129" xr:uid="{00000000-0005-0000-0000-00007B230000}"/>
    <cellStyle name="Normal 2 2 10 34 4 10" xfId="9130" xr:uid="{00000000-0005-0000-0000-00007C230000}"/>
    <cellStyle name="Normal 2 2 10 34 4 2" xfId="9131" xr:uid="{00000000-0005-0000-0000-00007D230000}"/>
    <cellStyle name="Normal 2 2 10 34 4 3" xfId="9132" xr:uid="{00000000-0005-0000-0000-00007E230000}"/>
    <cellStyle name="Normal 2 2 10 34 4 4" xfId="9133" xr:uid="{00000000-0005-0000-0000-00007F230000}"/>
    <cellStyle name="Normal 2 2 10 34 4 5" xfId="9134" xr:uid="{00000000-0005-0000-0000-000080230000}"/>
    <cellStyle name="Normal 2 2 10 34 4 6" xfId="9135" xr:uid="{00000000-0005-0000-0000-000081230000}"/>
    <cellStyle name="Normal 2 2 10 34 4 7" xfId="9136" xr:uid="{00000000-0005-0000-0000-000082230000}"/>
    <cellStyle name="Normal 2 2 10 34 4 8" xfId="9137" xr:uid="{00000000-0005-0000-0000-000083230000}"/>
    <cellStyle name="Normal 2 2 10 34 4 9" xfId="9138" xr:uid="{00000000-0005-0000-0000-000084230000}"/>
    <cellStyle name="Normal 2 2 10 34 5" xfId="9139" xr:uid="{00000000-0005-0000-0000-000085230000}"/>
    <cellStyle name="Normal 2 2 10 34 5 10" xfId="9140" xr:uid="{00000000-0005-0000-0000-000086230000}"/>
    <cellStyle name="Normal 2 2 10 34 5 2" xfId="9141" xr:uid="{00000000-0005-0000-0000-000087230000}"/>
    <cellStyle name="Normal 2 2 10 34 5 3" xfId="9142" xr:uid="{00000000-0005-0000-0000-000088230000}"/>
    <cellStyle name="Normal 2 2 10 34 5 4" xfId="9143" xr:uid="{00000000-0005-0000-0000-000089230000}"/>
    <cellStyle name="Normal 2 2 10 34 5 5" xfId="9144" xr:uid="{00000000-0005-0000-0000-00008A230000}"/>
    <cellStyle name="Normal 2 2 10 34 5 6" xfId="9145" xr:uid="{00000000-0005-0000-0000-00008B230000}"/>
    <cellStyle name="Normal 2 2 10 34 5 7" xfId="9146" xr:uid="{00000000-0005-0000-0000-00008C230000}"/>
    <cellStyle name="Normal 2 2 10 34 5 8" xfId="9147" xr:uid="{00000000-0005-0000-0000-00008D230000}"/>
    <cellStyle name="Normal 2 2 10 34 5 9" xfId="9148" xr:uid="{00000000-0005-0000-0000-00008E230000}"/>
    <cellStyle name="Normal 2 2 10 34 6" xfId="9149" xr:uid="{00000000-0005-0000-0000-00008F230000}"/>
    <cellStyle name="Normal 2 2 10 34 7" xfId="9150" xr:uid="{00000000-0005-0000-0000-000090230000}"/>
    <cellStyle name="Normal 2 2 10 34 8" xfId="9151" xr:uid="{00000000-0005-0000-0000-000091230000}"/>
    <cellStyle name="Normal 2 2 10 34 9" xfId="9152" xr:uid="{00000000-0005-0000-0000-000092230000}"/>
    <cellStyle name="Normal 2 2 10 35" xfId="9153" xr:uid="{00000000-0005-0000-0000-000093230000}"/>
    <cellStyle name="Normal 2 2 10 35 10" xfId="9154" xr:uid="{00000000-0005-0000-0000-000094230000}"/>
    <cellStyle name="Normal 2 2 10 35 2" xfId="9155" xr:uid="{00000000-0005-0000-0000-000095230000}"/>
    <cellStyle name="Normal 2 2 10 35 3" xfId="9156" xr:uid="{00000000-0005-0000-0000-000096230000}"/>
    <cellStyle name="Normal 2 2 10 35 4" xfId="9157" xr:uid="{00000000-0005-0000-0000-000097230000}"/>
    <cellStyle name="Normal 2 2 10 35 5" xfId="9158" xr:uid="{00000000-0005-0000-0000-000098230000}"/>
    <cellStyle name="Normal 2 2 10 35 6" xfId="9159" xr:uid="{00000000-0005-0000-0000-000099230000}"/>
    <cellStyle name="Normal 2 2 10 35 7" xfId="9160" xr:uid="{00000000-0005-0000-0000-00009A230000}"/>
    <cellStyle name="Normal 2 2 10 35 8" xfId="9161" xr:uid="{00000000-0005-0000-0000-00009B230000}"/>
    <cellStyle name="Normal 2 2 10 35 9" xfId="9162" xr:uid="{00000000-0005-0000-0000-00009C230000}"/>
    <cellStyle name="Normal 2 2 10 36" xfId="9163" xr:uid="{00000000-0005-0000-0000-00009D230000}"/>
    <cellStyle name="Normal 2 2 10 36 10" xfId="9164" xr:uid="{00000000-0005-0000-0000-00009E230000}"/>
    <cellStyle name="Normal 2 2 10 36 2" xfId="9165" xr:uid="{00000000-0005-0000-0000-00009F230000}"/>
    <cellStyle name="Normal 2 2 10 36 3" xfId="9166" xr:uid="{00000000-0005-0000-0000-0000A0230000}"/>
    <cellStyle name="Normal 2 2 10 36 4" xfId="9167" xr:uid="{00000000-0005-0000-0000-0000A1230000}"/>
    <cellStyle name="Normal 2 2 10 36 5" xfId="9168" xr:uid="{00000000-0005-0000-0000-0000A2230000}"/>
    <cellStyle name="Normal 2 2 10 36 6" xfId="9169" xr:uid="{00000000-0005-0000-0000-0000A3230000}"/>
    <cellStyle name="Normal 2 2 10 36 7" xfId="9170" xr:uid="{00000000-0005-0000-0000-0000A4230000}"/>
    <cellStyle name="Normal 2 2 10 36 8" xfId="9171" xr:uid="{00000000-0005-0000-0000-0000A5230000}"/>
    <cellStyle name="Normal 2 2 10 36 9" xfId="9172" xr:uid="{00000000-0005-0000-0000-0000A6230000}"/>
    <cellStyle name="Normal 2 2 10 37" xfId="9173" xr:uid="{00000000-0005-0000-0000-0000A7230000}"/>
    <cellStyle name="Normal 2 2 10 37 10" xfId="9174" xr:uid="{00000000-0005-0000-0000-0000A8230000}"/>
    <cellStyle name="Normal 2 2 10 37 2" xfId="9175" xr:uid="{00000000-0005-0000-0000-0000A9230000}"/>
    <cellStyle name="Normal 2 2 10 37 3" xfId="9176" xr:uid="{00000000-0005-0000-0000-0000AA230000}"/>
    <cellStyle name="Normal 2 2 10 37 4" xfId="9177" xr:uid="{00000000-0005-0000-0000-0000AB230000}"/>
    <cellStyle name="Normal 2 2 10 37 5" xfId="9178" xr:uid="{00000000-0005-0000-0000-0000AC230000}"/>
    <cellStyle name="Normal 2 2 10 37 6" xfId="9179" xr:uid="{00000000-0005-0000-0000-0000AD230000}"/>
    <cellStyle name="Normal 2 2 10 37 7" xfId="9180" xr:uid="{00000000-0005-0000-0000-0000AE230000}"/>
    <cellStyle name="Normal 2 2 10 37 8" xfId="9181" xr:uid="{00000000-0005-0000-0000-0000AF230000}"/>
    <cellStyle name="Normal 2 2 10 37 9" xfId="9182" xr:uid="{00000000-0005-0000-0000-0000B0230000}"/>
    <cellStyle name="Normal 2 2 10 38" xfId="9183" xr:uid="{00000000-0005-0000-0000-0000B1230000}"/>
    <cellStyle name="Normal 2 2 10 38 10" xfId="9184" xr:uid="{00000000-0005-0000-0000-0000B2230000}"/>
    <cellStyle name="Normal 2 2 10 38 2" xfId="9185" xr:uid="{00000000-0005-0000-0000-0000B3230000}"/>
    <cellStyle name="Normal 2 2 10 38 3" xfId="9186" xr:uid="{00000000-0005-0000-0000-0000B4230000}"/>
    <cellStyle name="Normal 2 2 10 38 4" xfId="9187" xr:uid="{00000000-0005-0000-0000-0000B5230000}"/>
    <cellStyle name="Normal 2 2 10 38 5" xfId="9188" xr:uid="{00000000-0005-0000-0000-0000B6230000}"/>
    <cellStyle name="Normal 2 2 10 38 6" xfId="9189" xr:uid="{00000000-0005-0000-0000-0000B7230000}"/>
    <cellStyle name="Normal 2 2 10 38 7" xfId="9190" xr:uid="{00000000-0005-0000-0000-0000B8230000}"/>
    <cellStyle name="Normal 2 2 10 38 8" xfId="9191" xr:uid="{00000000-0005-0000-0000-0000B9230000}"/>
    <cellStyle name="Normal 2 2 10 38 9" xfId="9192" xr:uid="{00000000-0005-0000-0000-0000BA230000}"/>
    <cellStyle name="Normal 2 2 10 39" xfId="9193" xr:uid="{00000000-0005-0000-0000-0000BB230000}"/>
    <cellStyle name="Normal 2 2 10 4" xfId="9194" xr:uid="{00000000-0005-0000-0000-0000BC230000}"/>
    <cellStyle name="Normal 2 2 10 4 10" xfId="9195" xr:uid="{00000000-0005-0000-0000-0000BD230000}"/>
    <cellStyle name="Normal 2 2 10 4 11" xfId="9196" xr:uid="{00000000-0005-0000-0000-0000BE230000}"/>
    <cellStyle name="Normal 2 2 10 4 12" xfId="9197" xr:uid="{00000000-0005-0000-0000-0000BF230000}"/>
    <cellStyle name="Normal 2 2 10 4 13" xfId="9198" xr:uid="{00000000-0005-0000-0000-0000C0230000}"/>
    <cellStyle name="Normal 2 2 10 4 14" xfId="9199" xr:uid="{00000000-0005-0000-0000-0000C1230000}"/>
    <cellStyle name="Normal 2 2 10 4 2" xfId="9200" xr:uid="{00000000-0005-0000-0000-0000C2230000}"/>
    <cellStyle name="Normal 2 2 10 4 2 10" xfId="9201" xr:uid="{00000000-0005-0000-0000-0000C3230000}"/>
    <cellStyle name="Normal 2 2 10 4 2 2" xfId="9202" xr:uid="{00000000-0005-0000-0000-0000C4230000}"/>
    <cellStyle name="Normal 2 2 10 4 2 3" xfId="9203" xr:uid="{00000000-0005-0000-0000-0000C5230000}"/>
    <cellStyle name="Normal 2 2 10 4 2 4" xfId="9204" xr:uid="{00000000-0005-0000-0000-0000C6230000}"/>
    <cellStyle name="Normal 2 2 10 4 2 5" xfId="9205" xr:uid="{00000000-0005-0000-0000-0000C7230000}"/>
    <cellStyle name="Normal 2 2 10 4 2 6" xfId="9206" xr:uid="{00000000-0005-0000-0000-0000C8230000}"/>
    <cellStyle name="Normal 2 2 10 4 2 7" xfId="9207" xr:uid="{00000000-0005-0000-0000-0000C9230000}"/>
    <cellStyle name="Normal 2 2 10 4 2 8" xfId="9208" xr:uid="{00000000-0005-0000-0000-0000CA230000}"/>
    <cellStyle name="Normal 2 2 10 4 2 9" xfId="9209" xr:uid="{00000000-0005-0000-0000-0000CB230000}"/>
    <cellStyle name="Normal 2 2 10 4 3" xfId="9210" xr:uid="{00000000-0005-0000-0000-0000CC230000}"/>
    <cellStyle name="Normal 2 2 10 4 3 10" xfId="9211" xr:uid="{00000000-0005-0000-0000-0000CD230000}"/>
    <cellStyle name="Normal 2 2 10 4 3 2" xfId="9212" xr:uid="{00000000-0005-0000-0000-0000CE230000}"/>
    <cellStyle name="Normal 2 2 10 4 3 3" xfId="9213" xr:uid="{00000000-0005-0000-0000-0000CF230000}"/>
    <cellStyle name="Normal 2 2 10 4 3 4" xfId="9214" xr:uid="{00000000-0005-0000-0000-0000D0230000}"/>
    <cellStyle name="Normal 2 2 10 4 3 5" xfId="9215" xr:uid="{00000000-0005-0000-0000-0000D1230000}"/>
    <cellStyle name="Normal 2 2 10 4 3 6" xfId="9216" xr:uid="{00000000-0005-0000-0000-0000D2230000}"/>
    <cellStyle name="Normal 2 2 10 4 3 7" xfId="9217" xr:uid="{00000000-0005-0000-0000-0000D3230000}"/>
    <cellStyle name="Normal 2 2 10 4 3 8" xfId="9218" xr:uid="{00000000-0005-0000-0000-0000D4230000}"/>
    <cellStyle name="Normal 2 2 10 4 3 9" xfId="9219" xr:uid="{00000000-0005-0000-0000-0000D5230000}"/>
    <cellStyle name="Normal 2 2 10 4 4" xfId="9220" xr:uid="{00000000-0005-0000-0000-0000D6230000}"/>
    <cellStyle name="Normal 2 2 10 4 4 10" xfId="9221" xr:uid="{00000000-0005-0000-0000-0000D7230000}"/>
    <cellStyle name="Normal 2 2 10 4 4 2" xfId="9222" xr:uid="{00000000-0005-0000-0000-0000D8230000}"/>
    <cellStyle name="Normal 2 2 10 4 4 3" xfId="9223" xr:uid="{00000000-0005-0000-0000-0000D9230000}"/>
    <cellStyle name="Normal 2 2 10 4 4 4" xfId="9224" xr:uid="{00000000-0005-0000-0000-0000DA230000}"/>
    <cellStyle name="Normal 2 2 10 4 4 5" xfId="9225" xr:uid="{00000000-0005-0000-0000-0000DB230000}"/>
    <cellStyle name="Normal 2 2 10 4 4 6" xfId="9226" xr:uid="{00000000-0005-0000-0000-0000DC230000}"/>
    <cellStyle name="Normal 2 2 10 4 4 7" xfId="9227" xr:uid="{00000000-0005-0000-0000-0000DD230000}"/>
    <cellStyle name="Normal 2 2 10 4 4 8" xfId="9228" xr:uid="{00000000-0005-0000-0000-0000DE230000}"/>
    <cellStyle name="Normal 2 2 10 4 4 9" xfId="9229" xr:uid="{00000000-0005-0000-0000-0000DF230000}"/>
    <cellStyle name="Normal 2 2 10 4 5" xfId="9230" xr:uid="{00000000-0005-0000-0000-0000E0230000}"/>
    <cellStyle name="Normal 2 2 10 4 5 10" xfId="9231" xr:uid="{00000000-0005-0000-0000-0000E1230000}"/>
    <cellStyle name="Normal 2 2 10 4 5 2" xfId="9232" xr:uid="{00000000-0005-0000-0000-0000E2230000}"/>
    <cellStyle name="Normal 2 2 10 4 5 3" xfId="9233" xr:uid="{00000000-0005-0000-0000-0000E3230000}"/>
    <cellStyle name="Normal 2 2 10 4 5 4" xfId="9234" xr:uid="{00000000-0005-0000-0000-0000E4230000}"/>
    <cellStyle name="Normal 2 2 10 4 5 5" xfId="9235" xr:uid="{00000000-0005-0000-0000-0000E5230000}"/>
    <cellStyle name="Normal 2 2 10 4 5 6" xfId="9236" xr:uid="{00000000-0005-0000-0000-0000E6230000}"/>
    <cellStyle name="Normal 2 2 10 4 5 7" xfId="9237" xr:uid="{00000000-0005-0000-0000-0000E7230000}"/>
    <cellStyle name="Normal 2 2 10 4 5 8" xfId="9238" xr:uid="{00000000-0005-0000-0000-0000E8230000}"/>
    <cellStyle name="Normal 2 2 10 4 5 9" xfId="9239" xr:uid="{00000000-0005-0000-0000-0000E9230000}"/>
    <cellStyle name="Normal 2 2 10 4 6" xfId="9240" xr:uid="{00000000-0005-0000-0000-0000EA230000}"/>
    <cellStyle name="Normal 2 2 10 4 7" xfId="9241" xr:uid="{00000000-0005-0000-0000-0000EB230000}"/>
    <cellStyle name="Normal 2 2 10 4 8" xfId="9242" xr:uid="{00000000-0005-0000-0000-0000EC230000}"/>
    <cellStyle name="Normal 2 2 10 4 9" xfId="9243" xr:uid="{00000000-0005-0000-0000-0000ED230000}"/>
    <cellStyle name="Normal 2 2 10 40" xfId="9244" xr:uid="{00000000-0005-0000-0000-0000EE230000}"/>
    <cellStyle name="Normal 2 2 10 41" xfId="9245" xr:uid="{00000000-0005-0000-0000-0000EF230000}"/>
    <cellStyle name="Normal 2 2 10 42" xfId="9246" xr:uid="{00000000-0005-0000-0000-0000F0230000}"/>
    <cellStyle name="Normal 2 2 10 43" xfId="9247" xr:uid="{00000000-0005-0000-0000-0000F1230000}"/>
    <cellStyle name="Normal 2 2 10 44" xfId="9248" xr:uid="{00000000-0005-0000-0000-0000F2230000}"/>
    <cellStyle name="Normal 2 2 10 45" xfId="9249" xr:uid="{00000000-0005-0000-0000-0000F3230000}"/>
    <cellStyle name="Normal 2 2 10 46" xfId="9250" xr:uid="{00000000-0005-0000-0000-0000F4230000}"/>
    <cellStyle name="Normal 2 2 10 47" xfId="9251" xr:uid="{00000000-0005-0000-0000-0000F5230000}"/>
    <cellStyle name="Normal 2 2 10 5" xfId="9252" xr:uid="{00000000-0005-0000-0000-0000F6230000}"/>
    <cellStyle name="Normal 2 2 10 5 10" xfId="9253" xr:uid="{00000000-0005-0000-0000-0000F7230000}"/>
    <cellStyle name="Normal 2 2 10 5 11" xfId="9254" xr:uid="{00000000-0005-0000-0000-0000F8230000}"/>
    <cellStyle name="Normal 2 2 10 5 12" xfId="9255" xr:uid="{00000000-0005-0000-0000-0000F9230000}"/>
    <cellStyle name="Normal 2 2 10 5 13" xfId="9256" xr:uid="{00000000-0005-0000-0000-0000FA230000}"/>
    <cellStyle name="Normal 2 2 10 5 14" xfId="9257" xr:uid="{00000000-0005-0000-0000-0000FB230000}"/>
    <cellStyle name="Normal 2 2 10 5 2" xfId="9258" xr:uid="{00000000-0005-0000-0000-0000FC230000}"/>
    <cellStyle name="Normal 2 2 10 5 2 10" xfId="9259" xr:uid="{00000000-0005-0000-0000-0000FD230000}"/>
    <cellStyle name="Normal 2 2 10 5 2 2" xfId="9260" xr:uid="{00000000-0005-0000-0000-0000FE230000}"/>
    <cellStyle name="Normal 2 2 10 5 2 3" xfId="9261" xr:uid="{00000000-0005-0000-0000-0000FF230000}"/>
    <cellStyle name="Normal 2 2 10 5 2 4" xfId="9262" xr:uid="{00000000-0005-0000-0000-000000240000}"/>
    <cellStyle name="Normal 2 2 10 5 2 5" xfId="9263" xr:uid="{00000000-0005-0000-0000-000001240000}"/>
    <cellStyle name="Normal 2 2 10 5 2 6" xfId="9264" xr:uid="{00000000-0005-0000-0000-000002240000}"/>
    <cellStyle name="Normal 2 2 10 5 2 7" xfId="9265" xr:uid="{00000000-0005-0000-0000-000003240000}"/>
    <cellStyle name="Normal 2 2 10 5 2 8" xfId="9266" xr:uid="{00000000-0005-0000-0000-000004240000}"/>
    <cellStyle name="Normal 2 2 10 5 2 9" xfId="9267" xr:uid="{00000000-0005-0000-0000-000005240000}"/>
    <cellStyle name="Normal 2 2 10 5 3" xfId="9268" xr:uid="{00000000-0005-0000-0000-000006240000}"/>
    <cellStyle name="Normal 2 2 10 5 3 10" xfId="9269" xr:uid="{00000000-0005-0000-0000-000007240000}"/>
    <cellStyle name="Normal 2 2 10 5 3 2" xfId="9270" xr:uid="{00000000-0005-0000-0000-000008240000}"/>
    <cellStyle name="Normal 2 2 10 5 3 3" xfId="9271" xr:uid="{00000000-0005-0000-0000-000009240000}"/>
    <cellStyle name="Normal 2 2 10 5 3 4" xfId="9272" xr:uid="{00000000-0005-0000-0000-00000A240000}"/>
    <cellStyle name="Normal 2 2 10 5 3 5" xfId="9273" xr:uid="{00000000-0005-0000-0000-00000B240000}"/>
    <cellStyle name="Normal 2 2 10 5 3 6" xfId="9274" xr:uid="{00000000-0005-0000-0000-00000C240000}"/>
    <cellStyle name="Normal 2 2 10 5 3 7" xfId="9275" xr:uid="{00000000-0005-0000-0000-00000D240000}"/>
    <cellStyle name="Normal 2 2 10 5 3 8" xfId="9276" xr:uid="{00000000-0005-0000-0000-00000E240000}"/>
    <cellStyle name="Normal 2 2 10 5 3 9" xfId="9277" xr:uid="{00000000-0005-0000-0000-00000F240000}"/>
    <cellStyle name="Normal 2 2 10 5 4" xfId="9278" xr:uid="{00000000-0005-0000-0000-000010240000}"/>
    <cellStyle name="Normal 2 2 10 5 4 10" xfId="9279" xr:uid="{00000000-0005-0000-0000-000011240000}"/>
    <cellStyle name="Normal 2 2 10 5 4 2" xfId="9280" xr:uid="{00000000-0005-0000-0000-000012240000}"/>
    <cellStyle name="Normal 2 2 10 5 4 3" xfId="9281" xr:uid="{00000000-0005-0000-0000-000013240000}"/>
    <cellStyle name="Normal 2 2 10 5 4 4" xfId="9282" xr:uid="{00000000-0005-0000-0000-000014240000}"/>
    <cellStyle name="Normal 2 2 10 5 4 5" xfId="9283" xr:uid="{00000000-0005-0000-0000-000015240000}"/>
    <cellStyle name="Normal 2 2 10 5 4 6" xfId="9284" xr:uid="{00000000-0005-0000-0000-000016240000}"/>
    <cellStyle name="Normal 2 2 10 5 4 7" xfId="9285" xr:uid="{00000000-0005-0000-0000-000017240000}"/>
    <cellStyle name="Normal 2 2 10 5 4 8" xfId="9286" xr:uid="{00000000-0005-0000-0000-000018240000}"/>
    <cellStyle name="Normal 2 2 10 5 4 9" xfId="9287" xr:uid="{00000000-0005-0000-0000-000019240000}"/>
    <cellStyle name="Normal 2 2 10 5 5" xfId="9288" xr:uid="{00000000-0005-0000-0000-00001A240000}"/>
    <cellStyle name="Normal 2 2 10 5 5 10" xfId="9289" xr:uid="{00000000-0005-0000-0000-00001B240000}"/>
    <cellStyle name="Normal 2 2 10 5 5 2" xfId="9290" xr:uid="{00000000-0005-0000-0000-00001C240000}"/>
    <cellStyle name="Normal 2 2 10 5 5 3" xfId="9291" xr:uid="{00000000-0005-0000-0000-00001D240000}"/>
    <cellStyle name="Normal 2 2 10 5 5 4" xfId="9292" xr:uid="{00000000-0005-0000-0000-00001E240000}"/>
    <cellStyle name="Normal 2 2 10 5 5 5" xfId="9293" xr:uid="{00000000-0005-0000-0000-00001F240000}"/>
    <cellStyle name="Normal 2 2 10 5 5 6" xfId="9294" xr:uid="{00000000-0005-0000-0000-000020240000}"/>
    <cellStyle name="Normal 2 2 10 5 5 7" xfId="9295" xr:uid="{00000000-0005-0000-0000-000021240000}"/>
    <cellStyle name="Normal 2 2 10 5 5 8" xfId="9296" xr:uid="{00000000-0005-0000-0000-000022240000}"/>
    <cellStyle name="Normal 2 2 10 5 5 9" xfId="9297" xr:uid="{00000000-0005-0000-0000-000023240000}"/>
    <cellStyle name="Normal 2 2 10 5 6" xfId="9298" xr:uid="{00000000-0005-0000-0000-000024240000}"/>
    <cellStyle name="Normal 2 2 10 5 7" xfId="9299" xr:uid="{00000000-0005-0000-0000-000025240000}"/>
    <cellStyle name="Normal 2 2 10 5 8" xfId="9300" xr:uid="{00000000-0005-0000-0000-000026240000}"/>
    <cellStyle name="Normal 2 2 10 5 9" xfId="9301" xr:uid="{00000000-0005-0000-0000-000027240000}"/>
    <cellStyle name="Normal 2 2 10 6" xfId="9302" xr:uid="{00000000-0005-0000-0000-000028240000}"/>
    <cellStyle name="Normal 2 2 10 6 10" xfId="9303" xr:uid="{00000000-0005-0000-0000-000029240000}"/>
    <cellStyle name="Normal 2 2 10 6 11" xfId="9304" xr:uid="{00000000-0005-0000-0000-00002A240000}"/>
    <cellStyle name="Normal 2 2 10 6 12" xfId="9305" xr:uid="{00000000-0005-0000-0000-00002B240000}"/>
    <cellStyle name="Normal 2 2 10 6 13" xfId="9306" xr:uid="{00000000-0005-0000-0000-00002C240000}"/>
    <cellStyle name="Normal 2 2 10 6 14" xfId="9307" xr:uid="{00000000-0005-0000-0000-00002D240000}"/>
    <cellStyle name="Normal 2 2 10 6 2" xfId="9308" xr:uid="{00000000-0005-0000-0000-00002E240000}"/>
    <cellStyle name="Normal 2 2 10 6 2 10" xfId="9309" xr:uid="{00000000-0005-0000-0000-00002F240000}"/>
    <cellStyle name="Normal 2 2 10 6 2 2" xfId="9310" xr:uid="{00000000-0005-0000-0000-000030240000}"/>
    <cellStyle name="Normal 2 2 10 6 2 3" xfId="9311" xr:uid="{00000000-0005-0000-0000-000031240000}"/>
    <cellStyle name="Normal 2 2 10 6 2 4" xfId="9312" xr:uid="{00000000-0005-0000-0000-000032240000}"/>
    <cellStyle name="Normal 2 2 10 6 2 5" xfId="9313" xr:uid="{00000000-0005-0000-0000-000033240000}"/>
    <cellStyle name="Normal 2 2 10 6 2 6" xfId="9314" xr:uid="{00000000-0005-0000-0000-000034240000}"/>
    <cellStyle name="Normal 2 2 10 6 2 7" xfId="9315" xr:uid="{00000000-0005-0000-0000-000035240000}"/>
    <cellStyle name="Normal 2 2 10 6 2 8" xfId="9316" xr:uid="{00000000-0005-0000-0000-000036240000}"/>
    <cellStyle name="Normal 2 2 10 6 2 9" xfId="9317" xr:uid="{00000000-0005-0000-0000-000037240000}"/>
    <cellStyle name="Normal 2 2 10 6 3" xfId="9318" xr:uid="{00000000-0005-0000-0000-000038240000}"/>
    <cellStyle name="Normal 2 2 10 6 3 10" xfId="9319" xr:uid="{00000000-0005-0000-0000-000039240000}"/>
    <cellStyle name="Normal 2 2 10 6 3 2" xfId="9320" xr:uid="{00000000-0005-0000-0000-00003A240000}"/>
    <cellStyle name="Normal 2 2 10 6 3 3" xfId="9321" xr:uid="{00000000-0005-0000-0000-00003B240000}"/>
    <cellStyle name="Normal 2 2 10 6 3 4" xfId="9322" xr:uid="{00000000-0005-0000-0000-00003C240000}"/>
    <cellStyle name="Normal 2 2 10 6 3 5" xfId="9323" xr:uid="{00000000-0005-0000-0000-00003D240000}"/>
    <cellStyle name="Normal 2 2 10 6 3 6" xfId="9324" xr:uid="{00000000-0005-0000-0000-00003E240000}"/>
    <cellStyle name="Normal 2 2 10 6 3 7" xfId="9325" xr:uid="{00000000-0005-0000-0000-00003F240000}"/>
    <cellStyle name="Normal 2 2 10 6 3 8" xfId="9326" xr:uid="{00000000-0005-0000-0000-000040240000}"/>
    <cellStyle name="Normal 2 2 10 6 3 9" xfId="9327" xr:uid="{00000000-0005-0000-0000-000041240000}"/>
    <cellStyle name="Normal 2 2 10 6 4" xfId="9328" xr:uid="{00000000-0005-0000-0000-000042240000}"/>
    <cellStyle name="Normal 2 2 10 6 4 10" xfId="9329" xr:uid="{00000000-0005-0000-0000-000043240000}"/>
    <cellStyle name="Normal 2 2 10 6 4 2" xfId="9330" xr:uid="{00000000-0005-0000-0000-000044240000}"/>
    <cellStyle name="Normal 2 2 10 6 4 3" xfId="9331" xr:uid="{00000000-0005-0000-0000-000045240000}"/>
    <cellStyle name="Normal 2 2 10 6 4 4" xfId="9332" xr:uid="{00000000-0005-0000-0000-000046240000}"/>
    <cellStyle name="Normal 2 2 10 6 4 5" xfId="9333" xr:uid="{00000000-0005-0000-0000-000047240000}"/>
    <cellStyle name="Normal 2 2 10 6 4 6" xfId="9334" xr:uid="{00000000-0005-0000-0000-000048240000}"/>
    <cellStyle name="Normal 2 2 10 6 4 7" xfId="9335" xr:uid="{00000000-0005-0000-0000-000049240000}"/>
    <cellStyle name="Normal 2 2 10 6 4 8" xfId="9336" xr:uid="{00000000-0005-0000-0000-00004A240000}"/>
    <cellStyle name="Normal 2 2 10 6 4 9" xfId="9337" xr:uid="{00000000-0005-0000-0000-00004B240000}"/>
    <cellStyle name="Normal 2 2 10 6 5" xfId="9338" xr:uid="{00000000-0005-0000-0000-00004C240000}"/>
    <cellStyle name="Normal 2 2 10 6 5 10" xfId="9339" xr:uid="{00000000-0005-0000-0000-00004D240000}"/>
    <cellStyle name="Normal 2 2 10 6 5 2" xfId="9340" xr:uid="{00000000-0005-0000-0000-00004E240000}"/>
    <cellStyle name="Normal 2 2 10 6 5 3" xfId="9341" xr:uid="{00000000-0005-0000-0000-00004F240000}"/>
    <cellStyle name="Normal 2 2 10 6 5 4" xfId="9342" xr:uid="{00000000-0005-0000-0000-000050240000}"/>
    <cellStyle name="Normal 2 2 10 6 5 5" xfId="9343" xr:uid="{00000000-0005-0000-0000-000051240000}"/>
    <cellStyle name="Normal 2 2 10 6 5 6" xfId="9344" xr:uid="{00000000-0005-0000-0000-000052240000}"/>
    <cellStyle name="Normal 2 2 10 6 5 7" xfId="9345" xr:uid="{00000000-0005-0000-0000-000053240000}"/>
    <cellStyle name="Normal 2 2 10 6 5 8" xfId="9346" xr:uid="{00000000-0005-0000-0000-000054240000}"/>
    <cellStyle name="Normal 2 2 10 6 5 9" xfId="9347" xr:uid="{00000000-0005-0000-0000-000055240000}"/>
    <cellStyle name="Normal 2 2 10 6 6" xfId="9348" xr:uid="{00000000-0005-0000-0000-000056240000}"/>
    <cellStyle name="Normal 2 2 10 6 7" xfId="9349" xr:uid="{00000000-0005-0000-0000-000057240000}"/>
    <cellStyle name="Normal 2 2 10 6 8" xfId="9350" xr:uid="{00000000-0005-0000-0000-000058240000}"/>
    <cellStyle name="Normal 2 2 10 6 9" xfId="9351" xr:uid="{00000000-0005-0000-0000-000059240000}"/>
    <cellStyle name="Normal 2 2 10 7" xfId="9352" xr:uid="{00000000-0005-0000-0000-00005A240000}"/>
    <cellStyle name="Normal 2 2 10 7 10" xfId="9353" xr:uid="{00000000-0005-0000-0000-00005B240000}"/>
    <cellStyle name="Normal 2 2 10 7 11" xfId="9354" xr:uid="{00000000-0005-0000-0000-00005C240000}"/>
    <cellStyle name="Normal 2 2 10 7 12" xfId="9355" xr:uid="{00000000-0005-0000-0000-00005D240000}"/>
    <cellStyle name="Normal 2 2 10 7 13" xfId="9356" xr:uid="{00000000-0005-0000-0000-00005E240000}"/>
    <cellStyle name="Normal 2 2 10 7 14" xfId="9357" xr:uid="{00000000-0005-0000-0000-00005F240000}"/>
    <cellStyle name="Normal 2 2 10 7 2" xfId="9358" xr:uid="{00000000-0005-0000-0000-000060240000}"/>
    <cellStyle name="Normal 2 2 10 7 2 10" xfId="9359" xr:uid="{00000000-0005-0000-0000-000061240000}"/>
    <cellStyle name="Normal 2 2 10 7 2 2" xfId="9360" xr:uid="{00000000-0005-0000-0000-000062240000}"/>
    <cellStyle name="Normal 2 2 10 7 2 3" xfId="9361" xr:uid="{00000000-0005-0000-0000-000063240000}"/>
    <cellStyle name="Normal 2 2 10 7 2 4" xfId="9362" xr:uid="{00000000-0005-0000-0000-000064240000}"/>
    <cellStyle name="Normal 2 2 10 7 2 5" xfId="9363" xr:uid="{00000000-0005-0000-0000-000065240000}"/>
    <cellStyle name="Normal 2 2 10 7 2 6" xfId="9364" xr:uid="{00000000-0005-0000-0000-000066240000}"/>
    <cellStyle name="Normal 2 2 10 7 2 7" xfId="9365" xr:uid="{00000000-0005-0000-0000-000067240000}"/>
    <cellStyle name="Normal 2 2 10 7 2 8" xfId="9366" xr:uid="{00000000-0005-0000-0000-000068240000}"/>
    <cellStyle name="Normal 2 2 10 7 2 9" xfId="9367" xr:uid="{00000000-0005-0000-0000-000069240000}"/>
    <cellStyle name="Normal 2 2 10 7 3" xfId="9368" xr:uid="{00000000-0005-0000-0000-00006A240000}"/>
    <cellStyle name="Normal 2 2 10 7 3 10" xfId="9369" xr:uid="{00000000-0005-0000-0000-00006B240000}"/>
    <cellStyle name="Normal 2 2 10 7 3 2" xfId="9370" xr:uid="{00000000-0005-0000-0000-00006C240000}"/>
    <cellStyle name="Normal 2 2 10 7 3 3" xfId="9371" xr:uid="{00000000-0005-0000-0000-00006D240000}"/>
    <cellStyle name="Normal 2 2 10 7 3 4" xfId="9372" xr:uid="{00000000-0005-0000-0000-00006E240000}"/>
    <cellStyle name="Normal 2 2 10 7 3 5" xfId="9373" xr:uid="{00000000-0005-0000-0000-00006F240000}"/>
    <cellStyle name="Normal 2 2 10 7 3 6" xfId="9374" xr:uid="{00000000-0005-0000-0000-000070240000}"/>
    <cellStyle name="Normal 2 2 10 7 3 7" xfId="9375" xr:uid="{00000000-0005-0000-0000-000071240000}"/>
    <cellStyle name="Normal 2 2 10 7 3 8" xfId="9376" xr:uid="{00000000-0005-0000-0000-000072240000}"/>
    <cellStyle name="Normal 2 2 10 7 3 9" xfId="9377" xr:uid="{00000000-0005-0000-0000-000073240000}"/>
    <cellStyle name="Normal 2 2 10 7 4" xfId="9378" xr:uid="{00000000-0005-0000-0000-000074240000}"/>
    <cellStyle name="Normal 2 2 10 7 4 10" xfId="9379" xr:uid="{00000000-0005-0000-0000-000075240000}"/>
    <cellStyle name="Normal 2 2 10 7 4 2" xfId="9380" xr:uid="{00000000-0005-0000-0000-000076240000}"/>
    <cellStyle name="Normal 2 2 10 7 4 3" xfId="9381" xr:uid="{00000000-0005-0000-0000-000077240000}"/>
    <cellStyle name="Normal 2 2 10 7 4 4" xfId="9382" xr:uid="{00000000-0005-0000-0000-000078240000}"/>
    <cellStyle name="Normal 2 2 10 7 4 5" xfId="9383" xr:uid="{00000000-0005-0000-0000-000079240000}"/>
    <cellStyle name="Normal 2 2 10 7 4 6" xfId="9384" xr:uid="{00000000-0005-0000-0000-00007A240000}"/>
    <cellStyle name="Normal 2 2 10 7 4 7" xfId="9385" xr:uid="{00000000-0005-0000-0000-00007B240000}"/>
    <cellStyle name="Normal 2 2 10 7 4 8" xfId="9386" xr:uid="{00000000-0005-0000-0000-00007C240000}"/>
    <cellStyle name="Normal 2 2 10 7 4 9" xfId="9387" xr:uid="{00000000-0005-0000-0000-00007D240000}"/>
    <cellStyle name="Normal 2 2 10 7 5" xfId="9388" xr:uid="{00000000-0005-0000-0000-00007E240000}"/>
    <cellStyle name="Normal 2 2 10 7 5 10" xfId="9389" xr:uid="{00000000-0005-0000-0000-00007F240000}"/>
    <cellStyle name="Normal 2 2 10 7 5 2" xfId="9390" xr:uid="{00000000-0005-0000-0000-000080240000}"/>
    <cellStyle name="Normal 2 2 10 7 5 3" xfId="9391" xr:uid="{00000000-0005-0000-0000-000081240000}"/>
    <cellStyle name="Normal 2 2 10 7 5 4" xfId="9392" xr:uid="{00000000-0005-0000-0000-000082240000}"/>
    <cellStyle name="Normal 2 2 10 7 5 5" xfId="9393" xr:uid="{00000000-0005-0000-0000-000083240000}"/>
    <cellStyle name="Normal 2 2 10 7 5 6" xfId="9394" xr:uid="{00000000-0005-0000-0000-000084240000}"/>
    <cellStyle name="Normal 2 2 10 7 5 7" xfId="9395" xr:uid="{00000000-0005-0000-0000-000085240000}"/>
    <cellStyle name="Normal 2 2 10 7 5 8" xfId="9396" xr:uid="{00000000-0005-0000-0000-000086240000}"/>
    <cellStyle name="Normal 2 2 10 7 5 9" xfId="9397" xr:uid="{00000000-0005-0000-0000-000087240000}"/>
    <cellStyle name="Normal 2 2 10 7 6" xfId="9398" xr:uid="{00000000-0005-0000-0000-000088240000}"/>
    <cellStyle name="Normal 2 2 10 7 7" xfId="9399" xr:uid="{00000000-0005-0000-0000-000089240000}"/>
    <cellStyle name="Normal 2 2 10 7 8" xfId="9400" xr:uid="{00000000-0005-0000-0000-00008A240000}"/>
    <cellStyle name="Normal 2 2 10 7 9" xfId="9401" xr:uid="{00000000-0005-0000-0000-00008B240000}"/>
    <cellStyle name="Normal 2 2 10 8" xfId="9402" xr:uid="{00000000-0005-0000-0000-00008C240000}"/>
    <cellStyle name="Normal 2 2 10 8 10" xfId="9403" xr:uid="{00000000-0005-0000-0000-00008D240000}"/>
    <cellStyle name="Normal 2 2 10 8 11" xfId="9404" xr:uid="{00000000-0005-0000-0000-00008E240000}"/>
    <cellStyle name="Normal 2 2 10 8 12" xfId="9405" xr:uid="{00000000-0005-0000-0000-00008F240000}"/>
    <cellStyle name="Normal 2 2 10 8 13" xfId="9406" xr:uid="{00000000-0005-0000-0000-000090240000}"/>
    <cellStyle name="Normal 2 2 10 8 14" xfId="9407" xr:uid="{00000000-0005-0000-0000-000091240000}"/>
    <cellStyle name="Normal 2 2 10 8 2" xfId="9408" xr:uid="{00000000-0005-0000-0000-000092240000}"/>
    <cellStyle name="Normal 2 2 10 8 2 10" xfId="9409" xr:uid="{00000000-0005-0000-0000-000093240000}"/>
    <cellStyle name="Normal 2 2 10 8 2 2" xfId="9410" xr:uid="{00000000-0005-0000-0000-000094240000}"/>
    <cellStyle name="Normal 2 2 10 8 2 3" xfId="9411" xr:uid="{00000000-0005-0000-0000-000095240000}"/>
    <cellStyle name="Normal 2 2 10 8 2 4" xfId="9412" xr:uid="{00000000-0005-0000-0000-000096240000}"/>
    <cellStyle name="Normal 2 2 10 8 2 5" xfId="9413" xr:uid="{00000000-0005-0000-0000-000097240000}"/>
    <cellStyle name="Normal 2 2 10 8 2 6" xfId="9414" xr:uid="{00000000-0005-0000-0000-000098240000}"/>
    <cellStyle name="Normal 2 2 10 8 2 7" xfId="9415" xr:uid="{00000000-0005-0000-0000-000099240000}"/>
    <cellStyle name="Normal 2 2 10 8 2 8" xfId="9416" xr:uid="{00000000-0005-0000-0000-00009A240000}"/>
    <cellStyle name="Normal 2 2 10 8 2 9" xfId="9417" xr:uid="{00000000-0005-0000-0000-00009B240000}"/>
    <cellStyle name="Normal 2 2 10 8 3" xfId="9418" xr:uid="{00000000-0005-0000-0000-00009C240000}"/>
    <cellStyle name="Normal 2 2 10 8 3 10" xfId="9419" xr:uid="{00000000-0005-0000-0000-00009D240000}"/>
    <cellStyle name="Normal 2 2 10 8 3 2" xfId="9420" xr:uid="{00000000-0005-0000-0000-00009E240000}"/>
    <cellStyle name="Normal 2 2 10 8 3 3" xfId="9421" xr:uid="{00000000-0005-0000-0000-00009F240000}"/>
    <cellStyle name="Normal 2 2 10 8 3 4" xfId="9422" xr:uid="{00000000-0005-0000-0000-0000A0240000}"/>
    <cellStyle name="Normal 2 2 10 8 3 5" xfId="9423" xr:uid="{00000000-0005-0000-0000-0000A1240000}"/>
    <cellStyle name="Normal 2 2 10 8 3 6" xfId="9424" xr:uid="{00000000-0005-0000-0000-0000A2240000}"/>
    <cellStyle name="Normal 2 2 10 8 3 7" xfId="9425" xr:uid="{00000000-0005-0000-0000-0000A3240000}"/>
    <cellStyle name="Normal 2 2 10 8 3 8" xfId="9426" xr:uid="{00000000-0005-0000-0000-0000A4240000}"/>
    <cellStyle name="Normal 2 2 10 8 3 9" xfId="9427" xr:uid="{00000000-0005-0000-0000-0000A5240000}"/>
    <cellStyle name="Normal 2 2 10 8 4" xfId="9428" xr:uid="{00000000-0005-0000-0000-0000A6240000}"/>
    <cellStyle name="Normal 2 2 10 8 4 10" xfId="9429" xr:uid="{00000000-0005-0000-0000-0000A7240000}"/>
    <cellStyle name="Normal 2 2 10 8 4 2" xfId="9430" xr:uid="{00000000-0005-0000-0000-0000A8240000}"/>
    <cellStyle name="Normal 2 2 10 8 4 3" xfId="9431" xr:uid="{00000000-0005-0000-0000-0000A9240000}"/>
    <cellStyle name="Normal 2 2 10 8 4 4" xfId="9432" xr:uid="{00000000-0005-0000-0000-0000AA240000}"/>
    <cellStyle name="Normal 2 2 10 8 4 5" xfId="9433" xr:uid="{00000000-0005-0000-0000-0000AB240000}"/>
    <cellStyle name="Normal 2 2 10 8 4 6" xfId="9434" xr:uid="{00000000-0005-0000-0000-0000AC240000}"/>
    <cellStyle name="Normal 2 2 10 8 4 7" xfId="9435" xr:uid="{00000000-0005-0000-0000-0000AD240000}"/>
    <cellStyle name="Normal 2 2 10 8 4 8" xfId="9436" xr:uid="{00000000-0005-0000-0000-0000AE240000}"/>
    <cellStyle name="Normal 2 2 10 8 4 9" xfId="9437" xr:uid="{00000000-0005-0000-0000-0000AF240000}"/>
    <cellStyle name="Normal 2 2 10 8 5" xfId="9438" xr:uid="{00000000-0005-0000-0000-0000B0240000}"/>
    <cellStyle name="Normal 2 2 10 8 5 10" xfId="9439" xr:uid="{00000000-0005-0000-0000-0000B1240000}"/>
    <cellStyle name="Normal 2 2 10 8 5 2" xfId="9440" xr:uid="{00000000-0005-0000-0000-0000B2240000}"/>
    <cellStyle name="Normal 2 2 10 8 5 3" xfId="9441" xr:uid="{00000000-0005-0000-0000-0000B3240000}"/>
    <cellStyle name="Normal 2 2 10 8 5 4" xfId="9442" xr:uid="{00000000-0005-0000-0000-0000B4240000}"/>
    <cellStyle name="Normal 2 2 10 8 5 5" xfId="9443" xr:uid="{00000000-0005-0000-0000-0000B5240000}"/>
    <cellStyle name="Normal 2 2 10 8 5 6" xfId="9444" xr:uid="{00000000-0005-0000-0000-0000B6240000}"/>
    <cellStyle name="Normal 2 2 10 8 5 7" xfId="9445" xr:uid="{00000000-0005-0000-0000-0000B7240000}"/>
    <cellStyle name="Normal 2 2 10 8 5 8" xfId="9446" xr:uid="{00000000-0005-0000-0000-0000B8240000}"/>
    <cellStyle name="Normal 2 2 10 8 5 9" xfId="9447" xr:uid="{00000000-0005-0000-0000-0000B9240000}"/>
    <cellStyle name="Normal 2 2 10 8 6" xfId="9448" xr:uid="{00000000-0005-0000-0000-0000BA240000}"/>
    <cellStyle name="Normal 2 2 10 8 7" xfId="9449" xr:uid="{00000000-0005-0000-0000-0000BB240000}"/>
    <cellStyle name="Normal 2 2 10 8 8" xfId="9450" xr:uid="{00000000-0005-0000-0000-0000BC240000}"/>
    <cellStyle name="Normal 2 2 10 8 9" xfId="9451" xr:uid="{00000000-0005-0000-0000-0000BD240000}"/>
    <cellStyle name="Normal 2 2 10 9" xfId="9452" xr:uid="{00000000-0005-0000-0000-0000BE240000}"/>
    <cellStyle name="Normal 2 2 10 9 10" xfId="9453" xr:uid="{00000000-0005-0000-0000-0000BF240000}"/>
    <cellStyle name="Normal 2 2 10 9 11" xfId="9454" xr:uid="{00000000-0005-0000-0000-0000C0240000}"/>
    <cellStyle name="Normal 2 2 10 9 12" xfId="9455" xr:uid="{00000000-0005-0000-0000-0000C1240000}"/>
    <cellStyle name="Normal 2 2 10 9 13" xfId="9456" xr:uid="{00000000-0005-0000-0000-0000C2240000}"/>
    <cellStyle name="Normal 2 2 10 9 14" xfId="9457" xr:uid="{00000000-0005-0000-0000-0000C3240000}"/>
    <cellStyle name="Normal 2 2 10 9 2" xfId="9458" xr:uid="{00000000-0005-0000-0000-0000C4240000}"/>
    <cellStyle name="Normal 2 2 10 9 2 10" xfId="9459" xr:uid="{00000000-0005-0000-0000-0000C5240000}"/>
    <cellStyle name="Normal 2 2 10 9 2 2" xfId="9460" xr:uid="{00000000-0005-0000-0000-0000C6240000}"/>
    <cellStyle name="Normal 2 2 10 9 2 3" xfId="9461" xr:uid="{00000000-0005-0000-0000-0000C7240000}"/>
    <cellStyle name="Normal 2 2 10 9 2 4" xfId="9462" xr:uid="{00000000-0005-0000-0000-0000C8240000}"/>
    <cellStyle name="Normal 2 2 10 9 2 5" xfId="9463" xr:uid="{00000000-0005-0000-0000-0000C9240000}"/>
    <cellStyle name="Normal 2 2 10 9 2 6" xfId="9464" xr:uid="{00000000-0005-0000-0000-0000CA240000}"/>
    <cellStyle name="Normal 2 2 10 9 2 7" xfId="9465" xr:uid="{00000000-0005-0000-0000-0000CB240000}"/>
    <cellStyle name="Normal 2 2 10 9 2 8" xfId="9466" xr:uid="{00000000-0005-0000-0000-0000CC240000}"/>
    <cellStyle name="Normal 2 2 10 9 2 9" xfId="9467" xr:uid="{00000000-0005-0000-0000-0000CD240000}"/>
    <cellStyle name="Normal 2 2 10 9 3" xfId="9468" xr:uid="{00000000-0005-0000-0000-0000CE240000}"/>
    <cellStyle name="Normal 2 2 10 9 3 10" xfId="9469" xr:uid="{00000000-0005-0000-0000-0000CF240000}"/>
    <cellStyle name="Normal 2 2 10 9 3 2" xfId="9470" xr:uid="{00000000-0005-0000-0000-0000D0240000}"/>
    <cellStyle name="Normal 2 2 10 9 3 3" xfId="9471" xr:uid="{00000000-0005-0000-0000-0000D1240000}"/>
    <cellStyle name="Normal 2 2 10 9 3 4" xfId="9472" xr:uid="{00000000-0005-0000-0000-0000D2240000}"/>
    <cellStyle name="Normal 2 2 10 9 3 5" xfId="9473" xr:uid="{00000000-0005-0000-0000-0000D3240000}"/>
    <cellStyle name="Normal 2 2 10 9 3 6" xfId="9474" xr:uid="{00000000-0005-0000-0000-0000D4240000}"/>
    <cellStyle name="Normal 2 2 10 9 3 7" xfId="9475" xr:uid="{00000000-0005-0000-0000-0000D5240000}"/>
    <cellStyle name="Normal 2 2 10 9 3 8" xfId="9476" xr:uid="{00000000-0005-0000-0000-0000D6240000}"/>
    <cellStyle name="Normal 2 2 10 9 3 9" xfId="9477" xr:uid="{00000000-0005-0000-0000-0000D7240000}"/>
    <cellStyle name="Normal 2 2 10 9 4" xfId="9478" xr:uid="{00000000-0005-0000-0000-0000D8240000}"/>
    <cellStyle name="Normal 2 2 10 9 4 10" xfId="9479" xr:uid="{00000000-0005-0000-0000-0000D9240000}"/>
    <cellStyle name="Normal 2 2 10 9 4 2" xfId="9480" xr:uid="{00000000-0005-0000-0000-0000DA240000}"/>
    <cellStyle name="Normal 2 2 10 9 4 3" xfId="9481" xr:uid="{00000000-0005-0000-0000-0000DB240000}"/>
    <cellStyle name="Normal 2 2 10 9 4 4" xfId="9482" xr:uid="{00000000-0005-0000-0000-0000DC240000}"/>
    <cellStyle name="Normal 2 2 10 9 4 5" xfId="9483" xr:uid="{00000000-0005-0000-0000-0000DD240000}"/>
    <cellStyle name="Normal 2 2 10 9 4 6" xfId="9484" xr:uid="{00000000-0005-0000-0000-0000DE240000}"/>
    <cellStyle name="Normal 2 2 10 9 4 7" xfId="9485" xr:uid="{00000000-0005-0000-0000-0000DF240000}"/>
    <cellStyle name="Normal 2 2 10 9 4 8" xfId="9486" xr:uid="{00000000-0005-0000-0000-0000E0240000}"/>
    <cellStyle name="Normal 2 2 10 9 4 9" xfId="9487" xr:uid="{00000000-0005-0000-0000-0000E1240000}"/>
    <cellStyle name="Normal 2 2 10 9 5" xfId="9488" xr:uid="{00000000-0005-0000-0000-0000E2240000}"/>
    <cellStyle name="Normal 2 2 10 9 5 10" xfId="9489" xr:uid="{00000000-0005-0000-0000-0000E3240000}"/>
    <cellStyle name="Normal 2 2 10 9 5 2" xfId="9490" xr:uid="{00000000-0005-0000-0000-0000E4240000}"/>
    <cellStyle name="Normal 2 2 10 9 5 3" xfId="9491" xr:uid="{00000000-0005-0000-0000-0000E5240000}"/>
    <cellStyle name="Normal 2 2 10 9 5 4" xfId="9492" xr:uid="{00000000-0005-0000-0000-0000E6240000}"/>
    <cellStyle name="Normal 2 2 10 9 5 5" xfId="9493" xr:uid="{00000000-0005-0000-0000-0000E7240000}"/>
    <cellStyle name="Normal 2 2 10 9 5 6" xfId="9494" xr:uid="{00000000-0005-0000-0000-0000E8240000}"/>
    <cellStyle name="Normal 2 2 10 9 5 7" xfId="9495" xr:uid="{00000000-0005-0000-0000-0000E9240000}"/>
    <cellStyle name="Normal 2 2 10 9 5 8" xfId="9496" xr:uid="{00000000-0005-0000-0000-0000EA240000}"/>
    <cellStyle name="Normal 2 2 10 9 5 9" xfId="9497" xr:uid="{00000000-0005-0000-0000-0000EB240000}"/>
    <cellStyle name="Normal 2 2 10 9 6" xfId="9498" xr:uid="{00000000-0005-0000-0000-0000EC240000}"/>
    <cellStyle name="Normal 2 2 10 9 7" xfId="9499" xr:uid="{00000000-0005-0000-0000-0000ED240000}"/>
    <cellStyle name="Normal 2 2 10 9 8" xfId="9500" xr:uid="{00000000-0005-0000-0000-0000EE240000}"/>
    <cellStyle name="Normal 2 2 10 9 9" xfId="9501" xr:uid="{00000000-0005-0000-0000-0000EF240000}"/>
    <cellStyle name="Normal 2 2 11" xfId="9502" xr:uid="{00000000-0005-0000-0000-0000F0240000}"/>
    <cellStyle name="Normal 2 2 12" xfId="9503" xr:uid="{00000000-0005-0000-0000-0000F1240000}"/>
    <cellStyle name="Normal 2 2 13" xfId="9504" xr:uid="{00000000-0005-0000-0000-0000F2240000}"/>
    <cellStyle name="Normal 2 2 14" xfId="9505" xr:uid="{00000000-0005-0000-0000-0000F3240000}"/>
    <cellStyle name="Normal 2 2 15" xfId="9506" xr:uid="{00000000-0005-0000-0000-0000F4240000}"/>
    <cellStyle name="Normal 2 2 16" xfId="9507" xr:uid="{00000000-0005-0000-0000-0000F5240000}"/>
    <cellStyle name="Normal 2 2 17" xfId="9508" xr:uid="{00000000-0005-0000-0000-0000F6240000}"/>
    <cellStyle name="Normal 2 2 18" xfId="9509" xr:uid="{00000000-0005-0000-0000-0000F7240000}"/>
    <cellStyle name="Normal 2 2 19" xfId="9510" xr:uid="{00000000-0005-0000-0000-0000F8240000}"/>
    <cellStyle name="Normal 2 2 2" xfId="10" xr:uid="{00000000-0005-0000-0000-0000F9240000}"/>
    <cellStyle name="Normal 2 2 2 10" xfId="9511" xr:uid="{00000000-0005-0000-0000-0000FA240000}"/>
    <cellStyle name="Normal 2 2 2 10 10" xfId="9512" xr:uid="{00000000-0005-0000-0000-0000FB240000}"/>
    <cellStyle name="Normal 2 2 2 10 11" xfId="9513" xr:uid="{00000000-0005-0000-0000-0000FC240000}"/>
    <cellStyle name="Normal 2 2 2 10 12" xfId="9514" xr:uid="{00000000-0005-0000-0000-0000FD240000}"/>
    <cellStyle name="Normal 2 2 2 10 13" xfId="9515" xr:uid="{00000000-0005-0000-0000-0000FE240000}"/>
    <cellStyle name="Normal 2 2 2 10 14" xfId="9516" xr:uid="{00000000-0005-0000-0000-0000FF240000}"/>
    <cellStyle name="Normal 2 2 2 10 2" xfId="9517" xr:uid="{00000000-0005-0000-0000-000000250000}"/>
    <cellStyle name="Normal 2 2 2 10 2 10" xfId="9518" xr:uid="{00000000-0005-0000-0000-000001250000}"/>
    <cellStyle name="Normal 2 2 2 10 2 2" xfId="9519" xr:uid="{00000000-0005-0000-0000-000002250000}"/>
    <cellStyle name="Normal 2 2 2 10 2 3" xfId="9520" xr:uid="{00000000-0005-0000-0000-000003250000}"/>
    <cellStyle name="Normal 2 2 2 10 2 4" xfId="9521" xr:uid="{00000000-0005-0000-0000-000004250000}"/>
    <cellStyle name="Normal 2 2 2 10 2 5" xfId="9522" xr:uid="{00000000-0005-0000-0000-000005250000}"/>
    <cellStyle name="Normal 2 2 2 10 2 6" xfId="9523" xr:uid="{00000000-0005-0000-0000-000006250000}"/>
    <cellStyle name="Normal 2 2 2 10 2 7" xfId="9524" xr:uid="{00000000-0005-0000-0000-000007250000}"/>
    <cellStyle name="Normal 2 2 2 10 2 8" xfId="9525" xr:uid="{00000000-0005-0000-0000-000008250000}"/>
    <cellStyle name="Normal 2 2 2 10 2 9" xfId="9526" xr:uid="{00000000-0005-0000-0000-000009250000}"/>
    <cellStyle name="Normal 2 2 2 10 3" xfId="9527" xr:uid="{00000000-0005-0000-0000-00000A250000}"/>
    <cellStyle name="Normal 2 2 2 10 3 10" xfId="9528" xr:uid="{00000000-0005-0000-0000-00000B250000}"/>
    <cellStyle name="Normal 2 2 2 10 3 2" xfId="9529" xr:uid="{00000000-0005-0000-0000-00000C250000}"/>
    <cellStyle name="Normal 2 2 2 10 3 3" xfId="9530" xr:uid="{00000000-0005-0000-0000-00000D250000}"/>
    <cellStyle name="Normal 2 2 2 10 3 4" xfId="9531" xr:uid="{00000000-0005-0000-0000-00000E250000}"/>
    <cellStyle name="Normal 2 2 2 10 3 5" xfId="9532" xr:uid="{00000000-0005-0000-0000-00000F250000}"/>
    <cellStyle name="Normal 2 2 2 10 3 6" xfId="9533" xr:uid="{00000000-0005-0000-0000-000010250000}"/>
    <cellStyle name="Normal 2 2 2 10 3 7" xfId="9534" xr:uid="{00000000-0005-0000-0000-000011250000}"/>
    <cellStyle name="Normal 2 2 2 10 3 8" xfId="9535" xr:uid="{00000000-0005-0000-0000-000012250000}"/>
    <cellStyle name="Normal 2 2 2 10 3 9" xfId="9536" xr:uid="{00000000-0005-0000-0000-000013250000}"/>
    <cellStyle name="Normal 2 2 2 10 4" xfId="9537" xr:uid="{00000000-0005-0000-0000-000014250000}"/>
    <cellStyle name="Normal 2 2 2 10 4 10" xfId="9538" xr:uid="{00000000-0005-0000-0000-000015250000}"/>
    <cellStyle name="Normal 2 2 2 10 4 2" xfId="9539" xr:uid="{00000000-0005-0000-0000-000016250000}"/>
    <cellStyle name="Normal 2 2 2 10 4 3" xfId="9540" xr:uid="{00000000-0005-0000-0000-000017250000}"/>
    <cellStyle name="Normal 2 2 2 10 4 4" xfId="9541" xr:uid="{00000000-0005-0000-0000-000018250000}"/>
    <cellStyle name="Normal 2 2 2 10 4 5" xfId="9542" xr:uid="{00000000-0005-0000-0000-000019250000}"/>
    <cellStyle name="Normal 2 2 2 10 4 6" xfId="9543" xr:uid="{00000000-0005-0000-0000-00001A250000}"/>
    <cellStyle name="Normal 2 2 2 10 4 7" xfId="9544" xr:uid="{00000000-0005-0000-0000-00001B250000}"/>
    <cellStyle name="Normal 2 2 2 10 4 8" xfId="9545" xr:uid="{00000000-0005-0000-0000-00001C250000}"/>
    <cellStyle name="Normal 2 2 2 10 4 9" xfId="9546" xr:uid="{00000000-0005-0000-0000-00001D250000}"/>
    <cellStyle name="Normal 2 2 2 10 5" xfId="9547" xr:uid="{00000000-0005-0000-0000-00001E250000}"/>
    <cellStyle name="Normal 2 2 2 10 5 10" xfId="9548" xr:uid="{00000000-0005-0000-0000-00001F250000}"/>
    <cellStyle name="Normal 2 2 2 10 5 2" xfId="9549" xr:uid="{00000000-0005-0000-0000-000020250000}"/>
    <cellStyle name="Normal 2 2 2 10 5 3" xfId="9550" xr:uid="{00000000-0005-0000-0000-000021250000}"/>
    <cellStyle name="Normal 2 2 2 10 5 4" xfId="9551" xr:uid="{00000000-0005-0000-0000-000022250000}"/>
    <cellStyle name="Normal 2 2 2 10 5 5" xfId="9552" xr:uid="{00000000-0005-0000-0000-000023250000}"/>
    <cellStyle name="Normal 2 2 2 10 5 6" xfId="9553" xr:uid="{00000000-0005-0000-0000-000024250000}"/>
    <cellStyle name="Normal 2 2 2 10 5 7" xfId="9554" xr:uid="{00000000-0005-0000-0000-000025250000}"/>
    <cellStyle name="Normal 2 2 2 10 5 8" xfId="9555" xr:uid="{00000000-0005-0000-0000-000026250000}"/>
    <cellStyle name="Normal 2 2 2 10 5 9" xfId="9556" xr:uid="{00000000-0005-0000-0000-000027250000}"/>
    <cellStyle name="Normal 2 2 2 10 6" xfId="9557" xr:uid="{00000000-0005-0000-0000-000028250000}"/>
    <cellStyle name="Normal 2 2 2 10 7" xfId="9558" xr:uid="{00000000-0005-0000-0000-000029250000}"/>
    <cellStyle name="Normal 2 2 2 10 8" xfId="9559" xr:uid="{00000000-0005-0000-0000-00002A250000}"/>
    <cellStyle name="Normal 2 2 2 10 9" xfId="9560" xr:uid="{00000000-0005-0000-0000-00002B250000}"/>
    <cellStyle name="Normal 2 2 2 11" xfId="9561" xr:uid="{00000000-0005-0000-0000-00002C250000}"/>
    <cellStyle name="Normal 2 2 2 11 10" xfId="9562" xr:uid="{00000000-0005-0000-0000-00002D250000}"/>
    <cellStyle name="Normal 2 2 2 11 11" xfId="9563" xr:uid="{00000000-0005-0000-0000-00002E250000}"/>
    <cellStyle name="Normal 2 2 2 11 12" xfId="9564" xr:uid="{00000000-0005-0000-0000-00002F250000}"/>
    <cellStyle name="Normal 2 2 2 11 13" xfId="9565" xr:uid="{00000000-0005-0000-0000-000030250000}"/>
    <cellStyle name="Normal 2 2 2 11 14" xfId="9566" xr:uid="{00000000-0005-0000-0000-000031250000}"/>
    <cellStyle name="Normal 2 2 2 11 2" xfId="9567" xr:uid="{00000000-0005-0000-0000-000032250000}"/>
    <cellStyle name="Normal 2 2 2 11 2 10" xfId="9568" xr:uid="{00000000-0005-0000-0000-000033250000}"/>
    <cellStyle name="Normal 2 2 2 11 2 2" xfId="9569" xr:uid="{00000000-0005-0000-0000-000034250000}"/>
    <cellStyle name="Normal 2 2 2 11 2 3" xfId="9570" xr:uid="{00000000-0005-0000-0000-000035250000}"/>
    <cellStyle name="Normal 2 2 2 11 2 4" xfId="9571" xr:uid="{00000000-0005-0000-0000-000036250000}"/>
    <cellStyle name="Normal 2 2 2 11 2 5" xfId="9572" xr:uid="{00000000-0005-0000-0000-000037250000}"/>
    <cellStyle name="Normal 2 2 2 11 2 6" xfId="9573" xr:uid="{00000000-0005-0000-0000-000038250000}"/>
    <cellStyle name="Normal 2 2 2 11 2 7" xfId="9574" xr:uid="{00000000-0005-0000-0000-000039250000}"/>
    <cellStyle name="Normal 2 2 2 11 2 8" xfId="9575" xr:uid="{00000000-0005-0000-0000-00003A250000}"/>
    <cellStyle name="Normal 2 2 2 11 2 9" xfId="9576" xr:uid="{00000000-0005-0000-0000-00003B250000}"/>
    <cellStyle name="Normal 2 2 2 11 3" xfId="9577" xr:uid="{00000000-0005-0000-0000-00003C250000}"/>
    <cellStyle name="Normal 2 2 2 11 3 10" xfId="9578" xr:uid="{00000000-0005-0000-0000-00003D250000}"/>
    <cellStyle name="Normal 2 2 2 11 3 2" xfId="9579" xr:uid="{00000000-0005-0000-0000-00003E250000}"/>
    <cellStyle name="Normal 2 2 2 11 3 3" xfId="9580" xr:uid="{00000000-0005-0000-0000-00003F250000}"/>
    <cellStyle name="Normal 2 2 2 11 3 4" xfId="9581" xr:uid="{00000000-0005-0000-0000-000040250000}"/>
    <cellStyle name="Normal 2 2 2 11 3 5" xfId="9582" xr:uid="{00000000-0005-0000-0000-000041250000}"/>
    <cellStyle name="Normal 2 2 2 11 3 6" xfId="9583" xr:uid="{00000000-0005-0000-0000-000042250000}"/>
    <cellStyle name="Normal 2 2 2 11 3 7" xfId="9584" xr:uid="{00000000-0005-0000-0000-000043250000}"/>
    <cellStyle name="Normal 2 2 2 11 3 8" xfId="9585" xr:uid="{00000000-0005-0000-0000-000044250000}"/>
    <cellStyle name="Normal 2 2 2 11 3 9" xfId="9586" xr:uid="{00000000-0005-0000-0000-000045250000}"/>
    <cellStyle name="Normal 2 2 2 11 4" xfId="9587" xr:uid="{00000000-0005-0000-0000-000046250000}"/>
    <cellStyle name="Normal 2 2 2 11 4 10" xfId="9588" xr:uid="{00000000-0005-0000-0000-000047250000}"/>
    <cellStyle name="Normal 2 2 2 11 4 2" xfId="9589" xr:uid="{00000000-0005-0000-0000-000048250000}"/>
    <cellStyle name="Normal 2 2 2 11 4 3" xfId="9590" xr:uid="{00000000-0005-0000-0000-000049250000}"/>
    <cellStyle name="Normal 2 2 2 11 4 4" xfId="9591" xr:uid="{00000000-0005-0000-0000-00004A250000}"/>
    <cellStyle name="Normal 2 2 2 11 4 5" xfId="9592" xr:uid="{00000000-0005-0000-0000-00004B250000}"/>
    <cellStyle name="Normal 2 2 2 11 4 6" xfId="9593" xr:uid="{00000000-0005-0000-0000-00004C250000}"/>
    <cellStyle name="Normal 2 2 2 11 4 7" xfId="9594" xr:uid="{00000000-0005-0000-0000-00004D250000}"/>
    <cellStyle name="Normal 2 2 2 11 4 8" xfId="9595" xr:uid="{00000000-0005-0000-0000-00004E250000}"/>
    <cellStyle name="Normal 2 2 2 11 4 9" xfId="9596" xr:uid="{00000000-0005-0000-0000-00004F250000}"/>
    <cellStyle name="Normal 2 2 2 11 5" xfId="9597" xr:uid="{00000000-0005-0000-0000-000050250000}"/>
    <cellStyle name="Normal 2 2 2 11 5 10" xfId="9598" xr:uid="{00000000-0005-0000-0000-000051250000}"/>
    <cellStyle name="Normal 2 2 2 11 5 2" xfId="9599" xr:uid="{00000000-0005-0000-0000-000052250000}"/>
    <cellStyle name="Normal 2 2 2 11 5 3" xfId="9600" xr:uid="{00000000-0005-0000-0000-000053250000}"/>
    <cellStyle name="Normal 2 2 2 11 5 4" xfId="9601" xr:uid="{00000000-0005-0000-0000-000054250000}"/>
    <cellStyle name="Normal 2 2 2 11 5 5" xfId="9602" xr:uid="{00000000-0005-0000-0000-000055250000}"/>
    <cellStyle name="Normal 2 2 2 11 5 6" xfId="9603" xr:uid="{00000000-0005-0000-0000-000056250000}"/>
    <cellStyle name="Normal 2 2 2 11 5 7" xfId="9604" xr:uid="{00000000-0005-0000-0000-000057250000}"/>
    <cellStyle name="Normal 2 2 2 11 5 8" xfId="9605" xr:uid="{00000000-0005-0000-0000-000058250000}"/>
    <cellStyle name="Normal 2 2 2 11 5 9" xfId="9606" xr:uid="{00000000-0005-0000-0000-000059250000}"/>
    <cellStyle name="Normal 2 2 2 11 6" xfId="9607" xr:uid="{00000000-0005-0000-0000-00005A250000}"/>
    <cellStyle name="Normal 2 2 2 11 7" xfId="9608" xr:uid="{00000000-0005-0000-0000-00005B250000}"/>
    <cellStyle name="Normal 2 2 2 11 8" xfId="9609" xr:uid="{00000000-0005-0000-0000-00005C250000}"/>
    <cellStyle name="Normal 2 2 2 11 9" xfId="9610" xr:uid="{00000000-0005-0000-0000-00005D250000}"/>
    <cellStyle name="Normal 2 2 2 12" xfId="9611" xr:uid="{00000000-0005-0000-0000-00005E250000}"/>
    <cellStyle name="Normal 2 2 2 12 10" xfId="9612" xr:uid="{00000000-0005-0000-0000-00005F250000}"/>
    <cellStyle name="Normal 2 2 2 12 11" xfId="9613" xr:uid="{00000000-0005-0000-0000-000060250000}"/>
    <cellStyle name="Normal 2 2 2 12 12" xfId="9614" xr:uid="{00000000-0005-0000-0000-000061250000}"/>
    <cellStyle name="Normal 2 2 2 12 13" xfId="9615" xr:uid="{00000000-0005-0000-0000-000062250000}"/>
    <cellStyle name="Normal 2 2 2 12 14" xfId="9616" xr:uid="{00000000-0005-0000-0000-000063250000}"/>
    <cellStyle name="Normal 2 2 2 12 2" xfId="9617" xr:uid="{00000000-0005-0000-0000-000064250000}"/>
    <cellStyle name="Normal 2 2 2 12 2 10" xfId="9618" xr:uid="{00000000-0005-0000-0000-000065250000}"/>
    <cellStyle name="Normal 2 2 2 12 2 2" xfId="9619" xr:uid="{00000000-0005-0000-0000-000066250000}"/>
    <cellStyle name="Normal 2 2 2 12 2 3" xfId="9620" xr:uid="{00000000-0005-0000-0000-000067250000}"/>
    <cellStyle name="Normal 2 2 2 12 2 4" xfId="9621" xr:uid="{00000000-0005-0000-0000-000068250000}"/>
    <cellStyle name="Normal 2 2 2 12 2 5" xfId="9622" xr:uid="{00000000-0005-0000-0000-000069250000}"/>
    <cellStyle name="Normal 2 2 2 12 2 6" xfId="9623" xr:uid="{00000000-0005-0000-0000-00006A250000}"/>
    <cellStyle name="Normal 2 2 2 12 2 7" xfId="9624" xr:uid="{00000000-0005-0000-0000-00006B250000}"/>
    <cellStyle name="Normal 2 2 2 12 2 8" xfId="9625" xr:uid="{00000000-0005-0000-0000-00006C250000}"/>
    <cellStyle name="Normal 2 2 2 12 2 9" xfId="9626" xr:uid="{00000000-0005-0000-0000-00006D250000}"/>
    <cellStyle name="Normal 2 2 2 12 3" xfId="9627" xr:uid="{00000000-0005-0000-0000-00006E250000}"/>
    <cellStyle name="Normal 2 2 2 12 3 10" xfId="9628" xr:uid="{00000000-0005-0000-0000-00006F250000}"/>
    <cellStyle name="Normal 2 2 2 12 3 2" xfId="9629" xr:uid="{00000000-0005-0000-0000-000070250000}"/>
    <cellStyle name="Normal 2 2 2 12 3 3" xfId="9630" xr:uid="{00000000-0005-0000-0000-000071250000}"/>
    <cellStyle name="Normal 2 2 2 12 3 4" xfId="9631" xr:uid="{00000000-0005-0000-0000-000072250000}"/>
    <cellStyle name="Normal 2 2 2 12 3 5" xfId="9632" xr:uid="{00000000-0005-0000-0000-000073250000}"/>
    <cellStyle name="Normal 2 2 2 12 3 6" xfId="9633" xr:uid="{00000000-0005-0000-0000-000074250000}"/>
    <cellStyle name="Normal 2 2 2 12 3 7" xfId="9634" xr:uid="{00000000-0005-0000-0000-000075250000}"/>
    <cellStyle name="Normal 2 2 2 12 3 8" xfId="9635" xr:uid="{00000000-0005-0000-0000-000076250000}"/>
    <cellStyle name="Normal 2 2 2 12 3 9" xfId="9636" xr:uid="{00000000-0005-0000-0000-000077250000}"/>
    <cellStyle name="Normal 2 2 2 12 4" xfId="9637" xr:uid="{00000000-0005-0000-0000-000078250000}"/>
    <cellStyle name="Normal 2 2 2 12 4 10" xfId="9638" xr:uid="{00000000-0005-0000-0000-000079250000}"/>
    <cellStyle name="Normal 2 2 2 12 4 2" xfId="9639" xr:uid="{00000000-0005-0000-0000-00007A250000}"/>
    <cellStyle name="Normal 2 2 2 12 4 3" xfId="9640" xr:uid="{00000000-0005-0000-0000-00007B250000}"/>
    <cellStyle name="Normal 2 2 2 12 4 4" xfId="9641" xr:uid="{00000000-0005-0000-0000-00007C250000}"/>
    <cellStyle name="Normal 2 2 2 12 4 5" xfId="9642" xr:uid="{00000000-0005-0000-0000-00007D250000}"/>
    <cellStyle name="Normal 2 2 2 12 4 6" xfId="9643" xr:uid="{00000000-0005-0000-0000-00007E250000}"/>
    <cellStyle name="Normal 2 2 2 12 4 7" xfId="9644" xr:uid="{00000000-0005-0000-0000-00007F250000}"/>
    <cellStyle name="Normal 2 2 2 12 4 8" xfId="9645" xr:uid="{00000000-0005-0000-0000-000080250000}"/>
    <cellStyle name="Normal 2 2 2 12 4 9" xfId="9646" xr:uid="{00000000-0005-0000-0000-000081250000}"/>
    <cellStyle name="Normal 2 2 2 12 5" xfId="9647" xr:uid="{00000000-0005-0000-0000-000082250000}"/>
    <cellStyle name="Normal 2 2 2 12 5 10" xfId="9648" xr:uid="{00000000-0005-0000-0000-000083250000}"/>
    <cellStyle name="Normal 2 2 2 12 5 2" xfId="9649" xr:uid="{00000000-0005-0000-0000-000084250000}"/>
    <cellStyle name="Normal 2 2 2 12 5 3" xfId="9650" xr:uid="{00000000-0005-0000-0000-000085250000}"/>
    <cellStyle name="Normal 2 2 2 12 5 4" xfId="9651" xr:uid="{00000000-0005-0000-0000-000086250000}"/>
    <cellStyle name="Normal 2 2 2 12 5 5" xfId="9652" xr:uid="{00000000-0005-0000-0000-000087250000}"/>
    <cellStyle name="Normal 2 2 2 12 5 6" xfId="9653" xr:uid="{00000000-0005-0000-0000-000088250000}"/>
    <cellStyle name="Normal 2 2 2 12 5 7" xfId="9654" xr:uid="{00000000-0005-0000-0000-000089250000}"/>
    <cellStyle name="Normal 2 2 2 12 5 8" xfId="9655" xr:uid="{00000000-0005-0000-0000-00008A250000}"/>
    <cellStyle name="Normal 2 2 2 12 5 9" xfId="9656" xr:uid="{00000000-0005-0000-0000-00008B250000}"/>
    <cellStyle name="Normal 2 2 2 12 6" xfId="9657" xr:uid="{00000000-0005-0000-0000-00008C250000}"/>
    <cellStyle name="Normal 2 2 2 12 7" xfId="9658" xr:uid="{00000000-0005-0000-0000-00008D250000}"/>
    <cellStyle name="Normal 2 2 2 12 8" xfId="9659" xr:uid="{00000000-0005-0000-0000-00008E250000}"/>
    <cellStyle name="Normal 2 2 2 12 9" xfId="9660" xr:uid="{00000000-0005-0000-0000-00008F250000}"/>
    <cellStyle name="Normal 2 2 2 13" xfId="9661" xr:uid="{00000000-0005-0000-0000-000090250000}"/>
    <cellStyle name="Normal 2 2 2 13 10" xfId="9662" xr:uid="{00000000-0005-0000-0000-000091250000}"/>
    <cellStyle name="Normal 2 2 2 13 11" xfId="9663" xr:uid="{00000000-0005-0000-0000-000092250000}"/>
    <cellStyle name="Normal 2 2 2 13 12" xfId="9664" xr:uid="{00000000-0005-0000-0000-000093250000}"/>
    <cellStyle name="Normal 2 2 2 13 13" xfId="9665" xr:uid="{00000000-0005-0000-0000-000094250000}"/>
    <cellStyle name="Normal 2 2 2 13 14" xfId="9666" xr:uid="{00000000-0005-0000-0000-000095250000}"/>
    <cellStyle name="Normal 2 2 2 13 2" xfId="9667" xr:uid="{00000000-0005-0000-0000-000096250000}"/>
    <cellStyle name="Normal 2 2 2 13 2 10" xfId="9668" xr:uid="{00000000-0005-0000-0000-000097250000}"/>
    <cellStyle name="Normal 2 2 2 13 2 2" xfId="9669" xr:uid="{00000000-0005-0000-0000-000098250000}"/>
    <cellStyle name="Normal 2 2 2 13 2 3" xfId="9670" xr:uid="{00000000-0005-0000-0000-000099250000}"/>
    <cellStyle name="Normal 2 2 2 13 2 4" xfId="9671" xr:uid="{00000000-0005-0000-0000-00009A250000}"/>
    <cellStyle name="Normal 2 2 2 13 2 5" xfId="9672" xr:uid="{00000000-0005-0000-0000-00009B250000}"/>
    <cellStyle name="Normal 2 2 2 13 2 6" xfId="9673" xr:uid="{00000000-0005-0000-0000-00009C250000}"/>
    <cellStyle name="Normal 2 2 2 13 2 7" xfId="9674" xr:uid="{00000000-0005-0000-0000-00009D250000}"/>
    <cellStyle name="Normal 2 2 2 13 2 8" xfId="9675" xr:uid="{00000000-0005-0000-0000-00009E250000}"/>
    <cellStyle name="Normal 2 2 2 13 2 9" xfId="9676" xr:uid="{00000000-0005-0000-0000-00009F250000}"/>
    <cellStyle name="Normal 2 2 2 13 3" xfId="9677" xr:uid="{00000000-0005-0000-0000-0000A0250000}"/>
    <cellStyle name="Normal 2 2 2 13 3 10" xfId="9678" xr:uid="{00000000-0005-0000-0000-0000A1250000}"/>
    <cellStyle name="Normal 2 2 2 13 3 2" xfId="9679" xr:uid="{00000000-0005-0000-0000-0000A2250000}"/>
    <cellStyle name="Normal 2 2 2 13 3 3" xfId="9680" xr:uid="{00000000-0005-0000-0000-0000A3250000}"/>
    <cellStyle name="Normal 2 2 2 13 3 4" xfId="9681" xr:uid="{00000000-0005-0000-0000-0000A4250000}"/>
    <cellStyle name="Normal 2 2 2 13 3 5" xfId="9682" xr:uid="{00000000-0005-0000-0000-0000A5250000}"/>
    <cellStyle name="Normal 2 2 2 13 3 6" xfId="9683" xr:uid="{00000000-0005-0000-0000-0000A6250000}"/>
    <cellStyle name="Normal 2 2 2 13 3 7" xfId="9684" xr:uid="{00000000-0005-0000-0000-0000A7250000}"/>
    <cellStyle name="Normal 2 2 2 13 3 8" xfId="9685" xr:uid="{00000000-0005-0000-0000-0000A8250000}"/>
    <cellStyle name="Normal 2 2 2 13 3 9" xfId="9686" xr:uid="{00000000-0005-0000-0000-0000A9250000}"/>
    <cellStyle name="Normal 2 2 2 13 4" xfId="9687" xr:uid="{00000000-0005-0000-0000-0000AA250000}"/>
    <cellStyle name="Normal 2 2 2 13 4 10" xfId="9688" xr:uid="{00000000-0005-0000-0000-0000AB250000}"/>
    <cellStyle name="Normal 2 2 2 13 4 2" xfId="9689" xr:uid="{00000000-0005-0000-0000-0000AC250000}"/>
    <cellStyle name="Normal 2 2 2 13 4 3" xfId="9690" xr:uid="{00000000-0005-0000-0000-0000AD250000}"/>
    <cellStyle name="Normal 2 2 2 13 4 4" xfId="9691" xr:uid="{00000000-0005-0000-0000-0000AE250000}"/>
    <cellStyle name="Normal 2 2 2 13 4 5" xfId="9692" xr:uid="{00000000-0005-0000-0000-0000AF250000}"/>
    <cellStyle name="Normal 2 2 2 13 4 6" xfId="9693" xr:uid="{00000000-0005-0000-0000-0000B0250000}"/>
    <cellStyle name="Normal 2 2 2 13 4 7" xfId="9694" xr:uid="{00000000-0005-0000-0000-0000B1250000}"/>
    <cellStyle name="Normal 2 2 2 13 4 8" xfId="9695" xr:uid="{00000000-0005-0000-0000-0000B2250000}"/>
    <cellStyle name="Normal 2 2 2 13 4 9" xfId="9696" xr:uid="{00000000-0005-0000-0000-0000B3250000}"/>
    <cellStyle name="Normal 2 2 2 13 5" xfId="9697" xr:uid="{00000000-0005-0000-0000-0000B4250000}"/>
    <cellStyle name="Normal 2 2 2 13 5 10" xfId="9698" xr:uid="{00000000-0005-0000-0000-0000B5250000}"/>
    <cellStyle name="Normal 2 2 2 13 5 2" xfId="9699" xr:uid="{00000000-0005-0000-0000-0000B6250000}"/>
    <cellStyle name="Normal 2 2 2 13 5 3" xfId="9700" xr:uid="{00000000-0005-0000-0000-0000B7250000}"/>
    <cellStyle name="Normal 2 2 2 13 5 4" xfId="9701" xr:uid="{00000000-0005-0000-0000-0000B8250000}"/>
    <cellStyle name="Normal 2 2 2 13 5 5" xfId="9702" xr:uid="{00000000-0005-0000-0000-0000B9250000}"/>
    <cellStyle name="Normal 2 2 2 13 5 6" xfId="9703" xr:uid="{00000000-0005-0000-0000-0000BA250000}"/>
    <cellStyle name="Normal 2 2 2 13 5 7" xfId="9704" xr:uid="{00000000-0005-0000-0000-0000BB250000}"/>
    <cellStyle name="Normal 2 2 2 13 5 8" xfId="9705" xr:uid="{00000000-0005-0000-0000-0000BC250000}"/>
    <cellStyle name="Normal 2 2 2 13 5 9" xfId="9706" xr:uid="{00000000-0005-0000-0000-0000BD250000}"/>
    <cellStyle name="Normal 2 2 2 13 6" xfId="9707" xr:uid="{00000000-0005-0000-0000-0000BE250000}"/>
    <cellStyle name="Normal 2 2 2 13 7" xfId="9708" xr:uid="{00000000-0005-0000-0000-0000BF250000}"/>
    <cellStyle name="Normal 2 2 2 13 8" xfId="9709" xr:uid="{00000000-0005-0000-0000-0000C0250000}"/>
    <cellStyle name="Normal 2 2 2 13 9" xfId="9710" xr:uid="{00000000-0005-0000-0000-0000C1250000}"/>
    <cellStyle name="Normal 2 2 2 14" xfId="9711" xr:uid="{00000000-0005-0000-0000-0000C2250000}"/>
    <cellStyle name="Normal 2 2 2 14 10" xfId="9712" xr:uid="{00000000-0005-0000-0000-0000C3250000}"/>
    <cellStyle name="Normal 2 2 2 14 11" xfId="9713" xr:uid="{00000000-0005-0000-0000-0000C4250000}"/>
    <cellStyle name="Normal 2 2 2 14 12" xfId="9714" xr:uid="{00000000-0005-0000-0000-0000C5250000}"/>
    <cellStyle name="Normal 2 2 2 14 13" xfId="9715" xr:uid="{00000000-0005-0000-0000-0000C6250000}"/>
    <cellStyle name="Normal 2 2 2 14 14" xfId="9716" xr:uid="{00000000-0005-0000-0000-0000C7250000}"/>
    <cellStyle name="Normal 2 2 2 14 2" xfId="9717" xr:uid="{00000000-0005-0000-0000-0000C8250000}"/>
    <cellStyle name="Normal 2 2 2 14 2 10" xfId="9718" xr:uid="{00000000-0005-0000-0000-0000C9250000}"/>
    <cellStyle name="Normal 2 2 2 14 2 2" xfId="9719" xr:uid="{00000000-0005-0000-0000-0000CA250000}"/>
    <cellStyle name="Normal 2 2 2 14 2 3" xfId="9720" xr:uid="{00000000-0005-0000-0000-0000CB250000}"/>
    <cellStyle name="Normal 2 2 2 14 2 4" xfId="9721" xr:uid="{00000000-0005-0000-0000-0000CC250000}"/>
    <cellStyle name="Normal 2 2 2 14 2 5" xfId="9722" xr:uid="{00000000-0005-0000-0000-0000CD250000}"/>
    <cellStyle name="Normal 2 2 2 14 2 6" xfId="9723" xr:uid="{00000000-0005-0000-0000-0000CE250000}"/>
    <cellStyle name="Normal 2 2 2 14 2 7" xfId="9724" xr:uid="{00000000-0005-0000-0000-0000CF250000}"/>
    <cellStyle name="Normal 2 2 2 14 2 8" xfId="9725" xr:uid="{00000000-0005-0000-0000-0000D0250000}"/>
    <cellStyle name="Normal 2 2 2 14 2 9" xfId="9726" xr:uid="{00000000-0005-0000-0000-0000D1250000}"/>
    <cellStyle name="Normal 2 2 2 14 3" xfId="9727" xr:uid="{00000000-0005-0000-0000-0000D2250000}"/>
    <cellStyle name="Normal 2 2 2 14 3 10" xfId="9728" xr:uid="{00000000-0005-0000-0000-0000D3250000}"/>
    <cellStyle name="Normal 2 2 2 14 3 2" xfId="9729" xr:uid="{00000000-0005-0000-0000-0000D4250000}"/>
    <cellStyle name="Normal 2 2 2 14 3 3" xfId="9730" xr:uid="{00000000-0005-0000-0000-0000D5250000}"/>
    <cellStyle name="Normal 2 2 2 14 3 4" xfId="9731" xr:uid="{00000000-0005-0000-0000-0000D6250000}"/>
    <cellStyle name="Normal 2 2 2 14 3 5" xfId="9732" xr:uid="{00000000-0005-0000-0000-0000D7250000}"/>
    <cellStyle name="Normal 2 2 2 14 3 6" xfId="9733" xr:uid="{00000000-0005-0000-0000-0000D8250000}"/>
    <cellStyle name="Normal 2 2 2 14 3 7" xfId="9734" xr:uid="{00000000-0005-0000-0000-0000D9250000}"/>
    <cellStyle name="Normal 2 2 2 14 3 8" xfId="9735" xr:uid="{00000000-0005-0000-0000-0000DA250000}"/>
    <cellStyle name="Normal 2 2 2 14 3 9" xfId="9736" xr:uid="{00000000-0005-0000-0000-0000DB250000}"/>
    <cellStyle name="Normal 2 2 2 14 4" xfId="9737" xr:uid="{00000000-0005-0000-0000-0000DC250000}"/>
    <cellStyle name="Normal 2 2 2 14 4 10" xfId="9738" xr:uid="{00000000-0005-0000-0000-0000DD250000}"/>
    <cellStyle name="Normal 2 2 2 14 4 2" xfId="9739" xr:uid="{00000000-0005-0000-0000-0000DE250000}"/>
    <cellStyle name="Normal 2 2 2 14 4 3" xfId="9740" xr:uid="{00000000-0005-0000-0000-0000DF250000}"/>
    <cellStyle name="Normal 2 2 2 14 4 4" xfId="9741" xr:uid="{00000000-0005-0000-0000-0000E0250000}"/>
    <cellStyle name="Normal 2 2 2 14 4 5" xfId="9742" xr:uid="{00000000-0005-0000-0000-0000E1250000}"/>
    <cellStyle name="Normal 2 2 2 14 4 6" xfId="9743" xr:uid="{00000000-0005-0000-0000-0000E2250000}"/>
    <cellStyle name="Normal 2 2 2 14 4 7" xfId="9744" xr:uid="{00000000-0005-0000-0000-0000E3250000}"/>
    <cellStyle name="Normal 2 2 2 14 4 8" xfId="9745" xr:uid="{00000000-0005-0000-0000-0000E4250000}"/>
    <cellStyle name="Normal 2 2 2 14 4 9" xfId="9746" xr:uid="{00000000-0005-0000-0000-0000E5250000}"/>
    <cellStyle name="Normal 2 2 2 14 5" xfId="9747" xr:uid="{00000000-0005-0000-0000-0000E6250000}"/>
    <cellStyle name="Normal 2 2 2 14 5 10" xfId="9748" xr:uid="{00000000-0005-0000-0000-0000E7250000}"/>
    <cellStyle name="Normal 2 2 2 14 5 2" xfId="9749" xr:uid="{00000000-0005-0000-0000-0000E8250000}"/>
    <cellStyle name="Normal 2 2 2 14 5 3" xfId="9750" xr:uid="{00000000-0005-0000-0000-0000E9250000}"/>
    <cellStyle name="Normal 2 2 2 14 5 4" xfId="9751" xr:uid="{00000000-0005-0000-0000-0000EA250000}"/>
    <cellStyle name="Normal 2 2 2 14 5 5" xfId="9752" xr:uid="{00000000-0005-0000-0000-0000EB250000}"/>
    <cellStyle name="Normal 2 2 2 14 5 6" xfId="9753" xr:uid="{00000000-0005-0000-0000-0000EC250000}"/>
    <cellStyle name="Normal 2 2 2 14 5 7" xfId="9754" xr:uid="{00000000-0005-0000-0000-0000ED250000}"/>
    <cellStyle name="Normal 2 2 2 14 5 8" xfId="9755" xr:uid="{00000000-0005-0000-0000-0000EE250000}"/>
    <cellStyle name="Normal 2 2 2 14 5 9" xfId="9756" xr:uid="{00000000-0005-0000-0000-0000EF250000}"/>
    <cellStyle name="Normal 2 2 2 14 6" xfId="9757" xr:uid="{00000000-0005-0000-0000-0000F0250000}"/>
    <cellStyle name="Normal 2 2 2 14 7" xfId="9758" xr:uid="{00000000-0005-0000-0000-0000F1250000}"/>
    <cellStyle name="Normal 2 2 2 14 8" xfId="9759" xr:uid="{00000000-0005-0000-0000-0000F2250000}"/>
    <cellStyle name="Normal 2 2 2 14 9" xfId="9760" xr:uid="{00000000-0005-0000-0000-0000F3250000}"/>
    <cellStyle name="Normal 2 2 2 15" xfId="9761" xr:uid="{00000000-0005-0000-0000-0000F4250000}"/>
    <cellStyle name="Normal 2 2 2 15 10" xfId="9762" xr:uid="{00000000-0005-0000-0000-0000F5250000}"/>
    <cellStyle name="Normal 2 2 2 15 11" xfId="9763" xr:uid="{00000000-0005-0000-0000-0000F6250000}"/>
    <cellStyle name="Normal 2 2 2 15 12" xfId="9764" xr:uid="{00000000-0005-0000-0000-0000F7250000}"/>
    <cellStyle name="Normal 2 2 2 15 13" xfId="9765" xr:uid="{00000000-0005-0000-0000-0000F8250000}"/>
    <cellStyle name="Normal 2 2 2 15 14" xfId="9766" xr:uid="{00000000-0005-0000-0000-0000F9250000}"/>
    <cellStyle name="Normal 2 2 2 15 2" xfId="9767" xr:uid="{00000000-0005-0000-0000-0000FA250000}"/>
    <cellStyle name="Normal 2 2 2 15 2 10" xfId="9768" xr:uid="{00000000-0005-0000-0000-0000FB250000}"/>
    <cellStyle name="Normal 2 2 2 15 2 2" xfId="9769" xr:uid="{00000000-0005-0000-0000-0000FC250000}"/>
    <cellStyle name="Normal 2 2 2 15 2 3" xfId="9770" xr:uid="{00000000-0005-0000-0000-0000FD250000}"/>
    <cellStyle name="Normal 2 2 2 15 2 4" xfId="9771" xr:uid="{00000000-0005-0000-0000-0000FE250000}"/>
    <cellStyle name="Normal 2 2 2 15 2 5" xfId="9772" xr:uid="{00000000-0005-0000-0000-0000FF250000}"/>
    <cellStyle name="Normal 2 2 2 15 2 6" xfId="9773" xr:uid="{00000000-0005-0000-0000-000000260000}"/>
    <cellStyle name="Normal 2 2 2 15 2 7" xfId="9774" xr:uid="{00000000-0005-0000-0000-000001260000}"/>
    <cellStyle name="Normal 2 2 2 15 2 8" xfId="9775" xr:uid="{00000000-0005-0000-0000-000002260000}"/>
    <cellStyle name="Normal 2 2 2 15 2 9" xfId="9776" xr:uid="{00000000-0005-0000-0000-000003260000}"/>
    <cellStyle name="Normal 2 2 2 15 3" xfId="9777" xr:uid="{00000000-0005-0000-0000-000004260000}"/>
    <cellStyle name="Normal 2 2 2 15 3 10" xfId="9778" xr:uid="{00000000-0005-0000-0000-000005260000}"/>
    <cellStyle name="Normal 2 2 2 15 3 2" xfId="9779" xr:uid="{00000000-0005-0000-0000-000006260000}"/>
    <cellStyle name="Normal 2 2 2 15 3 3" xfId="9780" xr:uid="{00000000-0005-0000-0000-000007260000}"/>
    <cellStyle name="Normal 2 2 2 15 3 4" xfId="9781" xr:uid="{00000000-0005-0000-0000-000008260000}"/>
    <cellStyle name="Normal 2 2 2 15 3 5" xfId="9782" xr:uid="{00000000-0005-0000-0000-000009260000}"/>
    <cellStyle name="Normal 2 2 2 15 3 6" xfId="9783" xr:uid="{00000000-0005-0000-0000-00000A260000}"/>
    <cellStyle name="Normal 2 2 2 15 3 7" xfId="9784" xr:uid="{00000000-0005-0000-0000-00000B260000}"/>
    <cellStyle name="Normal 2 2 2 15 3 8" xfId="9785" xr:uid="{00000000-0005-0000-0000-00000C260000}"/>
    <cellStyle name="Normal 2 2 2 15 3 9" xfId="9786" xr:uid="{00000000-0005-0000-0000-00000D260000}"/>
    <cellStyle name="Normal 2 2 2 15 4" xfId="9787" xr:uid="{00000000-0005-0000-0000-00000E260000}"/>
    <cellStyle name="Normal 2 2 2 15 4 10" xfId="9788" xr:uid="{00000000-0005-0000-0000-00000F260000}"/>
    <cellStyle name="Normal 2 2 2 15 4 2" xfId="9789" xr:uid="{00000000-0005-0000-0000-000010260000}"/>
    <cellStyle name="Normal 2 2 2 15 4 3" xfId="9790" xr:uid="{00000000-0005-0000-0000-000011260000}"/>
    <cellStyle name="Normal 2 2 2 15 4 4" xfId="9791" xr:uid="{00000000-0005-0000-0000-000012260000}"/>
    <cellStyle name="Normal 2 2 2 15 4 5" xfId="9792" xr:uid="{00000000-0005-0000-0000-000013260000}"/>
    <cellStyle name="Normal 2 2 2 15 4 6" xfId="9793" xr:uid="{00000000-0005-0000-0000-000014260000}"/>
    <cellStyle name="Normal 2 2 2 15 4 7" xfId="9794" xr:uid="{00000000-0005-0000-0000-000015260000}"/>
    <cellStyle name="Normal 2 2 2 15 4 8" xfId="9795" xr:uid="{00000000-0005-0000-0000-000016260000}"/>
    <cellStyle name="Normal 2 2 2 15 4 9" xfId="9796" xr:uid="{00000000-0005-0000-0000-000017260000}"/>
    <cellStyle name="Normal 2 2 2 15 5" xfId="9797" xr:uid="{00000000-0005-0000-0000-000018260000}"/>
    <cellStyle name="Normal 2 2 2 15 5 10" xfId="9798" xr:uid="{00000000-0005-0000-0000-000019260000}"/>
    <cellStyle name="Normal 2 2 2 15 5 2" xfId="9799" xr:uid="{00000000-0005-0000-0000-00001A260000}"/>
    <cellStyle name="Normal 2 2 2 15 5 3" xfId="9800" xr:uid="{00000000-0005-0000-0000-00001B260000}"/>
    <cellStyle name="Normal 2 2 2 15 5 4" xfId="9801" xr:uid="{00000000-0005-0000-0000-00001C260000}"/>
    <cellStyle name="Normal 2 2 2 15 5 5" xfId="9802" xr:uid="{00000000-0005-0000-0000-00001D260000}"/>
    <cellStyle name="Normal 2 2 2 15 5 6" xfId="9803" xr:uid="{00000000-0005-0000-0000-00001E260000}"/>
    <cellStyle name="Normal 2 2 2 15 5 7" xfId="9804" xr:uid="{00000000-0005-0000-0000-00001F260000}"/>
    <cellStyle name="Normal 2 2 2 15 5 8" xfId="9805" xr:uid="{00000000-0005-0000-0000-000020260000}"/>
    <cellStyle name="Normal 2 2 2 15 5 9" xfId="9806" xr:uid="{00000000-0005-0000-0000-000021260000}"/>
    <cellStyle name="Normal 2 2 2 15 6" xfId="9807" xr:uid="{00000000-0005-0000-0000-000022260000}"/>
    <cellStyle name="Normal 2 2 2 15 7" xfId="9808" xr:uid="{00000000-0005-0000-0000-000023260000}"/>
    <cellStyle name="Normal 2 2 2 15 8" xfId="9809" xr:uid="{00000000-0005-0000-0000-000024260000}"/>
    <cellStyle name="Normal 2 2 2 15 9" xfId="9810" xr:uid="{00000000-0005-0000-0000-000025260000}"/>
    <cellStyle name="Normal 2 2 2 16" xfId="9811" xr:uid="{00000000-0005-0000-0000-000026260000}"/>
    <cellStyle name="Normal 2 2 2 16 10" xfId="9812" xr:uid="{00000000-0005-0000-0000-000027260000}"/>
    <cellStyle name="Normal 2 2 2 16 11" xfId="9813" xr:uid="{00000000-0005-0000-0000-000028260000}"/>
    <cellStyle name="Normal 2 2 2 16 12" xfId="9814" xr:uid="{00000000-0005-0000-0000-000029260000}"/>
    <cellStyle name="Normal 2 2 2 16 13" xfId="9815" xr:uid="{00000000-0005-0000-0000-00002A260000}"/>
    <cellStyle name="Normal 2 2 2 16 14" xfId="9816" xr:uid="{00000000-0005-0000-0000-00002B260000}"/>
    <cellStyle name="Normal 2 2 2 16 2" xfId="9817" xr:uid="{00000000-0005-0000-0000-00002C260000}"/>
    <cellStyle name="Normal 2 2 2 16 2 10" xfId="9818" xr:uid="{00000000-0005-0000-0000-00002D260000}"/>
    <cellStyle name="Normal 2 2 2 16 2 2" xfId="9819" xr:uid="{00000000-0005-0000-0000-00002E260000}"/>
    <cellStyle name="Normal 2 2 2 16 2 3" xfId="9820" xr:uid="{00000000-0005-0000-0000-00002F260000}"/>
    <cellStyle name="Normal 2 2 2 16 2 4" xfId="9821" xr:uid="{00000000-0005-0000-0000-000030260000}"/>
    <cellStyle name="Normal 2 2 2 16 2 5" xfId="9822" xr:uid="{00000000-0005-0000-0000-000031260000}"/>
    <cellStyle name="Normal 2 2 2 16 2 6" xfId="9823" xr:uid="{00000000-0005-0000-0000-000032260000}"/>
    <cellStyle name="Normal 2 2 2 16 2 7" xfId="9824" xr:uid="{00000000-0005-0000-0000-000033260000}"/>
    <cellStyle name="Normal 2 2 2 16 2 8" xfId="9825" xr:uid="{00000000-0005-0000-0000-000034260000}"/>
    <cellStyle name="Normal 2 2 2 16 2 9" xfId="9826" xr:uid="{00000000-0005-0000-0000-000035260000}"/>
    <cellStyle name="Normal 2 2 2 16 3" xfId="9827" xr:uid="{00000000-0005-0000-0000-000036260000}"/>
    <cellStyle name="Normal 2 2 2 16 3 10" xfId="9828" xr:uid="{00000000-0005-0000-0000-000037260000}"/>
    <cellStyle name="Normal 2 2 2 16 3 2" xfId="9829" xr:uid="{00000000-0005-0000-0000-000038260000}"/>
    <cellStyle name="Normal 2 2 2 16 3 3" xfId="9830" xr:uid="{00000000-0005-0000-0000-000039260000}"/>
    <cellStyle name="Normal 2 2 2 16 3 4" xfId="9831" xr:uid="{00000000-0005-0000-0000-00003A260000}"/>
    <cellStyle name="Normal 2 2 2 16 3 5" xfId="9832" xr:uid="{00000000-0005-0000-0000-00003B260000}"/>
    <cellStyle name="Normal 2 2 2 16 3 6" xfId="9833" xr:uid="{00000000-0005-0000-0000-00003C260000}"/>
    <cellStyle name="Normal 2 2 2 16 3 7" xfId="9834" xr:uid="{00000000-0005-0000-0000-00003D260000}"/>
    <cellStyle name="Normal 2 2 2 16 3 8" xfId="9835" xr:uid="{00000000-0005-0000-0000-00003E260000}"/>
    <cellStyle name="Normal 2 2 2 16 3 9" xfId="9836" xr:uid="{00000000-0005-0000-0000-00003F260000}"/>
    <cellStyle name="Normal 2 2 2 16 4" xfId="9837" xr:uid="{00000000-0005-0000-0000-000040260000}"/>
    <cellStyle name="Normal 2 2 2 16 4 10" xfId="9838" xr:uid="{00000000-0005-0000-0000-000041260000}"/>
    <cellStyle name="Normal 2 2 2 16 4 2" xfId="9839" xr:uid="{00000000-0005-0000-0000-000042260000}"/>
    <cellStyle name="Normal 2 2 2 16 4 3" xfId="9840" xr:uid="{00000000-0005-0000-0000-000043260000}"/>
    <cellStyle name="Normal 2 2 2 16 4 4" xfId="9841" xr:uid="{00000000-0005-0000-0000-000044260000}"/>
    <cellStyle name="Normal 2 2 2 16 4 5" xfId="9842" xr:uid="{00000000-0005-0000-0000-000045260000}"/>
    <cellStyle name="Normal 2 2 2 16 4 6" xfId="9843" xr:uid="{00000000-0005-0000-0000-000046260000}"/>
    <cellStyle name="Normal 2 2 2 16 4 7" xfId="9844" xr:uid="{00000000-0005-0000-0000-000047260000}"/>
    <cellStyle name="Normal 2 2 2 16 4 8" xfId="9845" xr:uid="{00000000-0005-0000-0000-000048260000}"/>
    <cellStyle name="Normal 2 2 2 16 4 9" xfId="9846" xr:uid="{00000000-0005-0000-0000-000049260000}"/>
    <cellStyle name="Normal 2 2 2 16 5" xfId="9847" xr:uid="{00000000-0005-0000-0000-00004A260000}"/>
    <cellStyle name="Normal 2 2 2 16 5 10" xfId="9848" xr:uid="{00000000-0005-0000-0000-00004B260000}"/>
    <cellStyle name="Normal 2 2 2 16 5 2" xfId="9849" xr:uid="{00000000-0005-0000-0000-00004C260000}"/>
    <cellStyle name="Normal 2 2 2 16 5 3" xfId="9850" xr:uid="{00000000-0005-0000-0000-00004D260000}"/>
    <cellStyle name="Normal 2 2 2 16 5 4" xfId="9851" xr:uid="{00000000-0005-0000-0000-00004E260000}"/>
    <cellStyle name="Normal 2 2 2 16 5 5" xfId="9852" xr:uid="{00000000-0005-0000-0000-00004F260000}"/>
    <cellStyle name="Normal 2 2 2 16 5 6" xfId="9853" xr:uid="{00000000-0005-0000-0000-000050260000}"/>
    <cellStyle name="Normal 2 2 2 16 5 7" xfId="9854" xr:uid="{00000000-0005-0000-0000-000051260000}"/>
    <cellStyle name="Normal 2 2 2 16 5 8" xfId="9855" xr:uid="{00000000-0005-0000-0000-000052260000}"/>
    <cellStyle name="Normal 2 2 2 16 5 9" xfId="9856" xr:uid="{00000000-0005-0000-0000-000053260000}"/>
    <cellStyle name="Normal 2 2 2 16 6" xfId="9857" xr:uid="{00000000-0005-0000-0000-000054260000}"/>
    <cellStyle name="Normal 2 2 2 16 7" xfId="9858" xr:uid="{00000000-0005-0000-0000-000055260000}"/>
    <cellStyle name="Normal 2 2 2 16 8" xfId="9859" xr:uid="{00000000-0005-0000-0000-000056260000}"/>
    <cellStyle name="Normal 2 2 2 16 9" xfId="9860" xr:uid="{00000000-0005-0000-0000-000057260000}"/>
    <cellStyle name="Normal 2 2 2 17" xfId="9861" xr:uid="{00000000-0005-0000-0000-000058260000}"/>
    <cellStyle name="Normal 2 2 2 17 10" xfId="9862" xr:uid="{00000000-0005-0000-0000-000059260000}"/>
    <cellStyle name="Normal 2 2 2 17 11" xfId="9863" xr:uid="{00000000-0005-0000-0000-00005A260000}"/>
    <cellStyle name="Normal 2 2 2 17 12" xfId="9864" xr:uid="{00000000-0005-0000-0000-00005B260000}"/>
    <cellStyle name="Normal 2 2 2 17 13" xfId="9865" xr:uid="{00000000-0005-0000-0000-00005C260000}"/>
    <cellStyle name="Normal 2 2 2 17 14" xfId="9866" xr:uid="{00000000-0005-0000-0000-00005D260000}"/>
    <cellStyle name="Normal 2 2 2 17 2" xfId="9867" xr:uid="{00000000-0005-0000-0000-00005E260000}"/>
    <cellStyle name="Normal 2 2 2 17 2 10" xfId="9868" xr:uid="{00000000-0005-0000-0000-00005F260000}"/>
    <cellStyle name="Normal 2 2 2 17 2 2" xfId="9869" xr:uid="{00000000-0005-0000-0000-000060260000}"/>
    <cellStyle name="Normal 2 2 2 17 2 3" xfId="9870" xr:uid="{00000000-0005-0000-0000-000061260000}"/>
    <cellStyle name="Normal 2 2 2 17 2 4" xfId="9871" xr:uid="{00000000-0005-0000-0000-000062260000}"/>
    <cellStyle name="Normal 2 2 2 17 2 5" xfId="9872" xr:uid="{00000000-0005-0000-0000-000063260000}"/>
    <cellStyle name="Normal 2 2 2 17 2 6" xfId="9873" xr:uid="{00000000-0005-0000-0000-000064260000}"/>
    <cellStyle name="Normal 2 2 2 17 2 7" xfId="9874" xr:uid="{00000000-0005-0000-0000-000065260000}"/>
    <cellStyle name="Normal 2 2 2 17 2 8" xfId="9875" xr:uid="{00000000-0005-0000-0000-000066260000}"/>
    <cellStyle name="Normal 2 2 2 17 2 9" xfId="9876" xr:uid="{00000000-0005-0000-0000-000067260000}"/>
    <cellStyle name="Normal 2 2 2 17 3" xfId="9877" xr:uid="{00000000-0005-0000-0000-000068260000}"/>
    <cellStyle name="Normal 2 2 2 17 3 10" xfId="9878" xr:uid="{00000000-0005-0000-0000-000069260000}"/>
    <cellStyle name="Normal 2 2 2 17 3 2" xfId="9879" xr:uid="{00000000-0005-0000-0000-00006A260000}"/>
    <cellStyle name="Normal 2 2 2 17 3 3" xfId="9880" xr:uid="{00000000-0005-0000-0000-00006B260000}"/>
    <cellStyle name="Normal 2 2 2 17 3 4" xfId="9881" xr:uid="{00000000-0005-0000-0000-00006C260000}"/>
    <cellStyle name="Normal 2 2 2 17 3 5" xfId="9882" xr:uid="{00000000-0005-0000-0000-00006D260000}"/>
    <cellStyle name="Normal 2 2 2 17 3 6" xfId="9883" xr:uid="{00000000-0005-0000-0000-00006E260000}"/>
    <cellStyle name="Normal 2 2 2 17 3 7" xfId="9884" xr:uid="{00000000-0005-0000-0000-00006F260000}"/>
    <cellStyle name="Normal 2 2 2 17 3 8" xfId="9885" xr:uid="{00000000-0005-0000-0000-000070260000}"/>
    <cellStyle name="Normal 2 2 2 17 3 9" xfId="9886" xr:uid="{00000000-0005-0000-0000-000071260000}"/>
    <cellStyle name="Normal 2 2 2 17 4" xfId="9887" xr:uid="{00000000-0005-0000-0000-000072260000}"/>
    <cellStyle name="Normal 2 2 2 17 4 10" xfId="9888" xr:uid="{00000000-0005-0000-0000-000073260000}"/>
    <cellStyle name="Normal 2 2 2 17 4 2" xfId="9889" xr:uid="{00000000-0005-0000-0000-000074260000}"/>
    <cellStyle name="Normal 2 2 2 17 4 3" xfId="9890" xr:uid="{00000000-0005-0000-0000-000075260000}"/>
    <cellStyle name="Normal 2 2 2 17 4 4" xfId="9891" xr:uid="{00000000-0005-0000-0000-000076260000}"/>
    <cellStyle name="Normal 2 2 2 17 4 5" xfId="9892" xr:uid="{00000000-0005-0000-0000-000077260000}"/>
    <cellStyle name="Normal 2 2 2 17 4 6" xfId="9893" xr:uid="{00000000-0005-0000-0000-000078260000}"/>
    <cellStyle name="Normal 2 2 2 17 4 7" xfId="9894" xr:uid="{00000000-0005-0000-0000-000079260000}"/>
    <cellStyle name="Normal 2 2 2 17 4 8" xfId="9895" xr:uid="{00000000-0005-0000-0000-00007A260000}"/>
    <cellStyle name="Normal 2 2 2 17 4 9" xfId="9896" xr:uid="{00000000-0005-0000-0000-00007B260000}"/>
    <cellStyle name="Normal 2 2 2 17 5" xfId="9897" xr:uid="{00000000-0005-0000-0000-00007C260000}"/>
    <cellStyle name="Normal 2 2 2 17 5 10" xfId="9898" xr:uid="{00000000-0005-0000-0000-00007D260000}"/>
    <cellStyle name="Normal 2 2 2 17 5 2" xfId="9899" xr:uid="{00000000-0005-0000-0000-00007E260000}"/>
    <cellStyle name="Normal 2 2 2 17 5 3" xfId="9900" xr:uid="{00000000-0005-0000-0000-00007F260000}"/>
    <cellStyle name="Normal 2 2 2 17 5 4" xfId="9901" xr:uid="{00000000-0005-0000-0000-000080260000}"/>
    <cellStyle name="Normal 2 2 2 17 5 5" xfId="9902" xr:uid="{00000000-0005-0000-0000-000081260000}"/>
    <cellStyle name="Normal 2 2 2 17 5 6" xfId="9903" xr:uid="{00000000-0005-0000-0000-000082260000}"/>
    <cellStyle name="Normal 2 2 2 17 5 7" xfId="9904" xr:uid="{00000000-0005-0000-0000-000083260000}"/>
    <cellStyle name="Normal 2 2 2 17 5 8" xfId="9905" xr:uid="{00000000-0005-0000-0000-000084260000}"/>
    <cellStyle name="Normal 2 2 2 17 5 9" xfId="9906" xr:uid="{00000000-0005-0000-0000-000085260000}"/>
    <cellStyle name="Normal 2 2 2 17 6" xfId="9907" xr:uid="{00000000-0005-0000-0000-000086260000}"/>
    <cellStyle name="Normal 2 2 2 17 7" xfId="9908" xr:uid="{00000000-0005-0000-0000-000087260000}"/>
    <cellStyle name="Normal 2 2 2 17 8" xfId="9909" xr:uid="{00000000-0005-0000-0000-000088260000}"/>
    <cellStyle name="Normal 2 2 2 17 9" xfId="9910" xr:uid="{00000000-0005-0000-0000-000089260000}"/>
    <cellStyle name="Normal 2 2 2 18" xfId="9911" xr:uid="{00000000-0005-0000-0000-00008A260000}"/>
    <cellStyle name="Normal 2 2 2 18 10" xfId="9912" xr:uid="{00000000-0005-0000-0000-00008B260000}"/>
    <cellStyle name="Normal 2 2 2 18 11" xfId="9913" xr:uid="{00000000-0005-0000-0000-00008C260000}"/>
    <cellStyle name="Normal 2 2 2 18 12" xfId="9914" xr:uid="{00000000-0005-0000-0000-00008D260000}"/>
    <cellStyle name="Normal 2 2 2 18 13" xfId="9915" xr:uid="{00000000-0005-0000-0000-00008E260000}"/>
    <cellStyle name="Normal 2 2 2 18 14" xfId="9916" xr:uid="{00000000-0005-0000-0000-00008F260000}"/>
    <cellStyle name="Normal 2 2 2 18 2" xfId="9917" xr:uid="{00000000-0005-0000-0000-000090260000}"/>
    <cellStyle name="Normal 2 2 2 18 2 10" xfId="9918" xr:uid="{00000000-0005-0000-0000-000091260000}"/>
    <cellStyle name="Normal 2 2 2 18 2 2" xfId="9919" xr:uid="{00000000-0005-0000-0000-000092260000}"/>
    <cellStyle name="Normal 2 2 2 18 2 3" xfId="9920" xr:uid="{00000000-0005-0000-0000-000093260000}"/>
    <cellStyle name="Normal 2 2 2 18 2 4" xfId="9921" xr:uid="{00000000-0005-0000-0000-000094260000}"/>
    <cellStyle name="Normal 2 2 2 18 2 5" xfId="9922" xr:uid="{00000000-0005-0000-0000-000095260000}"/>
    <cellStyle name="Normal 2 2 2 18 2 6" xfId="9923" xr:uid="{00000000-0005-0000-0000-000096260000}"/>
    <cellStyle name="Normal 2 2 2 18 2 7" xfId="9924" xr:uid="{00000000-0005-0000-0000-000097260000}"/>
    <cellStyle name="Normal 2 2 2 18 2 8" xfId="9925" xr:uid="{00000000-0005-0000-0000-000098260000}"/>
    <cellStyle name="Normal 2 2 2 18 2 9" xfId="9926" xr:uid="{00000000-0005-0000-0000-000099260000}"/>
    <cellStyle name="Normal 2 2 2 18 3" xfId="9927" xr:uid="{00000000-0005-0000-0000-00009A260000}"/>
    <cellStyle name="Normal 2 2 2 18 3 10" xfId="9928" xr:uid="{00000000-0005-0000-0000-00009B260000}"/>
    <cellStyle name="Normal 2 2 2 18 3 2" xfId="9929" xr:uid="{00000000-0005-0000-0000-00009C260000}"/>
    <cellStyle name="Normal 2 2 2 18 3 3" xfId="9930" xr:uid="{00000000-0005-0000-0000-00009D260000}"/>
    <cellStyle name="Normal 2 2 2 18 3 4" xfId="9931" xr:uid="{00000000-0005-0000-0000-00009E260000}"/>
    <cellStyle name="Normal 2 2 2 18 3 5" xfId="9932" xr:uid="{00000000-0005-0000-0000-00009F260000}"/>
    <cellStyle name="Normal 2 2 2 18 3 6" xfId="9933" xr:uid="{00000000-0005-0000-0000-0000A0260000}"/>
    <cellStyle name="Normal 2 2 2 18 3 7" xfId="9934" xr:uid="{00000000-0005-0000-0000-0000A1260000}"/>
    <cellStyle name="Normal 2 2 2 18 3 8" xfId="9935" xr:uid="{00000000-0005-0000-0000-0000A2260000}"/>
    <cellStyle name="Normal 2 2 2 18 3 9" xfId="9936" xr:uid="{00000000-0005-0000-0000-0000A3260000}"/>
    <cellStyle name="Normal 2 2 2 18 4" xfId="9937" xr:uid="{00000000-0005-0000-0000-0000A4260000}"/>
    <cellStyle name="Normal 2 2 2 18 4 10" xfId="9938" xr:uid="{00000000-0005-0000-0000-0000A5260000}"/>
    <cellStyle name="Normal 2 2 2 18 4 2" xfId="9939" xr:uid="{00000000-0005-0000-0000-0000A6260000}"/>
    <cellStyle name="Normal 2 2 2 18 4 3" xfId="9940" xr:uid="{00000000-0005-0000-0000-0000A7260000}"/>
    <cellStyle name="Normal 2 2 2 18 4 4" xfId="9941" xr:uid="{00000000-0005-0000-0000-0000A8260000}"/>
    <cellStyle name="Normal 2 2 2 18 4 5" xfId="9942" xr:uid="{00000000-0005-0000-0000-0000A9260000}"/>
    <cellStyle name="Normal 2 2 2 18 4 6" xfId="9943" xr:uid="{00000000-0005-0000-0000-0000AA260000}"/>
    <cellStyle name="Normal 2 2 2 18 4 7" xfId="9944" xr:uid="{00000000-0005-0000-0000-0000AB260000}"/>
    <cellStyle name="Normal 2 2 2 18 4 8" xfId="9945" xr:uid="{00000000-0005-0000-0000-0000AC260000}"/>
    <cellStyle name="Normal 2 2 2 18 4 9" xfId="9946" xr:uid="{00000000-0005-0000-0000-0000AD260000}"/>
    <cellStyle name="Normal 2 2 2 18 5" xfId="9947" xr:uid="{00000000-0005-0000-0000-0000AE260000}"/>
    <cellStyle name="Normal 2 2 2 18 5 10" xfId="9948" xr:uid="{00000000-0005-0000-0000-0000AF260000}"/>
    <cellStyle name="Normal 2 2 2 18 5 2" xfId="9949" xr:uid="{00000000-0005-0000-0000-0000B0260000}"/>
    <cellStyle name="Normal 2 2 2 18 5 3" xfId="9950" xr:uid="{00000000-0005-0000-0000-0000B1260000}"/>
    <cellStyle name="Normal 2 2 2 18 5 4" xfId="9951" xr:uid="{00000000-0005-0000-0000-0000B2260000}"/>
    <cellStyle name="Normal 2 2 2 18 5 5" xfId="9952" xr:uid="{00000000-0005-0000-0000-0000B3260000}"/>
    <cellStyle name="Normal 2 2 2 18 5 6" xfId="9953" xr:uid="{00000000-0005-0000-0000-0000B4260000}"/>
    <cellStyle name="Normal 2 2 2 18 5 7" xfId="9954" xr:uid="{00000000-0005-0000-0000-0000B5260000}"/>
    <cellStyle name="Normal 2 2 2 18 5 8" xfId="9955" xr:uid="{00000000-0005-0000-0000-0000B6260000}"/>
    <cellStyle name="Normal 2 2 2 18 5 9" xfId="9956" xr:uid="{00000000-0005-0000-0000-0000B7260000}"/>
    <cellStyle name="Normal 2 2 2 18 6" xfId="9957" xr:uid="{00000000-0005-0000-0000-0000B8260000}"/>
    <cellStyle name="Normal 2 2 2 18 7" xfId="9958" xr:uid="{00000000-0005-0000-0000-0000B9260000}"/>
    <cellStyle name="Normal 2 2 2 18 8" xfId="9959" xr:uid="{00000000-0005-0000-0000-0000BA260000}"/>
    <cellStyle name="Normal 2 2 2 18 9" xfId="9960" xr:uid="{00000000-0005-0000-0000-0000BB260000}"/>
    <cellStyle name="Normal 2 2 2 19" xfId="9961" xr:uid="{00000000-0005-0000-0000-0000BC260000}"/>
    <cellStyle name="Normal 2 2 2 19 10" xfId="9962" xr:uid="{00000000-0005-0000-0000-0000BD260000}"/>
    <cellStyle name="Normal 2 2 2 19 11" xfId="9963" xr:uid="{00000000-0005-0000-0000-0000BE260000}"/>
    <cellStyle name="Normal 2 2 2 19 12" xfId="9964" xr:uid="{00000000-0005-0000-0000-0000BF260000}"/>
    <cellStyle name="Normal 2 2 2 19 13" xfId="9965" xr:uid="{00000000-0005-0000-0000-0000C0260000}"/>
    <cellStyle name="Normal 2 2 2 19 14" xfId="9966" xr:uid="{00000000-0005-0000-0000-0000C1260000}"/>
    <cellStyle name="Normal 2 2 2 19 2" xfId="9967" xr:uid="{00000000-0005-0000-0000-0000C2260000}"/>
    <cellStyle name="Normal 2 2 2 19 2 10" xfId="9968" xr:uid="{00000000-0005-0000-0000-0000C3260000}"/>
    <cellStyle name="Normal 2 2 2 19 2 2" xfId="9969" xr:uid="{00000000-0005-0000-0000-0000C4260000}"/>
    <cellStyle name="Normal 2 2 2 19 2 3" xfId="9970" xr:uid="{00000000-0005-0000-0000-0000C5260000}"/>
    <cellStyle name="Normal 2 2 2 19 2 4" xfId="9971" xr:uid="{00000000-0005-0000-0000-0000C6260000}"/>
    <cellStyle name="Normal 2 2 2 19 2 5" xfId="9972" xr:uid="{00000000-0005-0000-0000-0000C7260000}"/>
    <cellStyle name="Normal 2 2 2 19 2 6" xfId="9973" xr:uid="{00000000-0005-0000-0000-0000C8260000}"/>
    <cellStyle name="Normal 2 2 2 19 2 7" xfId="9974" xr:uid="{00000000-0005-0000-0000-0000C9260000}"/>
    <cellStyle name="Normal 2 2 2 19 2 8" xfId="9975" xr:uid="{00000000-0005-0000-0000-0000CA260000}"/>
    <cellStyle name="Normal 2 2 2 19 2 9" xfId="9976" xr:uid="{00000000-0005-0000-0000-0000CB260000}"/>
    <cellStyle name="Normal 2 2 2 19 3" xfId="9977" xr:uid="{00000000-0005-0000-0000-0000CC260000}"/>
    <cellStyle name="Normal 2 2 2 19 3 10" xfId="9978" xr:uid="{00000000-0005-0000-0000-0000CD260000}"/>
    <cellStyle name="Normal 2 2 2 19 3 2" xfId="9979" xr:uid="{00000000-0005-0000-0000-0000CE260000}"/>
    <cellStyle name="Normal 2 2 2 19 3 3" xfId="9980" xr:uid="{00000000-0005-0000-0000-0000CF260000}"/>
    <cellStyle name="Normal 2 2 2 19 3 4" xfId="9981" xr:uid="{00000000-0005-0000-0000-0000D0260000}"/>
    <cellStyle name="Normal 2 2 2 19 3 5" xfId="9982" xr:uid="{00000000-0005-0000-0000-0000D1260000}"/>
    <cellStyle name="Normal 2 2 2 19 3 6" xfId="9983" xr:uid="{00000000-0005-0000-0000-0000D2260000}"/>
    <cellStyle name="Normal 2 2 2 19 3 7" xfId="9984" xr:uid="{00000000-0005-0000-0000-0000D3260000}"/>
    <cellStyle name="Normal 2 2 2 19 3 8" xfId="9985" xr:uid="{00000000-0005-0000-0000-0000D4260000}"/>
    <cellStyle name="Normal 2 2 2 19 3 9" xfId="9986" xr:uid="{00000000-0005-0000-0000-0000D5260000}"/>
    <cellStyle name="Normal 2 2 2 19 4" xfId="9987" xr:uid="{00000000-0005-0000-0000-0000D6260000}"/>
    <cellStyle name="Normal 2 2 2 19 4 10" xfId="9988" xr:uid="{00000000-0005-0000-0000-0000D7260000}"/>
    <cellStyle name="Normal 2 2 2 19 4 2" xfId="9989" xr:uid="{00000000-0005-0000-0000-0000D8260000}"/>
    <cellStyle name="Normal 2 2 2 19 4 3" xfId="9990" xr:uid="{00000000-0005-0000-0000-0000D9260000}"/>
    <cellStyle name="Normal 2 2 2 19 4 4" xfId="9991" xr:uid="{00000000-0005-0000-0000-0000DA260000}"/>
    <cellStyle name="Normal 2 2 2 19 4 5" xfId="9992" xr:uid="{00000000-0005-0000-0000-0000DB260000}"/>
    <cellStyle name="Normal 2 2 2 19 4 6" xfId="9993" xr:uid="{00000000-0005-0000-0000-0000DC260000}"/>
    <cellStyle name="Normal 2 2 2 19 4 7" xfId="9994" xr:uid="{00000000-0005-0000-0000-0000DD260000}"/>
    <cellStyle name="Normal 2 2 2 19 4 8" xfId="9995" xr:uid="{00000000-0005-0000-0000-0000DE260000}"/>
    <cellStyle name="Normal 2 2 2 19 4 9" xfId="9996" xr:uid="{00000000-0005-0000-0000-0000DF260000}"/>
    <cellStyle name="Normal 2 2 2 19 5" xfId="9997" xr:uid="{00000000-0005-0000-0000-0000E0260000}"/>
    <cellStyle name="Normal 2 2 2 19 5 10" xfId="9998" xr:uid="{00000000-0005-0000-0000-0000E1260000}"/>
    <cellStyle name="Normal 2 2 2 19 5 2" xfId="9999" xr:uid="{00000000-0005-0000-0000-0000E2260000}"/>
    <cellStyle name="Normal 2 2 2 19 5 3" xfId="10000" xr:uid="{00000000-0005-0000-0000-0000E3260000}"/>
    <cellStyle name="Normal 2 2 2 19 5 4" xfId="10001" xr:uid="{00000000-0005-0000-0000-0000E4260000}"/>
    <cellStyle name="Normal 2 2 2 19 5 5" xfId="10002" xr:uid="{00000000-0005-0000-0000-0000E5260000}"/>
    <cellStyle name="Normal 2 2 2 19 5 6" xfId="10003" xr:uid="{00000000-0005-0000-0000-0000E6260000}"/>
    <cellStyle name="Normal 2 2 2 19 5 7" xfId="10004" xr:uid="{00000000-0005-0000-0000-0000E7260000}"/>
    <cellStyle name="Normal 2 2 2 19 5 8" xfId="10005" xr:uid="{00000000-0005-0000-0000-0000E8260000}"/>
    <cellStyle name="Normal 2 2 2 19 5 9" xfId="10006" xr:uid="{00000000-0005-0000-0000-0000E9260000}"/>
    <cellStyle name="Normal 2 2 2 19 6" xfId="10007" xr:uid="{00000000-0005-0000-0000-0000EA260000}"/>
    <cellStyle name="Normal 2 2 2 19 7" xfId="10008" xr:uid="{00000000-0005-0000-0000-0000EB260000}"/>
    <cellStyle name="Normal 2 2 2 19 8" xfId="10009" xr:uid="{00000000-0005-0000-0000-0000EC260000}"/>
    <cellStyle name="Normal 2 2 2 19 9" xfId="10010" xr:uid="{00000000-0005-0000-0000-0000ED260000}"/>
    <cellStyle name="Normal 2 2 2 2" xfId="25" xr:uid="{00000000-0005-0000-0000-0000EE260000}"/>
    <cellStyle name="Normal 2 2 2 2 10" xfId="10011" xr:uid="{00000000-0005-0000-0000-0000EF260000}"/>
    <cellStyle name="Normal 2 2 2 2 11" xfId="10012" xr:uid="{00000000-0005-0000-0000-0000F0260000}"/>
    <cellStyle name="Normal 2 2 2 2 12" xfId="10013" xr:uid="{00000000-0005-0000-0000-0000F1260000}"/>
    <cellStyle name="Normal 2 2 2 2 13" xfId="10014" xr:uid="{00000000-0005-0000-0000-0000F2260000}"/>
    <cellStyle name="Normal 2 2 2 2 14" xfId="10015" xr:uid="{00000000-0005-0000-0000-0000F3260000}"/>
    <cellStyle name="Normal 2 2 2 2 15" xfId="10016" xr:uid="{00000000-0005-0000-0000-0000F4260000}"/>
    <cellStyle name="Normal 2 2 2 2 16" xfId="10017" xr:uid="{00000000-0005-0000-0000-0000F5260000}"/>
    <cellStyle name="Normal 2 2 2 2 17" xfId="10018" xr:uid="{00000000-0005-0000-0000-0000F6260000}"/>
    <cellStyle name="Normal 2 2 2 2 18" xfId="10019" xr:uid="{00000000-0005-0000-0000-0000F7260000}"/>
    <cellStyle name="Normal 2 2 2 2 19" xfId="10020" xr:uid="{00000000-0005-0000-0000-0000F8260000}"/>
    <cellStyle name="Normal 2 2 2 2 2" xfId="23" xr:uid="{00000000-0005-0000-0000-0000F9260000}"/>
    <cellStyle name="Normal 2 2 2 2 2 10" xfId="10021" xr:uid="{00000000-0005-0000-0000-0000FA260000}"/>
    <cellStyle name="Normal 2 2 2 2 2 10 10" xfId="10022" xr:uid="{00000000-0005-0000-0000-0000FB260000}"/>
    <cellStyle name="Normal 2 2 2 2 2 10 11" xfId="10023" xr:uid="{00000000-0005-0000-0000-0000FC260000}"/>
    <cellStyle name="Normal 2 2 2 2 2 10 12" xfId="10024" xr:uid="{00000000-0005-0000-0000-0000FD260000}"/>
    <cellStyle name="Normal 2 2 2 2 2 10 13" xfId="10025" xr:uid="{00000000-0005-0000-0000-0000FE260000}"/>
    <cellStyle name="Normal 2 2 2 2 2 10 14" xfId="10026" xr:uid="{00000000-0005-0000-0000-0000FF260000}"/>
    <cellStyle name="Normal 2 2 2 2 2 10 2" xfId="10027" xr:uid="{00000000-0005-0000-0000-000000270000}"/>
    <cellStyle name="Normal 2 2 2 2 2 10 2 10" xfId="10028" xr:uid="{00000000-0005-0000-0000-000001270000}"/>
    <cellStyle name="Normal 2 2 2 2 2 10 2 2" xfId="10029" xr:uid="{00000000-0005-0000-0000-000002270000}"/>
    <cellStyle name="Normal 2 2 2 2 2 10 2 3" xfId="10030" xr:uid="{00000000-0005-0000-0000-000003270000}"/>
    <cellStyle name="Normal 2 2 2 2 2 10 2 4" xfId="10031" xr:uid="{00000000-0005-0000-0000-000004270000}"/>
    <cellStyle name="Normal 2 2 2 2 2 10 2 5" xfId="10032" xr:uid="{00000000-0005-0000-0000-000005270000}"/>
    <cellStyle name="Normal 2 2 2 2 2 10 2 6" xfId="10033" xr:uid="{00000000-0005-0000-0000-000006270000}"/>
    <cellStyle name="Normal 2 2 2 2 2 10 2 7" xfId="10034" xr:uid="{00000000-0005-0000-0000-000007270000}"/>
    <cellStyle name="Normal 2 2 2 2 2 10 2 8" xfId="10035" xr:uid="{00000000-0005-0000-0000-000008270000}"/>
    <cellStyle name="Normal 2 2 2 2 2 10 2 9" xfId="10036" xr:uid="{00000000-0005-0000-0000-000009270000}"/>
    <cellStyle name="Normal 2 2 2 2 2 10 3" xfId="10037" xr:uid="{00000000-0005-0000-0000-00000A270000}"/>
    <cellStyle name="Normal 2 2 2 2 2 10 3 10" xfId="10038" xr:uid="{00000000-0005-0000-0000-00000B270000}"/>
    <cellStyle name="Normal 2 2 2 2 2 10 3 2" xfId="10039" xr:uid="{00000000-0005-0000-0000-00000C270000}"/>
    <cellStyle name="Normal 2 2 2 2 2 10 3 3" xfId="10040" xr:uid="{00000000-0005-0000-0000-00000D270000}"/>
    <cellStyle name="Normal 2 2 2 2 2 10 3 4" xfId="10041" xr:uid="{00000000-0005-0000-0000-00000E270000}"/>
    <cellStyle name="Normal 2 2 2 2 2 10 3 5" xfId="10042" xr:uid="{00000000-0005-0000-0000-00000F270000}"/>
    <cellStyle name="Normal 2 2 2 2 2 10 3 6" xfId="10043" xr:uid="{00000000-0005-0000-0000-000010270000}"/>
    <cellStyle name="Normal 2 2 2 2 2 10 3 7" xfId="10044" xr:uid="{00000000-0005-0000-0000-000011270000}"/>
    <cellStyle name="Normal 2 2 2 2 2 10 3 8" xfId="10045" xr:uid="{00000000-0005-0000-0000-000012270000}"/>
    <cellStyle name="Normal 2 2 2 2 2 10 3 9" xfId="10046" xr:uid="{00000000-0005-0000-0000-000013270000}"/>
    <cellStyle name="Normal 2 2 2 2 2 10 4" xfId="10047" xr:uid="{00000000-0005-0000-0000-000014270000}"/>
    <cellStyle name="Normal 2 2 2 2 2 10 4 10" xfId="10048" xr:uid="{00000000-0005-0000-0000-000015270000}"/>
    <cellStyle name="Normal 2 2 2 2 2 10 4 2" xfId="10049" xr:uid="{00000000-0005-0000-0000-000016270000}"/>
    <cellStyle name="Normal 2 2 2 2 2 10 4 3" xfId="10050" xr:uid="{00000000-0005-0000-0000-000017270000}"/>
    <cellStyle name="Normal 2 2 2 2 2 10 4 4" xfId="10051" xr:uid="{00000000-0005-0000-0000-000018270000}"/>
    <cellStyle name="Normal 2 2 2 2 2 10 4 5" xfId="10052" xr:uid="{00000000-0005-0000-0000-000019270000}"/>
    <cellStyle name="Normal 2 2 2 2 2 10 4 6" xfId="10053" xr:uid="{00000000-0005-0000-0000-00001A270000}"/>
    <cellStyle name="Normal 2 2 2 2 2 10 4 7" xfId="10054" xr:uid="{00000000-0005-0000-0000-00001B270000}"/>
    <cellStyle name="Normal 2 2 2 2 2 10 4 8" xfId="10055" xr:uid="{00000000-0005-0000-0000-00001C270000}"/>
    <cellStyle name="Normal 2 2 2 2 2 10 4 9" xfId="10056" xr:uid="{00000000-0005-0000-0000-00001D270000}"/>
    <cellStyle name="Normal 2 2 2 2 2 10 5" xfId="10057" xr:uid="{00000000-0005-0000-0000-00001E270000}"/>
    <cellStyle name="Normal 2 2 2 2 2 10 5 10" xfId="10058" xr:uid="{00000000-0005-0000-0000-00001F270000}"/>
    <cellStyle name="Normal 2 2 2 2 2 10 5 2" xfId="10059" xr:uid="{00000000-0005-0000-0000-000020270000}"/>
    <cellStyle name="Normal 2 2 2 2 2 10 5 3" xfId="10060" xr:uid="{00000000-0005-0000-0000-000021270000}"/>
    <cellStyle name="Normal 2 2 2 2 2 10 5 4" xfId="10061" xr:uid="{00000000-0005-0000-0000-000022270000}"/>
    <cellStyle name="Normal 2 2 2 2 2 10 5 5" xfId="10062" xr:uid="{00000000-0005-0000-0000-000023270000}"/>
    <cellStyle name="Normal 2 2 2 2 2 10 5 6" xfId="10063" xr:uid="{00000000-0005-0000-0000-000024270000}"/>
    <cellStyle name="Normal 2 2 2 2 2 10 5 7" xfId="10064" xr:uid="{00000000-0005-0000-0000-000025270000}"/>
    <cellStyle name="Normal 2 2 2 2 2 10 5 8" xfId="10065" xr:uid="{00000000-0005-0000-0000-000026270000}"/>
    <cellStyle name="Normal 2 2 2 2 2 10 5 9" xfId="10066" xr:uid="{00000000-0005-0000-0000-000027270000}"/>
    <cellStyle name="Normal 2 2 2 2 2 10 6" xfId="10067" xr:uid="{00000000-0005-0000-0000-000028270000}"/>
    <cellStyle name="Normal 2 2 2 2 2 10 7" xfId="10068" xr:uid="{00000000-0005-0000-0000-000029270000}"/>
    <cellStyle name="Normal 2 2 2 2 2 10 8" xfId="10069" xr:uid="{00000000-0005-0000-0000-00002A270000}"/>
    <cellStyle name="Normal 2 2 2 2 2 10 9" xfId="10070" xr:uid="{00000000-0005-0000-0000-00002B270000}"/>
    <cellStyle name="Normal 2 2 2 2 2 11" xfId="10071" xr:uid="{00000000-0005-0000-0000-00002C270000}"/>
    <cellStyle name="Normal 2 2 2 2 2 11 10" xfId="10072" xr:uid="{00000000-0005-0000-0000-00002D270000}"/>
    <cellStyle name="Normal 2 2 2 2 2 11 11" xfId="10073" xr:uid="{00000000-0005-0000-0000-00002E270000}"/>
    <cellStyle name="Normal 2 2 2 2 2 11 12" xfId="10074" xr:uid="{00000000-0005-0000-0000-00002F270000}"/>
    <cellStyle name="Normal 2 2 2 2 2 11 13" xfId="10075" xr:uid="{00000000-0005-0000-0000-000030270000}"/>
    <cellStyle name="Normal 2 2 2 2 2 11 14" xfId="10076" xr:uid="{00000000-0005-0000-0000-000031270000}"/>
    <cellStyle name="Normal 2 2 2 2 2 11 2" xfId="10077" xr:uid="{00000000-0005-0000-0000-000032270000}"/>
    <cellStyle name="Normal 2 2 2 2 2 11 2 10" xfId="10078" xr:uid="{00000000-0005-0000-0000-000033270000}"/>
    <cellStyle name="Normal 2 2 2 2 2 11 2 2" xfId="10079" xr:uid="{00000000-0005-0000-0000-000034270000}"/>
    <cellStyle name="Normal 2 2 2 2 2 11 2 3" xfId="10080" xr:uid="{00000000-0005-0000-0000-000035270000}"/>
    <cellStyle name="Normal 2 2 2 2 2 11 2 4" xfId="10081" xr:uid="{00000000-0005-0000-0000-000036270000}"/>
    <cellStyle name="Normal 2 2 2 2 2 11 2 5" xfId="10082" xr:uid="{00000000-0005-0000-0000-000037270000}"/>
    <cellStyle name="Normal 2 2 2 2 2 11 2 6" xfId="10083" xr:uid="{00000000-0005-0000-0000-000038270000}"/>
    <cellStyle name="Normal 2 2 2 2 2 11 2 7" xfId="10084" xr:uid="{00000000-0005-0000-0000-000039270000}"/>
    <cellStyle name="Normal 2 2 2 2 2 11 2 8" xfId="10085" xr:uid="{00000000-0005-0000-0000-00003A270000}"/>
    <cellStyle name="Normal 2 2 2 2 2 11 2 9" xfId="10086" xr:uid="{00000000-0005-0000-0000-00003B270000}"/>
    <cellStyle name="Normal 2 2 2 2 2 11 3" xfId="10087" xr:uid="{00000000-0005-0000-0000-00003C270000}"/>
    <cellStyle name="Normal 2 2 2 2 2 11 3 10" xfId="10088" xr:uid="{00000000-0005-0000-0000-00003D270000}"/>
    <cellStyle name="Normal 2 2 2 2 2 11 3 2" xfId="10089" xr:uid="{00000000-0005-0000-0000-00003E270000}"/>
    <cellStyle name="Normal 2 2 2 2 2 11 3 3" xfId="10090" xr:uid="{00000000-0005-0000-0000-00003F270000}"/>
    <cellStyle name="Normal 2 2 2 2 2 11 3 4" xfId="10091" xr:uid="{00000000-0005-0000-0000-000040270000}"/>
    <cellStyle name="Normal 2 2 2 2 2 11 3 5" xfId="10092" xr:uid="{00000000-0005-0000-0000-000041270000}"/>
    <cellStyle name="Normal 2 2 2 2 2 11 3 6" xfId="10093" xr:uid="{00000000-0005-0000-0000-000042270000}"/>
    <cellStyle name="Normal 2 2 2 2 2 11 3 7" xfId="10094" xr:uid="{00000000-0005-0000-0000-000043270000}"/>
    <cellStyle name="Normal 2 2 2 2 2 11 3 8" xfId="10095" xr:uid="{00000000-0005-0000-0000-000044270000}"/>
    <cellStyle name="Normal 2 2 2 2 2 11 3 9" xfId="10096" xr:uid="{00000000-0005-0000-0000-000045270000}"/>
    <cellStyle name="Normal 2 2 2 2 2 11 4" xfId="10097" xr:uid="{00000000-0005-0000-0000-000046270000}"/>
    <cellStyle name="Normal 2 2 2 2 2 11 4 10" xfId="10098" xr:uid="{00000000-0005-0000-0000-000047270000}"/>
    <cellStyle name="Normal 2 2 2 2 2 11 4 2" xfId="10099" xr:uid="{00000000-0005-0000-0000-000048270000}"/>
    <cellStyle name="Normal 2 2 2 2 2 11 4 3" xfId="10100" xr:uid="{00000000-0005-0000-0000-000049270000}"/>
    <cellStyle name="Normal 2 2 2 2 2 11 4 4" xfId="10101" xr:uid="{00000000-0005-0000-0000-00004A270000}"/>
    <cellStyle name="Normal 2 2 2 2 2 11 4 5" xfId="10102" xr:uid="{00000000-0005-0000-0000-00004B270000}"/>
    <cellStyle name="Normal 2 2 2 2 2 11 4 6" xfId="10103" xr:uid="{00000000-0005-0000-0000-00004C270000}"/>
    <cellStyle name="Normal 2 2 2 2 2 11 4 7" xfId="10104" xr:uid="{00000000-0005-0000-0000-00004D270000}"/>
    <cellStyle name="Normal 2 2 2 2 2 11 4 8" xfId="10105" xr:uid="{00000000-0005-0000-0000-00004E270000}"/>
    <cellStyle name="Normal 2 2 2 2 2 11 4 9" xfId="10106" xr:uid="{00000000-0005-0000-0000-00004F270000}"/>
    <cellStyle name="Normal 2 2 2 2 2 11 5" xfId="10107" xr:uid="{00000000-0005-0000-0000-000050270000}"/>
    <cellStyle name="Normal 2 2 2 2 2 11 5 10" xfId="10108" xr:uid="{00000000-0005-0000-0000-000051270000}"/>
    <cellStyle name="Normal 2 2 2 2 2 11 5 2" xfId="10109" xr:uid="{00000000-0005-0000-0000-000052270000}"/>
    <cellStyle name="Normal 2 2 2 2 2 11 5 3" xfId="10110" xr:uid="{00000000-0005-0000-0000-000053270000}"/>
    <cellStyle name="Normal 2 2 2 2 2 11 5 4" xfId="10111" xr:uid="{00000000-0005-0000-0000-000054270000}"/>
    <cellStyle name="Normal 2 2 2 2 2 11 5 5" xfId="10112" xr:uid="{00000000-0005-0000-0000-000055270000}"/>
    <cellStyle name="Normal 2 2 2 2 2 11 5 6" xfId="10113" xr:uid="{00000000-0005-0000-0000-000056270000}"/>
    <cellStyle name="Normal 2 2 2 2 2 11 5 7" xfId="10114" xr:uid="{00000000-0005-0000-0000-000057270000}"/>
    <cellStyle name="Normal 2 2 2 2 2 11 5 8" xfId="10115" xr:uid="{00000000-0005-0000-0000-000058270000}"/>
    <cellStyle name="Normal 2 2 2 2 2 11 5 9" xfId="10116" xr:uid="{00000000-0005-0000-0000-000059270000}"/>
    <cellStyle name="Normal 2 2 2 2 2 11 6" xfId="10117" xr:uid="{00000000-0005-0000-0000-00005A270000}"/>
    <cellStyle name="Normal 2 2 2 2 2 11 7" xfId="10118" xr:uid="{00000000-0005-0000-0000-00005B270000}"/>
    <cellStyle name="Normal 2 2 2 2 2 11 8" xfId="10119" xr:uid="{00000000-0005-0000-0000-00005C270000}"/>
    <cellStyle name="Normal 2 2 2 2 2 11 9" xfId="10120" xr:uid="{00000000-0005-0000-0000-00005D270000}"/>
    <cellStyle name="Normal 2 2 2 2 2 12" xfId="10121" xr:uid="{00000000-0005-0000-0000-00005E270000}"/>
    <cellStyle name="Normal 2 2 2 2 2 12 10" xfId="10122" xr:uid="{00000000-0005-0000-0000-00005F270000}"/>
    <cellStyle name="Normal 2 2 2 2 2 12 11" xfId="10123" xr:uid="{00000000-0005-0000-0000-000060270000}"/>
    <cellStyle name="Normal 2 2 2 2 2 12 12" xfId="10124" xr:uid="{00000000-0005-0000-0000-000061270000}"/>
    <cellStyle name="Normal 2 2 2 2 2 12 13" xfId="10125" xr:uid="{00000000-0005-0000-0000-000062270000}"/>
    <cellStyle name="Normal 2 2 2 2 2 12 14" xfId="10126" xr:uid="{00000000-0005-0000-0000-000063270000}"/>
    <cellStyle name="Normal 2 2 2 2 2 12 2" xfId="10127" xr:uid="{00000000-0005-0000-0000-000064270000}"/>
    <cellStyle name="Normal 2 2 2 2 2 12 2 10" xfId="10128" xr:uid="{00000000-0005-0000-0000-000065270000}"/>
    <cellStyle name="Normal 2 2 2 2 2 12 2 2" xfId="10129" xr:uid="{00000000-0005-0000-0000-000066270000}"/>
    <cellStyle name="Normal 2 2 2 2 2 12 2 3" xfId="10130" xr:uid="{00000000-0005-0000-0000-000067270000}"/>
    <cellStyle name="Normal 2 2 2 2 2 12 2 4" xfId="10131" xr:uid="{00000000-0005-0000-0000-000068270000}"/>
    <cellStyle name="Normal 2 2 2 2 2 12 2 5" xfId="10132" xr:uid="{00000000-0005-0000-0000-000069270000}"/>
    <cellStyle name="Normal 2 2 2 2 2 12 2 6" xfId="10133" xr:uid="{00000000-0005-0000-0000-00006A270000}"/>
    <cellStyle name="Normal 2 2 2 2 2 12 2 7" xfId="10134" xr:uid="{00000000-0005-0000-0000-00006B270000}"/>
    <cellStyle name="Normal 2 2 2 2 2 12 2 8" xfId="10135" xr:uid="{00000000-0005-0000-0000-00006C270000}"/>
    <cellStyle name="Normal 2 2 2 2 2 12 2 9" xfId="10136" xr:uid="{00000000-0005-0000-0000-00006D270000}"/>
    <cellStyle name="Normal 2 2 2 2 2 12 3" xfId="10137" xr:uid="{00000000-0005-0000-0000-00006E270000}"/>
    <cellStyle name="Normal 2 2 2 2 2 12 3 10" xfId="10138" xr:uid="{00000000-0005-0000-0000-00006F270000}"/>
    <cellStyle name="Normal 2 2 2 2 2 12 3 2" xfId="10139" xr:uid="{00000000-0005-0000-0000-000070270000}"/>
    <cellStyle name="Normal 2 2 2 2 2 12 3 3" xfId="10140" xr:uid="{00000000-0005-0000-0000-000071270000}"/>
    <cellStyle name="Normal 2 2 2 2 2 12 3 4" xfId="10141" xr:uid="{00000000-0005-0000-0000-000072270000}"/>
    <cellStyle name="Normal 2 2 2 2 2 12 3 5" xfId="10142" xr:uid="{00000000-0005-0000-0000-000073270000}"/>
    <cellStyle name="Normal 2 2 2 2 2 12 3 6" xfId="10143" xr:uid="{00000000-0005-0000-0000-000074270000}"/>
    <cellStyle name="Normal 2 2 2 2 2 12 3 7" xfId="10144" xr:uid="{00000000-0005-0000-0000-000075270000}"/>
    <cellStyle name="Normal 2 2 2 2 2 12 3 8" xfId="10145" xr:uid="{00000000-0005-0000-0000-000076270000}"/>
    <cellStyle name="Normal 2 2 2 2 2 12 3 9" xfId="10146" xr:uid="{00000000-0005-0000-0000-000077270000}"/>
    <cellStyle name="Normal 2 2 2 2 2 12 4" xfId="10147" xr:uid="{00000000-0005-0000-0000-000078270000}"/>
    <cellStyle name="Normal 2 2 2 2 2 12 4 10" xfId="10148" xr:uid="{00000000-0005-0000-0000-000079270000}"/>
    <cellStyle name="Normal 2 2 2 2 2 12 4 2" xfId="10149" xr:uid="{00000000-0005-0000-0000-00007A270000}"/>
    <cellStyle name="Normal 2 2 2 2 2 12 4 3" xfId="10150" xr:uid="{00000000-0005-0000-0000-00007B270000}"/>
    <cellStyle name="Normal 2 2 2 2 2 12 4 4" xfId="10151" xr:uid="{00000000-0005-0000-0000-00007C270000}"/>
    <cellStyle name="Normal 2 2 2 2 2 12 4 5" xfId="10152" xr:uid="{00000000-0005-0000-0000-00007D270000}"/>
    <cellStyle name="Normal 2 2 2 2 2 12 4 6" xfId="10153" xr:uid="{00000000-0005-0000-0000-00007E270000}"/>
    <cellStyle name="Normal 2 2 2 2 2 12 4 7" xfId="10154" xr:uid="{00000000-0005-0000-0000-00007F270000}"/>
    <cellStyle name="Normal 2 2 2 2 2 12 4 8" xfId="10155" xr:uid="{00000000-0005-0000-0000-000080270000}"/>
    <cellStyle name="Normal 2 2 2 2 2 12 4 9" xfId="10156" xr:uid="{00000000-0005-0000-0000-000081270000}"/>
    <cellStyle name="Normal 2 2 2 2 2 12 5" xfId="10157" xr:uid="{00000000-0005-0000-0000-000082270000}"/>
    <cellStyle name="Normal 2 2 2 2 2 12 5 10" xfId="10158" xr:uid="{00000000-0005-0000-0000-000083270000}"/>
    <cellStyle name="Normal 2 2 2 2 2 12 5 2" xfId="10159" xr:uid="{00000000-0005-0000-0000-000084270000}"/>
    <cellStyle name="Normal 2 2 2 2 2 12 5 3" xfId="10160" xr:uid="{00000000-0005-0000-0000-000085270000}"/>
    <cellStyle name="Normal 2 2 2 2 2 12 5 4" xfId="10161" xr:uid="{00000000-0005-0000-0000-000086270000}"/>
    <cellStyle name="Normal 2 2 2 2 2 12 5 5" xfId="10162" xr:uid="{00000000-0005-0000-0000-000087270000}"/>
    <cellStyle name="Normal 2 2 2 2 2 12 5 6" xfId="10163" xr:uid="{00000000-0005-0000-0000-000088270000}"/>
    <cellStyle name="Normal 2 2 2 2 2 12 5 7" xfId="10164" xr:uid="{00000000-0005-0000-0000-000089270000}"/>
    <cellStyle name="Normal 2 2 2 2 2 12 5 8" xfId="10165" xr:uid="{00000000-0005-0000-0000-00008A270000}"/>
    <cellStyle name="Normal 2 2 2 2 2 12 5 9" xfId="10166" xr:uid="{00000000-0005-0000-0000-00008B270000}"/>
    <cellStyle name="Normal 2 2 2 2 2 12 6" xfId="10167" xr:uid="{00000000-0005-0000-0000-00008C270000}"/>
    <cellStyle name="Normal 2 2 2 2 2 12 7" xfId="10168" xr:uid="{00000000-0005-0000-0000-00008D270000}"/>
    <cellStyle name="Normal 2 2 2 2 2 12 8" xfId="10169" xr:uid="{00000000-0005-0000-0000-00008E270000}"/>
    <cellStyle name="Normal 2 2 2 2 2 12 9" xfId="10170" xr:uid="{00000000-0005-0000-0000-00008F270000}"/>
    <cellStyle name="Normal 2 2 2 2 2 13" xfId="10171" xr:uid="{00000000-0005-0000-0000-000090270000}"/>
    <cellStyle name="Normal 2 2 2 2 2 13 10" xfId="10172" xr:uid="{00000000-0005-0000-0000-000091270000}"/>
    <cellStyle name="Normal 2 2 2 2 2 13 11" xfId="10173" xr:uid="{00000000-0005-0000-0000-000092270000}"/>
    <cellStyle name="Normal 2 2 2 2 2 13 12" xfId="10174" xr:uid="{00000000-0005-0000-0000-000093270000}"/>
    <cellStyle name="Normal 2 2 2 2 2 13 13" xfId="10175" xr:uid="{00000000-0005-0000-0000-000094270000}"/>
    <cellStyle name="Normal 2 2 2 2 2 13 14" xfId="10176" xr:uid="{00000000-0005-0000-0000-000095270000}"/>
    <cellStyle name="Normal 2 2 2 2 2 13 2" xfId="10177" xr:uid="{00000000-0005-0000-0000-000096270000}"/>
    <cellStyle name="Normal 2 2 2 2 2 13 2 10" xfId="10178" xr:uid="{00000000-0005-0000-0000-000097270000}"/>
    <cellStyle name="Normal 2 2 2 2 2 13 2 2" xfId="10179" xr:uid="{00000000-0005-0000-0000-000098270000}"/>
    <cellStyle name="Normal 2 2 2 2 2 13 2 3" xfId="10180" xr:uid="{00000000-0005-0000-0000-000099270000}"/>
    <cellStyle name="Normal 2 2 2 2 2 13 2 4" xfId="10181" xr:uid="{00000000-0005-0000-0000-00009A270000}"/>
    <cellStyle name="Normal 2 2 2 2 2 13 2 5" xfId="10182" xr:uid="{00000000-0005-0000-0000-00009B270000}"/>
    <cellStyle name="Normal 2 2 2 2 2 13 2 6" xfId="10183" xr:uid="{00000000-0005-0000-0000-00009C270000}"/>
    <cellStyle name="Normal 2 2 2 2 2 13 2 7" xfId="10184" xr:uid="{00000000-0005-0000-0000-00009D270000}"/>
    <cellStyle name="Normal 2 2 2 2 2 13 2 8" xfId="10185" xr:uid="{00000000-0005-0000-0000-00009E270000}"/>
    <cellStyle name="Normal 2 2 2 2 2 13 2 9" xfId="10186" xr:uid="{00000000-0005-0000-0000-00009F270000}"/>
    <cellStyle name="Normal 2 2 2 2 2 13 3" xfId="10187" xr:uid="{00000000-0005-0000-0000-0000A0270000}"/>
    <cellStyle name="Normal 2 2 2 2 2 13 3 10" xfId="10188" xr:uid="{00000000-0005-0000-0000-0000A1270000}"/>
    <cellStyle name="Normal 2 2 2 2 2 13 3 2" xfId="10189" xr:uid="{00000000-0005-0000-0000-0000A2270000}"/>
    <cellStyle name="Normal 2 2 2 2 2 13 3 3" xfId="10190" xr:uid="{00000000-0005-0000-0000-0000A3270000}"/>
    <cellStyle name="Normal 2 2 2 2 2 13 3 4" xfId="10191" xr:uid="{00000000-0005-0000-0000-0000A4270000}"/>
    <cellStyle name="Normal 2 2 2 2 2 13 3 5" xfId="10192" xr:uid="{00000000-0005-0000-0000-0000A5270000}"/>
    <cellStyle name="Normal 2 2 2 2 2 13 3 6" xfId="10193" xr:uid="{00000000-0005-0000-0000-0000A6270000}"/>
    <cellStyle name="Normal 2 2 2 2 2 13 3 7" xfId="10194" xr:uid="{00000000-0005-0000-0000-0000A7270000}"/>
    <cellStyle name="Normal 2 2 2 2 2 13 3 8" xfId="10195" xr:uid="{00000000-0005-0000-0000-0000A8270000}"/>
    <cellStyle name="Normal 2 2 2 2 2 13 3 9" xfId="10196" xr:uid="{00000000-0005-0000-0000-0000A9270000}"/>
    <cellStyle name="Normal 2 2 2 2 2 13 4" xfId="10197" xr:uid="{00000000-0005-0000-0000-0000AA270000}"/>
    <cellStyle name="Normal 2 2 2 2 2 13 4 10" xfId="10198" xr:uid="{00000000-0005-0000-0000-0000AB270000}"/>
    <cellStyle name="Normal 2 2 2 2 2 13 4 2" xfId="10199" xr:uid="{00000000-0005-0000-0000-0000AC270000}"/>
    <cellStyle name="Normal 2 2 2 2 2 13 4 3" xfId="10200" xr:uid="{00000000-0005-0000-0000-0000AD270000}"/>
    <cellStyle name="Normal 2 2 2 2 2 13 4 4" xfId="10201" xr:uid="{00000000-0005-0000-0000-0000AE270000}"/>
    <cellStyle name="Normal 2 2 2 2 2 13 4 5" xfId="10202" xr:uid="{00000000-0005-0000-0000-0000AF270000}"/>
    <cellStyle name="Normal 2 2 2 2 2 13 4 6" xfId="10203" xr:uid="{00000000-0005-0000-0000-0000B0270000}"/>
    <cellStyle name="Normal 2 2 2 2 2 13 4 7" xfId="10204" xr:uid="{00000000-0005-0000-0000-0000B1270000}"/>
    <cellStyle name="Normal 2 2 2 2 2 13 4 8" xfId="10205" xr:uid="{00000000-0005-0000-0000-0000B2270000}"/>
    <cellStyle name="Normal 2 2 2 2 2 13 4 9" xfId="10206" xr:uid="{00000000-0005-0000-0000-0000B3270000}"/>
    <cellStyle name="Normal 2 2 2 2 2 13 5" xfId="10207" xr:uid="{00000000-0005-0000-0000-0000B4270000}"/>
    <cellStyle name="Normal 2 2 2 2 2 13 5 10" xfId="10208" xr:uid="{00000000-0005-0000-0000-0000B5270000}"/>
    <cellStyle name="Normal 2 2 2 2 2 13 5 2" xfId="10209" xr:uid="{00000000-0005-0000-0000-0000B6270000}"/>
    <cellStyle name="Normal 2 2 2 2 2 13 5 3" xfId="10210" xr:uid="{00000000-0005-0000-0000-0000B7270000}"/>
    <cellStyle name="Normal 2 2 2 2 2 13 5 4" xfId="10211" xr:uid="{00000000-0005-0000-0000-0000B8270000}"/>
    <cellStyle name="Normal 2 2 2 2 2 13 5 5" xfId="10212" xr:uid="{00000000-0005-0000-0000-0000B9270000}"/>
    <cellStyle name="Normal 2 2 2 2 2 13 5 6" xfId="10213" xr:uid="{00000000-0005-0000-0000-0000BA270000}"/>
    <cellStyle name="Normal 2 2 2 2 2 13 5 7" xfId="10214" xr:uid="{00000000-0005-0000-0000-0000BB270000}"/>
    <cellStyle name="Normal 2 2 2 2 2 13 5 8" xfId="10215" xr:uid="{00000000-0005-0000-0000-0000BC270000}"/>
    <cellStyle name="Normal 2 2 2 2 2 13 5 9" xfId="10216" xr:uid="{00000000-0005-0000-0000-0000BD270000}"/>
    <cellStyle name="Normal 2 2 2 2 2 13 6" xfId="10217" xr:uid="{00000000-0005-0000-0000-0000BE270000}"/>
    <cellStyle name="Normal 2 2 2 2 2 13 7" xfId="10218" xr:uid="{00000000-0005-0000-0000-0000BF270000}"/>
    <cellStyle name="Normal 2 2 2 2 2 13 8" xfId="10219" xr:uid="{00000000-0005-0000-0000-0000C0270000}"/>
    <cellStyle name="Normal 2 2 2 2 2 13 9" xfId="10220" xr:uid="{00000000-0005-0000-0000-0000C1270000}"/>
    <cellStyle name="Normal 2 2 2 2 2 14" xfId="10221" xr:uid="{00000000-0005-0000-0000-0000C2270000}"/>
    <cellStyle name="Normal 2 2 2 2 2 14 10" xfId="10222" xr:uid="{00000000-0005-0000-0000-0000C3270000}"/>
    <cellStyle name="Normal 2 2 2 2 2 14 11" xfId="10223" xr:uid="{00000000-0005-0000-0000-0000C4270000}"/>
    <cellStyle name="Normal 2 2 2 2 2 14 12" xfId="10224" xr:uid="{00000000-0005-0000-0000-0000C5270000}"/>
    <cellStyle name="Normal 2 2 2 2 2 14 13" xfId="10225" xr:uid="{00000000-0005-0000-0000-0000C6270000}"/>
    <cellStyle name="Normal 2 2 2 2 2 14 14" xfId="10226" xr:uid="{00000000-0005-0000-0000-0000C7270000}"/>
    <cellStyle name="Normal 2 2 2 2 2 14 2" xfId="10227" xr:uid="{00000000-0005-0000-0000-0000C8270000}"/>
    <cellStyle name="Normal 2 2 2 2 2 14 2 10" xfId="10228" xr:uid="{00000000-0005-0000-0000-0000C9270000}"/>
    <cellStyle name="Normal 2 2 2 2 2 14 2 2" xfId="10229" xr:uid="{00000000-0005-0000-0000-0000CA270000}"/>
    <cellStyle name="Normal 2 2 2 2 2 14 2 3" xfId="10230" xr:uid="{00000000-0005-0000-0000-0000CB270000}"/>
    <cellStyle name="Normal 2 2 2 2 2 14 2 4" xfId="10231" xr:uid="{00000000-0005-0000-0000-0000CC270000}"/>
    <cellStyle name="Normal 2 2 2 2 2 14 2 5" xfId="10232" xr:uid="{00000000-0005-0000-0000-0000CD270000}"/>
    <cellStyle name="Normal 2 2 2 2 2 14 2 6" xfId="10233" xr:uid="{00000000-0005-0000-0000-0000CE270000}"/>
    <cellStyle name="Normal 2 2 2 2 2 14 2 7" xfId="10234" xr:uid="{00000000-0005-0000-0000-0000CF270000}"/>
    <cellStyle name="Normal 2 2 2 2 2 14 2 8" xfId="10235" xr:uid="{00000000-0005-0000-0000-0000D0270000}"/>
    <cellStyle name="Normal 2 2 2 2 2 14 2 9" xfId="10236" xr:uid="{00000000-0005-0000-0000-0000D1270000}"/>
    <cellStyle name="Normal 2 2 2 2 2 14 3" xfId="10237" xr:uid="{00000000-0005-0000-0000-0000D2270000}"/>
    <cellStyle name="Normal 2 2 2 2 2 14 3 10" xfId="10238" xr:uid="{00000000-0005-0000-0000-0000D3270000}"/>
    <cellStyle name="Normal 2 2 2 2 2 14 3 2" xfId="10239" xr:uid="{00000000-0005-0000-0000-0000D4270000}"/>
    <cellStyle name="Normal 2 2 2 2 2 14 3 3" xfId="10240" xr:uid="{00000000-0005-0000-0000-0000D5270000}"/>
    <cellStyle name="Normal 2 2 2 2 2 14 3 4" xfId="10241" xr:uid="{00000000-0005-0000-0000-0000D6270000}"/>
    <cellStyle name="Normal 2 2 2 2 2 14 3 5" xfId="10242" xr:uid="{00000000-0005-0000-0000-0000D7270000}"/>
    <cellStyle name="Normal 2 2 2 2 2 14 3 6" xfId="10243" xr:uid="{00000000-0005-0000-0000-0000D8270000}"/>
    <cellStyle name="Normal 2 2 2 2 2 14 3 7" xfId="10244" xr:uid="{00000000-0005-0000-0000-0000D9270000}"/>
    <cellStyle name="Normal 2 2 2 2 2 14 3 8" xfId="10245" xr:uid="{00000000-0005-0000-0000-0000DA270000}"/>
    <cellStyle name="Normal 2 2 2 2 2 14 3 9" xfId="10246" xr:uid="{00000000-0005-0000-0000-0000DB270000}"/>
    <cellStyle name="Normal 2 2 2 2 2 14 4" xfId="10247" xr:uid="{00000000-0005-0000-0000-0000DC270000}"/>
    <cellStyle name="Normal 2 2 2 2 2 14 4 10" xfId="10248" xr:uid="{00000000-0005-0000-0000-0000DD270000}"/>
    <cellStyle name="Normal 2 2 2 2 2 14 4 2" xfId="10249" xr:uid="{00000000-0005-0000-0000-0000DE270000}"/>
    <cellStyle name="Normal 2 2 2 2 2 14 4 3" xfId="10250" xr:uid="{00000000-0005-0000-0000-0000DF270000}"/>
    <cellStyle name="Normal 2 2 2 2 2 14 4 4" xfId="10251" xr:uid="{00000000-0005-0000-0000-0000E0270000}"/>
    <cellStyle name="Normal 2 2 2 2 2 14 4 5" xfId="10252" xr:uid="{00000000-0005-0000-0000-0000E1270000}"/>
    <cellStyle name="Normal 2 2 2 2 2 14 4 6" xfId="10253" xr:uid="{00000000-0005-0000-0000-0000E2270000}"/>
    <cellStyle name="Normal 2 2 2 2 2 14 4 7" xfId="10254" xr:uid="{00000000-0005-0000-0000-0000E3270000}"/>
    <cellStyle name="Normal 2 2 2 2 2 14 4 8" xfId="10255" xr:uid="{00000000-0005-0000-0000-0000E4270000}"/>
    <cellStyle name="Normal 2 2 2 2 2 14 4 9" xfId="10256" xr:uid="{00000000-0005-0000-0000-0000E5270000}"/>
    <cellStyle name="Normal 2 2 2 2 2 14 5" xfId="10257" xr:uid="{00000000-0005-0000-0000-0000E6270000}"/>
    <cellStyle name="Normal 2 2 2 2 2 14 5 10" xfId="10258" xr:uid="{00000000-0005-0000-0000-0000E7270000}"/>
    <cellStyle name="Normal 2 2 2 2 2 14 5 2" xfId="10259" xr:uid="{00000000-0005-0000-0000-0000E8270000}"/>
    <cellStyle name="Normal 2 2 2 2 2 14 5 3" xfId="10260" xr:uid="{00000000-0005-0000-0000-0000E9270000}"/>
    <cellStyle name="Normal 2 2 2 2 2 14 5 4" xfId="10261" xr:uid="{00000000-0005-0000-0000-0000EA270000}"/>
    <cellStyle name="Normal 2 2 2 2 2 14 5 5" xfId="10262" xr:uid="{00000000-0005-0000-0000-0000EB270000}"/>
    <cellStyle name="Normal 2 2 2 2 2 14 5 6" xfId="10263" xr:uid="{00000000-0005-0000-0000-0000EC270000}"/>
    <cellStyle name="Normal 2 2 2 2 2 14 5 7" xfId="10264" xr:uid="{00000000-0005-0000-0000-0000ED270000}"/>
    <cellStyle name="Normal 2 2 2 2 2 14 5 8" xfId="10265" xr:uid="{00000000-0005-0000-0000-0000EE270000}"/>
    <cellStyle name="Normal 2 2 2 2 2 14 5 9" xfId="10266" xr:uid="{00000000-0005-0000-0000-0000EF270000}"/>
    <cellStyle name="Normal 2 2 2 2 2 14 6" xfId="10267" xr:uid="{00000000-0005-0000-0000-0000F0270000}"/>
    <cellStyle name="Normal 2 2 2 2 2 14 7" xfId="10268" xr:uid="{00000000-0005-0000-0000-0000F1270000}"/>
    <cellStyle name="Normal 2 2 2 2 2 14 8" xfId="10269" xr:uid="{00000000-0005-0000-0000-0000F2270000}"/>
    <cellStyle name="Normal 2 2 2 2 2 14 9" xfId="10270" xr:uid="{00000000-0005-0000-0000-0000F3270000}"/>
    <cellStyle name="Normal 2 2 2 2 2 15" xfId="10271" xr:uid="{00000000-0005-0000-0000-0000F4270000}"/>
    <cellStyle name="Normal 2 2 2 2 2 15 10" xfId="10272" xr:uid="{00000000-0005-0000-0000-0000F5270000}"/>
    <cellStyle name="Normal 2 2 2 2 2 15 11" xfId="10273" xr:uid="{00000000-0005-0000-0000-0000F6270000}"/>
    <cellStyle name="Normal 2 2 2 2 2 15 12" xfId="10274" xr:uid="{00000000-0005-0000-0000-0000F7270000}"/>
    <cellStyle name="Normal 2 2 2 2 2 15 13" xfId="10275" xr:uid="{00000000-0005-0000-0000-0000F8270000}"/>
    <cellStyle name="Normal 2 2 2 2 2 15 14" xfId="10276" xr:uid="{00000000-0005-0000-0000-0000F9270000}"/>
    <cellStyle name="Normal 2 2 2 2 2 15 2" xfId="10277" xr:uid="{00000000-0005-0000-0000-0000FA270000}"/>
    <cellStyle name="Normal 2 2 2 2 2 15 2 10" xfId="10278" xr:uid="{00000000-0005-0000-0000-0000FB270000}"/>
    <cellStyle name="Normal 2 2 2 2 2 15 2 2" xfId="10279" xr:uid="{00000000-0005-0000-0000-0000FC270000}"/>
    <cellStyle name="Normal 2 2 2 2 2 15 2 3" xfId="10280" xr:uid="{00000000-0005-0000-0000-0000FD270000}"/>
    <cellStyle name="Normal 2 2 2 2 2 15 2 4" xfId="10281" xr:uid="{00000000-0005-0000-0000-0000FE270000}"/>
    <cellStyle name="Normal 2 2 2 2 2 15 2 5" xfId="10282" xr:uid="{00000000-0005-0000-0000-0000FF270000}"/>
    <cellStyle name="Normal 2 2 2 2 2 15 2 6" xfId="10283" xr:uid="{00000000-0005-0000-0000-000000280000}"/>
    <cellStyle name="Normal 2 2 2 2 2 15 2 7" xfId="10284" xr:uid="{00000000-0005-0000-0000-000001280000}"/>
    <cellStyle name="Normal 2 2 2 2 2 15 2 8" xfId="10285" xr:uid="{00000000-0005-0000-0000-000002280000}"/>
    <cellStyle name="Normal 2 2 2 2 2 15 2 9" xfId="10286" xr:uid="{00000000-0005-0000-0000-000003280000}"/>
    <cellStyle name="Normal 2 2 2 2 2 15 3" xfId="10287" xr:uid="{00000000-0005-0000-0000-000004280000}"/>
    <cellStyle name="Normal 2 2 2 2 2 15 3 10" xfId="10288" xr:uid="{00000000-0005-0000-0000-000005280000}"/>
    <cellStyle name="Normal 2 2 2 2 2 15 3 2" xfId="10289" xr:uid="{00000000-0005-0000-0000-000006280000}"/>
    <cellStyle name="Normal 2 2 2 2 2 15 3 3" xfId="10290" xr:uid="{00000000-0005-0000-0000-000007280000}"/>
    <cellStyle name="Normal 2 2 2 2 2 15 3 4" xfId="10291" xr:uid="{00000000-0005-0000-0000-000008280000}"/>
    <cellStyle name="Normal 2 2 2 2 2 15 3 5" xfId="10292" xr:uid="{00000000-0005-0000-0000-000009280000}"/>
    <cellStyle name="Normal 2 2 2 2 2 15 3 6" xfId="10293" xr:uid="{00000000-0005-0000-0000-00000A280000}"/>
    <cellStyle name="Normal 2 2 2 2 2 15 3 7" xfId="10294" xr:uid="{00000000-0005-0000-0000-00000B280000}"/>
    <cellStyle name="Normal 2 2 2 2 2 15 3 8" xfId="10295" xr:uid="{00000000-0005-0000-0000-00000C280000}"/>
    <cellStyle name="Normal 2 2 2 2 2 15 3 9" xfId="10296" xr:uid="{00000000-0005-0000-0000-00000D280000}"/>
    <cellStyle name="Normal 2 2 2 2 2 15 4" xfId="10297" xr:uid="{00000000-0005-0000-0000-00000E280000}"/>
    <cellStyle name="Normal 2 2 2 2 2 15 4 10" xfId="10298" xr:uid="{00000000-0005-0000-0000-00000F280000}"/>
    <cellStyle name="Normal 2 2 2 2 2 15 4 2" xfId="10299" xr:uid="{00000000-0005-0000-0000-000010280000}"/>
    <cellStyle name="Normal 2 2 2 2 2 15 4 3" xfId="10300" xr:uid="{00000000-0005-0000-0000-000011280000}"/>
    <cellStyle name="Normal 2 2 2 2 2 15 4 4" xfId="10301" xr:uid="{00000000-0005-0000-0000-000012280000}"/>
    <cellStyle name="Normal 2 2 2 2 2 15 4 5" xfId="10302" xr:uid="{00000000-0005-0000-0000-000013280000}"/>
    <cellStyle name="Normal 2 2 2 2 2 15 4 6" xfId="10303" xr:uid="{00000000-0005-0000-0000-000014280000}"/>
    <cellStyle name="Normal 2 2 2 2 2 15 4 7" xfId="10304" xr:uid="{00000000-0005-0000-0000-000015280000}"/>
    <cellStyle name="Normal 2 2 2 2 2 15 4 8" xfId="10305" xr:uid="{00000000-0005-0000-0000-000016280000}"/>
    <cellStyle name="Normal 2 2 2 2 2 15 4 9" xfId="10306" xr:uid="{00000000-0005-0000-0000-000017280000}"/>
    <cellStyle name="Normal 2 2 2 2 2 15 5" xfId="10307" xr:uid="{00000000-0005-0000-0000-000018280000}"/>
    <cellStyle name="Normal 2 2 2 2 2 15 5 10" xfId="10308" xr:uid="{00000000-0005-0000-0000-000019280000}"/>
    <cellStyle name="Normal 2 2 2 2 2 15 5 2" xfId="10309" xr:uid="{00000000-0005-0000-0000-00001A280000}"/>
    <cellStyle name="Normal 2 2 2 2 2 15 5 3" xfId="10310" xr:uid="{00000000-0005-0000-0000-00001B280000}"/>
    <cellStyle name="Normal 2 2 2 2 2 15 5 4" xfId="10311" xr:uid="{00000000-0005-0000-0000-00001C280000}"/>
    <cellStyle name="Normal 2 2 2 2 2 15 5 5" xfId="10312" xr:uid="{00000000-0005-0000-0000-00001D280000}"/>
    <cellStyle name="Normal 2 2 2 2 2 15 5 6" xfId="10313" xr:uid="{00000000-0005-0000-0000-00001E280000}"/>
    <cellStyle name="Normal 2 2 2 2 2 15 5 7" xfId="10314" xr:uid="{00000000-0005-0000-0000-00001F280000}"/>
    <cellStyle name="Normal 2 2 2 2 2 15 5 8" xfId="10315" xr:uid="{00000000-0005-0000-0000-000020280000}"/>
    <cellStyle name="Normal 2 2 2 2 2 15 5 9" xfId="10316" xr:uid="{00000000-0005-0000-0000-000021280000}"/>
    <cellStyle name="Normal 2 2 2 2 2 15 6" xfId="10317" xr:uid="{00000000-0005-0000-0000-000022280000}"/>
    <cellStyle name="Normal 2 2 2 2 2 15 7" xfId="10318" xr:uid="{00000000-0005-0000-0000-000023280000}"/>
    <cellStyle name="Normal 2 2 2 2 2 15 8" xfId="10319" xr:uid="{00000000-0005-0000-0000-000024280000}"/>
    <cellStyle name="Normal 2 2 2 2 2 15 9" xfId="10320" xr:uid="{00000000-0005-0000-0000-000025280000}"/>
    <cellStyle name="Normal 2 2 2 2 2 16" xfId="10321" xr:uid="{00000000-0005-0000-0000-000026280000}"/>
    <cellStyle name="Normal 2 2 2 2 2 16 10" xfId="10322" xr:uid="{00000000-0005-0000-0000-000027280000}"/>
    <cellStyle name="Normal 2 2 2 2 2 16 11" xfId="10323" xr:uid="{00000000-0005-0000-0000-000028280000}"/>
    <cellStyle name="Normal 2 2 2 2 2 16 12" xfId="10324" xr:uid="{00000000-0005-0000-0000-000029280000}"/>
    <cellStyle name="Normal 2 2 2 2 2 16 13" xfId="10325" xr:uid="{00000000-0005-0000-0000-00002A280000}"/>
    <cellStyle name="Normal 2 2 2 2 2 16 14" xfId="10326" xr:uid="{00000000-0005-0000-0000-00002B280000}"/>
    <cellStyle name="Normal 2 2 2 2 2 16 2" xfId="10327" xr:uid="{00000000-0005-0000-0000-00002C280000}"/>
    <cellStyle name="Normal 2 2 2 2 2 16 2 10" xfId="10328" xr:uid="{00000000-0005-0000-0000-00002D280000}"/>
    <cellStyle name="Normal 2 2 2 2 2 16 2 2" xfId="10329" xr:uid="{00000000-0005-0000-0000-00002E280000}"/>
    <cellStyle name="Normal 2 2 2 2 2 16 2 3" xfId="10330" xr:uid="{00000000-0005-0000-0000-00002F280000}"/>
    <cellStyle name="Normal 2 2 2 2 2 16 2 4" xfId="10331" xr:uid="{00000000-0005-0000-0000-000030280000}"/>
    <cellStyle name="Normal 2 2 2 2 2 16 2 5" xfId="10332" xr:uid="{00000000-0005-0000-0000-000031280000}"/>
    <cellStyle name="Normal 2 2 2 2 2 16 2 6" xfId="10333" xr:uid="{00000000-0005-0000-0000-000032280000}"/>
    <cellStyle name="Normal 2 2 2 2 2 16 2 7" xfId="10334" xr:uid="{00000000-0005-0000-0000-000033280000}"/>
    <cellStyle name="Normal 2 2 2 2 2 16 2 8" xfId="10335" xr:uid="{00000000-0005-0000-0000-000034280000}"/>
    <cellStyle name="Normal 2 2 2 2 2 16 2 9" xfId="10336" xr:uid="{00000000-0005-0000-0000-000035280000}"/>
    <cellStyle name="Normal 2 2 2 2 2 16 3" xfId="10337" xr:uid="{00000000-0005-0000-0000-000036280000}"/>
    <cellStyle name="Normal 2 2 2 2 2 16 3 10" xfId="10338" xr:uid="{00000000-0005-0000-0000-000037280000}"/>
    <cellStyle name="Normal 2 2 2 2 2 16 3 2" xfId="10339" xr:uid="{00000000-0005-0000-0000-000038280000}"/>
    <cellStyle name="Normal 2 2 2 2 2 16 3 3" xfId="10340" xr:uid="{00000000-0005-0000-0000-000039280000}"/>
    <cellStyle name="Normal 2 2 2 2 2 16 3 4" xfId="10341" xr:uid="{00000000-0005-0000-0000-00003A280000}"/>
    <cellStyle name="Normal 2 2 2 2 2 16 3 5" xfId="10342" xr:uid="{00000000-0005-0000-0000-00003B280000}"/>
    <cellStyle name="Normal 2 2 2 2 2 16 3 6" xfId="10343" xr:uid="{00000000-0005-0000-0000-00003C280000}"/>
    <cellStyle name="Normal 2 2 2 2 2 16 3 7" xfId="10344" xr:uid="{00000000-0005-0000-0000-00003D280000}"/>
    <cellStyle name="Normal 2 2 2 2 2 16 3 8" xfId="10345" xr:uid="{00000000-0005-0000-0000-00003E280000}"/>
    <cellStyle name="Normal 2 2 2 2 2 16 3 9" xfId="10346" xr:uid="{00000000-0005-0000-0000-00003F280000}"/>
    <cellStyle name="Normal 2 2 2 2 2 16 4" xfId="10347" xr:uid="{00000000-0005-0000-0000-000040280000}"/>
    <cellStyle name="Normal 2 2 2 2 2 16 4 10" xfId="10348" xr:uid="{00000000-0005-0000-0000-000041280000}"/>
    <cellStyle name="Normal 2 2 2 2 2 16 4 2" xfId="10349" xr:uid="{00000000-0005-0000-0000-000042280000}"/>
    <cellStyle name="Normal 2 2 2 2 2 16 4 3" xfId="10350" xr:uid="{00000000-0005-0000-0000-000043280000}"/>
    <cellStyle name="Normal 2 2 2 2 2 16 4 4" xfId="10351" xr:uid="{00000000-0005-0000-0000-000044280000}"/>
    <cellStyle name="Normal 2 2 2 2 2 16 4 5" xfId="10352" xr:uid="{00000000-0005-0000-0000-000045280000}"/>
    <cellStyle name="Normal 2 2 2 2 2 16 4 6" xfId="10353" xr:uid="{00000000-0005-0000-0000-000046280000}"/>
    <cellStyle name="Normal 2 2 2 2 2 16 4 7" xfId="10354" xr:uid="{00000000-0005-0000-0000-000047280000}"/>
    <cellStyle name="Normal 2 2 2 2 2 16 4 8" xfId="10355" xr:uid="{00000000-0005-0000-0000-000048280000}"/>
    <cellStyle name="Normal 2 2 2 2 2 16 4 9" xfId="10356" xr:uid="{00000000-0005-0000-0000-000049280000}"/>
    <cellStyle name="Normal 2 2 2 2 2 16 5" xfId="10357" xr:uid="{00000000-0005-0000-0000-00004A280000}"/>
    <cellStyle name="Normal 2 2 2 2 2 16 5 10" xfId="10358" xr:uid="{00000000-0005-0000-0000-00004B280000}"/>
    <cellStyle name="Normal 2 2 2 2 2 16 5 2" xfId="10359" xr:uid="{00000000-0005-0000-0000-00004C280000}"/>
    <cellStyle name="Normal 2 2 2 2 2 16 5 3" xfId="10360" xr:uid="{00000000-0005-0000-0000-00004D280000}"/>
    <cellStyle name="Normal 2 2 2 2 2 16 5 4" xfId="10361" xr:uid="{00000000-0005-0000-0000-00004E280000}"/>
    <cellStyle name="Normal 2 2 2 2 2 16 5 5" xfId="10362" xr:uid="{00000000-0005-0000-0000-00004F280000}"/>
    <cellStyle name="Normal 2 2 2 2 2 16 5 6" xfId="10363" xr:uid="{00000000-0005-0000-0000-000050280000}"/>
    <cellStyle name="Normal 2 2 2 2 2 16 5 7" xfId="10364" xr:uid="{00000000-0005-0000-0000-000051280000}"/>
    <cellStyle name="Normal 2 2 2 2 2 16 5 8" xfId="10365" xr:uid="{00000000-0005-0000-0000-000052280000}"/>
    <cellStyle name="Normal 2 2 2 2 2 16 5 9" xfId="10366" xr:uid="{00000000-0005-0000-0000-000053280000}"/>
    <cellStyle name="Normal 2 2 2 2 2 16 6" xfId="10367" xr:uid="{00000000-0005-0000-0000-000054280000}"/>
    <cellStyle name="Normal 2 2 2 2 2 16 7" xfId="10368" xr:uid="{00000000-0005-0000-0000-000055280000}"/>
    <cellStyle name="Normal 2 2 2 2 2 16 8" xfId="10369" xr:uid="{00000000-0005-0000-0000-000056280000}"/>
    <cellStyle name="Normal 2 2 2 2 2 16 9" xfId="10370" xr:uid="{00000000-0005-0000-0000-000057280000}"/>
    <cellStyle name="Normal 2 2 2 2 2 17" xfId="10371" xr:uid="{00000000-0005-0000-0000-000058280000}"/>
    <cellStyle name="Normal 2 2 2 2 2 17 10" xfId="10372" xr:uid="{00000000-0005-0000-0000-000059280000}"/>
    <cellStyle name="Normal 2 2 2 2 2 17 11" xfId="10373" xr:uid="{00000000-0005-0000-0000-00005A280000}"/>
    <cellStyle name="Normal 2 2 2 2 2 17 12" xfId="10374" xr:uid="{00000000-0005-0000-0000-00005B280000}"/>
    <cellStyle name="Normal 2 2 2 2 2 17 13" xfId="10375" xr:uid="{00000000-0005-0000-0000-00005C280000}"/>
    <cellStyle name="Normal 2 2 2 2 2 17 14" xfId="10376" xr:uid="{00000000-0005-0000-0000-00005D280000}"/>
    <cellStyle name="Normal 2 2 2 2 2 17 2" xfId="10377" xr:uid="{00000000-0005-0000-0000-00005E280000}"/>
    <cellStyle name="Normal 2 2 2 2 2 17 2 10" xfId="10378" xr:uid="{00000000-0005-0000-0000-00005F280000}"/>
    <cellStyle name="Normal 2 2 2 2 2 17 2 2" xfId="10379" xr:uid="{00000000-0005-0000-0000-000060280000}"/>
    <cellStyle name="Normal 2 2 2 2 2 17 2 3" xfId="10380" xr:uid="{00000000-0005-0000-0000-000061280000}"/>
    <cellStyle name="Normal 2 2 2 2 2 17 2 4" xfId="10381" xr:uid="{00000000-0005-0000-0000-000062280000}"/>
    <cellStyle name="Normal 2 2 2 2 2 17 2 5" xfId="10382" xr:uid="{00000000-0005-0000-0000-000063280000}"/>
    <cellStyle name="Normal 2 2 2 2 2 17 2 6" xfId="10383" xr:uid="{00000000-0005-0000-0000-000064280000}"/>
    <cellStyle name="Normal 2 2 2 2 2 17 2 7" xfId="10384" xr:uid="{00000000-0005-0000-0000-000065280000}"/>
    <cellStyle name="Normal 2 2 2 2 2 17 2 8" xfId="10385" xr:uid="{00000000-0005-0000-0000-000066280000}"/>
    <cellStyle name="Normal 2 2 2 2 2 17 2 9" xfId="10386" xr:uid="{00000000-0005-0000-0000-000067280000}"/>
    <cellStyle name="Normal 2 2 2 2 2 17 3" xfId="10387" xr:uid="{00000000-0005-0000-0000-000068280000}"/>
    <cellStyle name="Normal 2 2 2 2 2 17 3 10" xfId="10388" xr:uid="{00000000-0005-0000-0000-000069280000}"/>
    <cellStyle name="Normal 2 2 2 2 2 17 3 2" xfId="10389" xr:uid="{00000000-0005-0000-0000-00006A280000}"/>
    <cellStyle name="Normal 2 2 2 2 2 17 3 3" xfId="10390" xr:uid="{00000000-0005-0000-0000-00006B280000}"/>
    <cellStyle name="Normal 2 2 2 2 2 17 3 4" xfId="10391" xr:uid="{00000000-0005-0000-0000-00006C280000}"/>
    <cellStyle name="Normal 2 2 2 2 2 17 3 5" xfId="10392" xr:uid="{00000000-0005-0000-0000-00006D280000}"/>
    <cellStyle name="Normal 2 2 2 2 2 17 3 6" xfId="10393" xr:uid="{00000000-0005-0000-0000-00006E280000}"/>
    <cellStyle name="Normal 2 2 2 2 2 17 3 7" xfId="10394" xr:uid="{00000000-0005-0000-0000-00006F280000}"/>
    <cellStyle name="Normal 2 2 2 2 2 17 3 8" xfId="10395" xr:uid="{00000000-0005-0000-0000-000070280000}"/>
    <cellStyle name="Normal 2 2 2 2 2 17 3 9" xfId="10396" xr:uid="{00000000-0005-0000-0000-000071280000}"/>
    <cellStyle name="Normal 2 2 2 2 2 17 4" xfId="10397" xr:uid="{00000000-0005-0000-0000-000072280000}"/>
    <cellStyle name="Normal 2 2 2 2 2 17 4 10" xfId="10398" xr:uid="{00000000-0005-0000-0000-000073280000}"/>
    <cellStyle name="Normal 2 2 2 2 2 17 4 2" xfId="10399" xr:uid="{00000000-0005-0000-0000-000074280000}"/>
    <cellStyle name="Normal 2 2 2 2 2 17 4 3" xfId="10400" xr:uid="{00000000-0005-0000-0000-000075280000}"/>
    <cellStyle name="Normal 2 2 2 2 2 17 4 4" xfId="10401" xr:uid="{00000000-0005-0000-0000-000076280000}"/>
    <cellStyle name="Normal 2 2 2 2 2 17 4 5" xfId="10402" xr:uid="{00000000-0005-0000-0000-000077280000}"/>
    <cellStyle name="Normal 2 2 2 2 2 17 4 6" xfId="10403" xr:uid="{00000000-0005-0000-0000-000078280000}"/>
    <cellStyle name="Normal 2 2 2 2 2 17 4 7" xfId="10404" xr:uid="{00000000-0005-0000-0000-000079280000}"/>
    <cellStyle name="Normal 2 2 2 2 2 17 4 8" xfId="10405" xr:uid="{00000000-0005-0000-0000-00007A280000}"/>
    <cellStyle name="Normal 2 2 2 2 2 17 4 9" xfId="10406" xr:uid="{00000000-0005-0000-0000-00007B280000}"/>
    <cellStyle name="Normal 2 2 2 2 2 17 5" xfId="10407" xr:uid="{00000000-0005-0000-0000-00007C280000}"/>
    <cellStyle name="Normal 2 2 2 2 2 17 5 10" xfId="10408" xr:uid="{00000000-0005-0000-0000-00007D280000}"/>
    <cellStyle name="Normal 2 2 2 2 2 17 5 2" xfId="10409" xr:uid="{00000000-0005-0000-0000-00007E280000}"/>
    <cellStyle name="Normal 2 2 2 2 2 17 5 3" xfId="10410" xr:uid="{00000000-0005-0000-0000-00007F280000}"/>
    <cellStyle name="Normal 2 2 2 2 2 17 5 4" xfId="10411" xr:uid="{00000000-0005-0000-0000-000080280000}"/>
    <cellStyle name="Normal 2 2 2 2 2 17 5 5" xfId="10412" xr:uid="{00000000-0005-0000-0000-000081280000}"/>
    <cellStyle name="Normal 2 2 2 2 2 17 5 6" xfId="10413" xr:uid="{00000000-0005-0000-0000-000082280000}"/>
    <cellStyle name="Normal 2 2 2 2 2 17 5 7" xfId="10414" xr:uid="{00000000-0005-0000-0000-000083280000}"/>
    <cellStyle name="Normal 2 2 2 2 2 17 5 8" xfId="10415" xr:uid="{00000000-0005-0000-0000-000084280000}"/>
    <cellStyle name="Normal 2 2 2 2 2 17 5 9" xfId="10416" xr:uid="{00000000-0005-0000-0000-000085280000}"/>
    <cellStyle name="Normal 2 2 2 2 2 17 6" xfId="10417" xr:uid="{00000000-0005-0000-0000-000086280000}"/>
    <cellStyle name="Normal 2 2 2 2 2 17 7" xfId="10418" xr:uid="{00000000-0005-0000-0000-000087280000}"/>
    <cellStyle name="Normal 2 2 2 2 2 17 8" xfId="10419" xr:uid="{00000000-0005-0000-0000-000088280000}"/>
    <cellStyle name="Normal 2 2 2 2 2 17 9" xfId="10420" xr:uid="{00000000-0005-0000-0000-000089280000}"/>
    <cellStyle name="Normal 2 2 2 2 2 18" xfId="10421" xr:uid="{00000000-0005-0000-0000-00008A280000}"/>
    <cellStyle name="Normal 2 2 2 2 2 18 10" xfId="10422" xr:uid="{00000000-0005-0000-0000-00008B280000}"/>
    <cellStyle name="Normal 2 2 2 2 2 18 11" xfId="10423" xr:uid="{00000000-0005-0000-0000-00008C280000}"/>
    <cellStyle name="Normal 2 2 2 2 2 18 12" xfId="10424" xr:uid="{00000000-0005-0000-0000-00008D280000}"/>
    <cellStyle name="Normal 2 2 2 2 2 18 13" xfId="10425" xr:uid="{00000000-0005-0000-0000-00008E280000}"/>
    <cellStyle name="Normal 2 2 2 2 2 18 14" xfId="10426" xr:uid="{00000000-0005-0000-0000-00008F280000}"/>
    <cellStyle name="Normal 2 2 2 2 2 18 2" xfId="10427" xr:uid="{00000000-0005-0000-0000-000090280000}"/>
    <cellStyle name="Normal 2 2 2 2 2 18 2 10" xfId="10428" xr:uid="{00000000-0005-0000-0000-000091280000}"/>
    <cellStyle name="Normal 2 2 2 2 2 18 2 2" xfId="10429" xr:uid="{00000000-0005-0000-0000-000092280000}"/>
    <cellStyle name="Normal 2 2 2 2 2 18 2 3" xfId="10430" xr:uid="{00000000-0005-0000-0000-000093280000}"/>
    <cellStyle name="Normal 2 2 2 2 2 18 2 4" xfId="10431" xr:uid="{00000000-0005-0000-0000-000094280000}"/>
    <cellStyle name="Normal 2 2 2 2 2 18 2 5" xfId="10432" xr:uid="{00000000-0005-0000-0000-000095280000}"/>
    <cellStyle name="Normal 2 2 2 2 2 18 2 6" xfId="10433" xr:uid="{00000000-0005-0000-0000-000096280000}"/>
    <cellStyle name="Normal 2 2 2 2 2 18 2 7" xfId="10434" xr:uid="{00000000-0005-0000-0000-000097280000}"/>
    <cellStyle name="Normal 2 2 2 2 2 18 2 8" xfId="10435" xr:uid="{00000000-0005-0000-0000-000098280000}"/>
    <cellStyle name="Normal 2 2 2 2 2 18 2 9" xfId="10436" xr:uid="{00000000-0005-0000-0000-000099280000}"/>
    <cellStyle name="Normal 2 2 2 2 2 18 3" xfId="10437" xr:uid="{00000000-0005-0000-0000-00009A280000}"/>
    <cellStyle name="Normal 2 2 2 2 2 18 3 10" xfId="10438" xr:uid="{00000000-0005-0000-0000-00009B280000}"/>
    <cellStyle name="Normal 2 2 2 2 2 18 3 2" xfId="10439" xr:uid="{00000000-0005-0000-0000-00009C280000}"/>
    <cellStyle name="Normal 2 2 2 2 2 18 3 3" xfId="10440" xr:uid="{00000000-0005-0000-0000-00009D280000}"/>
    <cellStyle name="Normal 2 2 2 2 2 18 3 4" xfId="10441" xr:uid="{00000000-0005-0000-0000-00009E280000}"/>
    <cellStyle name="Normal 2 2 2 2 2 18 3 5" xfId="10442" xr:uid="{00000000-0005-0000-0000-00009F280000}"/>
    <cellStyle name="Normal 2 2 2 2 2 18 3 6" xfId="10443" xr:uid="{00000000-0005-0000-0000-0000A0280000}"/>
    <cellStyle name="Normal 2 2 2 2 2 18 3 7" xfId="10444" xr:uid="{00000000-0005-0000-0000-0000A1280000}"/>
    <cellStyle name="Normal 2 2 2 2 2 18 3 8" xfId="10445" xr:uid="{00000000-0005-0000-0000-0000A2280000}"/>
    <cellStyle name="Normal 2 2 2 2 2 18 3 9" xfId="10446" xr:uid="{00000000-0005-0000-0000-0000A3280000}"/>
    <cellStyle name="Normal 2 2 2 2 2 18 4" xfId="10447" xr:uid="{00000000-0005-0000-0000-0000A4280000}"/>
    <cellStyle name="Normal 2 2 2 2 2 18 4 10" xfId="10448" xr:uid="{00000000-0005-0000-0000-0000A5280000}"/>
    <cellStyle name="Normal 2 2 2 2 2 18 4 2" xfId="10449" xr:uid="{00000000-0005-0000-0000-0000A6280000}"/>
    <cellStyle name="Normal 2 2 2 2 2 18 4 3" xfId="10450" xr:uid="{00000000-0005-0000-0000-0000A7280000}"/>
    <cellStyle name="Normal 2 2 2 2 2 18 4 4" xfId="10451" xr:uid="{00000000-0005-0000-0000-0000A8280000}"/>
    <cellStyle name="Normal 2 2 2 2 2 18 4 5" xfId="10452" xr:uid="{00000000-0005-0000-0000-0000A9280000}"/>
    <cellStyle name="Normal 2 2 2 2 2 18 4 6" xfId="10453" xr:uid="{00000000-0005-0000-0000-0000AA280000}"/>
    <cellStyle name="Normal 2 2 2 2 2 18 4 7" xfId="10454" xr:uid="{00000000-0005-0000-0000-0000AB280000}"/>
    <cellStyle name="Normal 2 2 2 2 2 18 4 8" xfId="10455" xr:uid="{00000000-0005-0000-0000-0000AC280000}"/>
    <cellStyle name="Normal 2 2 2 2 2 18 4 9" xfId="10456" xr:uid="{00000000-0005-0000-0000-0000AD280000}"/>
    <cellStyle name="Normal 2 2 2 2 2 18 5" xfId="10457" xr:uid="{00000000-0005-0000-0000-0000AE280000}"/>
    <cellStyle name="Normal 2 2 2 2 2 18 5 10" xfId="10458" xr:uid="{00000000-0005-0000-0000-0000AF280000}"/>
    <cellStyle name="Normal 2 2 2 2 2 18 5 2" xfId="10459" xr:uid="{00000000-0005-0000-0000-0000B0280000}"/>
    <cellStyle name="Normal 2 2 2 2 2 18 5 3" xfId="10460" xr:uid="{00000000-0005-0000-0000-0000B1280000}"/>
    <cellStyle name="Normal 2 2 2 2 2 18 5 4" xfId="10461" xr:uid="{00000000-0005-0000-0000-0000B2280000}"/>
    <cellStyle name="Normal 2 2 2 2 2 18 5 5" xfId="10462" xr:uid="{00000000-0005-0000-0000-0000B3280000}"/>
    <cellStyle name="Normal 2 2 2 2 2 18 5 6" xfId="10463" xr:uid="{00000000-0005-0000-0000-0000B4280000}"/>
    <cellStyle name="Normal 2 2 2 2 2 18 5 7" xfId="10464" xr:uid="{00000000-0005-0000-0000-0000B5280000}"/>
    <cellStyle name="Normal 2 2 2 2 2 18 5 8" xfId="10465" xr:uid="{00000000-0005-0000-0000-0000B6280000}"/>
    <cellStyle name="Normal 2 2 2 2 2 18 5 9" xfId="10466" xr:uid="{00000000-0005-0000-0000-0000B7280000}"/>
    <cellStyle name="Normal 2 2 2 2 2 18 6" xfId="10467" xr:uid="{00000000-0005-0000-0000-0000B8280000}"/>
    <cellStyle name="Normal 2 2 2 2 2 18 7" xfId="10468" xr:uid="{00000000-0005-0000-0000-0000B9280000}"/>
    <cellStyle name="Normal 2 2 2 2 2 18 8" xfId="10469" xr:uid="{00000000-0005-0000-0000-0000BA280000}"/>
    <cellStyle name="Normal 2 2 2 2 2 18 9" xfId="10470" xr:uid="{00000000-0005-0000-0000-0000BB280000}"/>
    <cellStyle name="Normal 2 2 2 2 2 19" xfId="10471" xr:uid="{00000000-0005-0000-0000-0000BC280000}"/>
    <cellStyle name="Normal 2 2 2 2 2 19 10" xfId="10472" xr:uid="{00000000-0005-0000-0000-0000BD280000}"/>
    <cellStyle name="Normal 2 2 2 2 2 19 11" xfId="10473" xr:uid="{00000000-0005-0000-0000-0000BE280000}"/>
    <cellStyle name="Normal 2 2 2 2 2 19 12" xfId="10474" xr:uid="{00000000-0005-0000-0000-0000BF280000}"/>
    <cellStyle name="Normal 2 2 2 2 2 19 13" xfId="10475" xr:uid="{00000000-0005-0000-0000-0000C0280000}"/>
    <cellStyle name="Normal 2 2 2 2 2 19 14" xfId="10476" xr:uid="{00000000-0005-0000-0000-0000C1280000}"/>
    <cellStyle name="Normal 2 2 2 2 2 19 2" xfId="10477" xr:uid="{00000000-0005-0000-0000-0000C2280000}"/>
    <cellStyle name="Normal 2 2 2 2 2 19 2 10" xfId="10478" xr:uid="{00000000-0005-0000-0000-0000C3280000}"/>
    <cellStyle name="Normal 2 2 2 2 2 19 2 2" xfId="10479" xr:uid="{00000000-0005-0000-0000-0000C4280000}"/>
    <cellStyle name="Normal 2 2 2 2 2 19 2 3" xfId="10480" xr:uid="{00000000-0005-0000-0000-0000C5280000}"/>
    <cellStyle name="Normal 2 2 2 2 2 19 2 4" xfId="10481" xr:uid="{00000000-0005-0000-0000-0000C6280000}"/>
    <cellStyle name="Normal 2 2 2 2 2 19 2 5" xfId="10482" xr:uid="{00000000-0005-0000-0000-0000C7280000}"/>
    <cellStyle name="Normal 2 2 2 2 2 19 2 6" xfId="10483" xr:uid="{00000000-0005-0000-0000-0000C8280000}"/>
    <cellStyle name="Normal 2 2 2 2 2 19 2 7" xfId="10484" xr:uid="{00000000-0005-0000-0000-0000C9280000}"/>
    <cellStyle name="Normal 2 2 2 2 2 19 2 8" xfId="10485" xr:uid="{00000000-0005-0000-0000-0000CA280000}"/>
    <cellStyle name="Normal 2 2 2 2 2 19 2 9" xfId="10486" xr:uid="{00000000-0005-0000-0000-0000CB280000}"/>
    <cellStyle name="Normal 2 2 2 2 2 19 3" xfId="10487" xr:uid="{00000000-0005-0000-0000-0000CC280000}"/>
    <cellStyle name="Normal 2 2 2 2 2 19 3 10" xfId="10488" xr:uid="{00000000-0005-0000-0000-0000CD280000}"/>
    <cellStyle name="Normal 2 2 2 2 2 19 3 2" xfId="10489" xr:uid="{00000000-0005-0000-0000-0000CE280000}"/>
    <cellStyle name="Normal 2 2 2 2 2 19 3 3" xfId="10490" xr:uid="{00000000-0005-0000-0000-0000CF280000}"/>
    <cellStyle name="Normal 2 2 2 2 2 19 3 4" xfId="10491" xr:uid="{00000000-0005-0000-0000-0000D0280000}"/>
    <cellStyle name="Normal 2 2 2 2 2 19 3 5" xfId="10492" xr:uid="{00000000-0005-0000-0000-0000D1280000}"/>
    <cellStyle name="Normal 2 2 2 2 2 19 3 6" xfId="10493" xr:uid="{00000000-0005-0000-0000-0000D2280000}"/>
    <cellStyle name="Normal 2 2 2 2 2 19 3 7" xfId="10494" xr:uid="{00000000-0005-0000-0000-0000D3280000}"/>
    <cellStyle name="Normal 2 2 2 2 2 19 3 8" xfId="10495" xr:uid="{00000000-0005-0000-0000-0000D4280000}"/>
    <cellStyle name="Normal 2 2 2 2 2 19 3 9" xfId="10496" xr:uid="{00000000-0005-0000-0000-0000D5280000}"/>
    <cellStyle name="Normal 2 2 2 2 2 19 4" xfId="10497" xr:uid="{00000000-0005-0000-0000-0000D6280000}"/>
    <cellStyle name="Normal 2 2 2 2 2 19 4 10" xfId="10498" xr:uid="{00000000-0005-0000-0000-0000D7280000}"/>
    <cellStyle name="Normal 2 2 2 2 2 19 4 2" xfId="10499" xr:uid="{00000000-0005-0000-0000-0000D8280000}"/>
    <cellStyle name="Normal 2 2 2 2 2 19 4 3" xfId="10500" xr:uid="{00000000-0005-0000-0000-0000D9280000}"/>
    <cellStyle name="Normal 2 2 2 2 2 19 4 4" xfId="10501" xr:uid="{00000000-0005-0000-0000-0000DA280000}"/>
    <cellStyle name="Normal 2 2 2 2 2 19 4 5" xfId="10502" xr:uid="{00000000-0005-0000-0000-0000DB280000}"/>
    <cellStyle name="Normal 2 2 2 2 2 19 4 6" xfId="10503" xr:uid="{00000000-0005-0000-0000-0000DC280000}"/>
    <cellStyle name="Normal 2 2 2 2 2 19 4 7" xfId="10504" xr:uid="{00000000-0005-0000-0000-0000DD280000}"/>
    <cellStyle name="Normal 2 2 2 2 2 19 4 8" xfId="10505" xr:uid="{00000000-0005-0000-0000-0000DE280000}"/>
    <cellStyle name="Normal 2 2 2 2 2 19 4 9" xfId="10506" xr:uid="{00000000-0005-0000-0000-0000DF280000}"/>
    <cellStyle name="Normal 2 2 2 2 2 19 5" xfId="10507" xr:uid="{00000000-0005-0000-0000-0000E0280000}"/>
    <cellStyle name="Normal 2 2 2 2 2 19 5 10" xfId="10508" xr:uid="{00000000-0005-0000-0000-0000E1280000}"/>
    <cellStyle name="Normal 2 2 2 2 2 19 5 2" xfId="10509" xr:uid="{00000000-0005-0000-0000-0000E2280000}"/>
    <cellStyle name="Normal 2 2 2 2 2 19 5 3" xfId="10510" xr:uid="{00000000-0005-0000-0000-0000E3280000}"/>
    <cellStyle name="Normal 2 2 2 2 2 19 5 4" xfId="10511" xr:uid="{00000000-0005-0000-0000-0000E4280000}"/>
    <cellStyle name="Normal 2 2 2 2 2 19 5 5" xfId="10512" xr:uid="{00000000-0005-0000-0000-0000E5280000}"/>
    <cellStyle name="Normal 2 2 2 2 2 19 5 6" xfId="10513" xr:uid="{00000000-0005-0000-0000-0000E6280000}"/>
    <cellStyle name="Normal 2 2 2 2 2 19 5 7" xfId="10514" xr:uid="{00000000-0005-0000-0000-0000E7280000}"/>
    <cellStyle name="Normal 2 2 2 2 2 19 5 8" xfId="10515" xr:uid="{00000000-0005-0000-0000-0000E8280000}"/>
    <cellStyle name="Normal 2 2 2 2 2 19 5 9" xfId="10516" xr:uid="{00000000-0005-0000-0000-0000E9280000}"/>
    <cellStyle name="Normal 2 2 2 2 2 19 6" xfId="10517" xr:uid="{00000000-0005-0000-0000-0000EA280000}"/>
    <cellStyle name="Normal 2 2 2 2 2 19 7" xfId="10518" xr:uid="{00000000-0005-0000-0000-0000EB280000}"/>
    <cellStyle name="Normal 2 2 2 2 2 19 8" xfId="10519" xr:uid="{00000000-0005-0000-0000-0000EC280000}"/>
    <cellStyle name="Normal 2 2 2 2 2 19 9" xfId="10520" xr:uid="{00000000-0005-0000-0000-0000ED280000}"/>
    <cellStyle name="Normal 2 2 2 2 2 2" xfId="10521" xr:uid="{00000000-0005-0000-0000-0000EE280000}"/>
    <cellStyle name="Normal 2 2 2 2 2 2 10" xfId="10522" xr:uid="{00000000-0005-0000-0000-0000EF280000}"/>
    <cellStyle name="Normal 2 2 2 2 2 2 10 10" xfId="10523" xr:uid="{00000000-0005-0000-0000-0000F0280000}"/>
    <cellStyle name="Normal 2 2 2 2 2 2 10 11" xfId="10524" xr:uid="{00000000-0005-0000-0000-0000F1280000}"/>
    <cellStyle name="Normal 2 2 2 2 2 2 10 12" xfId="10525" xr:uid="{00000000-0005-0000-0000-0000F2280000}"/>
    <cellStyle name="Normal 2 2 2 2 2 2 10 13" xfId="10526" xr:uid="{00000000-0005-0000-0000-0000F3280000}"/>
    <cellStyle name="Normal 2 2 2 2 2 2 10 14" xfId="10527" xr:uid="{00000000-0005-0000-0000-0000F4280000}"/>
    <cellStyle name="Normal 2 2 2 2 2 2 10 2" xfId="10528" xr:uid="{00000000-0005-0000-0000-0000F5280000}"/>
    <cellStyle name="Normal 2 2 2 2 2 2 10 2 10" xfId="10529" xr:uid="{00000000-0005-0000-0000-0000F6280000}"/>
    <cellStyle name="Normal 2 2 2 2 2 2 10 2 2" xfId="10530" xr:uid="{00000000-0005-0000-0000-0000F7280000}"/>
    <cellStyle name="Normal 2 2 2 2 2 2 10 2 3" xfId="10531" xr:uid="{00000000-0005-0000-0000-0000F8280000}"/>
    <cellStyle name="Normal 2 2 2 2 2 2 10 2 4" xfId="10532" xr:uid="{00000000-0005-0000-0000-0000F9280000}"/>
    <cellStyle name="Normal 2 2 2 2 2 2 10 2 5" xfId="10533" xr:uid="{00000000-0005-0000-0000-0000FA280000}"/>
    <cellStyle name="Normal 2 2 2 2 2 2 10 2 6" xfId="10534" xr:uid="{00000000-0005-0000-0000-0000FB280000}"/>
    <cellStyle name="Normal 2 2 2 2 2 2 10 2 7" xfId="10535" xr:uid="{00000000-0005-0000-0000-0000FC280000}"/>
    <cellStyle name="Normal 2 2 2 2 2 2 10 2 8" xfId="10536" xr:uid="{00000000-0005-0000-0000-0000FD280000}"/>
    <cellStyle name="Normal 2 2 2 2 2 2 10 2 9" xfId="10537" xr:uid="{00000000-0005-0000-0000-0000FE280000}"/>
    <cellStyle name="Normal 2 2 2 2 2 2 10 3" xfId="10538" xr:uid="{00000000-0005-0000-0000-0000FF280000}"/>
    <cellStyle name="Normal 2 2 2 2 2 2 10 3 10" xfId="10539" xr:uid="{00000000-0005-0000-0000-000000290000}"/>
    <cellStyle name="Normal 2 2 2 2 2 2 10 3 2" xfId="10540" xr:uid="{00000000-0005-0000-0000-000001290000}"/>
    <cellStyle name="Normal 2 2 2 2 2 2 10 3 3" xfId="10541" xr:uid="{00000000-0005-0000-0000-000002290000}"/>
    <cellStyle name="Normal 2 2 2 2 2 2 10 3 4" xfId="10542" xr:uid="{00000000-0005-0000-0000-000003290000}"/>
    <cellStyle name="Normal 2 2 2 2 2 2 10 3 5" xfId="10543" xr:uid="{00000000-0005-0000-0000-000004290000}"/>
    <cellStyle name="Normal 2 2 2 2 2 2 10 3 6" xfId="10544" xr:uid="{00000000-0005-0000-0000-000005290000}"/>
    <cellStyle name="Normal 2 2 2 2 2 2 10 3 7" xfId="10545" xr:uid="{00000000-0005-0000-0000-000006290000}"/>
    <cellStyle name="Normal 2 2 2 2 2 2 10 3 8" xfId="10546" xr:uid="{00000000-0005-0000-0000-000007290000}"/>
    <cellStyle name="Normal 2 2 2 2 2 2 10 3 9" xfId="10547" xr:uid="{00000000-0005-0000-0000-000008290000}"/>
    <cellStyle name="Normal 2 2 2 2 2 2 10 4" xfId="10548" xr:uid="{00000000-0005-0000-0000-000009290000}"/>
    <cellStyle name="Normal 2 2 2 2 2 2 10 4 10" xfId="10549" xr:uid="{00000000-0005-0000-0000-00000A290000}"/>
    <cellStyle name="Normal 2 2 2 2 2 2 10 4 2" xfId="10550" xr:uid="{00000000-0005-0000-0000-00000B290000}"/>
    <cellStyle name="Normal 2 2 2 2 2 2 10 4 3" xfId="10551" xr:uid="{00000000-0005-0000-0000-00000C290000}"/>
    <cellStyle name="Normal 2 2 2 2 2 2 10 4 4" xfId="10552" xr:uid="{00000000-0005-0000-0000-00000D290000}"/>
    <cellStyle name="Normal 2 2 2 2 2 2 10 4 5" xfId="10553" xr:uid="{00000000-0005-0000-0000-00000E290000}"/>
    <cellStyle name="Normal 2 2 2 2 2 2 10 4 6" xfId="10554" xr:uid="{00000000-0005-0000-0000-00000F290000}"/>
    <cellStyle name="Normal 2 2 2 2 2 2 10 4 7" xfId="10555" xr:uid="{00000000-0005-0000-0000-000010290000}"/>
    <cellStyle name="Normal 2 2 2 2 2 2 10 4 8" xfId="10556" xr:uid="{00000000-0005-0000-0000-000011290000}"/>
    <cellStyle name="Normal 2 2 2 2 2 2 10 4 9" xfId="10557" xr:uid="{00000000-0005-0000-0000-000012290000}"/>
    <cellStyle name="Normal 2 2 2 2 2 2 10 5" xfId="10558" xr:uid="{00000000-0005-0000-0000-000013290000}"/>
    <cellStyle name="Normal 2 2 2 2 2 2 10 5 10" xfId="10559" xr:uid="{00000000-0005-0000-0000-000014290000}"/>
    <cellStyle name="Normal 2 2 2 2 2 2 10 5 2" xfId="10560" xr:uid="{00000000-0005-0000-0000-000015290000}"/>
    <cellStyle name="Normal 2 2 2 2 2 2 10 5 3" xfId="10561" xr:uid="{00000000-0005-0000-0000-000016290000}"/>
    <cellStyle name="Normal 2 2 2 2 2 2 10 5 4" xfId="10562" xr:uid="{00000000-0005-0000-0000-000017290000}"/>
    <cellStyle name="Normal 2 2 2 2 2 2 10 5 5" xfId="10563" xr:uid="{00000000-0005-0000-0000-000018290000}"/>
    <cellStyle name="Normal 2 2 2 2 2 2 10 5 6" xfId="10564" xr:uid="{00000000-0005-0000-0000-000019290000}"/>
    <cellStyle name="Normal 2 2 2 2 2 2 10 5 7" xfId="10565" xr:uid="{00000000-0005-0000-0000-00001A290000}"/>
    <cellStyle name="Normal 2 2 2 2 2 2 10 5 8" xfId="10566" xr:uid="{00000000-0005-0000-0000-00001B290000}"/>
    <cellStyle name="Normal 2 2 2 2 2 2 10 5 9" xfId="10567" xr:uid="{00000000-0005-0000-0000-00001C290000}"/>
    <cellStyle name="Normal 2 2 2 2 2 2 10 6" xfId="10568" xr:uid="{00000000-0005-0000-0000-00001D290000}"/>
    <cellStyle name="Normal 2 2 2 2 2 2 10 7" xfId="10569" xr:uid="{00000000-0005-0000-0000-00001E290000}"/>
    <cellStyle name="Normal 2 2 2 2 2 2 10 8" xfId="10570" xr:uid="{00000000-0005-0000-0000-00001F290000}"/>
    <cellStyle name="Normal 2 2 2 2 2 2 10 9" xfId="10571" xr:uid="{00000000-0005-0000-0000-000020290000}"/>
    <cellStyle name="Normal 2 2 2 2 2 2 11" xfId="10572" xr:uid="{00000000-0005-0000-0000-000021290000}"/>
    <cellStyle name="Normal 2 2 2 2 2 2 11 10" xfId="10573" xr:uid="{00000000-0005-0000-0000-000022290000}"/>
    <cellStyle name="Normal 2 2 2 2 2 2 11 11" xfId="10574" xr:uid="{00000000-0005-0000-0000-000023290000}"/>
    <cellStyle name="Normal 2 2 2 2 2 2 11 12" xfId="10575" xr:uid="{00000000-0005-0000-0000-000024290000}"/>
    <cellStyle name="Normal 2 2 2 2 2 2 11 13" xfId="10576" xr:uid="{00000000-0005-0000-0000-000025290000}"/>
    <cellStyle name="Normal 2 2 2 2 2 2 11 14" xfId="10577" xr:uid="{00000000-0005-0000-0000-000026290000}"/>
    <cellStyle name="Normal 2 2 2 2 2 2 11 2" xfId="10578" xr:uid="{00000000-0005-0000-0000-000027290000}"/>
    <cellStyle name="Normal 2 2 2 2 2 2 11 2 10" xfId="10579" xr:uid="{00000000-0005-0000-0000-000028290000}"/>
    <cellStyle name="Normal 2 2 2 2 2 2 11 2 2" xfId="10580" xr:uid="{00000000-0005-0000-0000-000029290000}"/>
    <cellStyle name="Normal 2 2 2 2 2 2 11 2 3" xfId="10581" xr:uid="{00000000-0005-0000-0000-00002A290000}"/>
    <cellStyle name="Normal 2 2 2 2 2 2 11 2 4" xfId="10582" xr:uid="{00000000-0005-0000-0000-00002B290000}"/>
    <cellStyle name="Normal 2 2 2 2 2 2 11 2 5" xfId="10583" xr:uid="{00000000-0005-0000-0000-00002C290000}"/>
    <cellStyle name="Normal 2 2 2 2 2 2 11 2 6" xfId="10584" xr:uid="{00000000-0005-0000-0000-00002D290000}"/>
    <cellStyle name="Normal 2 2 2 2 2 2 11 2 7" xfId="10585" xr:uid="{00000000-0005-0000-0000-00002E290000}"/>
    <cellStyle name="Normal 2 2 2 2 2 2 11 2 8" xfId="10586" xr:uid="{00000000-0005-0000-0000-00002F290000}"/>
    <cellStyle name="Normal 2 2 2 2 2 2 11 2 9" xfId="10587" xr:uid="{00000000-0005-0000-0000-000030290000}"/>
    <cellStyle name="Normal 2 2 2 2 2 2 11 3" xfId="10588" xr:uid="{00000000-0005-0000-0000-000031290000}"/>
    <cellStyle name="Normal 2 2 2 2 2 2 11 3 10" xfId="10589" xr:uid="{00000000-0005-0000-0000-000032290000}"/>
    <cellStyle name="Normal 2 2 2 2 2 2 11 3 2" xfId="10590" xr:uid="{00000000-0005-0000-0000-000033290000}"/>
    <cellStyle name="Normal 2 2 2 2 2 2 11 3 3" xfId="10591" xr:uid="{00000000-0005-0000-0000-000034290000}"/>
    <cellStyle name="Normal 2 2 2 2 2 2 11 3 4" xfId="10592" xr:uid="{00000000-0005-0000-0000-000035290000}"/>
    <cellStyle name="Normal 2 2 2 2 2 2 11 3 5" xfId="10593" xr:uid="{00000000-0005-0000-0000-000036290000}"/>
    <cellStyle name="Normal 2 2 2 2 2 2 11 3 6" xfId="10594" xr:uid="{00000000-0005-0000-0000-000037290000}"/>
    <cellStyle name="Normal 2 2 2 2 2 2 11 3 7" xfId="10595" xr:uid="{00000000-0005-0000-0000-000038290000}"/>
    <cellStyle name="Normal 2 2 2 2 2 2 11 3 8" xfId="10596" xr:uid="{00000000-0005-0000-0000-000039290000}"/>
    <cellStyle name="Normal 2 2 2 2 2 2 11 3 9" xfId="10597" xr:uid="{00000000-0005-0000-0000-00003A290000}"/>
    <cellStyle name="Normal 2 2 2 2 2 2 11 4" xfId="10598" xr:uid="{00000000-0005-0000-0000-00003B290000}"/>
    <cellStyle name="Normal 2 2 2 2 2 2 11 4 10" xfId="10599" xr:uid="{00000000-0005-0000-0000-00003C290000}"/>
    <cellStyle name="Normal 2 2 2 2 2 2 11 4 2" xfId="10600" xr:uid="{00000000-0005-0000-0000-00003D290000}"/>
    <cellStyle name="Normal 2 2 2 2 2 2 11 4 3" xfId="10601" xr:uid="{00000000-0005-0000-0000-00003E290000}"/>
    <cellStyle name="Normal 2 2 2 2 2 2 11 4 4" xfId="10602" xr:uid="{00000000-0005-0000-0000-00003F290000}"/>
    <cellStyle name="Normal 2 2 2 2 2 2 11 4 5" xfId="10603" xr:uid="{00000000-0005-0000-0000-000040290000}"/>
    <cellStyle name="Normal 2 2 2 2 2 2 11 4 6" xfId="10604" xr:uid="{00000000-0005-0000-0000-000041290000}"/>
    <cellStyle name="Normal 2 2 2 2 2 2 11 4 7" xfId="10605" xr:uid="{00000000-0005-0000-0000-000042290000}"/>
    <cellStyle name="Normal 2 2 2 2 2 2 11 4 8" xfId="10606" xr:uid="{00000000-0005-0000-0000-000043290000}"/>
    <cellStyle name="Normal 2 2 2 2 2 2 11 4 9" xfId="10607" xr:uid="{00000000-0005-0000-0000-000044290000}"/>
    <cellStyle name="Normal 2 2 2 2 2 2 11 5" xfId="10608" xr:uid="{00000000-0005-0000-0000-000045290000}"/>
    <cellStyle name="Normal 2 2 2 2 2 2 11 5 10" xfId="10609" xr:uid="{00000000-0005-0000-0000-000046290000}"/>
    <cellStyle name="Normal 2 2 2 2 2 2 11 5 2" xfId="10610" xr:uid="{00000000-0005-0000-0000-000047290000}"/>
    <cellStyle name="Normal 2 2 2 2 2 2 11 5 3" xfId="10611" xr:uid="{00000000-0005-0000-0000-000048290000}"/>
    <cellStyle name="Normal 2 2 2 2 2 2 11 5 4" xfId="10612" xr:uid="{00000000-0005-0000-0000-000049290000}"/>
    <cellStyle name="Normal 2 2 2 2 2 2 11 5 5" xfId="10613" xr:uid="{00000000-0005-0000-0000-00004A290000}"/>
    <cellStyle name="Normal 2 2 2 2 2 2 11 5 6" xfId="10614" xr:uid="{00000000-0005-0000-0000-00004B290000}"/>
    <cellStyle name="Normal 2 2 2 2 2 2 11 5 7" xfId="10615" xr:uid="{00000000-0005-0000-0000-00004C290000}"/>
    <cellStyle name="Normal 2 2 2 2 2 2 11 5 8" xfId="10616" xr:uid="{00000000-0005-0000-0000-00004D290000}"/>
    <cellStyle name="Normal 2 2 2 2 2 2 11 5 9" xfId="10617" xr:uid="{00000000-0005-0000-0000-00004E290000}"/>
    <cellStyle name="Normal 2 2 2 2 2 2 11 6" xfId="10618" xr:uid="{00000000-0005-0000-0000-00004F290000}"/>
    <cellStyle name="Normal 2 2 2 2 2 2 11 7" xfId="10619" xr:uid="{00000000-0005-0000-0000-000050290000}"/>
    <cellStyle name="Normal 2 2 2 2 2 2 11 8" xfId="10620" xr:uid="{00000000-0005-0000-0000-000051290000}"/>
    <cellStyle name="Normal 2 2 2 2 2 2 11 9" xfId="10621" xr:uid="{00000000-0005-0000-0000-000052290000}"/>
    <cellStyle name="Normal 2 2 2 2 2 2 12" xfId="10622" xr:uid="{00000000-0005-0000-0000-000053290000}"/>
    <cellStyle name="Normal 2 2 2 2 2 2 12 10" xfId="10623" xr:uid="{00000000-0005-0000-0000-000054290000}"/>
    <cellStyle name="Normal 2 2 2 2 2 2 12 11" xfId="10624" xr:uid="{00000000-0005-0000-0000-000055290000}"/>
    <cellStyle name="Normal 2 2 2 2 2 2 12 12" xfId="10625" xr:uid="{00000000-0005-0000-0000-000056290000}"/>
    <cellStyle name="Normal 2 2 2 2 2 2 12 13" xfId="10626" xr:uid="{00000000-0005-0000-0000-000057290000}"/>
    <cellStyle name="Normal 2 2 2 2 2 2 12 14" xfId="10627" xr:uid="{00000000-0005-0000-0000-000058290000}"/>
    <cellStyle name="Normal 2 2 2 2 2 2 12 2" xfId="10628" xr:uid="{00000000-0005-0000-0000-000059290000}"/>
    <cellStyle name="Normal 2 2 2 2 2 2 12 2 10" xfId="10629" xr:uid="{00000000-0005-0000-0000-00005A290000}"/>
    <cellStyle name="Normal 2 2 2 2 2 2 12 2 2" xfId="10630" xr:uid="{00000000-0005-0000-0000-00005B290000}"/>
    <cellStyle name="Normal 2 2 2 2 2 2 12 2 3" xfId="10631" xr:uid="{00000000-0005-0000-0000-00005C290000}"/>
    <cellStyle name="Normal 2 2 2 2 2 2 12 2 4" xfId="10632" xr:uid="{00000000-0005-0000-0000-00005D290000}"/>
    <cellStyle name="Normal 2 2 2 2 2 2 12 2 5" xfId="10633" xr:uid="{00000000-0005-0000-0000-00005E290000}"/>
    <cellStyle name="Normal 2 2 2 2 2 2 12 2 6" xfId="10634" xr:uid="{00000000-0005-0000-0000-00005F290000}"/>
    <cellStyle name="Normal 2 2 2 2 2 2 12 2 7" xfId="10635" xr:uid="{00000000-0005-0000-0000-000060290000}"/>
    <cellStyle name="Normal 2 2 2 2 2 2 12 2 8" xfId="10636" xr:uid="{00000000-0005-0000-0000-000061290000}"/>
    <cellStyle name="Normal 2 2 2 2 2 2 12 2 9" xfId="10637" xr:uid="{00000000-0005-0000-0000-000062290000}"/>
    <cellStyle name="Normal 2 2 2 2 2 2 12 3" xfId="10638" xr:uid="{00000000-0005-0000-0000-000063290000}"/>
    <cellStyle name="Normal 2 2 2 2 2 2 12 3 10" xfId="10639" xr:uid="{00000000-0005-0000-0000-000064290000}"/>
    <cellStyle name="Normal 2 2 2 2 2 2 12 3 2" xfId="10640" xr:uid="{00000000-0005-0000-0000-000065290000}"/>
    <cellStyle name="Normal 2 2 2 2 2 2 12 3 3" xfId="10641" xr:uid="{00000000-0005-0000-0000-000066290000}"/>
    <cellStyle name="Normal 2 2 2 2 2 2 12 3 4" xfId="10642" xr:uid="{00000000-0005-0000-0000-000067290000}"/>
    <cellStyle name="Normal 2 2 2 2 2 2 12 3 5" xfId="10643" xr:uid="{00000000-0005-0000-0000-000068290000}"/>
    <cellStyle name="Normal 2 2 2 2 2 2 12 3 6" xfId="10644" xr:uid="{00000000-0005-0000-0000-000069290000}"/>
    <cellStyle name="Normal 2 2 2 2 2 2 12 3 7" xfId="10645" xr:uid="{00000000-0005-0000-0000-00006A290000}"/>
    <cellStyle name="Normal 2 2 2 2 2 2 12 3 8" xfId="10646" xr:uid="{00000000-0005-0000-0000-00006B290000}"/>
    <cellStyle name="Normal 2 2 2 2 2 2 12 3 9" xfId="10647" xr:uid="{00000000-0005-0000-0000-00006C290000}"/>
    <cellStyle name="Normal 2 2 2 2 2 2 12 4" xfId="10648" xr:uid="{00000000-0005-0000-0000-00006D290000}"/>
    <cellStyle name="Normal 2 2 2 2 2 2 12 4 10" xfId="10649" xr:uid="{00000000-0005-0000-0000-00006E290000}"/>
    <cellStyle name="Normal 2 2 2 2 2 2 12 4 2" xfId="10650" xr:uid="{00000000-0005-0000-0000-00006F290000}"/>
    <cellStyle name="Normal 2 2 2 2 2 2 12 4 3" xfId="10651" xr:uid="{00000000-0005-0000-0000-000070290000}"/>
    <cellStyle name="Normal 2 2 2 2 2 2 12 4 4" xfId="10652" xr:uid="{00000000-0005-0000-0000-000071290000}"/>
    <cellStyle name="Normal 2 2 2 2 2 2 12 4 5" xfId="10653" xr:uid="{00000000-0005-0000-0000-000072290000}"/>
    <cellStyle name="Normal 2 2 2 2 2 2 12 4 6" xfId="10654" xr:uid="{00000000-0005-0000-0000-000073290000}"/>
    <cellStyle name="Normal 2 2 2 2 2 2 12 4 7" xfId="10655" xr:uid="{00000000-0005-0000-0000-000074290000}"/>
    <cellStyle name="Normal 2 2 2 2 2 2 12 4 8" xfId="10656" xr:uid="{00000000-0005-0000-0000-000075290000}"/>
    <cellStyle name="Normal 2 2 2 2 2 2 12 4 9" xfId="10657" xr:uid="{00000000-0005-0000-0000-000076290000}"/>
    <cellStyle name="Normal 2 2 2 2 2 2 12 5" xfId="10658" xr:uid="{00000000-0005-0000-0000-000077290000}"/>
    <cellStyle name="Normal 2 2 2 2 2 2 12 5 10" xfId="10659" xr:uid="{00000000-0005-0000-0000-000078290000}"/>
    <cellStyle name="Normal 2 2 2 2 2 2 12 5 2" xfId="10660" xr:uid="{00000000-0005-0000-0000-000079290000}"/>
    <cellStyle name="Normal 2 2 2 2 2 2 12 5 3" xfId="10661" xr:uid="{00000000-0005-0000-0000-00007A290000}"/>
    <cellStyle name="Normal 2 2 2 2 2 2 12 5 4" xfId="10662" xr:uid="{00000000-0005-0000-0000-00007B290000}"/>
    <cellStyle name="Normal 2 2 2 2 2 2 12 5 5" xfId="10663" xr:uid="{00000000-0005-0000-0000-00007C290000}"/>
    <cellStyle name="Normal 2 2 2 2 2 2 12 5 6" xfId="10664" xr:uid="{00000000-0005-0000-0000-00007D290000}"/>
    <cellStyle name="Normal 2 2 2 2 2 2 12 5 7" xfId="10665" xr:uid="{00000000-0005-0000-0000-00007E290000}"/>
    <cellStyle name="Normal 2 2 2 2 2 2 12 5 8" xfId="10666" xr:uid="{00000000-0005-0000-0000-00007F290000}"/>
    <cellStyle name="Normal 2 2 2 2 2 2 12 5 9" xfId="10667" xr:uid="{00000000-0005-0000-0000-000080290000}"/>
    <cellStyle name="Normal 2 2 2 2 2 2 12 6" xfId="10668" xr:uid="{00000000-0005-0000-0000-000081290000}"/>
    <cellStyle name="Normal 2 2 2 2 2 2 12 7" xfId="10669" xr:uid="{00000000-0005-0000-0000-000082290000}"/>
    <cellStyle name="Normal 2 2 2 2 2 2 12 8" xfId="10670" xr:uid="{00000000-0005-0000-0000-000083290000}"/>
    <cellStyle name="Normal 2 2 2 2 2 2 12 9" xfId="10671" xr:uid="{00000000-0005-0000-0000-000084290000}"/>
    <cellStyle name="Normal 2 2 2 2 2 2 13" xfId="10672" xr:uid="{00000000-0005-0000-0000-000085290000}"/>
    <cellStyle name="Normal 2 2 2 2 2 2 13 10" xfId="10673" xr:uid="{00000000-0005-0000-0000-000086290000}"/>
    <cellStyle name="Normal 2 2 2 2 2 2 13 11" xfId="10674" xr:uid="{00000000-0005-0000-0000-000087290000}"/>
    <cellStyle name="Normal 2 2 2 2 2 2 13 12" xfId="10675" xr:uid="{00000000-0005-0000-0000-000088290000}"/>
    <cellStyle name="Normal 2 2 2 2 2 2 13 13" xfId="10676" xr:uid="{00000000-0005-0000-0000-000089290000}"/>
    <cellStyle name="Normal 2 2 2 2 2 2 13 14" xfId="10677" xr:uid="{00000000-0005-0000-0000-00008A290000}"/>
    <cellStyle name="Normal 2 2 2 2 2 2 13 2" xfId="10678" xr:uid="{00000000-0005-0000-0000-00008B290000}"/>
    <cellStyle name="Normal 2 2 2 2 2 2 13 2 10" xfId="10679" xr:uid="{00000000-0005-0000-0000-00008C290000}"/>
    <cellStyle name="Normal 2 2 2 2 2 2 13 2 2" xfId="10680" xr:uid="{00000000-0005-0000-0000-00008D290000}"/>
    <cellStyle name="Normal 2 2 2 2 2 2 13 2 3" xfId="10681" xr:uid="{00000000-0005-0000-0000-00008E290000}"/>
    <cellStyle name="Normal 2 2 2 2 2 2 13 2 4" xfId="10682" xr:uid="{00000000-0005-0000-0000-00008F290000}"/>
    <cellStyle name="Normal 2 2 2 2 2 2 13 2 5" xfId="10683" xr:uid="{00000000-0005-0000-0000-000090290000}"/>
    <cellStyle name="Normal 2 2 2 2 2 2 13 2 6" xfId="10684" xr:uid="{00000000-0005-0000-0000-000091290000}"/>
    <cellStyle name="Normal 2 2 2 2 2 2 13 2 7" xfId="10685" xr:uid="{00000000-0005-0000-0000-000092290000}"/>
    <cellStyle name="Normal 2 2 2 2 2 2 13 2 8" xfId="10686" xr:uid="{00000000-0005-0000-0000-000093290000}"/>
    <cellStyle name="Normal 2 2 2 2 2 2 13 2 9" xfId="10687" xr:uid="{00000000-0005-0000-0000-000094290000}"/>
    <cellStyle name="Normal 2 2 2 2 2 2 13 3" xfId="10688" xr:uid="{00000000-0005-0000-0000-000095290000}"/>
    <cellStyle name="Normal 2 2 2 2 2 2 13 3 10" xfId="10689" xr:uid="{00000000-0005-0000-0000-000096290000}"/>
    <cellStyle name="Normal 2 2 2 2 2 2 13 3 2" xfId="10690" xr:uid="{00000000-0005-0000-0000-000097290000}"/>
    <cellStyle name="Normal 2 2 2 2 2 2 13 3 3" xfId="10691" xr:uid="{00000000-0005-0000-0000-000098290000}"/>
    <cellStyle name="Normal 2 2 2 2 2 2 13 3 4" xfId="10692" xr:uid="{00000000-0005-0000-0000-000099290000}"/>
    <cellStyle name="Normal 2 2 2 2 2 2 13 3 5" xfId="10693" xr:uid="{00000000-0005-0000-0000-00009A290000}"/>
    <cellStyle name="Normal 2 2 2 2 2 2 13 3 6" xfId="10694" xr:uid="{00000000-0005-0000-0000-00009B290000}"/>
    <cellStyle name="Normal 2 2 2 2 2 2 13 3 7" xfId="10695" xr:uid="{00000000-0005-0000-0000-00009C290000}"/>
    <cellStyle name="Normal 2 2 2 2 2 2 13 3 8" xfId="10696" xr:uid="{00000000-0005-0000-0000-00009D290000}"/>
    <cellStyle name="Normal 2 2 2 2 2 2 13 3 9" xfId="10697" xr:uid="{00000000-0005-0000-0000-00009E290000}"/>
    <cellStyle name="Normal 2 2 2 2 2 2 13 4" xfId="10698" xr:uid="{00000000-0005-0000-0000-00009F290000}"/>
    <cellStyle name="Normal 2 2 2 2 2 2 13 4 10" xfId="10699" xr:uid="{00000000-0005-0000-0000-0000A0290000}"/>
    <cellStyle name="Normal 2 2 2 2 2 2 13 4 2" xfId="10700" xr:uid="{00000000-0005-0000-0000-0000A1290000}"/>
    <cellStyle name="Normal 2 2 2 2 2 2 13 4 3" xfId="10701" xr:uid="{00000000-0005-0000-0000-0000A2290000}"/>
    <cellStyle name="Normal 2 2 2 2 2 2 13 4 4" xfId="10702" xr:uid="{00000000-0005-0000-0000-0000A3290000}"/>
    <cellStyle name="Normal 2 2 2 2 2 2 13 4 5" xfId="10703" xr:uid="{00000000-0005-0000-0000-0000A4290000}"/>
    <cellStyle name="Normal 2 2 2 2 2 2 13 4 6" xfId="10704" xr:uid="{00000000-0005-0000-0000-0000A5290000}"/>
    <cellStyle name="Normal 2 2 2 2 2 2 13 4 7" xfId="10705" xr:uid="{00000000-0005-0000-0000-0000A6290000}"/>
    <cellStyle name="Normal 2 2 2 2 2 2 13 4 8" xfId="10706" xr:uid="{00000000-0005-0000-0000-0000A7290000}"/>
    <cellStyle name="Normal 2 2 2 2 2 2 13 4 9" xfId="10707" xr:uid="{00000000-0005-0000-0000-0000A8290000}"/>
    <cellStyle name="Normal 2 2 2 2 2 2 13 5" xfId="10708" xr:uid="{00000000-0005-0000-0000-0000A9290000}"/>
    <cellStyle name="Normal 2 2 2 2 2 2 13 5 10" xfId="10709" xr:uid="{00000000-0005-0000-0000-0000AA290000}"/>
    <cellStyle name="Normal 2 2 2 2 2 2 13 5 2" xfId="10710" xr:uid="{00000000-0005-0000-0000-0000AB290000}"/>
    <cellStyle name="Normal 2 2 2 2 2 2 13 5 3" xfId="10711" xr:uid="{00000000-0005-0000-0000-0000AC290000}"/>
    <cellStyle name="Normal 2 2 2 2 2 2 13 5 4" xfId="10712" xr:uid="{00000000-0005-0000-0000-0000AD290000}"/>
    <cellStyle name="Normal 2 2 2 2 2 2 13 5 5" xfId="10713" xr:uid="{00000000-0005-0000-0000-0000AE290000}"/>
    <cellStyle name="Normal 2 2 2 2 2 2 13 5 6" xfId="10714" xr:uid="{00000000-0005-0000-0000-0000AF290000}"/>
    <cellStyle name="Normal 2 2 2 2 2 2 13 5 7" xfId="10715" xr:uid="{00000000-0005-0000-0000-0000B0290000}"/>
    <cellStyle name="Normal 2 2 2 2 2 2 13 5 8" xfId="10716" xr:uid="{00000000-0005-0000-0000-0000B1290000}"/>
    <cellStyle name="Normal 2 2 2 2 2 2 13 5 9" xfId="10717" xr:uid="{00000000-0005-0000-0000-0000B2290000}"/>
    <cellStyle name="Normal 2 2 2 2 2 2 13 6" xfId="10718" xr:uid="{00000000-0005-0000-0000-0000B3290000}"/>
    <cellStyle name="Normal 2 2 2 2 2 2 13 7" xfId="10719" xr:uid="{00000000-0005-0000-0000-0000B4290000}"/>
    <cellStyle name="Normal 2 2 2 2 2 2 13 8" xfId="10720" xr:uid="{00000000-0005-0000-0000-0000B5290000}"/>
    <cellStyle name="Normal 2 2 2 2 2 2 13 9" xfId="10721" xr:uid="{00000000-0005-0000-0000-0000B6290000}"/>
    <cellStyle name="Normal 2 2 2 2 2 2 14" xfId="10722" xr:uid="{00000000-0005-0000-0000-0000B7290000}"/>
    <cellStyle name="Normal 2 2 2 2 2 2 14 10" xfId="10723" xr:uid="{00000000-0005-0000-0000-0000B8290000}"/>
    <cellStyle name="Normal 2 2 2 2 2 2 14 11" xfId="10724" xr:uid="{00000000-0005-0000-0000-0000B9290000}"/>
    <cellStyle name="Normal 2 2 2 2 2 2 14 12" xfId="10725" xr:uid="{00000000-0005-0000-0000-0000BA290000}"/>
    <cellStyle name="Normal 2 2 2 2 2 2 14 13" xfId="10726" xr:uid="{00000000-0005-0000-0000-0000BB290000}"/>
    <cellStyle name="Normal 2 2 2 2 2 2 14 14" xfId="10727" xr:uid="{00000000-0005-0000-0000-0000BC290000}"/>
    <cellStyle name="Normal 2 2 2 2 2 2 14 2" xfId="10728" xr:uid="{00000000-0005-0000-0000-0000BD290000}"/>
    <cellStyle name="Normal 2 2 2 2 2 2 14 2 10" xfId="10729" xr:uid="{00000000-0005-0000-0000-0000BE290000}"/>
    <cellStyle name="Normal 2 2 2 2 2 2 14 2 2" xfId="10730" xr:uid="{00000000-0005-0000-0000-0000BF290000}"/>
    <cellStyle name="Normal 2 2 2 2 2 2 14 2 3" xfId="10731" xr:uid="{00000000-0005-0000-0000-0000C0290000}"/>
    <cellStyle name="Normal 2 2 2 2 2 2 14 2 4" xfId="10732" xr:uid="{00000000-0005-0000-0000-0000C1290000}"/>
    <cellStyle name="Normal 2 2 2 2 2 2 14 2 5" xfId="10733" xr:uid="{00000000-0005-0000-0000-0000C2290000}"/>
    <cellStyle name="Normal 2 2 2 2 2 2 14 2 6" xfId="10734" xr:uid="{00000000-0005-0000-0000-0000C3290000}"/>
    <cellStyle name="Normal 2 2 2 2 2 2 14 2 7" xfId="10735" xr:uid="{00000000-0005-0000-0000-0000C4290000}"/>
    <cellStyle name="Normal 2 2 2 2 2 2 14 2 8" xfId="10736" xr:uid="{00000000-0005-0000-0000-0000C5290000}"/>
    <cellStyle name="Normal 2 2 2 2 2 2 14 2 9" xfId="10737" xr:uid="{00000000-0005-0000-0000-0000C6290000}"/>
    <cellStyle name="Normal 2 2 2 2 2 2 14 3" xfId="10738" xr:uid="{00000000-0005-0000-0000-0000C7290000}"/>
    <cellStyle name="Normal 2 2 2 2 2 2 14 3 10" xfId="10739" xr:uid="{00000000-0005-0000-0000-0000C8290000}"/>
    <cellStyle name="Normal 2 2 2 2 2 2 14 3 2" xfId="10740" xr:uid="{00000000-0005-0000-0000-0000C9290000}"/>
    <cellStyle name="Normal 2 2 2 2 2 2 14 3 3" xfId="10741" xr:uid="{00000000-0005-0000-0000-0000CA290000}"/>
    <cellStyle name="Normal 2 2 2 2 2 2 14 3 4" xfId="10742" xr:uid="{00000000-0005-0000-0000-0000CB290000}"/>
    <cellStyle name="Normal 2 2 2 2 2 2 14 3 5" xfId="10743" xr:uid="{00000000-0005-0000-0000-0000CC290000}"/>
    <cellStyle name="Normal 2 2 2 2 2 2 14 3 6" xfId="10744" xr:uid="{00000000-0005-0000-0000-0000CD290000}"/>
    <cellStyle name="Normal 2 2 2 2 2 2 14 3 7" xfId="10745" xr:uid="{00000000-0005-0000-0000-0000CE290000}"/>
    <cellStyle name="Normal 2 2 2 2 2 2 14 3 8" xfId="10746" xr:uid="{00000000-0005-0000-0000-0000CF290000}"/>
    <cellStyle name="Normal 2 2 2 2 2 2 14 3 9" xfId="10747" xr:uid="{00000000-0005-0000-0000-0000D0290000}"/>
    <cellStyle name="Normal 2 2 2 2 2 2 14 4" xfId="10748" xr:uid="{00000000-0005-0000-0000-0000D1290000}"/>
    <cellStyle name="Normal 2 2 2 2 2 2 14 4 10" xfId="10749" xr:uid="{00000000-0005-0000-0000-0000D2290000}"/>
    <cellStyle name="Normal 2 2 2 2 2 2 14 4 2" xfId="10750" xr:uid="{00000000-0005-0000-0000-0000D3290000}"/>
    <cellStyle name="Normal 2 2 2 2 2 2 14 4 3" xfId="10751" xr:uid="{00000000-0005-0000-0000-0000D4290000}"/>
    <cellStyle name="Normal 2 2 2 2 2 2 14 4 4" xfId="10752" xr:uid="{00000000-0005-0000-0000-0000D5290000}"/>
    <cellStyle name="Normal 2 2 2 2 2 2 14 4 5" xfId="10753" xr:uid="{00000000-0005-0000-0000-0000D6290000}"/>
    <cellStyle name="Normal 2 2 2 2 2 2 14 4 6" xfId="10754" xr:uid="{00000000-0005-0000-0000-0000D7290000}"/>
    <cellStyle name="Normal 2 2 2 2 2 2 14 4 7" xfId="10755" xr:uid="{00000000-0005-0000-0000-0000D8290000}"/>
    <cellStyle name="Normal 2 2 2 2 2 2 14 4 8" xfId="10756" xr:uid="{00000000-0005-0000-0000-0000D9290000}"/>
    <cellStyle name="Normal 2 2 2 2 2 2 14 4 9" xfId="10757" xr:uid="{00000000-0005-0000-0000-0000DA290000}"/>
    <cellStyle name="Normal 2 2 2 2 2 2 14 5" xfId="10758" xr:uid="{00000000-0005-0000-0000-0000DB290000}"/>
    <cellStyle name="Normal 2 2 2 2 2 2 14 5 10" xfId="10759" xr:uid="{00000000-0005-0000-0000-0000DC290000}"/>
    <cellStyle name="Normal 2 2 2 2 2 2 14 5 2" xfId="10760" xr:uid="{00000000-0005-0000-0000-0000DD290000}"/>
    <cellStyle name="Normal 2 2 2 2 2 2 14 5 3" xfId="10761" xr:uid="{00000000-0005-0000-0000-0000DE290000}"/>
    <cellStyle name="Normal 2 2 2 2 2 2 14 5 4" xfId="10762" xr:uid="{00000000-0005-0000-0000-0000DF290000}"/>
    <cellStyle name="Normal 2 2 2 2 2 2 14 5 5" xfId="10763" xr:uid="{00000000-0005-0000-0000-0000E0290000}"/>
    <cellStyle name="Normal 2 2 2 2 2 2 14 5 6" xfId="10764" xr:uid="{00000000-0005-0000-0000-0000E1290000}"/>
    <cellStyle name="Normal 2 2 2 2 2 2 14 5 7" xfId="10765" xr:uid="{00000000-0005-0000-0000-0000E2290000}"/>
    <cellStyle name="Normal 2 2 2 2 2 2 14 5 8" xfId="10766" xr:uid="{00000000-0005-0000-0000-0000E3290000}"/>
    <cellStyle name="Normal 2 2 2 2 2 2 14 5 9" xfId="10767" xr:uid="{00000000-0005-0000-0000-0000E4290000}"/>
    <cellStyle name="Normal 2 2 2 2 2 2 14 6" xfId="10768" xr:uid="{00000000-0005-0000-0000-0000E5290000}"/>
    <cellStyle name="Normal 2 2 2 2 2 2 14 7" xfId="10769" xr:uid="{00000000-0005-0000-0000-0000E6290000}"/>
    <cellStyle name="Normal 2 2 2 2 2 2 14 8" xfId="10770" xr:uid="{00000000-0005-0000-0000-0000E7290000}"/>
    <cellStyle name="Normal 2 2 2 2 2 2 14 9" xfId="10771" xr:uid="{00000000-0005-0000-0000-0000E8290000}"/>
    <cellStyle name="Normal 2 2 2 2 2 2 15" xfId="10772" xr:uid="{00000000-0005-0000-0000-0000E9290000}"/>
    <cellStyle name="Normal 2 2 2 2 2 2 15 10" xfId="10773" xr:uid="{00000000-0005-0000-0000-0000EA290000}"/>
    <cellStyle name="Normal 2 2 2 2 2 2 15 11" xfId="10774" xr:uid="{00000000-0005-0000-0000-0000EB290000}"/>
    <cellStyle name="Normal 2 2 2 2 2 2 15 12" xfId="10775" xr:uid="{00000000-0005-0000-0000-0000EC290000}"/>
    <cellStyle name="Normal 2 2 2 2 2 2 15 13" xfId="10776" xr:uid="{00000000-0005-0000-0000-0000ED290000}"/>
    <cellStyle name="Normal 2 2 2 2 2 2 15 14" xfId="10777" xr:uid="{00000000-0005-0000-0000-0000EE290000}"/>
    <cellStyle name="Normal 2 2 2 2 2 2 15 2" xfId="10778" xr:uid="{00000000-0005-0000-0000-0000EF290000}"/>
    <cellStyle name="Normal 2 2 2 2 2 2 15 2 10" xfId="10779" xr:uid="{00000000-0005-0000-0000-0000F0290000}"/>
    <cellStyle name="Normal 2 2 2 2 2 2 15 2 2" xfId="10780" xr:uid="{00000000-0005-0000-0000-0000F1290000}"/>
    <cellStyle name="Normal 2 2 2 2 2 2 15 2 3" xfId="10781" xr:uid="{00000000-0005-0000-0000-0000F2290000}"/>
    <cellStyle name="Normal 2 2 2 2 2 2 15 2 4" xfId="10782" xr:uid="{00000000-0005-0000-0000-0000F3290000}"/>
    <cellStyle name="Normal 2 2 2 2 2 2 15 2 5" xfId="10783" xr:uid="{00000000-0005-0000-0000-0000F4290000}"/>
    <cellStyle name="Normal 2 2 2 2 2 2 15 2 6" xfId="10784" xr:uid="{00000000-0005-0000-0000-0000F5290000}"/>
    <cellStyle name="Normal 2 2 2 2 2 2 15 2 7" xfId="10785" xr:uid="{00000000-0005-0000-0000-0000F6290000}"/>
    <cellStyle name="Normal 2 2 2 2 2 2 15 2 8" xfId="10786" xr:uid="{00000000-0005-0000-0000-0000F7290000}"/>
    <cellStyle name="Normal 2 2 2 2 2 2 15 2 9" xfId="10787" xr:uid="{00000000-0005-0000-0000-0000F8290000}"/>
    <cellStyle name="Normal 2 2 2 2 2 2 15 3" xfId="10788" xr:uid="{00000000-0005-0000-0000-0000F9290000}"/>
    <cellStyle name="Normal 2 2 2 2 2 2 15 3 10" xfId="10789" xr:uid="{00000000-0005-0000-0000-0000FA290000}"/>
    <cellStyle name="Normal 2 2 2 2 2 2 15 3 2" xfId="10790" xr:uid="{00000000-0005-0000-0000-0000FB290000}"/>
    <cellStyle name="Normal 2 2 2 2 2 2 15 3 3" xfId="10791" xr:uid="{00000000-0005-0000-0000-0000FC290000}"/>
    <cellStyle name="Normal 2 2 2 2 2 2 15 3 4" xfId="10792" xr:uid="{00000000-0005-0000-0000-0000FD290000}"/>
    <cellStyle name="Normal 2 2 2 2 2 2 15 3 5" xfId="10793" xr:uid="{00000000-0005-0000-0000-0000FE290000}"/>
    <cellStyle name="Normal 2 2 2 2 2 2 15 3 6" xfId="10794" xr:uid="{00000000-0005-0000-0000-0000FF290000}"/>
    <cellStyle name="Normal 2 2 2 2 2 2 15 3 7" xfId="10795" xr:uid="{00000000-0005-0000-0000-0000002A0000}"/>
    <cellStyle name="Normal 2 2 2 2 2 2 15 3 8" xfId="10796" xr:uid="{00000000-0005-0000-0000-0000012A0000}"/>
    <cellStyle name="Normal 2 2 2 2 2 2 15 3 9" xfId="10797" xr:uid="{00000000-0005-0000-0000-0000022A0000}"/>
    <cellStyle name="Normal 2 2 2 2 2 2 15 4" xfId="10798" xr:uid="{00000000-0005-0000-0000-0000032A0000}"/>
    <cellStyle name="Normal 2 2 2 2 2 2 15 4 10" xfId="10799" xr:uid="{00000000-0005-0000-0000-0000042A0000}"/>
    <cellStyle name="Normal 2 2 2 2 2 2 15 4 2" xfId="10800" xr:uid="{00000000-0005-0000-0000-0000052A0000}"/>
    <cellStyle name="Normal 2 2 2 2 2 2 15 4 3" xfId="10801" xr:uid="{00000000-0005-0000-0000-0000062A0000}"/>
    <cellStyle name="Normal 2 2 2 2 2 2 15 4 4" xfId="10802" xr:uid="{00000000-0005-0000-0000-0000072A0000}"/>
    <cellStyle name="Normal 2 2 2 2 2 2 15 4 5" xfId="10803" xr:uid="{00000000-0005-0000-0000-0000082A0000}"/>
    <cellStyle name="Normal 2 2 2 2 2 2 15 4 6" xfId="10804" xr:uid="{00000000-0005-0000-0000-0000092A0000}"/>
    <cellStyle name="Normal 2 2 2 2 2 2 15 4 7" xfId="10805" xr:uid="{00000000-0005-0000-0000-00000A2A0000}"/>
    <cellStyle name="Normal 2 2 2 2 2 2 15 4 8" xfId="10806" xr:uid="{00000000-0005-0000-0000-00000B2A0000}"/>
    <cellStyle name="Normal 2 2 2 2 2 2 15 4 9" xfId="10807" xr:uid="{00000000-0005-0000-0000-00000C2A0000}"/>
    <cellStyle name="Normal 2 2 2 2 2 2 15 5" xfId="10808" xr:uid="{00000000-0005-0000-0000-00000D2A0000}"/>
    <cellStyle name="Normal 2 2 2 2 2 2 15 5 10" xfId="10809" xr:uid="{00000000-0005-0000-0000-00000E2A0000}"/>
    <cellStyle name="Normal 2 2 2 2 2 2 15 5 2" xfId="10810" xr:uid="{00000000-0005-0000-0000-00000F2A0000}"/>
    <cellStyle name="Normal 2 2 2 2 2 2 15 5 3" xfId="10811" xr:uid="{00000000-0005-0000-0000-0000102A0000}"/>
    <cellStyle name="Normal 2 2 2 2 2 2 15 5 4" xfId="10812" xr:uid="{00000000-0005-0000-0000-0000112A0000}"/>
    <cellStyle name="Normal 2 2 2 2 2 2 15 5 5" xfId="10813" xr:uid="{00000000-0005-0000-0000-0000122A0000}"/>
    <cellStyle name="Normal 2 2 2 2 2 2 15 5 6" xfId="10814" xr:uid="{00000000-0005-0000-0000-0000132A0000}"/>
    <cellStyle name="Normal 2 2 2 2 2 2 15 5 7" xfId="10815" xr:uid="{00000000-0005-0000-0000-0000142A0000}"/>
    <cellStyle name="Normal 2 2 2 2 2 2 15 5 8" xfId="10816" xr:uid="{00000000-0005-0000-0000-0000152A0000}"/>
    <cellStyle name="Normal 2 2 2 2 2 2 15 5 9" xfId="10817" xr:uid="{00000000-0005-0000-0000-0000162A0000}"/>
    <cellStyle name="Normal 2 2 2 2 2 2 15 6" xfId="10818" xr:uid="{00000000-0005-0000-0000-0000172A0000}"/>
    <cellStyle name="Normal 2 2 2 2 2 2 15 7" xfId="10819" xr:uid="{00000000-0005-0000-0000-0000182A0000}"/>
    <cellStyle name="Normal 2 2 2 2 2 2 15 8" xfId="10820" xr:uid="{00000000-0005-0000-0000-0000192A0000}"/>
    <cellStyle name="Normal 2 2 2 2 2 2 15 9" xfId="10821" xr:uid="{00000000-0005-0000-0000-00001A2A0000}"/>
    <cellStyle name="Normal 2 2 2 2 2 2 16" xfId="10822" xr:uid="{00000000-0005-0000-0000-00001B2A0000}"/>
    <cellStyle name="Normal 2 2 2 2 2 2 16 10" xfId="10823" xr:uid="{00000000-0005-0000-0000-00001C2A0000}"/>
    <cellStyle name="Normal 2 2 2 2 2 2 16 11" xfId="10824" xr:uid="{00000000-0005-0000-0000-00001D2A0000}"/>
    <cellStyle name="Normal 2 2 2 2 2 2 16 12" xfId="10825" xr:uid="{00000000-0005-0000-0000-00001E2A0000}"/>
    <cellStyle name="Normal 2 2 2 2 2 2 16 13" xfId="10826" xr:uid="{00000000-0005-0000-0000-00001F2A0000}"/>
    <cellStyle name="Normal 2 2 2 2 2 2 16 14" xfId="10827" xr:uid="{00000000-0005-0000-0000-0000202A0000}"/>
    <cellStyle name="Normal 2 2 2 2 2 2 16 2" xfId="10828" xr:uid="{00000000-0005-0000-0000-0000212A0000}"/>
    <cellStyle name="Normal 2 2 2 2 2 2 16 2 10" xfId="10829" xr:uid="{00000000-0005-0000-0000-0000222A0000}"/>
    <cellStyle name="Normal 2 2 2 2 2 2 16 2 2" xfId="10830" xr:uid="{00000000-0005-0000-0000-0000232A0000}"/>
    <cellStyle name="Normal 2 2 2 2 2 2 16 2 3" xfId="10831" xr:uid="{00000000-0005-0000-0000-0000242A0000}"/>
    <cellStyle name="Normal 2 2 2 2 2 2 16 2 4" xfId="10832" xr:uid="{00000000-0005-0000-0000-0000252A0000}"/>
    <cellStyle name="Normal 2 2 2 2 2 2 16 2 5" xfId="10833" xr:uid="{00000000-0005-0000-0000-0000262A0000}"/>
    <cellStyle name="Normal 2 2 2 2 2 2 16 2 6" xfId="10834" xr:uid="{00000000-0005-0000-0000-0000272A0000}"/>
    <cellStyle name="Normal 2 2 2 2 2 2 16 2 7" xfId="10835" xr:uid="{00000000-0005-0000-0000-0000282A0000}"/>
    <cellStyle name="Normal 2 2 2 2 2 2 16 2 8" xfId="10836" xr:uid="{00000000-0005-0000-0000-0000292A0000}"/>
    <cellStyle name="Normal 2 2 2 2 2 2 16 2 9" xfId="10837" xr:uid="{00000000-0005-0000-0000-00002A2A0000}"/>
    <cellStyle name="Normal 2 2 2 2 2 2 16 3" xfId="10838" xr:uid="{00000000-0005-0000-0000-00002B2A0000}"/>
    <cellStyle name="Normal 2 2 2 2 2 2 16 3 10" xfId="10839" xr:uid="{00000000-0005-0000-0000-00002C2A0000}"/>
    <cellStyle name="Normal 2 2 2 2 2 2 16 3 2" xfId="10840" xr:uid="{00000000-0005-0000-0000-00002D2A0000}"/>
    <cellStyle name="Normal 2 2 2 2 2 2 16 3 3" xfId="10841" xr:uid="{00000000-0005-0000-0000-00002E2A0000}"/>
    <cellStyle name="Normal 2 2 2 2 2 2 16 3 4" xfId="10842" xr:uid="{00000000-0005-0000-0000-00002F2A0000}"/>
    <cellStyle name="Normal 2 2 2 2 2 2 16 3 5" xfId="10843" xr:uid="{00000000-0005-0000-0000-0000302A0000}"/>
    <cellStyle name="Normal 2 2 2 2 2 2 16 3 6" xfId="10844" xr:uid="{00000000-0005-0000-0000-0000312A0000}"/>
    <cellStyle name="Normal 2 2 2 2 2 2 16 3 7" xfId="10845" xr:uid="{00000000-0005-0000-0000-0000322A0000}"/>
    <cellStyle name="Normal 2 2 2 2 2 2 16 3 8" xfId="10846" xr:uid="{00000000-0005-0000-0000-0000332A0000}"/>
    <cellStyle name="Normal 2 2 2 2 2 2 16 3 9" xfId="10847" xr:uid="{00000000-0005-0000-0000-0000342A0000}"/>
    <cellStyle name="Normal 2 2 2 2 2 2 16 4" xfId="10848" xr:uid="{00000000-0005-0000-0000-0000352A0000}"/>
    <cellStyle name="Normal 2 2 2 2 2 2 16 4 10" xfId="10849" xr:uid="{00000000-0005-0000-0000-0000362A0000}"/>
    <cellStyle name="Normal 2 2 2 2 2 2 16 4 2" xfId="10850" xr:uid="{00000000-0005-0000-0000-0000372A0000}"/>
    <cellStyle name="Normal 2 2 2 2 2 2 16 4 3" xfId="10851" xr:uid="{00000000-0005-0000-0000-0000382A0000}"/>
    <cellStyle name="Normal 2 2 2 2 2 2 16 4 4" xfId="10852" xr:uid="{00000000-0005-0000-0000-0000392A0000}"/>
    <cellStyle name="Normal 2 2 2 2 2 2 16 4 5" xfId="10853" xr:uid="{00000000-0005-0000-0000-00003A2A0000}"/>
    <cellStyle name="Normal 2 2 2 2 2 2 16 4 6" xfId="10854" xr:uid="{00000000-0005-0000-0000-00003B2A0000}"/>
    <cellStyle name="Normal 2 2 2 2 2 2 16 4 7" xfId="10855" xr:uid="{00000000-0005-0000-0000-00003C2A0000}"/>
    <cellStyle name="Normal 2 2 2 2 2 2 16 4 8" xfId="10856" xr:uid="{00000000-0005-0000-0000-00003D2A0000}"/>
    <cellStyle name="Normal 2 2 2 2 2 2 16 4 9" xfId="10857" xr:uid="{00000000-0005-0000-0000-00003E2A0000}"/>
    <cellStyle name="Normal 2 2 2 2 2 2 16 5" xfId="10858" xr:uid="{00000000-0005-0000-0000-00003F2A0000}"/>
    <cellStyle name="Normal 2 2 2 2 2 2 16 5 10" xfId="10859" xr:uid="{00000000-0005-0000-0000-0000402A0000}"/>
    <cellStyle name="Normal 2 2 2 2 2 2 16 5 2" xfId="10860" xr:uid="{00000000-0005-0000-0000-0000412A0000}"/>
    <cellStyle name="Normal 2 2 2 2 2 2 16 5 3" xfId="10861" xr:uid="{00000000-0005-0000-0000-0000422A0000}"/>
    <cellStyle name="Normal 2 2 2 2 2 2 16 5 4" xfId="10862" xr:uid="{00000000-0005-0000-0000-0000432A0000}"/>
    <cellStyle name="Normal 2 2 2 2 2 2 16 5 5" xfId="10863" xr:uid="{00000000-0005-0000-0000-0000442A0000}"/>
    <cellStyle name="Normal 2 2 2 2 2 2 16 5 6" xfId="10864" xr:uid="{00000000-0005-0000-0000-0000452A0000}"/>
    <cellStyle name="Normal 2 2 2 2 2 2 16 5 7" xfId="10865" xr:uid="{00000000-0005-0000-0000-0000462A0000}"/>
    <cellStyle name="Normal 2 2 2 2 2 2 16 5 8" xfId="10866" xr:uid="{00000000-0005-0000-0000-0000472A0000}"/>
    <cellStyle name="Normal 2 2 2 2 2 2 16 5 9" xfId="10867" xr:uid="{00000000-0005-0000-0000-0000482A0000}"/>
    <cellStyle name="Normal 2 2 2 2 2 2 16 6" xfId="10868" xr:uid="{00000000-0005-0000-0000-0000492A0000}"/>
    <cellStyle name="Normal 2 2 2 2 2 2 16 7" xfId="10869" xr:uid="{00000000-0005-0000-0000-00004A2A0000}"/>
    <cellStyle name="Normal 2 2 2 2 2 2 16 8" xfId="10870" xr:uid="{00000000-0005-0000-0000-00004B2A0000}"/>
    <cellStyle name="Normal 2 2 2 2 2 2 16 9" xfId="10871" xr:uid="{00000000-0005-0000-0000-00004C2A0000}"/>
    <cellStyle name="Normal 2 2 2 2 2 2 17" xfId="10872" xr:uid="{00000000-0005-0000-0000-00004D2A0000}"/>
    <cellStyle name="Normal 2 2 2 2 2 2 17 10" xfId="10873" xr:uid="{00000000-0005-0000-0000-00004E2A0000}"/>
    <cellStyle name="Normal 2 2 2 2 2 2 17 11" xfId="10874" xr:uid="{00000000-0005-0000-0000-00004F2A0000}"/>
    <cellStyle name="Normal 2 2 2 2 2 2 17 12" xfId="10875" xr:uid="{00000000-0005-0000-0000-0000502A0000}"/>
    <cellStyle name="Normal 2 2 2 2 2 2 17 13" xfId="10876" xr:uid="{00000000-0005-0000-0000-0000512A0000}"/>
    <cellStyle name="Normal 2 2 2 2 2 2 17 14" xfId="10877" xr:uid="{00000000-0005-0000-0000-0000522A0000}"/>
    <cellStyle name="Normal 2 2 2 2 2 2 17 2" xfId="10878" xr:uid="{00000000-0005-0000-0000-0000532A0000}"/>
    <cellStyle name="Normal 2 2 2 2 2 2 17 2 10" xfId="10879" xr:uid="{00000000-0005-0000-0000-0000542A0000}"/>
    <cellStyle name="Normal 2 2 2 2 2 2 17 2 2" xfId="10880" xr:uid="{00000000-0005-0000-0000-0000552A0000}"/>
    <cellStyle name="Normal 2 2 2 2 2 2 17 2 3" xfId="10881" xr:uid="{00000000-0005-0000-0000-0000562A0000}"/>
    <cellStyle name="Normal 2 2 2 2 2 2 17 2 4" xfId="10882" xr:uid="{00000000-0005-0000-0000-0000572A0000}"/>
    <cellStyle name="Normal 2 2 2 2 2 2 17 2 5" xfId="10883" xr:uid="{00000000-0005-0000-0000-0000582A0000}"/>
    <cellStyle name="Normal 2 2 2 2 2 2 17 2 6" xfId="10884" xr:uid="{00000000-0005-0000-0000-0000592A0000}"/>
    <cellStyle name="Normal 2 2 2 2 2 2 17 2 7" xfId="10885" xr:uid="{00000000-0005-0000-0000-00005A2A0000}"/>
    <cellStyle name="Normal 2 2 2 2 2 2 17 2 8" xfId="10886" xr:uid="{00000000-0005-0000-0000-00005B2A0000}"/>
    <cellStyle name="Normal 2 2 2 2 2 2 17 2 9" xfId="10887" xr:uid="{00000000-0005-0000-0000-00005C2A0000}"/>
    <cellStyle name="Normal 2 2 2 2 2 2 17 3" xfId="10888" xr:uid="{00000000-0005-0000-0000-00005D2A0000}"/>
    <cellStyle name="Normal 2 2 2 2 2 2 17 3 10" xfId="10889" xr:uid="{00000000-0005-0000-0000-00005E2A0000}"/>
    <cellStyle name="Normal 2 2 2 2 2 2 17 3 2" xfId="10890" xr:uid="{00000000-0005-0000-0000-00005F2A0000}"/>
    <cellStyle name="Normal 2 2 2 2 2 2 17 3 3" xfId="10891" xr:uid="{00000000-0005-0000-0000-0000602A0000}"/>
    <cellStyle name="Normal 2 2 2 2 2 2 17 3 4" xfId="10892" xr:uid="{00000000-0005-0000-0000-0000612A0000}"/>
    <cellStyle name="Normal 2 2 2 2 2 2 17 3 5" xfId="10893" xr:uid="{00000000-0005-0000-0000-0000622A0000}"/>
    <cellStyle name="Normal 2 2 2 2 2 2 17 3 6" xfId="10894" xr:uid="{00000000-0005-0000-0000-0000632A0000}"/>
    <cellStyle name="Normal 2 2 2 2 2 2 17 3 7" xfId="10895" xr:uid="{00000000-0005-0000-0000-0000642A0000}"/>
    <cellStyle name="Normal 2 2 2 2 2 2 17 3 8" xfId="10896" xr:uid="{00000000-0005-0000-0000-0000652A0000}"/>
    <cellStyle name="Normal 2 2 2 2 2 2 17 3 9" xfId="10897" xr:uid="{00000000-0005-0000-0000-0000662A0000}"/>
    <cellStyle name="Normal 2 2 2 2 2 2 17 4" xfId="10898" xr:uid="{00000000-0005-0000-0000-0000672A0000}"/>
    <cellStyle name="Normal 2 2 2 2 2 2 17 4 10" xfId="10899" xr:uid="{00000000-0005-0000-0000-0000682A0000}"/>
    <cellStyle name="Normal 2 2 2 2 2 2 17 4 2" xfId="10900" xr:uid="{00000000-0005-0000-0000-0000692A0000}"/>
    <cellStyle name="Normal 2 2 2 2 2 2 17 4 3" xfId="10901" xr:uid="{00000000-0005-0000-0000-00006A2A0000}"/>
    <cellStyle name="Normal 2 2 2 2 2 2 17 4 4" xfId="10902" xr:uid="{00000000-0005-0000-0000-00006B2A0000}"/>
    <cellStyle name="Normal 2 2 2 2 2 2 17 4 5" xfId="10903" xr:uid="{00000000-0005-0000-0000-00006C2A0000}"/>
    <cellStyle name="Normal 2 2 2 2 2 2 17 4 6" xfId="10904" xr:uid="{00000000-0005-0000-0000-00006D2A0000}"/>
    <cellStyle name="Normal 2 2 2 2 2 2 17 4 7" xfId="10905" xr:uid="{00000000-0005-0000-0000-00006E2A0000}"/>
    <cellStyle name="Normal 2 2 2 2 2 2 17 4 8" xfId="10906" xr:uid="{00000000-0005-0000-0000-00006F2A0000}"/>
    <cellStyle name="Normal 2 2 2 2 2 2 17 4 9" xfId="10907" xr:uid="{00000000-0005-0000-0000-0000702A0000}"/>
    <cellStyle name="Normal 2 2 2 2 2 2 17 5" xfId="10908" xr:uid="{00000000-0005-0000-0000-0000712A0000}"/>
    <cellStyle name="Normal 2 2 2 2 2 2 17 5 10" xfId="10909" xr:uid="{00000000-0005-0000-0000-0000722A0000}"/>
    <cellStyle name="Normal 2 2 2 2 2 2 17 5 2" xfId="10910" xr:uid="{00000000-0005-0000-0000-0000732A0000}"/>
    <cellStyle name="Normal 2 2 2 2 2 2 17 5 3" xfId="10911" xr:uid="{00000000-0005-0000-0000-0000742A0000}"/>
    <cellStyle name="Normal 2 2 2 2 2 2 17 5 4" xfId="10912" xr:uid="{00000000-0005-0000-0000-0000752A0000}"/>
    <cellStyle name="Normal 2 2 2 2 2 2 17 5 5" xfId="10913" xr:uid="{00000000-0005-0000-0000-0000762A0000}"/>
    <cellStyle name="Normal 2 2 2 2 2 2 17 5 6" xfId="10914" xr:uid="{00000000-0005-0000-0000-0000772A0000}"/>
    <cellStyle name="Normal 2 2 2 2 2 2 17 5 7" xfId="10915" xr:uid="{00000000-0005-0000-0000-0000782A0000}"/>
    <cellStyle name="Normal 2 2 2 2 2 2 17 5 8" xfId="10916" xr:uid="{00000000-0005-0000-0000-0000792A0000}"/>
    <cellStyle name="Normal 2 2 2 2 2 2 17 5 9" xfId="10917" xr:uid="{00000000-0005-0000-0000-00007A2A0000}"/>
    <cellStyle name="Normal 2 2 2 2 2 2 17 6" xfId="10918" xr:uid="{00000000-0005-0000-0000-00007B2A0000}"/>
    <cellStyle name="Normal 2 2 2 2 2 2 17 7" xfId="10919" xr:uid="{00000000-0005-0000-0000-00007C2A0000}"/>
    <cellStyle name="Normal 2 2 2 2 2 2 17 8" xfId="10920" xr:uid="{00000000-0005-0000-0000-00007D2A0000}"/>
    <cellStyle name="Normal 2 2 2 2 2 2 17 9" xfId="10921" xr:uid="{00000000-0005-0000-0000-00007E2A0000}"/>
    <cellStyle name="Normal 2 2 2 2 2 2 18" xfId="10922" xr:uid="{00000000-0005-0000-0000-00007F2A0000}"/>
    <cellStyle name="Normal 2 2 2 2 2 2 18 10" xfId="10923" xr:uid="{00000000-0005-0000-0000-0000802A0000}"/>
    <cellStyle name="Normal 2 2 2 2 2 2 18 11" xfId="10924" xr:uid="{00000000-0005-0000-0000-0000812A0000}"/>
    <cellStyle name="Normal 2 2 2 2 2 2 18 12" xfId="10925" xr:uid="{00000000-0005-0000-0000-0000822A0000}"/>
    <cellStyle name="Normal 2 2 2 2 2 2 18 13" xfId="10926" xr:uid="{00000000-0005-0000-0000-0000832A0000}"/>
    <cellStyle name="Normal 2 2 2 2 2 2 18 14" xfId="10927" xr:uid="{00000000-0005-0000-0000-0000842A0000}"/>
    <cellStyle name="Normal 2 2 2 2 2 2 18 2" xfId="10928" xr:uid="{00000000-0005-0000-0000-0000852A0000}"/>
    <cellStyle name="Normal 2 2 2 2 2 2 18 2 10" xfId="10929" xr:uid="{00000000-0005-0000-0000-0000862A0000}"/>
    <cellStyle name="Normal 2 2 2 2 2 2 18 2 2" xfId="10930" xr:uid="{00000000-0005-0000-0000-0000872A0000}"/>
    <cellStyle name="Normal 2 2 2 2 2 2 18 2 3" xfId="10931" xr:uid="{00000000-0005-0000-0000-0000882A0000}"/>
    <cellStyle name="Normal 2 2 2 2 2 2 18 2 4" xfId="10932" xr:uid="{00000000-0005-0000-0000-0000892A0000}"/>
    <cellStyle name="Normal 2 2 2 2 2 2 18 2 5" xfId="10933" xr:uid="{00000000-0005-0000-0000-00008A2A0000}"/>
    <cellStyle name="Normal 2 2 2 2 2 2 18 2 6" xfId="10934" xr:uid="{00000000-0005-0000-0000-00008B2A0000}"/>
    <cellStyle name="Normal 2 2 2 2 2 2 18 2 7" xfId="10935" xr:uid="{00000000-0005-0000-0000-00008C2A0000}"/>
    <cellStyle name="Normal 2 2 2 2 2 2 18 2 8" xfId="10936" xr:uid="{00000000-0005-0000-0000-00008D2A0000}"/>
    <cellStyle name="Normal 2 2 2 2 2 2 18 2 9" xfId="10937" xr:uid="{00000000-0005-0000-0000-00008E2A0000}"/>
    <cellStyle name="Normal 2 2 2 2 2 2 18 3" xfId="10938" xr:uid="{00000000-0005-0000-0000-00008F2A0000}"/>
    <cellStyle name="Normal 2 2 2 2 2 2 18 3 10" xfId="10939" xr:uid="{00000000-0005-0000-0000-0000902A0000}"/>
    <cellStyle name="Normal 2 2 2 2 2 2 18 3 2" xfId="10940" xr:uid="{00000000-0005-0000-0000-0000912A0000}"/>
    <cellStyle name="Normal 2 2 2 2 2 2 18 3 3" xfId="10941" xr:uid="{00000000-0005-0000-0000-0000922A0000}"/>
    <cellStyle name="Normal 2 2 2 2 2 2 18 3 4" xfId="10942" xr:uid="{00000000-0005-0000-0000-0000932A0000}"/>
    <cellStyle name="Normal 2 2 2 2 2 2 18 3 5" xfId="10943" xr:uid="{00000000-0005-0000-0000-0000942A0000}"/>
    <cellStyle name="Normal 2 2 2 2 2 2 18 3 6" xfId="10944" xr:uid="{00000000-0005-0000-0000-0000952A0000}"/>
    <cellStyle name="Normal 2 2 2 2 2 2 18 3 7" xfId="10945" xr:uid="{00000000-0005-0000-0000-0000962A0000}"/>
    <cellStyle name="Normal 2 2 2 2 2 2 18 3 8" xfId="10946" xr:uid="{00000000-0005-0000-0000-0000972A0000}"/>
    <cellStyle name="Normal 2 2 2 2 2 2 18 3 9" xfId="10947" xr:uid="{00000000-0005-0000-0000-0000982A0000}"/>
    <cellStyle name="Normal 2 2 2 2 2 2 18 4" xfId="10948" xr:uid="{00000000-0005-0000-0000-0000992A0000}"/>
    <cellStyle name="Normal 2 2 2 2 2 2 18 4 10" xfId="10949" xr:uid="{00000000-0005-0000-0000-00009A2A0000}"/>
    <cellStyle name="Normal 2 2 2 2 2 2 18 4 2" xfId="10950" xr:uid="{00000000-0005-0000-0000-00009B2A0000}"/>
    <cellStyle name="Normal 2 2 2 2 2 2 18 4 3" xfId="10951" xr:uid="{00000000-0005-0000-0000-00009C2A0000}"/>
    <cellStyle name="Normal 2 2 2 2 2 2 18 4 4" xfId="10952" xr:uid="{00000000-0005-0000-0000-00009D2A0000}"/>
    <cellStyle name="Normal 2 2 2 2 2 2 18 4 5" xfId="10953" xr:uid="{00000000-0005-0000-0000-00009E2A0000}"/>
    <cellStyle name="Normal 2 2 2 2 2 2 18 4 6" xfId="10954" xr:uid="{00000000-0005-0000-0000-00009F2A0000}"/>
    <cellStyle name="Normal 2 2 2 2 2 2 18 4 7" xfId="10955" xr:uid="{00000000-0005-0000-0000-0000A02A0000}"/>
    <cellStyle name="Normal 2 2 2 2 2 2 18 4 8" xfId="10956" xr:uid="{00000000-0005-0000-0000-0000A12A0000}"/>
    <cellStyle name="Normal 2 2 2 2 2 2 18 4 9" xfId="10957" xr:uid="{00000000-0005-0000-0000-0000A22A0000}"/>
    <cellStyle name="Normal 2 2 2 2 2 2 18 5" xfId="10958" xr:uid="{00000000-0005-0000-0000-0000A32A0000}"/>
    <cellStyle name="Normal 2 2 2 2 2 2 18 5 10" xfId="10959" xr:uid="{00000000-0005-0000-0000-0000A42A0000}"/>
    <cellStyle name="Normal 2 2 2 2 2 2 18 5 2" xfId="10960" xr:uid="{00000000-0005-0000-0000-0000A52A0000}"/>
    <cellStyle name="Normal 2 2 2 2 2 2 18 5 3" xfId="10961" xr:uid="{00000000-0005-0000-0000-0000A62A0000}"/>
    <cellStyle name="Normal 2 2 2 2 2 2 18 5 4" xfId="10962" xr:uid="{00000000-0005-0000-0000-0000A72A0000}"/>
    <cellStyle name="Normal 2 2 2 2 2 2 18 5 5" xfId="10963" xr:uid="{00000000-0005-0000-0000-0000A82A0000}"/>
    <cellStyle name="Normal 2 2 2 2 2 2 18 5 6" xfId="10964" xr:uid="{00000000-0005-0000-0000-0000A92A0000}"/>
    <cellStyle name="Normal 2 2 2 2 2 2 18 5 7" xfId="10965" xr:uid="{00000000-0005-0000-0000-0000AA2A0000}"/>
    <cellStyle name="Normal 2 2 2 2 2 2 18 5 8" xfId="10966" xr:uid="{00000000-0005-0000-0000-0000AB2A0000}"/>
    <cellStyle name="Normal 2 2 2 2 2 2 18 5 9" xfId="10967" xr:uid="{00000000-0005-0000-0000-0000AC2A0000}"/>
    <cellStyle name="Normal 2 2 2 2 2 2 18 6" xfId="10968" xr:uid="{00000000-0005-0000-0000-0000AD2A0000}"/>
    <cellStyle name="Normal 2 2 2 2 2 2 18 7" xfId="10969" xr:uid="{00000000-0005-0000-0000-0000AE2A0000}"/>
    <cellStyle name="Normal 2 2 2 2 2 2 18 8" xfId="10970" xr:uid="{00000000-0005-0000-0000-0000AF2A0000}"/>
    <cellStyle name="Normal 2 2 2 2 2 2 18 9" xfId="10971" xr:uid="{00000000-0005-0000-0000-0000B02A0000}"/>
    <cellStyle name="Normal 2 2 2 2 2 2 19" xfId="10972" xr:uid="{00000000-0005-0000-0000-0000B12A0000}"/>
    <cellStyle name="Normal 2 2 2 2 2 2 19 10" xfId="10973" xr:uid="{00000000-0005-0000-0000-0000B22A0000}"/>
    <cellStyle name="Normal 2 2 2 2 2 2 19 11" xfId="10974" xr:uid="{00000000-0005-0000-0000-0000B32A0000}"/>
    <cellStyle name="Normal 2 2 2 2 2 2 19 12" xfId="10975" xr:uid="{00000000-0005-0000-0000-0000B42A0000}"/>
    <cellStyle name="Normal 2 2 2 2 2 2 19 13" xfId="10976" xr:uid="{00000000-0005-0000-0000-0000B52A0000}"/>
    <cellStyle name="Normal 2 2 2 2 2 2 19 14" xfId="10977" xr:uid="{00000000-0005-0000-0000-0000B62A0000}"/>
    <cellStyle name="Normal 2 2 2 2 2 2 19 2" xfId="10978" xr:uid="{00000000-0005-0000-0000-0000B72A0000}"/>
    <cellStyle name="Normal 2 2 2 2 2 2 19 2 10" xfId="10979" xr:uid="{00000000-0005-0000-0000-0000B82A0000}"/>
    <cellStyle name="Normal 2 2 2 2 2 2 19 2 2" xfId="10980" xr:uid="{00000000-0005-0000-0000-0000B92A0000}"/>
    <cellStyle name="Normal 2 2 2 2 2 2 19 2 3" xfId="10981" xr:uid="{00000000-0005-0000-0000-0000BA2A0000}"/>
    <cellStyle name="Normal 2 2 2 2 2 2 19 2 4" xfId="10982" xr:uid="{00000000-0005-0000-0000-0000BB2A0000}"/>
    <cellStyle name="Normal 2 2 2 2 2 2 19 2 5" xfId="10983" xr:uid="{00000000-0005-0000-0000-0000BC2A0000}"/>
    <cellStyle name="Normal 2 2 2 2 2 2 19 2 6" xfId="10984" xr:uid="{00000000-0005-0000-0000-0000BD2A0000}"/>
    <cellStyle name="Normal 2 2 2 2 2 2 19 2 7" xfId="10985" xr:uid="{00000000-0005-0000-0000-0000BE2A0000}"/>
    <cellStyle name="Normal 2 2 2 2 2 2 19 2 8" xfId="10986" xr:uid="{00000000-0005-0000-0000-0000BF2A0000}"/>
    <cellStyle name="Normal 2 2 2 2 2 2 19 2 9" xfId="10987" xr:uid="{00000000-0005-0000-0000-0000C02A0000}"/>
    <cellStyle name="Normal 2 2 2 2 2 2 19 3" xfId="10988" xr:uid="{00000000-0005-0000-0000-0000C12A0000}"/>
    <cellStyle name="Normal 2 2 2 2 2 2 19 3 10" xfId="10989" xr:uid="{00000000-0005-0000-0000-0000C22A0000}"/>
    <cellStyle name="Normal 2 2 2 2 2 2 19 3 2" xfId="10990" xr:uid="{00000000-0005-0000-0000-0000C32A0000}"/>
    <cellStyle name="Normal 2 2 2 2 2 2 19 3 3" xfId="10991" xr:uid="{00000000-0005-0000-0000-0000C42A0000}"/>
    <cellStyle name="Normal 2 2 2 2 2 2 19 3 4" xfId="10992" xr:uid="{00000000-0005-0000-0000-0000C52A0000}"/>
    <cellStyle name="Normal 2 2 2 2 2 2 19 3 5" xfId="10993" xr:uid="{00000000-0005-0000-0000-0000C62A0000}"/>
    <cellStyle name="Normal 2 2 2 2 2 2 19 3 6" xfId="10994" xr:uid="{00000000-0005-0000-0000-0000C72A0000}"/>
    <cellStyle name="Normal 2 2 2 2 2 2 19 3 7" xfId="10995" xr:uid="{00000000-0005-0000-0000-0000C82A0000}"/>
    <cellStyle name="Normal 2 2 2 2 2 2 19 3 8" xfId="10996" xr:uid="{00000000-0005-0000-0000-0000C92A0000}"/>
    <cellStyle name="Normal 2 2 2 2 2 2 19 3 9" xfId="10997" xr:uid="{00000000-0005-0000-0000-0000CA2A0000}"/>
    <cellStyle name="Normal 2 2 2 2 2 2 19 4" xfId="10998" xr:uid="{00000000-0005-0000-0000-0000CB2A0000}"/>
    <cellStyle name="Normal 2 2 2 2 2 2 19 4 10" xfId="10999" xr:uid="{00000000-0005-0000-0000-0000CC2A0000}"/>
    <cellStyle name="Normal 2 2 2 2 2 2 19 4 2" xfId="11000" xr:uid="{00000000-0005-0000-0000-0000CD2A0000}"/>
    <cellStyle name="Normal 2 2 2 2 2 2 19 4 3" xfId="11001" xr:uid="{00000000-0005-0000-0000-0000CE2A0000}"/>
    <cellStyle name="Normal 2 2 2 2 2 2 19 4 4" xfId="11002" xr:uid="{00000000-0005-0000-0000-0000CF2A0000}"/>
    <cellStyle name="Normal 2 2 2 2 2 2 19 4 5" xfId="11003" xr:uid="{00000000-0005-0000-0000-0000D02A0000}"/>
    <cellStyle name="Normal 2 2 2 2 2 2 19 4 6" xfId="11004" xr:uid="{00000000-0005-0000-0000-0000D12A0000}"/>
    <cellStyle name="Normal 2 2 2 2 2 2 19 4 7" xfId="11005" xr:uid="{00000000-0005-0000-0000-0000D22A0000}"/>
    <cellStyle name="Normal 2 2 2 2 2 2 19 4 8" xfId="11006" xr:uid="{00000000-0005-0000-0000-0000D32A0000}"/>
    <cellStyle name="Normal 2 2 2 2 2 2 19 4 9" xfId="11007" xr:uid="{00000000-0005-0000-0000-0000D42A0000}"/>
    <cellStyle name="Normal 2 2 2 2 2 2 19 5" xfId="11008" xr:uid="{00000000-0005-0000-0000-0000D52A0000}"/>
    <cellStyle name="Normal 2 2 2 2 2 2 19 5 10" xfId="11009" xr:uid="{00000000-0005-0000-0000-0000D62A0000}"/>
    <cellStyle name="Normal 2 2 2 2 2 2 19 5 2" xfId="11010" xr:uid="{00000000-0005-0000-0000-0000D72A0000}"/>
    <cellStyle name="Normal 2 2 2 2 2 2 19 5 3" xfId="11011" xr:uid="{00000000-0005-0000-0000-0000D82A0000}"/>
    <cellStyle name="Normal 2 2 2 2 2 2 19 5 4" xfId="11012" xr:uid="{00000000-0005-0000-0000-0000D92A0000}"/>
    <cellStyle name="Normal 2 2 2 2 2 2 19 5 5" xfId="11013" xr:uid="{00000000-0005-0000-0000-0000DA2A0000}"/>
    <cellStyle name="Normal 2 2 2 2 2 2 19 5 6" xfId="11014" xr:uid="{00000000-0005-0000-0000-0000DB2A0000}"/>
    <cellStyle name="Normal 2 2 2 2 2 2 19 5 7" xfId="11015" xr:uid="{00000000-0005-0000-0000-0000DC2A0000}"/>
    <cellStyle name="Normal 2 2 2 2 2 2 19 5 8" xfId="11016" xr:uid="{00000000-0005-0000-0000-0000DD2A0000}"/>
    <cellStyle name="Normal 2 2 2 2 2 2 19 5 9" xfId="11017" xr:uid="{00000000-0005-0000-0000-0000DE2A0000}"/>
    <cellStyle name="Normal 2 2 2 2 2 2 19 6" xfId="11018" xr:uid="{00000000-0005-0000-0000-0000DF2A0000}"/>
    <cellStyle name="Normal 2 2 2 2 2 2 19 7" xfId="11019" xr:uid="{00000000-0005-0000-0000-0000E02A0000}"/>
    <cellStyle name="Normal 2 2 2 2 2 2 19 8" xfId="11020" xr:uid="{00000000-0005-0000-0000-0000E12A0000}"/>
    <cellStyle name="Normal 2 2 2 2 2 2 19 9" xfId="11021" xr:uid="{00000000-0005-0000-0000-0000E22A0000}"/>
    <cellStyle name="Normal 2 2 2 2 2 2 2" xfId="11022" xr:uid="{00000000-0005-0000-0000-0000E32A0000}"/>
    <cellStyle name="Normal 2 2 2 2 2 2 2 10" xfId="11023" xr:uid="{00000000-0005-0000-0000-0000E42A0000}"/>
    <cellStyle name="Normal 2 2 2 2 2 2 2 11" xfId="11024" xr:uid="{00000000-0005-0000-0000-0000E52A0000}"/>
    <cellStyle name="Normal 2 2 2 2 2 2 2 12" xfId="11025" xr:uid="{00000000-0005-0000-0000-0000E62A0000}"/>
    <cellStyle name="Normal 2 2 2 2 2 2 2 13" xfId="11026" xr:uid="{00000000-0005-0000-0000-0000E72A0000}"/>
    <cellStyle name="Normal 2 2 2 2 2 2 2 14" xfId="11027" xr:uid="{00000000-0005-0000-0000-0000E82A0000}"/>
    <cellStyle name="Normal 2 2 2 2 2 2 2 15" xfId="11028" xr:uid="{00000000-0005-0000-0000-0000E92A0000}"/>
    <cellStyle name="Normal 2 2 2 2 2 2 2 16" xfId="11029" xr:uid="{00000000-0005-0000-0000-0000EA2A0000}"/>
    <cellStyle name="Normal 2 2 2 2 2 2 2 2" xfId="11030" xr:uid="{00000000-0005-0000-0000-0000EB2A0000}"/>
    <cellStyle name="Normal 2 2 2 2 2 2 2 2 10" xfId="11031" xr:uid="{00000000-0005-0000-0000-0000EC2A0000}"/>
    <cellStyle name="Normal 2 2 2 2 2 2 2 2 11" xfId="11032" xr:uid="{00000000-0005-0000-0000-0000ED2A0000}"/>
    <cellStyle name="Normal 2 2 2 2 2 2 2 2 12" xfId="11033" xr:uid="{00000000-0005-0000-0000-0000EE2A0000}"/>
    <cellStyle name="Normal 2 2 2 2 2 2 2 2 2" xfId="11034" xr:uid="{00000000-0005-0000-0000-0000EF2A0000}"/>
    <cellStyle name="Normal 2 2 2 2 2 2 2 2 3" xfId="11035" xr:uid="{00000000-0005-0000-0000-0000F02A0000}"/>
    <cellStyle name="Normal 2 2 2 2 2 2 2 2 4" xfId="11036" xr:uid="{00000000-0005-0000-0000-0000F12A0000}"/>
    <cellStyle name="Normal 2 2 2 2 2 2 2 2 5" xfId="11037" xr:uid="{00000000-0005-0000-0000-0000F22A0000}"/>
    <cellStyle name="Normal 2 2 2 2 2 2 2 2 6" xfId="11038" xr:uid="{00000000-0005-0000-0000-0000F32A0000}"/>
    <cellStyle name="Normal 2 2 2 2 2 2 2 2 7" xfId="11039" xr:uid="{00000000-0005-0000-0000-0000F42A0000}"/>
    <cellStyle name="Normal 2 2 2 2 2 2 2 2 8" xfId="11040" xr:uid="{00000000-0005-0000-0000-0000F52A0000}"/>
    <cellStyle name="Normal 2 2 2 2 2 2 2 2 9" xfId="11041" xr:uid="{00000000-0005-0000-0000-0000F62A0000}"/>
    <cellStyle name="Normal 2 2 2 2 2 2 2 3" xfId="11042" xr:uid="{00000000-0005-0000-0000-0000F72A0000}"/>
    <cellStyle name="Normal 2 2 2 2 2 2 2 3 10" xfId="11043" xr:uid="{00000000-0005-0000-0000-0000F82A0000}"/>
    <cellStyle name="Normal 2 2 2 2 2 2 2 3 2" xfId="11044" xr:uid="{00000000-0005-0000-0000-0000F92A0000}"/>
    <cellStyle name="Normal 2 2 2 2 2 2 2 3 3" xfId="11045" xr:uid="{00000000-0005-0000-0000-0000FA2A0000}"/>
    <cellStyle name="Normal 2 2 2 2 2 2 2 3 4" xfId="11046" xr:uid="{00000000-0005-0000-0000-0000FB2A0000}"/>
    <cellStyle name="Normal 2 2 2 2 2 2 2 3 5" xfId="11047" xr:uid="{00000000-0005-0000-0000-0000FC2A0000}"/>
    <cellStyle name="Normal 2 2 2 2 2 2 2 3 6" xfId="11048" xr:uid="{00000000-0005-0000-0000-0000FD2A0000}"/>
    <cellStyle name="Normal 2 2 2 2 2 2 2 3 7" xfId="11049" xr:uid="{00000000-0005-0000-0000-0000FE2A0000}"/>
    <cellStyle name="Normal 2 2 2 2 2 2 2 3 8" xfId="11050" xr:uid="{00000000-0005-0000-0000-0000FF2A0000}"/>
    <cellStyle name="Normal 2 2 2 2 2 2 2 3 9" xfId="11051" xr:uid="{00000000-0005-0000-0000-0000002B0000}"/>
    <cellStyle name="Normal 2 2 2 2 2 2 2 4" xfId="11052" xr:uid="{00000000-0005-0000-0000-0000012B0000}"/>
    <cellStyle name="Normal 2 2 2 2 2 2 2 4 10" xfId="11053" xr:uid="{00000000-0005-0000-0000-0000022B0000}"/>
    <cellStyle name="Normal 2 2 2 2 2 2 2 4 2" xfId="11054" xr:uid="{00000000-0005-0000-0000-0000032B0000}"/>
    <cellStyle name="Normal 2 2 2 2 2 2 2 4 3" xfId="11055" xr:uid="{00000000-0005-0000-0000-0000042B0000}"/>
    <cellStyle name="Normal 2 2 2 2 2 2 2 4 4" xfId="11056" xr:uid="{00000000-0005-0000-0000-0000052B0000}"/>
    <cellStyle name="Normal 2 2 2 2 2 2 2 4 5" xfId="11057" xr:uid="{00000000-0005-0000-0000-0000062B0000}"/>
    <cellStyle name="Normal 2 2 2 2 2 2 2 4 6" xfId="11058" xr:uid="{00000000-0005-0000-0000-0000072B0000}"/>
    <cellStyle name="Normal 2 2 2 2 2 2 2 4 7" xfId="11059" xr:uid="{00000000-0005-0000-0000-0000082B0000}"/>
    <cellStyle name="Normal 2 2 2 2 2 2 2 4 8" xfId="11060" xr:uid="{00000000-0005-0000-0000-0000092B0000}"/>
    <cellStyle name="Normal 2 2 2 2 2 2 2 4 9" xfId="11061" xr:uid="{00000000-0005-0000-0000-00000A2B0000}"/>
    <cellStyle name="Normal 2 2 2 2 2 2 2 5" xfId="11062" xr:uid="{00000000-0005-0000-0000-00000B2B0000}"/>
    <cellStyle name="Normal 2 2 2 2 2 2 2 5 10" xfId="11063" xr:uid="{00000000-0005-0000-0000-00000C2B0000}"/>
    <cellStyle name="Normal 2 2 2 2 2 2 2 5 2" xfId="11064" xr:uid="{00000000-0005-0000-0000-00000D2B0000}"/>
    <cellStyle name="Normal 2 2 2 2 2 2 2 5 3" xfId="11065" xr:uid="{00000000-0005-0000-0000-00000E2B0000}"/>
    <cellStyle name="Normal 2 2 2 2 2 2 2 5 4" xfId="11066" xr:uid="{00000000-0005-0000-0000-00000F2B0000}"/>
    <cellStyle name="Normal 2 2 2 2 2 2 2 5 5" xfId="11067" xr:uid="{00000000-0005-0000-0000-0000102B0000}"/>
    <cellStyle name="Normal 2 2 2 2 2 2 2 5 6" xfId="11068" xr:uid="{00000000-0005-0000-0000-0000112B0000}"/>
    <cellStyle name="Normal 2 2 2 2 2 2 2 5 7" xfId="11069" xr:uid="{00000000-0005-0000-0000-0000122B0000}"/>
    <cellStyle name="Normal 2 2 2 2 2 2 2 5 8" xfId="11070" xr:uid="{00000000-0005-0000-0000-0000132B0000}"/>
    <cellStyle name="Normal 2 2 2 2 2 2 2 5 9" xfId="11071" xr:uid="{00000000-0005-0000-0000-0000142B0000}"/>
    <cellStyle name="Normal 2 2 2 2 2 2 2 6" xfId="11072" xr:uid="{00000000-0005-0000-0000-0000152B0000}"/>
    <cellStyle name="Normal 2 2 2 2 2 2 2 7" xfId="11073" xr:uid="{00000000-0005-0000-0000-0000162B0000}"/>
    <cellStyle name="Normal 2 2 2 2 2 2 2 8" xfId="11074" xr:uid="{00000000-0005-0000-0000-0000172B0000}"/>
    <cellStyle name="Normal 2 2 2 2 2 2 2 9" xfId="11075" xr:uid="{00000000-0005-0000-0000-0000182B0000}"/>
    <cellStyle name="Normal 2 2 2 2 2 2 20" xfId="11076" xr:uid="{00000000-0005-0000-0000-0000192B0000}"/>
    <cellStyle name="Normal 2 2 2 2 2 2 20 10" xfId="11077" xr:uid="{00000000-0005-0000-0000-00001A2B0000}"/>
    <cellStyle name="Normal 2 2 2 2 2 2 20 11" xfId="11078" xr:uid="{00000000-0005-0000-0000-00001B2B0000}"/>
    <cellStyle name="Normal 2 2 2 2 2 2 20 12" xfId="11079" xr:uid="{00000000-0005-0000-0000-00001C2B0000}"/>
    <cellStyle name="Normal 2 2 2 2 2 2 20 13" xfId="11080" xr:uid="{00000000-0005-0000-0000-00001D2B0000}"/>
    <cellStyle name="Normal 2 2 2 2 2 2 20 14" xfId="11081" xr:uid="{00000000-0005-0000-0000-00001E2B0000}"/>
    <cellStyle name="Normal 2 2 2 2 2 2 20 2" xfId="11082" xr:uid="{00000000-0005-0000-0000-00001F2B0000}"/>
    <cellStyle name="Normal 2 2 2 2 2 2 20 2 10" xfId="11083" xr:uid="{00000000-0005-0000-0000-0000202B0000}"/>
    <cellStyle name="Normal 2 2 2 2 2 2 20 2 2" xfId="11084" xr:uid="{00000000-0005-0000-0000-0000212B0000}"/>
    <cellStyle name="Normal 2 2 2 2 2 2 20 2 3" xfId="11085" xr:uid="{00000000-0005-0000-0000-0000222B0000}"/>
    <cellStyle name="Normal 2 2 2 2 2 2 20 2 4" xfId="11086" xr:uid="{00000000-0005-0000-0000-0000232B0000}"/>
    <cellStyle name="Normal 2 2 2 2 2 2 20 2 5" xfId="11087" xr:uid="{00000000-0005-0000-0000-0000242B0000}"/>
    <cellStyle name="Normal 2 2 2 2 2 2 20 2 6" xfId="11088" xr:uid="{00000000-0005-0000-0000-0000252B0000}"/>
    <cellStyle name="Normal 2 2 2 2 2 2 20 2 7" xfId="11089" xr:uid="{00000000-0005-0000-0000-0000262B0000}"/>
    <cellStyle name="Normal 2 2 2 2 2 2 20 2 8" xfId="11090" xr:uid="{00000000-0005-0000-0000-0000272B0000}"/>
    <cellStyle name="Normal 2 2 2 2 2 2 20 2 9" xfId="11091" xr:uid="{00000000-0005-0000-0000-0000282B0000}"/>
    <cellStyle name="Normal 2 2 2 2 2 2 20 3" xfId="11092" xr:uid="{00000000-0005-0000-0000-0000292B0000}"/>
    <cellStyle name="Normal 2 2 2 2 2 2 20 3 10" xfId="11093" xr:uid="{00000000-0005-0000-0000-00002A2B0000}"/>
    <cellStyle name="Normal 2 2 2 2 2 2 20 3 2" xfId="11094" xr:uid="{00000000-0005-0000-0000-00002B2B0000}"/>
    <cellStyle name="Normal 2 2 2 2 2 2 20 3 3" xfId="11095" xr:uid="{00000000-0005-0000-0000-00002C2B0000}"/>
    <cellStyle name="Normal 2 2 2 2 2 2 20 3 4" xfId="11096" xr:uid="{00000000-0005-0000-0000-00002D2B0000}"/>
    <cellStyle name="Normal 2 2 2 2 2 2 20 3 5" xfId="11097" xr:uid="{00000000-0005-0000-0000-00002E2B0000}"/>
    <cellStyle name="Normal 2 2 2 2 2 2 20 3 6" xfId="11098" xr:uid="{00000000-0005-0000-0000-00002F2B0000}"/>
    <cellStyle name="Normal 2 2 2 2 2 2 20 3 7" xfId="11099" xr:uid="{00000000-0005-0000-0000-0000302B0000}"/>
    <cellStyle name="Normal 2 2 2 2 2 2 20 3 8" xfId="11100" xr:uid="{00000000-0005-0000-0000-0000312B0000}"/>
    <cellStyle name="Normal 2 2 2 2 2 2 20 3 9" xfId="11101" xr:uid="{00000000-0005-0000-0000-0000322B0000}"/>
    <cellStyle name="Normal 2 2 2 2 2 2 20 4" xfId="11102" xr:uid="{00000000-0005-0000-0000-0000332B0000}"/>
    <cellStyle name="Normal 2 2 2 2 2 2 20 4 10" xfId="11103" xr:uid="{00000000-0005-0000-0000-0000342B0000}"/>
    <cellStyle name="Normal 2 2 2 2 2 2 20 4 2" xfId="11104" xr:uid="{00000000-0005-0000-0000-0000352B0000}"/>
    <cellStyle name="Normal 2 2 2 2 2 2 20 4 3" xfId="11105" xr:uid="{00000000-0005-0000-0000-0000362B0000}"/>
    <cellStyle name="Normal 2 2 2 2 2 2 20 4 4" xfId="11106" xr:uid="{00000000-0005-0000-0000-0000372B0000}"/>
    <cellStyle name="Normal 2 2 2 2 2 2 20 4 5" xfId="11107" xr:uid="{00000000-0005-0000-0000-0000382B0000}"/>
    <cellStyle name="Normal 2 2 2 2 2 2 20 4 6" xfId="11108" xr:uid="{00000000-0005-0000-0000-0000392B0000}"/>
    <cellStyle name="Normal 2 2 2 2 2 2 20 4 7" xfId="11109" xr:uid="{00000000-0005-0000-0000-00003A2B0000}"/>
    <cellStyle name="Normal 2 2 2 2 2 2 20 4 8" xfId="11110" xr:uid="{00000000-0005-0000-0000-00003B2B0000}"/>
    <cellStyle name="Normal 2 2 2 2 2 2 20 4 9" xfId="11111" xr:uid="{00000000-0005-0000-0000-00003C2B0000}"/>
    <cellStyle name="Normal 2 2 2 2 2 2 20 5" xfId="11112" xr:uid="{00000000-0005-0000-0000-00003D2B0000}"/>
    <cellStyle name="Normal 2 2 2 2 2 2 20 5 10" xfId="11113" xr:uid="{00000000-0005-0000-0000-00003E2B0000}"/>
    <cellStyle name="Normal 2 2 2 2 2 2 20 5 2" xfId="11114" xr:uid="{00000000-0005-0000-0000-00003F2B0000}"/>
    <cellStyle name="Normal 2 2 2 2 2 2 20 5 3" xfId="11115" xr:uid="{00000000-0005-0000-0000-0000402B0000}"/>
    <cellStyle name="Normal 2 2 2 2 2 2 20 5 4" xfId="11116" xr:uid="{00000000-0005-0000-0000-0000412B0000}"/>
    <cellStyle name="Normal 2 2 2 2 2 2 20 5 5" xfId="11117" xr:uid="{00000000-0005-0000-0000-0000422B0000}"/>
    <cellStyle name="Normal 2 2 2 2 2 2 20 5 6" xfId="11118" xr:uid="{00000000-0005-0000-0000-0000432B0000}"/>
    <cellStyle name="Normal 2 2 2 2 2 2 20 5 7" xfId="11119" xr:uid="{00000000-0005-0000-0000-0000442B0000}"/>
    <cellStyle name="Normal 2 2 2 2 2 2 20 5 8" xfId="11120" xr:uid="{00000000-0005-0000-0000-0000452B0000}"/>
    <cellStyle name="Normal 2 2 2 2 2 2 20 5 9" xfId="11121" xr:uid="{00000000-0005-0000-0000-0000462B0000}"/>
    <cellStyle name="Normal 2 2 2 2 2 2 20 6" xfId="11122" xr:uid="{00000000-0005-0000-0000-0000472B0000}"/>
    <cellStyle name="Normal 2 2 2 2 2 2 20 7" xfId="11123" xr:uid="{00000000-0005-0000-0000-0000482B0000}"/>
    <cellStyle name="Normal 2 2 2 2 2 2 20 8" xfId="11124" xr:uid="{00000000-0005-0000-0000-0000492B0000}"/>
    <cellStyle name="Normal 2 2 2 2 2 2 20 9" xfId="11125" xr:uid="{00000000-0005-0000-0000-00004A2B0000}"/>
    <cellStyle name="Normal 2 2 2 2 2 2 21" xfId="11126" xr:uid="{00000000-0005-0000-0000-00004B2B0000}"/>
    <cellStyle name="Normal 2 2 2 2 2 2 21 10" xfId="11127" xr:uid="{00000000-0005-0000-0000-00004C2B0000}"/>
    <cellStyle name="Normal 2 2 2 2 2 2 21 11" xfId="11128" xr:uid="{00000000-0005-0000-0000-00004D2B0000}"/>
    <cellStyle name="Normal 2 2 2 2 2 2 21 12" xfId="11129" xr:uid="{00000000-0005-0000-0000-00004E2B0000}"/>
    <cellStyle name="Normal 2 2 2 2 2 2 21 13" xfId="11130" xr:uid="{00000000-0005-0000-0000-00004F2B0000}"/>
    <cellStyle name="Normal 2 2 2 2 2 2 21 14" xfId="11131" xr:uid="{00000000-0005-0000-0000-0000502B0000}"/>
    <cellStyle name="Normal 2 2 2 2 2 2 21 2" xfId="11132" xr:uid="{00000000-0005-0000-0000-0000512B0000}"/>
    <cellStyle name="Normal 2 2 2 2 2 2 21 2 10" xfId="11133" xr:uid="{00000000-0005-0000-0000-0000522B0000}"/>
    <cellStyle name="Normal 2 2 2 2 2 2 21 2 2" xfId="11134" xr:uid="{00000000-0005-0000-0000-0000532B0000}"/>
    <cellStyle name="Normal 2 2 2 2 2 2 21 2 3" xfId="11135" xr:uid="{00000000-0005-0000-0000-0000542B0000}"/>
    <cellStyle name="Normal 2 2 2 2 2 2 21 2 4" xfId="11136" xr:uid="{00000000-0005-0000-0000-0000552B0000}"/>
    <cellStyle name="Normal 2 2 2 2 2 2 21 2 5" xfId="11137" xr:uid="{00000000-0005-0000-0000-0000562B0000}"/>
    <cellStyle name="Normal 2 2 2 2 2 2 21 2 6" xfId="11138" xr:uid="{00000000-0005-0000-0000-0000572B0000}"/>
    <cellStyle name="Normal 2 2 2 2 2 2 21 2 7" xfId="11139" xr:uid="{00000000-0005-0000-0000-0000582B0000}"/>
    <cellStyle name="Normal 2 2 2 2 2 2 21 2 8" xfId="11140" xr:uid="{00000000-0005-0000-0000-0000592B0000}"/>
    <cellStyle name="Normal 2 2 2 2 2 2 21 2 9" xfId="11141" xr:uid="{00000000-0005-0000-0000-00005A2B0000}"/>
    <cellStyle name="Normal 2 2 2 2 2 2 21 3" xfId="11142" xr:uid="{00000000-0005-0000-0000-00005B2B0000}"/>
    <cellStyle name="Normal 2 2 2 2 2 2 21 3 10" xfId="11143" xr:uid="{00000000-0005-0000-0000-00005C2B0000}"/>
    <cellStyle name="Normal 2 2 2 2 2 2 21 3 2" xfId="11144" xr:uid="{00000000-0005-0000-0000-00005D2B0000}"/>
    <cellStyle name="Normal 2 2 2 2 2 2 21 3 3" xfId="11145" xr:uid="{00000000-0005-0000-0000-00005E2B0000}"/>
    <cellStyle name="Normal 2 2 2 2 2 2 21 3 4" xfId="11146" xr:uid="{00000000-0005-0000-0000-00005F2B0000}"/>
    <cellStyle name="Normal 2 2 2 2 2 2 21 3 5" xfId="11147" xr:uid="{00000000-0005-0000-0000-0000602B0000}"/>
    <cellStyle name="Normal 2 2 2 2 2 2 21 3 6" xfId="11148" xr:uid="{00000000-0005-0000-0000-0000612B0000}"/>
    <cellStyle name="Normal 2 2 2 2 2 2 21 3 7" xfId="11149" xr:uid="{00000000-0005-0000-0000-0000622B0000}"/>
    <cellStyle name="Normal 2 2 2 2 2 2 21 3 8" xfId="11150" xr:uid="{00000000-0005-0000-0000-0000632B0000}"/>
    <cellStyle name="Normal 2 2 2 2 2 2 21 3 9" xfId="11151" xr:uid="{00000000-0005-0000-0000-0000642B0000}"/>
    <cellStyle name="Normal 2 2 2 2 2 2 21 4" xfId="11152" xr:uid="{00000000-0005-0000-0000-0000652B0000}"/>
    <cellStyle name="Normal 2 2 2 2 2 2 21 4 10" xfId="11153" xr:uid="{00000000-0005-0000-0000-0000662B0000}"/>
    <cellStyle name="Normal 2 2 2 2 2 2 21 4 2" xfId="11154" xr:uid="{00000000-0005-0000-0000-0000672B0000}"/>
    <cellStyle name="Normal 2 2 2 2 2 2 21 4 3" xfId="11155" xr:uid="{00000000-0005-0000-0000-0000682B0000}"/>
    <cellStyle name="Normal 2 2 2 2 2 2 21 4 4" xfId="11156" xr:uid="{00000000-0005-0000-0000-0000692B0000}"/>
    <cellStyle name="Normal 2 2 2 2 2 2 21 4 5" xfId="11157" xr:uid="{00000000-0005-0000-0000-00006A2B0000}"/>
    <cellStyle name="Normal 2 2 2 2 2 2 21 4 6" xfId="11158" xr:uid="{00000000-0005-0000-0000-00006B2B0000}"/>
    <cellStyle name="Normal 2 2 2 2 2 2 21 4 7" xfId="11159" xr:uid="{00000000-0005-0000-0000-00006C2B0000}"/>
    <cellStyle name="Normal 2 2 2 2 2 2 21 4 8" xfId="11160" xr:uid="{00000000-0005-0000-0000-00006D2B0000}"/>
    <cellStyle name="Normal 2 2 2 2 2 2 21 4 9" xfId="11161" xr:uid="{00000000-0005-0000-0000-00006E2B0000}"/>
    <cellStyle name="Normal 2 2 2 2 2 2 21 5" xfId="11162" xr:uid="{00000000-0005-0000-0000-00006F2B0000}"/>
    <cellStyle name="Normal 2 2 2 2 2 2 21 5 10" xfId="11163" xr:uid="{00000000-0005-0000-0000-0000702B0000}"/>
    <cellStyle name="Normal 2 2 2 2 2 2 21 5 2" xfId="11164" xr:uid="{00000000-0005-0000-0000-0000712B0000}"/>
    <cellStyle name="Normal 2 2 2 2 2 2 21 5 3" xfId="11165" xr:uid="{00000000-0005-0000-0000-0000722B0000}"/>
    <cellStyle name="Normal 2 2 2 2 2 2 21 5 4" xfId="11166" xr:uid="{00000000-0005-0000-0000-0000732B0000}"/>
    <cellStyle name="Normal 2 2 2 2 2 2 21 5 5" xfId="11167" xr:uid="{00000000-0005-0000-0000-0000742B0000}"/>
    <cellStyle name="Normal 2 2 2 2 2 2 21 5 6" xfId="11168" xr:uid="{00000000-0005-0000-0000-0000752B0000}"/>
    <cellStyle name="Normal 2 2 2 2 2 2 21 5 7" xfId="11169" xr:uid="{00000000-0005-0000-0000-0000762B0000}"/>
    <cellStyle name="Normal 2 2 2 2 2 2 21 5 8" xfId="11170" xr:uid="{00000000-0005-0000-0000-0000772B0000}"/>
    <cellStyle name="Normal 2 2 2 2 2 2 21 5 9" xfId="11171" xr:uid="{00000000-0005-0000-0000-0000782B0000}"/>
    <cellStyle name="Normal 2 2 2 2 2 2 21 6" xfId="11172" xr:uid="{00000000-0005-0000-0000-0000792B0000}"/>
    <cellStyle name="Normal 2 2 2 2 2 2 21 7" xfId="11173" xr:uid="{00000000-0005-0000-0000-00007A2B0000}"/>
    <cellStyle name="Normal 2 2 2 2 2 2 21 8" xfId="11174" xr:uid="{00000000-0005-0000-0000-00007B2B0000}"/>
    <cellStyle name="Normal 2 2 2 2 2 2 21 9" xfId="11175" xr:uid="{00000000-0005-0000-0000-00007C2B0000}"/>
    <cellStyle name="Normal 2 2 2 2 2 2 22" xfId="11176" xr:uid="{00000000-0005-0000-0000-00007D2B0000}"/>
    <cellStyle name="Normal 2 2 2 2 2 2 22 10" xfId="11177" xr:uid="{00000000-0005-0000-0000-00007E2B0000}"/>
    <cellStyle name="Normal 2 2 2 2 2 2 22 11" xfId="11178" xr:uid="{00000000-0005-0000-0000-00007F2B0000}"/>
    <cellStyle name="Normal 2 2 2 2 2 2 22 12" xfId="11179" xr:uid="{00000000-0005-0000-0000-0000802B0000}"/>
    <cellStyle name="Normal 2 2 2 2 2 2 22 13" xfId="11180" xr:uid="{00000000-0005-0000-0000-0000812B0000}"/>
    <cellStyle name="Normal 2 2 2 2 2 2 22 14" xfId="11181" xr:uid="{00000000-0005-0000-0000-0000822B0000}"/>
    <cellStyle name="Normal 2 2 2 2 2 2 22 2" xfId="11182" xr:uid="{00000000-0005-0000-0000-0000832B0000}"/>
    <cellStyle name="Normal 2 2 2 2 2 2 22 2 10" xfId="11183" xr:uid="{00000000-0005-0000-0000-0000842B0000}"/>
    <cellStyle name="Normal 2 2 2 2 2 2 22 2 2" xfId="11184" xr:uid="{00000000-0005-0000-0000-0000852B0000}"/>
    <cellStyle name="Normal 2 2 2 2 2 2 22 2 3" xfId="11185" xr:uid="{00000000-0005-0000-0000-0000862B0000}"/>
    <cellStyle name="Normal 2 2 2 2 2 2 22 2 4" xfId="11186" xr:uid="{00000000-0005-0000-0000-0000872B0000}"/>
    <cellStyle name="Normal 2 2 2 2 2 2 22 2 5" xfId="11187" xr:uid="{00000000-0005-0000-0000-0000882B0000}"/>
    <cellStyle name="Normal 2 2 2 2 2 2 22 2 6" xfId="11188" xr:uid="{00000000-0005-0000-0000-0000892B0000}"/>
    <cellStyle name="Normal 2 2 2 2 2 2 22 2 7" xfId="11189" xr:uid="{00000000-0005-0000-0000-00008A2B0000}"/>
    <cellStyle name="Normal 2 2 2 2 2 2 22 2 8" xfId="11190" xr:uid="{00000000-0005-0000-0000-00008B2B0000}"/>
    <cellStyle name="Normal 2 2 2 2 2 2 22 2 9" xfId="11191" xr:uid="{00000000-0005-0000-0000-00008C2B0000}"/>
    <cellStyle name="Normal 2 2 2 2 2 2 22 3" xfId="11192" xr:uid="{00000000-0005-0000-0000-00008D2B0000}"/>
    <cellStyle name="Normal 2 2 2 2 2 2 22 3 10" xfId="11193" xr:uid="{00000000-0005-0000-0000-00008E2B0000}"/>
    <cellStyle name="Normal 2 2 2 2 2 2 22 3 2" xfId="11194" xr:uid="{00000000-0005-0000-0000-00008F2B0000}"/>
    <cellStyle name="Normal 2 2 2 2 2 2 22 3 3" xfId="11195" xr:uid="{00000000-0005-0000-0000-0000902B0000}"/>
    <cellStyle name="Normal 2 2 2 2 2 2 22 3 4" xfId="11196" xr:uid="{00000000-0005-0000-0000-0000912B0000}"/>
    <cellStyle name="Normal 2 2 2 2 2 2 22 3 5" xfId="11197" xr:uid="{00000000-0005-0000-0000-0000922B0000}"/>
    <cellStyle name="Normal 2 2 2 2 2 2 22 3 6" xfId="11198" xr:uid="{00000000-0005-0000-0000-0000932B0000}"/>
    <cellStyle name="Normal 2 2 2 2 2 2 22 3 7" xfId="11199" xr:uid="{00000000-0005-0000-0000-0000942B0000}"/>
    <cellStyle name="Normal 2 2 2 2 2 2 22 3 8" xfId="11200" xr:uid="{00000000-0005-0000-0000-0000952B0000}"/>
    <cellStyle name="Normal 2 2 2 2 2 2 22 3 9" xfId="11201" xr:uid="{00000000-0005-0000-0000-0000962B0000}"/>
    <cellStyle name="Normal 2 2 2 2 2 2 22 4" xfId="11202" xr:uid="{00000000-0005-0000-0000-0000972B0000}"/>
    <cellStyle name="Normal 2 2 2 2 2 2 22 4 10" xfId="11203" xr:uid="{00000000-0005-0000-0000-0000982B0000}"/>
    <cellStyle name="Normal 2 2 2 2 2 2 22 4 2" xfId="11204" xr:uid="{00000000-0005-0000-0000-0000992B0000}"/>
    <cellStyle name="Normal 2 2 2 2 2 2 22 4 3" xfId="11205" xr:uid="{00000000-0005-0000-0000-00009A2B0000}"/>
    <cellStyle name="Normal 2 2 2 2 2 2 22 4 4" xfId="11206" xr:uid="{00000000-0005-0000-0000-00009B2B0000}"/>
    <cellStyle name="Normal 2 2 2 2 2 2 22 4 5" xfId="11207" xr:uid="{00000000-0005-0000-0000-00009C2B0000}"/>
    <cellStyle name="Normal 2 2 2 2 2 2 22 4 6" xfId="11208" xr:uid="{00000000-0005-0000-0000-00009D2B0000}"/>
    <cellStyle name="Normal 2 2 2 2 2 2 22 4 7" xfId="11209" xr:uid="{00000000-0005-0000-0000-00009E2B0000}"/>
    <cellStyle name="Normal 2 2 2 2 2 2 22 4 8" xfId="11210" xr:uid="{00000000-0005-0000-0000-00009F2B0000}"/>
    <cellStyle name="Normal 2 2 2 2 2 2 22 4 9" xfId="11211" xr:uid="{00000000-0005-0000-0000-0000A02B0000}"/>
    <cellStyle name="Normal 2 2 2 2 2 2 22 5" xfId="11212" xr:uid="{00000000-0005-0000-0000-0000A12B0000}"/>
    <cellStyle name="Normal 2 2 2 2 2 2 22 5 10" xfId="11213" xr:uid="{00000000-0005-0000-0000-0000A22B0000}"/>
    <cellStyle name="Normal 2 2 2 2 2 2 22 5 2" xfId="11214" xr:uid="{00000000-0005-0000-0000-0000A32B0000}"/>
    <cellStyle name="Normal 2 2 2 2 2 2 22 5 3" xfId="11215" xr:uid="{00000000-0005-0000-0000-0000A42B0000}"/>
    <cellStyle name="Normal 2 2 2 2 2 2 22 5 4" xfId="11216" xr:uid="{00000000-0005-0000-0000-0000A52B0000}"/>
    <cellStyle name="Normal 2 2 2 2 2 2 22 5 5" xfId="11217" xr:uid="{00000000-0005-0000-0000-0000A62B0000}"/>
    <cellStyle name="Normal 2 2 2 2 2 2 22 5 6" xfId="11218" xr:uid="{00000000-0005-0000-0000-0000A72B0000}"/>
    <cellStyle name="Normal 2 2 2 2 2 2 22 5 7" xfId="11219" xr:uid="{00000000-0005-0000-0000-0000A82B0000}"/>
    <cellStyle name="Normal 2 2 2 2 2 2 22 5 8" xfId="11220" xr:uid="{00000000-0005-0000-0000-0000A92B0000}"/>
    <cellStyle name="Normal 2 2 2 2 2 2 22 5 9" xfId="11221" xr:uid="{00000000-0005-0000-0000-0000AA2B0000}"/>
    <cellStyle name="Normal 2 2 2 2 2 2 22 6" xfId="11222" xr:uid="{00000000-0005-0000-0000-0000AB2B0000}"/>
    <cellStyle name="Normal 2 2 2 2 2 2 22 7" xfId="11223" xr:uid="{00000000-0005-0000-0000-0000AC2B0000}"/>
    <cellStyle name="Normal 2 2 2 2 2 2 22 8" xfId="11224" xr:uid="{00000000-0005-0000-0000-0000AD2B0000}"/>
    <cellStyle name="Normal 2 2 2 2 2 2 22 9" xfId="11225" xr:uid="{00000000-0005-0000-0000-0000AE2B0000}"/>
    <cellStyle name="Normal 2 2 2 2 2 2 23" xfId="11226" xr:uid="{00000000-0005-0000-0000-0000AF2B0000}"/>
    <cellStyle name="Normal 2 2 2 2 2 2 23 10" xfId="11227" xr:uid="{00000000-0005-0000-0000-0000B02B0000}"/>
    <cellStyle name="Normal 2 2 2 2 2 2 23 11" xfId="11228" xr:uid="{00000000-0005-0000-0000-0000B12B0000}"/>
    <cellStyle name="Normal 2 2 2 2 2 2 23 12" xfId="11229" xr:uid="{00000000-0005-0000-0000-0000B22B0000}"/>
    <cellStyle name="Normal 2 2 2 2 2 2 23 13" xfId="11230" xr:uid="{00000000-0005-0000-0000-0000B32B0000}"/>
    <cellStyle name="Normal 2 2 2 2 2 2 23 14" xfId="11231" xr:uid="{00000000-0005-0000-0000-0000B42B0000}"/>
    <cellStyle name="Normal 2 2 2 2 2 2 23 2" xfId="11232" xr:uid="{00000000-0005-0000-0000-0000B52B0000}"/>
    <cellStyle name="Normal 2 2 2 2 2 2 23 2 10" xfId="11233" xr:uid="{00000000-0005-0000-0000-0000B62B0000}"/>
    <cellStyle name="Normal 2 2 2 2 2 2 23 2 2" xfId="11234" xr:uid="{00000000-0005-0000-0000-0000B72B0000}"/>
    <cellStyle name="Normal 2 2 2 2 2 2 23 2 3" xfId="11235" xr:uid="{00000000-0005-0000-0000-0000B82B0000}"/>
    <cellStyle name="Normal 2 2 2 2 2 2 23 2 4" xfId="11236" xr:uid="{00000000-0005-0000-0000-0000B92B0000}"/>
    <cellStyle name="Normal 2 2 2 2 2 2 23 2 5" xfId="11237" xr:uid="{00000000-0005-0000-0000-0000BA2B0000}"/>
    <cellStyle name="Normal 2 2 2 2 2 2 23 2 6" xfId="11238" xr:uid="{00000000-0005-0000-0000-0000BB2B0000}"/>
    <cellStyle name="Normal 2 2 2 2 2 2 23 2 7" xfId="11239" xr:uid="{00000000-0005-0000-0000-0000BC2B0000}"/>
    <cellStyle name="Normal 2 2 2 2 2 2 23 2 8" xfId="11240" xr:uid="{00000000-0005-0000-0000-0000BD2B0000}"/>
    <cellStyle name="Normal 2 2 2 2 2 2 23 2 9" xfId="11241" xr:uid="{00000000-0005-0000-0000-0000BE2B0000}"/>
    <cellStyle name="Normal 2 2 2 2 2 2 23 3" xfId="11242" xr:uid="{00000000-0005-0000-0000-0000BF2B0000}"/>
    <cellStyle name="Normal 2 2 2 2 2 2 23 3 10" xfId="11243" xr:uid="{00000000-0005-0000-0000-0000C02B0000}"/>
    <cellStyle name="Normal 2 2 2 2 2 2 23 3 2" xfId="11244" xr:uid="{00000000-0005-0000-0000-0000C12B0000}"/>
    <cellStyle name="Normal 2 2 2 2 2 2 23 3 3" xfId="11245" xr:uid="{00000000-0005-0000-0000-0000C22B0000}"/>
    <cellStyle name="Normal 2 2 2 2 2 2 23 3 4" xfId="11246" xr:uid="{00000000-0005-0000-0000-0000C32B0000}"/>
    <cellStyle name="Normal 2 2 2 2 2 2 23 3 5" xfId="11247" xr:uid="{00000000-0005-0000-0000-0000C42B0000}"/>
    <cellStyle name="Normal 2 2 2 2 2 2 23 3 6" xfId="11248" xr:uid="{00000000-0005-0000-0000-0000C52B0000}"/>
    <cellStyle name="Normal 2 2 2 2 2 2 23 3 7" xfId="11249" xr:uid="{00000000-0005-0000-0000-0000C62B0000}"/>
    <cellStyle name="Normal 2 2 2 2 2 2 23 3 8" xfId="11250" xr:uid="{00000000-0005-0000-0000-0000C72B0000}"/>
    <cellStyle name="Normal 2 2 2 2 2 2 23 3 9" xfId="11251" xr:uid="{00000000-0005-0000-0000-0000C82B0000}"/>
    <cellStyle name="Normal 2 2 2 2 2 2 23 4" xfId="11252" xr:uid="{00000000-0005-0000-0000-0000C92B0000}"/>
    <cellStyle name="Normal 2 2 2 2 2 2 23 4 10" xfId="11253" xr:uid="{00000000-0005-0000-0000-0000CA2B0000}"/>
    <cellStyle name="Normal 2 2 2 2 2 2 23 4 2" xfId="11254" xr:uid="{00000000-0005-0000-0000-0000CB2B0000}"/>
    <cellStyle name="Normal 2 2 2 2 2 2 23 4 3" xfId="11255" xr:uid="{00000000-0005-0000-0000-0000CC2B0000}"/>
    <cellStyle name="Normal 2 2 2 2 2 2 23 4 4" xfId="11256" xr:uid="{00000000-0005-0000-0000-0000CD2B0000}"/>
    <cellStyle name="Normal 2 2 2 2 2 2 23 4 5" xfId="11257" xr:uid="{00000000-0005-0000-0000-0000CE2B0000}"/>
    <cellStyle name="Normal 2 2 2 2 2 2 23 4 6" xfId="11258" xr:uid="{00000000-0005-0000-0000-0000CF2B0000}"/>
    <cellStyle name="Normal 2 2 2 2 2 2 23 4 7" xfId="11259" xr:uid="{00000000-0005-0000-0000-0000D02B0000}"/>
    <cellStyle name="Normal 2 2 2 2 2 2 23 4 8" xfId="11260" xr:uid="{00000000-0005-0000-0000-0000D12B0000}"/>
    <cellStyle name="Normal 2 2 2 2 2 2 23 4 9" xfId="11261" xr:uid="{00000000-0005-0000-0000-0000D22B0000}"/>
    <cellStyle name="Normal 2 2 2 2 2 2 23 5" xfId="11262" xr:uid="{00000000-0005-0000-0000-0000D32B0000}"/>
    <cellStyle name="Normal 2 2 2 2 2 2 23 5 10" xfId="11263" xr:uid="{00000000-0005-0000-0000-0000D42B0000}"/>
    <cellStyle name="Normal 2 2 2 2 2 2 23 5 2" xfId="11264" xr:uid="{00000000-0005-0000-0000-0000D52B0000}"/>
    <cellStyle name="Normal 2 2 2 2 2 2 23 5 3" xfId="11265" xr:uid="{00000000-0005-0000-0000-0000D62B0000}"/>
    <cellStyle name="Normal 2 2 2 2 2 2 23 5 4" xfId="11266" xr:uid="{00000000-0005-0000-0000-0000D72B0000}"/>
    <cellStyle name="Normal 2 2 2 2 2 2 23 5 5" xfId="11267" xr:uid="{00000000-0005-0000-0000-0000D82B0000}"/>
    <cellStyle name="Normal 2 2 2 2 2 2 23 5 6" xfId="11268" xr:uid="{00000000-0005-0000-0000-0000D92B0000}"/>
    <cellStyle name="Normal 2 2 2 2 2 2 23 5 7" xfId="11269" xr:uid="{00000000-0005-0000-0000-0000DA2B0000}"/>
    <cellStyle name="Normal 2 2 2 2 2 2 23 5 8" xfId="11270" xr:uid="{00000000-0005-0000-0000-0000DB2B0000}"/>
    <cellStyle name="Normal 2 2 2 2 2 2 23 5 9" xfId="11271" xr:uid="{00000000-0005-0000-0000-0000DC2B0000}"/>
    <cellStyle name="Normal 2 2 2 2 2 2 23 6" xfId="11272" xr:uid="{00000000-0005-0000-0000-0000DD2B0000}"/>
    <cellStyle name="Normal 2 2 2 2 2 2 23 7" xfId="11273" xr:uid="{00000000-0005-0000-0000-0000DE2B0000}"/>
    <cellStyle name="Normal 2 2 2 2 2 2 23 8" xfId="11274" xr:uid="{00000000-0005-0000-0000-0000DF2B0000}"/>
    <cellStyle name="Normal 2 2 2 2 2 2 23 9" xfId="11275" xr:uid="{00000000-0005-0000-0000-0000E02B0000}"/>
    <cellStyle name="Normal 2 2 2 2 2 2 24" xfId="11276" xr:uid="{00000000-0005-0000-0000-0000E12B0000}"/>
    <cellStyle name="Normal 2 2 2 2 2 2 24 10" xfId="11277" xr:uid="{00000000-0005-0000-0000-0000E22B0000}"/>
    <cellStyle name="Normal 2 2 2 2 2 2 24 11" xfId="11278" xr:uid="{00000000-0005-0000-0000-0000E32B0000}"/>
    <cellStyle name="Normal 2 2 2 2 2 2 24 12" xfId="11279" xr:uid="{00000000-0005-0000-0000-0000E42B0000}"/>
    <cellStyle name="Normal 2 2 2 2 2 2 24 13" xfId="11280" xr:uid="{00000000-0005-0000-0000-0000E52B0000}"/>
    <cellStyle name="Normal 2 2 2 2 2 2 24 14" xfId="11281" xr:uid="{00000000-0005-0000-0000-0000E62B0000}"/>
    <cellStyle name="Normal 2 2 2 2 2 2 24 2" xfId="11282" xr:uid="{00000000-0005-0000-0000-0000E72B0000}"/>
    <cellStyle name="Normal 2 2 2 2 2 2 24 2 10" xfId="11283" xr:uid="{00000000-0005-0000-0000-0000E82B0000}"/>
    <cellStyle name="Normal 2 2 2 2 2 2 24 2 2" xfId="11284" xr:uid="{00000000-0005-0000-0000-0000E92B0000}"/>
    <cellStyle name="Normal 2 2 2 2 2 2 24 2 3" xfId="11285" xr:uid="{00000000-0005-0000-0000-0000EA2B0000}"/>
    <cellStyle name="Normal 2 2 2 2 2 2 24 2 4" xfId="11286" xr:uid="{00000000-0005-0000-0000-0000EB2B0000}"/>
    <cellStyle name="Normal 2 2 2 2 2 2 24 2 5" xfId="11287" xr:uid="{00000000-0005-0000-0000-0000EC2B0000}"/>
    <cellStyle name="Normal 2 2 2 2 2 2 24 2 6" xfId="11288" xr:uid="{00000000-0005-0000-0000-0000ED2B0000}"/>
    <cellStyle name="Normal 2 2 2 2 2 2 24 2 7" xfId="11289" xr:uid="{00000000-0005-0000-0000-0000EE2B0000}"/>
    <cellStyle name="Normal 2 2 2 2 2 2 24 2 8" xfId="11290" xr:uid="{00000000-0005-0000-0000-0000EF2B0000}"/>
    <cellStyle name="Normal 2 2 2 2 2 2 24 2 9" xfId="11291" xr:uid="{00000000-0005-0000-0000-0000F02B0000}"/>
    <cellStyle name="Normal 2 2 2 2 2 2 24 3" xfId="11292" xr:uid="{00000000-0005-0000-0000-0000F12B0000}"/>
    <cellStyle name="Normal 2 2 2 2 2 2 24 3 10" xfId="11293" xr:uid="{00000000-0005-0000-0000-0000F22B0000}"/>
    <cellStyle name="Normal 2 2 2 2 2 2 24 3 2" xfId="11294" xr:uid="{00000000-0005-0000-0000-0000F32B0000}"/>
    <cellStyle name="Normal 2 2 2 2 2 2 24 3 3" xfId="11295" xr:uid="{00000000-0005-0000-0000-0000F42B0000}"/>
    <cellStyle name="Normal 2 2 2 2 2 2 24 3 4" xfId="11296" xr:uid="{00000000-0005-0000-0000-0000F52B0000}"/>
    <cellStyle name="Normal 2 2 2 2 2 2 24 3 5" xfId="11297" xr:uid="{00000000-0005-0000-0000-0000F62B0000}"/>
    <cellStyle name="Normal 2 2 2 2 2 2 24 3 6" xfId="11298" xr:uid="{00000000-0005-0000-0000-0000F72B0000}"/>
    <cellStyle name="Normal 2 2 2 2 2 2 24 3 7" xfId="11299" xr:uid="{00000000-0005-0000-0000-0000F82B0000}"/>
    <cellStyle name="Normal 2 2 2 2 2 2 24 3 8" xfId="11300" xr:uid="{00000000-0005-0000-0000-0000F92B0000}"/>
    <cellStyle name="Normal 2 2 2 2 2 2 24 3 9" xfId="11301" xr:uid="{00000000-0005-0000-0000-0000FA2B0000}"/>
    <cellStyle name="Normal 2 2 2 2 2 2 24 4" xfId="11302" xr:uid="{00000000-0005-0000-0000-0000FB2B0000}"/>
    <cellStyle name="Normal 2 2 2 2 2 2 24 4 10" xfId="11303" xr:uid="{00000000-0005-0000-0000-0000FC2B0000}"/>
    <cellStyle name="Normal 2 2 2 2 2 2 24 4 2" xfId="11304" xr:uid="{00000000-0005-0000-0000-0000FD2B0000}"/>
    <cellStyle name="Normal 2 2 2 2 2 2 24 4 3" xfId="11305" xr:uid="{00000000-0005-0000-0000-0000FE2B0000}"/>
    <cellStyle name="Normal 2 2 2 2 2 2 24 4 4" xfId="11306" xr:uid="{00000000-0005-0000-0000-0000FF2B0000}"/>
    <cellStyle name="Normal 2 2 2 2 2 2 24 4 5" xfId="11307" xr:uid="{00000000-0005-0000-0000-0000002C0000}"/>
    <cellStyle name="Normal 2 2 2 2 2 2 24 4 6" xfId="11308" xr:uid="{00000000-0005-0000-0000-0000012C0000}"/>
    <cellStyle name="Normal 2 2 2 2 2 2 24 4 7" xfId="11309" xr:uid="{00000000-0005-0000-0000-0000022C0000}"/>
    <cellStyle name="Normal 2 2 2 2 2 2 24 4 8" xfId="11310" xr:uid="{00000000-0005-0000-0000-0000032C0000}"/>
    <cellStyle name="Normal 2 2 2 2 2 2 24 4 9" xfId="11311" xr:uid="{00000000-0005-0000-0000-0000042C0000}"/>
    <cellStyle name="Normal 2 2 2 2 2 2 24 5" xfId="11312" xr:uid="{00000000-0005-0000-0000-0000052C0000}"/>
    <cellStyle name="Normal 2 2 2 2 2 2 24 5 10" xfId="11313" xr:uid="{00000000-0005-0000-0000-0000062C0000}"/>
    <cellStyle name="Normal 2 2 2 2 2 2 24 5 2" xfId="11314" xr:uid="{00000000-0005-0000-0000-0000072C0000}"/>
    <cellStyle name="Normal 2 2 2 2 2 2 24 5 3" xfId="11315" xr:uid="{00000000-0005-0000-0000-0000082C0000}"/>
    <cellStyle name="Normal 2 2 2 2 2 2 24 5 4" xfId="11316" xr:uid="{00000000-0005-0000-0000-0000092C0000}"/>
    <cellStyle name="Normal 2 2 2 2 2 2 24 5 5" xfId="11317" xr:uid="{00000000-0005-0000-0000-00000A2C0000}"/>
    <cellStyle name="Normal 2 2 2 2 2 2 24 5 6" xfId="11318" xr:uid="{00000000-0005-0000-0000-00000B2C0000}"/>
    <cellStyle name="Normal 2 2 2 2 2 2 24 5 7" xfId="11319" xr:uid="{00000000-0005-0000-0000-00000C2C0000}"/>
    <cellStyle name="Normal 2 2 2 2 2 2 24 5 8" xfId="11320" xr:uid="{00000000-0005-0000-0000-00000D2C0000}"/>
    <cellStyle name="Normal 2 2 2 2 2 2 24 5 9" xfId="11321" xr:uid="{00000000-0005-0000-0000-00000E2C0000}"/>
    <cellStyle name="Normal 2 2 2 2 2 2 24 6" xfId="11322" xr:uid="{00000000-0005-0000-0000-00000F2C0000}"/>
    <cellStyle name="Normal 2 2 2 2 2 2 24 7" xfId="11323" xr:uid="{00000000-0005-0000-0000-0000102C0000}"/>
    <cellStyle name="Normal 2 2 2 2 2 2 24 8" xfId="11324" xr:uid="{00000000-0005-0000-0000-0000112C0000}"/>
    <cellStyle name="Normal 2 2 2 2 2 2 24 9" xfId="11325" xr:uid="{00000000-0005-0000-0000-0000122C0000}"/>
    <cellStyle name="Normal 2 2 2 2 2 2 25" xfId="11326" xr:uid="{00000000-0005-0000-0000-0000132C0000}"/>
    <cellStyle name="Normal 2 2 2 2 2 2 25 10" xfId="11327" xr:uid="{00000000-0005-0000-0000-0000142C0000}"/>
    <cellStyle name="Normal 2 2 2 2 2 2 25 11" xfId="11328" xr:uid="{00000000-0005-0000-0000-0000152C0000}"/>
    <cellStyle name="Normal 2 2 2 2 2 2 25 12" xfId="11329" xr:uid="{00000000-0005-0000-0000-0000162C0000}"/>
    <cellStyle name="Normal 2 2 2 2 2 2 25 13" xfId="11330" xr:uid="{00000000-0005-0000-0000-0000172C0000}"/>
    <cellStyle name="Normal 2 2 2 2 2 2 25 14" xfId="11331" xr:uid="{00000000-0005-0000-0000-0000182C0000}"/>
    <cellStyle name="Normal 2 2 2 2 2 2 25 2" xfId="11332" xr:uid="{00000000-0005-0000-0000-0000192C0000}"/>
    <cellStyle name="Normal 2 2 2 2 2 2 25 2 10" xfId="11333" xr:uid="{00000000-0005-0000-0000-00001A2C0000}"/>
    <cellStyle name="Normal 2 2 2 2 2 2 25 2 2" xfId="11334" xr:uid="{00000000-0005-0000-0000-00001B2C0000}"/>
    <cellStyle name="Normal 2 2 2 2 2 2 25 2 3" xfId="11335" xr:uid="{00000000-0005-0000-0000-00001C2C0000}"/>
    <cellStyle name="Normal 2 2 2 2 2 2 25 2 4" xfId="11336" xr:uid="{00000000-0005-0000-0000-00001D2C0000}"/>
    <cellStyle name="Normal 2 2 2 2 2 2 25 2 5" xfId="11337" xr:uid="{00000000-0005-0000-0000-00001E2C0000}"/>
    <cellStyle name="Normal 2 2 2 2 2 2 25 2 6" xfId="11338" xr:uid="{00000000-0005-0000-0000-00001F2C0000}"/>
    <cellStyle name="Normal 2 2 2 2 2 2 25 2 7" xfId="11339" xr:uid="{00000000-0005-0000-0000-0000202C0000}"/>
    <cellStyle name="Normal 2 2 2 2 2 2 25 2 8" xfId="11340" xr:uid="{00000000-0005-0000-0000-0000212C0000}"/>
    <cellStyle name="Normal 2 2 2 2 2 2 25 2 9" xfId="11341" xr:uid="{00000000-0005-0000-0000-0000222C0000}"/>
    <cellStyle name="Normal 2 2 2 2 2 2 25 3" xfId="11342" xr:uid="{00000000-0005-0000-0000-0000232C0000}"/>
    <cellStyle name="Normal 2 2 2 2 2 2 25 3 10" xfId="11343" xr:uid="{00000000-0005-0000-0000-0000242C0000}"/>
    <cellStyle name="Normal 2 2 2 2 2 2 25 3 2" xfId="11344" xr:uid="{00000000-0005-0000-0000-0000252C0000}"/>
    <cellStyle name="Normal 2 2 2 2 2 2 25 3 3" xfId="11345" xr:uid="{00000000-0005-0000-0000-0000262C0000}"/>
    <cellStyle name="Normal 2 2 2 2 2 2 25 3 4" xfId="11346" xr:uid="{00000000-0005-0000-0000-0000272C0000}"/>
    <cellStyle name="Normal 2 2 2 2 2 2 25 3 5" xfId="11347" xr:uid="{00000000-0005-0000-0000-0000282C0000}"/>
    <cellStyle name="Normal 2 2 2 2 2 2 25 3 6" xfId="11348" xr:uid="{00000000-0005-0000-0000-0000292C0000}"/>
    <cellStyle name="Normal 2 2 2 2 2 2 25 3 7" xfId="11349" xr:uid="{00000000-0005-0000-0000-00002A2C0000}"/>
    <cellStyle name="Normal 2 2 2 2 2 2 25 3 8" xfId="11350" xr:uid="{00000000-0005-0000-0000-00002B2C0000}"/>
    <cellStyle name="Normal 2 2 2 2 2 2 25 3 9" xfId="11351" xr:uid="{00000000-0005-0000-0000-00002C2C0000}"/>
    <cellStyle name="Normal 2 2 2 2 2 2 25 4" xfId="11352" xr:uid="{00000000-0005-0000-0000-00002D2C0000}"/>
    <cellStyle name="Normal 2 2 2 2 2 2 25 4 10" xfId="11353" xr:uid="{00000000-0005-0000-0000-00002E2C0000}"/>
    <cellStyle name="Normal 2 2 2 2 2 2 25 4 2" xfId="11354" xr:uid="{00000000-0005-0000-0000-00002F2C0000}"/>
    <cellStyle name="Normal 2 2 2 2 2 2 25 4 3" xfId="11355" xr:uid="{00000000-0005-0000-0000-0000302C0000}"/>
    <cellStyle name="Normal 2 2 2 2 2 2 25 4 4" xfId="11356" xr:uid="{00000000-0005-0000-0000-0000312C0000}"/>
    <cellStyle name="Normal 2 2 2 2 2 2 25 4 5" xfId="11357" xr:uid="{00000000-0005-0000-0000-0000322C0000}"/>
    <cellStyle name="Normal 2 2 2 2 2 2 25 4 6" xfId="11358" xr:uid="{00000000-0005-0000-0000-0000332C0000}"/>
    <cellStyle name="Normal 2 2 2 2 2 2 25 4 7" xfId="11359" xr:uid="{00000000-0005-0000-0000-0000342C0000}"/>
    <cellStyle name="Normal 2 2 2 2 2 2 25 4 8" xfId="11360" xr:uid="{00000000-0005-0000-0000-0000352C0000}"/>
    <cellStyle name="Normal 2 2 2 2 2 2 25 4 9" xfId="11361" xr:uid="{00000000-0005-0000-0000-0000362C0000}"/>
    <cellStyle name="Normal 2 2 2 2 2 2 25 5" xfId="11362" xr:uid="{00000000-0005-0000-0000-0000372C0000}"/>
    <cellStyle name="Normal 2 2 2 2 2 2 25 5 10" xfId="11363" xr:uid="{00000000-0005-0000-0000-0000382C0000}"/>
    <cellStyle name="Normal 2 2 2 2 2 2 25 5 2" xfId="11364" xr:uid="{00000000-0005-0000-0000-0000392C0000}"/>
    <cellStyle name="Normal 2 2 2 2 2 2 25 5 3" xfId="11365" xr:uid="{00000000-0005-0000-0000-00003A2C0000}"/>
    <cellStyle name="Normal 2 2 2 2 2 2 25 5 4" xfId="11366" xr:uid="{00000000-0005-0000-0000-00003B2C0000}"/>
    <cellStyle name="Normal 2 2 2 2 2 2 25 5 5" xfId="11367" xr:uid="{00000000-0005-0000-0000-00003C2C0000}"/>
    <cellStyle name="Normal 2 2 2 2 2 2 25 5 6" xfId="11368" xr:uid="{00000000-0005-0000-0000-00003D2C0000}"/>
    <cellStyle name="Normal 2 2 2 2 2 2 25 5 7" xfId="11369" xr:uid="{00000000-0005-0000-0000-00003E2C0000}"/>
    <cellStyle name="Normal 2 2 2 2 2 2 25 5 8" xfId="11370" xr:uid="{00000000-0005-0000-0000-00003F2C0000}"/>
    <cellStyle name="Normal 2 2 2 2 2 2 25 5 9" xfId="11371" xr:uid="{00000000-0005-0000-0000-0000402C0000}"/>
    <cellStyle name="Normal 2 2 2 2 2 2 25 6" xfId="11372" xr:uid="{00000000-0005-0000-0000-0000412C0000}"/>
    <cellStyle name="Normal 2 2 2 2 2 2 25 7" xfId="11373" xr:uid="{00000000-0005-0000-0000-0000422C0000}"/>
    <cellStyle name="Normal 2 2 2 2 2 2 25 8" xfId="11374" xr:uid="{00000000-0005-0000-0000-0000432C0000}"/>
    <cellStyle name="Normal 2 2 2 2 2 2 25 9" xfId="11375" xr:uid="{00000000-0005-0000-0000-0000442C0000}"/>
    <cellStyle name="Normal 2 2 2 2 2 2 26" xfId="11376" xr:uid="{00000000-0005-0000-0000-0000452C0000}"/>
    <cellStyle name="Normal 2 2 2 2 2 2 26 10" xfId="11377" xr:uid="{00000000-0005-0000-0000-0000462C0000}"/>
    <cellStyle name="Normal 2 2 2 2 2 2 26 11" xfId="11378" xr:uid="{00000000-0005-0000-0000-0000472C0000}"/>
    <cellStyle name="Normal 2 2 2 2 2 2 26 12" xfId="11379" xr:uid="{00000000-0005-0000-0000-0000482C0000}"/>
    <cellStyle name="Normal 2 2 2 2 2 2 26 13" xfId="11380" xr:uid="{00000000-0005-0000-0000-0000492C0000}"/>
    <cellStyle name="Normal 2 2 2 2 2 2 26 14" xfId="11381" xr:uid="{00000000-0005-0000-0000-00004A2C0000}"/>
    <cellStyle name="Normal 2 2 2 2 2 2 26 2" xfId="11382" xr:uid="{00000000-0005-0000-0000-00004B2C0000}"/>
    <cellStyle name="Normal 2 2 2 2 2 2 26 2 10" xfId="11383" xr:uid="{00000000-0005-0000-0000-00004C2C0000}"/>
    <cellStyle name="Normal 2 2 2 2 2 2 26 2 2" xfId="11384" xr:uid="{00000000-0005-0000-0000-00004D2C0000}"/>
    <cellStyle name="Normal 2 2 2 2 2 2 26 2 3" xfId="11385" xr:uid="{00000000-0005-0000-0000-00004E2C0000}"/>
    <cellStyle name="Normal 2 2 2 2 2 2 26 2 4" xfId="11386" xr:uid="{00000000-0005-0000-0000-00004F2C0000}"/>
    <cellStyle name="Normal 2 2 2 2 2 2 26 2 5" xfId="11387" xr:uid="{00000000-0005-0000-0000-0000502C0000}"/>
    <cellStyle name="Normal 2 2 2 2 2 2 26 2 6" xfId="11388" xr:uid="{00000000-0005-0000-0000-0000512C0000}"/>
    <cellStyle name="Normal 2 2 2 2 2 2 26 2 7" xfId="11389" xr:uid="{00000000-0005-0000-0000-0000522C0000}"/>
    <cellStyle name="Normal 2 2 2 2 2 2 26 2 8" xfId="11390" xr:uid="{00000000-0005-0000-0000-0000532C0000}"/>
    <cellStyle name="Normal 2 2 2 2 2 2 26 2 9" xfId="11391" xr:uid="{00000000-0005-0000-0000-0000542C0000}"/>
    <cellStyle name="Normal 2 2 2 2 2 2 26 3" xfId="11392" xr:uid="{00000000-0005-0000-0000-0000552C0000}"/>
    <cellStyle name="Normal 2 2 2 2 2 2 26 3 10" xfId="11393" xr:uid="{00000000-0005-0000-0000-0000562C0000}"/>
    <cellStyle name="Normal 2 2 2 2 2 2 26 3 2" xfId="11394" xr:uid="{00000000-0005-0000-0000-0000572C0000}"/>
    <cellStyle name="Normal 2 2 2 2 2 2 26 3 3" xfId="11395" xr:uid="{00000000-0005-0000-0000-0000582C0000}"/>
    <cellStyle name="Normal 2 2 2 2 2 2 26 3 4" xfId="11396" xr:uid="{00000000-0005-0000-0000-0000592C0000}"/>
    <cellStyle name="Normal 2 2 2 2 2 2 26 3 5" xfId="11397" xr:uid="{00000000-0005-0000-0000-00005A2C0000}"/>
    <cellStyle name="Normal 2 2 2 2 2 2 26 3 6" xfId="11398" xr:uid="{00000000-0005-0000-0000-00005B2C0000}"/>
    <cellStyle name="Normal 2 2 2 2 2 2 26 3 7" xfId="11399" xr:uid="{00000000-0005-0000-0000-00005C2C0000}"/>
    <cellStyle name="Normal 2 2 2 2 2 2 26 3 8" xfId="11400" xr:uid="{00000000-0005-0000-0000-00005D2C0000}"/>
    <cellStyle name="Normal 2 2 2 2 2 2 26 3 9" xfId="11401" xr:uid="{00000000-0005-0000-0000-00005E2C0000}"/>
    <cellStyle name="Normal 2 2 2 2 2 2 26 4" xfId="11402" xr:uid="{00000000-0005-0000-0000-00005F2C0000}"/>
    <cellStyle name="Normal 2 2 2 2 2 2 26 4 10" xfId="11403" xr:uid="{00000000-0005-0000-0000-0000602C0000}"/>
    <cellStyle name="Normal 2 2 2 2 2 2 26 4 2" xfId="11404" xr:uid="{00000000-0005-0000-0000-0000612C0000}"/>
    <cellStyle name="Normal 2 2 2 2 2 2 26 4 3" xfId="11405" xr:uid="{00000000-0005-0000-0000-0000622C0000}"/>
    <cellStyle name="Normal 2 2 2 2 2 2 26 4 4" xfId="11406" xr:uid="{00000000-0005-0000-0000-0000632C0000}"/>
    <cellStyle name="Normal 2 2 2 2 2 2 26 4 5" xfId="11407" xr:uid="{00000000-0005-0000-0000-0000642C0000}"/>
    <cellStyle name="Normal 2 2 2 2 2 2 26 4 6" xfId="11408" xr:uid="{00000000-0005-0000-0000-0000652C0000}"/>
    <cellStyle name="Normal 2 2 2 2 2 2 26 4 7" xfId="11409" xr:uid="{00000000-0005-0000-0000-0000662C0000}"/>
    <cellStyle name="Normal 2 2 2 2 2 2 26 4 8" xfId="11410" xr:uid="{00000000-0005-0000-0000-0000672C0000}"/>
    <cellStyle name="Normal 2 2 2 2 2 2 26 4 9" xfId="11411" xr:uid="{00000000-0005-0000-0000-0000682C0000}"/>
    <cellStyle name="Normal 2 2 2 2 2 2 26 5" xfId="11412" xr:uid="{00000000-0005-0000-0000-0000692C0000}"/>
    <cellStyle name="Normal 2 2 2 2 2 2 26 5 10" xfId="11413" xr:uid="{00000000-0005-0000-0000-00006A2C0000}"/>
    <cellStyle name="Normal 2 2 2 2 2 2 26 5 2" xfId="11414" xr:uid="{00000000-0005-0000-0000-00006B2C0000}"/>
    <cellStyle name="Normal 2 2 2 2 2 2 26 5 3" xfId="11415" xr:uid="{00000000-0005-0000-0000-00006C2C0000}"/>
    <cellStyle name="Normal 2 2 2 2 2 2 26 5 4" xfId="11416" xr:uid="{00000000-0005-0000-0000-00006D2C0000}"/>
    <cellStyle name="Normal 2 2 2 2 2 2 26 5 5" xfId="11417" xr:uid="{00000000-0005-0000-0000-00006E2C0000}"/>
    <cellStyle name="Normal 2 2 2 2 2 2 26 5 6" xfId="11418" xr:uid="{00000000-0005-0000-0000-00006F2C0000}"/>
    <cellStyle name="Normal 2 2 2 2 2 2 26 5 7" xfId="11419" xr:uid="{00000000-0005-0000-0000-0000702C0000}"/>
    <cellStyle name="Normal 2 2 2 2 2 2 26 5 8" xfId="11420" xr:uid="{00000000-0005-0000-0000-0000712C0000}"/>
    <cellStyle name="Normal 2 2 2 2 2 2 26 5 9" xfId="11421" xr:uid="{00000000-0005-0000-0000-0000722C0000}"/>
    <cellStyle name="Normal 2 2 2 2 2 2 26 6" xfId="11422" xr:uid="{00000000-0005-0000-0000-0000732C0000}"/>
    <cellStyle name="Normal 2 2 2 2 2 2 26 7" xfId="11423" xr:uid="{00000000-0005-0000-0000-0000742C0000}"/>
    <cellStyle name="Normal 2 2 2 2 2 2 26 8" xfId="11424" xr:uid="{00000000-0005-0000-0000-0000752C0000}"/>
    <cellStyle name="Normal 2 2 2 2 2 2 26 9" xfId="11425" xr:uid="{00000000-0005-0000-0000-0000762C0000}"/>
    <cellStyle name="Normal 2 2 2 2 2 2 27" xfId="11426" xr:uid="{00000000-0005-0000-0000-0000772C0000}"/>
    <cellStyle name="Normal 2 2 2 2 2 2 27 10" xfId="11427" xr:uid="{00000000-0005-0000-0000-0000782C0000}"/>
    <cellStyle name="Normal 2 2 2 2 2 2 27 11" xfId="11428" xr:uid="{00000000-0005-0000-0000-0000792C0000}"/>
    <cellStyle name="Normal 2 2 2 2 2 2 27 12" xfId="11429" xr:uid="{00000000-0005-0000-0000-00007A2C0000}"/>
    <cellStyle name="Normal 2 2 2 2 2 2 27 13" xfId="11430" xr:uid="{00000000-0005-0000-0000-00007B2C0000}"/>
    <cellStyle name="Normal 2 2 2 2 2 2 27 14" xfId="11431" xr:uid="{00000000-0005-0000-0000-00007C2C0000}"/>
    <cellStyle name="Normal 2 2 2 2 2 2 27 2" xfId="11432" xr:uid="{00000000-0005-0000-0000-00007D2C0000}"/>
    <cellStyle name="Normal 2 2 2 2 2 2 27 2 10" xfId="11433" xr:uid="{00000000-0005-0000-0000-00007E2C0000}"/>
    <cellStyle name="Normal 2 2 2 2 2 2 27 2 2" xfId="11434" xr:uid="{00000000-0005-0000-0000-00007F2C0000}"/>
    <cellStyle name="Normal 2 2 2 2 2 2 27 2 3" xfId="11435" xr:uid="{00000000-0005-0000-0000-0000802C0000}"/>
    <cellStyle name="Normal 2 2 2 2 2 2 27 2 4" xfId="11436" xr:uid="{00000000-0005-0000-0000-0000812C0000}"/>
    <cellStyle name="Normal 2 2 2 2 2 2 27 2 5" xfId="11437" xr:uid="{00000000-0005-0000-0000-0000822C0000}"/>
    <cellStyle name="Normal 2 2 2 2 2 2 27 2 6" xfId="11438" xr:uid="{00000000-0005-0000-0000-0000832C0000}"/>
    <cellStyle name="Normal 2 2 2 2 2 2 27 2 7" xfId="11439" xr:uid="{00000000-0005-0000-0000-0000842C0000}"/>
    <cellStyle name="Normal 2 2 2 2 2 2 27 2 8" xfId="11440" xr:uid="{00000000-0005-0000-0000-0000852C0000}"/>
    <cellStyle name="Normal 2 2 2 2 2 2 27 2 9" xfId="11441" xr:uid="{00000000-0005-0000-0000-0000862C0000}"/>
    <cellStyle name="Normal 2 2 2 2 2 2 27 3" xfId="11442" xr:uid="{00000000-0005-0000-0000-0000872C0000}"/>
    <cellStyle name="Normal 2 2 2 2 2 2 27 3 10" xfId="11443" xr:uid="{00000000-0005-0000-0000-0000882C0000}"/>
    <cellStyle name="Normal 2 2 2 2 2 2 27 3 2" xfId="11444" xr:uid="{00000000-0005-0000-0000-0000892C0000}"/>
    <cellStyle name="Normal 2 2 2 2 2 2 27 3 3" xfId="11445" xr:uid="{00000000-0005-0000-0000-00008A2C0000}"/>
    <cellStyle name="Normal 2 2 2 2 2 2 27 3 4" xfId="11446" xr:uid="{00000000-0005-0000-0000-00008B2C0000}"/>
    <cellStyle name="Normal 2 2 2 2 2 2 27 3 5" xfId="11447" xr:uid="{00000000-0005-0000-0000-00008C2C0000}"/>
    <cellStyle name="Normal 2 2 2 2 2 2 27 3 6" xfId="11448" xr:uid="{00000000-0005-0000-0000-00008D2C0000}"/>
    <cellStyle name="Normal 2 2 2 2 2 2 27 3 7" xfId="11449" xr:uid="{00000000-0005-0000-0000-00008E2C0000}"/>
    <cellStyle name="Normal 2 2 2 2 2 2 27 3 8" xfId="11450" xr:uid="{00000000-0005-0000-0000-00008F2C0000}"/>
    <cellStyle name="Normal 2 2 2 2 2 2 27 3 9" xfId="11451" xr:uid="{00000000-0005-0000-0000-0000902C0000}"/>
    <cellStyle name="Normal 2 2 2 2 2 2 27 4" xfId="11452" xr:uid="{00000000-0005-0000-0000-0000912C0000}"/>
    <cellStyle name="Normal 2 2 2 2 2 2 27 4 10" xfId="11453" xr:uid="{00000000-0005-0000-0000-0000922C0000}"/>
    <cellStyle name="Normal 2 2 2 2 2 2 27 4 2" xfId="11454" xr:uid="{00000000-0005-0000-0000-0000932C0000}"/>
    <cellStyle name="Normal 2 2 2 2 2 2 27 4 3" xfId="11455" xr:uid="{00000000-0005-0000-0000-0000942C0000}"/>
    <cellStyle name="Normal 2 2 2 2 2 2 27 4 4" xfId="11456" xr:uid="{00000000-0005-0000-0000-0000952C0000}"/>
    <cellStyle name="Normal 2 2 2 2 2 2 27 4 5" xfId="11457" xr:uid="{00000000-0005-0000-0000-0000962C0000}"/>
    <cellStyle name="Normal 2 2 2 2 2 2 27 4 6" xfId="11458" xr:uid="{00000000-0005-0000-0000-0000972C0000}"/>
    <cellStyle name="Normal 2 2 2 2 2 2 27 4 7" xfId="11459" xr:uid="{00000000-0005-0000-0000-0000982C0000}"/>
    <cellStyle name="Normal 2 2 2 2 2 2 27 4 8" xfId="11460" xr:uid="{00000000-0005-0000-0000-0000992C0000}"/>
    <cellStyle name="Normal 2 2 2 2 2 2 27 4 9" xfId="11461" xr:uid="{00000000-0005-0000-0000-00009A2C0000}"/>
    <cellStyle name="Normal 2 2 2 2 2 2 27 5" xfId="11462" xr:uid="{00000000-0005-0000-0000-00009B2C0000}"/>
    <cellStyle name="Normal 2 2 2 2 2 2 27 5 10" xfId="11463" xr:uid="{00000000-0005-0000-0000-00009C2C0000}"/>
    <cellStyle name="Normal 2 2 2 2 2 2 27 5 2" xfId="11464" xr:uid="{00000000-0005-0000-0000-00009D2C0000}"/>
    <cellStyle name="Normal 2 2 2 2 2 2 27 5 3" xfId="11465" xr:uid="{00000000-0005-0000-0000-00009E2C0000}"/>
    <cellStyle name="Normal 2 2 2 2 2 2 27 5 4" xfId="11466" xr:uid="{00000000-0005-0000-0000-00009F2C0000}"/>
    <cellStyle name="Normal 2 2 2 2 2 2 27 5 5" xfId="11467" xr:uid="{00000000-0005-0000-0000-0000A02C0000}"/>
    <cellStyle name="Normal 2 2 2 2 2 2 27 5 6" xfId="11468" xr:uid="{00000000-0005-0000-0000-0000A12C0000}"/>
    <cellStyle name="Normal 2 2 2 2 2 2 27 5 7" xfId="11469" xr:uid="{00000000-0005-0000-0000-0000A22C0000}"/>
    <cellStyle name="Normal 2 2 2 2 2 2 27 5 8" xfId="11470" xr:uid="{00000000-0005-0000-0000-0000A32C0000}"/>
    <cellStyle name="Normal 2 2 2 2 2 2 27 5 9" xfId="11471" xr:uid="{00000000-0005-0000-0000-0000A42C0000}"/>
    <cellStyle name="Normal 2 2 2 2 2 2 27 6" xfId="11472" xr:uid="{00000000-0005-0000-0000-0000A52C0000}"/>
    <cellStyle name="Normal 2 2 2 2 2 2 27 7" xfId="11473" xr:uid="{00000000-0005-0000-0000-0000A62C0000}"/>
    <cellStyle name="Normal 2 2 2 2 2 2 27 8" xfId="11474" xr:uid="{00000000-0005-0000-0000-0000A72C0000}"/>
    <cellStyle name="Normal 2 2 2 2 2 2 27 9" xfId="11475" xr:uid="{00000000-0005-0000-0000-0000A82C0000}"/>
    <cellStyle name="Normal 2 2 2 2 2 2 28" xfId="11476" xr:uid="{00000000-0005-0000-0000-0000A92C0000}"/>
    <cellStyle name="Normal 2 2 2 2 2 2 28 10" xfId="11477" xr:uid="{00000000-0005-0000-0000-0000AA2C0000}"/>
    <cellStyle name="Normal 2 2 2 2 2 2 28 11" xfId="11478" xr:uid="{00000000-0005-0000-0000-0000AB2C0000}"/>
    <cellStyle name="Normal 2 2 2 2 2 2 28 12" xfId="11479" xr:uid="{00000000-0005-0000-0000-0000AC2C0000}"/>
    <cellStyle name="Normal 2 2 2 2 2 2 28 13" xfId="11480" xr:uid="{00000000-0005-0000-0000-0000AD2C0000}"/>
    <cellStyle name="Normal 2 2 2 2 2 2 28 14" xfId="11481" xr:uid="{00000000-0005-0000-0000-0000AE2C0000}"/>
    <cellStyle name="Normal 2 2 2 2 2 2 28 2" xfId="11482" xr:uid="{00000000-0005-0000-0000-0000AF2C0000}"/>
    <cellStyle name="Normal 2 2 2 2 2 2 28 2 10" xfId="11483" xr:uid="{00000000-0005-0000-0000-0000B02C0000}"/>
    <cellStyle name="Normal 2 2 2 2 2 2 28 2 2" xfId="11484" xr:uid="{00000000-0005-0000-0000-0000B12C0000}"/>
    <cellStyle name="Normal 2 2 2 2 2 2 28 2 3" xfId="11485" xr:uid="{00000000-0005-0000-0000-0000B22C0000}"/>
    <cellStyle name="Normal 2 2 2 2 2 2 28 2 4" xfId="11486" xr:uid="{00000000-0005-0000-0000-0000B32C0000}"/>
    <cellStyle name="Normal 2 2 2 2 2 2 28 2 5" xfId="11487" xr:uid="{00000000-0005-0000-0000-0000B42C0000}"/>
    <cellStyle name="Normal 2 2 2 2 2 2 28 2 6" xfId="11488" xr:uid="{00000000-0005-0000-0000-0000B52C0000}"/>
    <cellStyle name="Normal 2 2 2 2 2 2 28 2 7" xfId="11489" xr:uid="{00000000-0005-0000-0000-0000B62C0000}"/>
    <cellStyle name="Normal 2 2 2 2 2 2 28 2 8" xfId="11490" xr:uid="{00000000-0005-0000-0000-0000B72C0000}"/>
    <cellStyle name="Normal 2 2 2 2 2 2 28 2 9" xfId="11491" xr:uid="{00000000-0005-0000-0000-0000B82C0000}"/>
    <cellStyle name="Normal 2 2 2 2 2 2 28 3" xfId="11492" xr:uid="{00000000-0005-0000-0000-0000B92C0000}"/>
    <cellStyle name="Normal 2 2 2 2 2 2 28 3 10" xfId="11493" xr:uid="{00000000-0005-0000-0000-0000BA2C0000}"/>
    <cellStyle name="Normal 2 2 2 2 2 2 28 3 2" xfId="11494" xr:uid="{00000000-0005-0000-0000-0000BB2C0000}"/>
    <cellStyle name="Normal 2 2 2 2 2 2 28 3 3" xfId="11495" xr:uid="{00000000-0005-0000-0000-0000BC2C0000}"/>
    <cellStyle name="Normal 2 2 2 2 2 2 28 3 4" xfId="11496" xr:uid="{00000000-0005-0000-0000-0000BD2C0000}"/>
    <cellStyle name="Normal 2 2 2 2 2 2 28 3 5" xfId="11497" xr:uid="{00000000-0005-0000-0000-0000BE2C0000}"/>
    <cellStyle name="Normal 2 2 2 2 2 2 28 3 6" xfId="11498" xr:uid="{00000000-0005-0000-0000-0000BF2C0000}"/>
    <cellStyle name="Normal 2 2 2 2 2 2 28 3 7" xfId="11499" xr:uid="{00000000-0005-0000-0000-0000C02C0000}"/>
    <cellStyle name="Normal 2 2 2 2 2 2 28 3 8" xfId="11500" xr:uid="{00000000-0005-0000-0000-0000C12C0000}"/>
    <cellStyle name="Normal 2 2 2 2 2 2 28 3 9" xfId="11501" xr:uid="{00000000-0005-0000-0000-0000C22C0000}"/>
    <cellStyle name="Normal 2 2 2 2 2 2 28 4" xfId="11502" xr:uid="{00000000-0005-0000-0000-0000C32C0000}"/>
    <cellStyle name="Normal 2 2 2 2 2 2 28 4 10" xfId="11503" xr:uid="{00000000-0005-0000-0000-0000C42C0000}"/>
    <cellStyle name="Normal 2 2 2 2 2 2 28 4 2" xfId="11504" xr:uid="{00000000-0005-0000-0000-0000C52C0000}"/>
    <cellStyle name="Normal 2 2 2 2 2 2 28 4 3" xfId="11505" xr:uid="{00000000-0005-0000-0000-0000C62C0000}"/>
    <cellStyle name="Normal 2 2 2 2 2 2 28 4 4" xfId="11506" xr:uid="{00000000-0005-0000-0000-0000C72C0000}"/>
    <cellStyle name="Normal 2 2 2 2 2 2 28 4 5" xfId="11507" xr:uid="{00000000-0005-0000-0000-0000C82C0000}"/>
    <cellStyle name="Normal 2 2 2 2 2 2 28 4 6" xfId="11508" xr:uid="{00000000-0005-0000-0000-0000C92C0000}"/>
    <cellStyle name="Normal 2 2 2 2 2 2 28 4 7" xfId="11509" xr:uid="{00000000-0005-0000-0000-0000CA2C0000}"/>
    <cellStyle name="Normal 2 2 2 2 2 2 28 4 8" xfId="11510" xr:uid="{00000000-0005-0000-0000-0000CB2C0000}"/>
    <cellStyle name="Normal 2 2 2 2 2 2 28 4 9" xfId="11511" xr:uid="{00000000-0005-0000-0000-0000CC2C0000}"/>
    <cellStyle name="Normal 2 2 2 2 2 2 28 5" xfId="11512" xr:uid="{00000000-0005-0000-0000-0000CD2C0000}"/>
    <cellStyle name="Normal 2 2 2 2 2 2 28 5 10" xfId="11513" xr:uid="{00000000-0005-0000-0000-0000CE2C0000}"/>
    <cellStyle name="Normal 2 2 2 2 2 2 28 5 2" xfId="11514" xr:uid="{00000000-0005-0000-0000-0000CF2C0000}"/>
    <cellStyle name="Normal 2 2 2 2 2 2 28 5 3" xfId="11515" xr:uid="{00000000-0005-0000-0000-0000D02C0000}"/>
    <cellStyle name="Normal 2 2 2 2 2 2 28 5 4" xfId="11516" xr:uid="{00000000-0005-0000-0000-0000D12C0000}"/>
    <cellStyle name="Normal 2 2 2 2 2 2 28 5 5" xfId="11517" xr:uid="{00000000-0005-0000-0000-0000D22C0000}"/>
    <cellStyle name="Normal 2 2 2 2 2 2 28 5 6" xfId="11518" xr:uid="{00000000-0005-0000-0000-0000D32C0000}"/>
    <cellStyle name="Normal 2 2 2 2 2 2 28 5 7" xfId="11519" xr:uid="{00000000-0005-0000-0000-0000D42C0000}"/>
    <cellStyle name="Normal 2 2 2 2 2 2 28 5 8" xfId="11520" xr:uid="{00000000-0005-0000-0000-0000D52C0000}"/>
    <cellStyle name="Normal 2 2 2 2 2 2 28 5 9" xfId="11521" xr:uid="{00000000-0005-0000-0000-0000D62C0000}"/>
    <cellStyle name="Normal 2 2 2 2 2 2 28 6" xfId="11522" xr:uid="{00000000-0005-0000-0000-0000D72C0000}"/>
    <cellStyle name="Normal 2 2 2 2 2 2 28 7" xfId="11523" xr:uid="{00000000-0005-0000-0000-0000D82C0000}"/>
    <cellStyle name="Normal 2 2 2 2 2 2 28 8" xfId="11524" xr:uid="{00000000-0005-0000-0000-0000D92C0000}"/>
    <cellStyle name="Normal 2 2 2 2 2 2 28 9" xfId="11525" xr:uid="{00000000-0005-0000-0000-0000DA2C0000}"/>
    <cellStyle name="Normal 2 2 2 2 2 2 29" xfId="11526" xr:uid="{00000000-0005-0000-0000-0000DB2C0000}"/>
    <cellStyle name="Normal 2 2 2 2 2 2 29 10" xfId="11527" xr:uid="{00000000-0005-0000-0000-0000DC2C0000}"/>
    <cellStyle name="Normal 2 2 2 2 2 2 29 11" xfId="11528" xr:uid="{00000000-0005-0000-0000-0000DD2C0000}"/>
    <cellStyle name="Normal 2 2 2 2 2 2 29 12" xfId="11529" xr:uid="{00000000-0005-0000-0000-0000DE2C0000}"/>
    <cellStyle name="Normal 2 2 2 2 2 2 29 13" xfId="11530" xr:uid="{00000000-0005-0000-0000-0000DF2C0000}"/>
    <cellStyle name="Normal 2 2 2 2 2 2 29 14" xfId="11531" xr:uid="{00000000-0005-0000-0000-0000E02C0000}"/>
    <cellStyle name="Normal 2 2 2 2 2 2 29 2" xfId="11532" xr:uid="{00000000-0005-0000-0000-0000E12C0000}"/>
    <cellStyle name="Normal 2 2 2 2 2 2 29 2 10" xfId="11533" xr:uid="{00000000-0005-0000-0000-0000E22C0000}"/>
    <cellStyle name="Normal 2 2 2 2 2 2 29 2 2" xfId="11534" xr:uid="{00000000-0005-0000-0000-0000E32C0000}"/>
    <cellStyle name="Normal 2 2 2 2 2 2 29 2 3" xfId="11535" xr:uid="{00000000-0005-0000-0000-0000E42C0000}"/>
    <cellStyle name="Normal 2 2 2 2 2 2 29 2 4" xfId="11536" xr:uid="{00000000-0005-0000-0000-0000E52C0000}"/>
    <cellStyle name="Normal 2 2 2 2 2 2 29 2 5" xfId="11537" xr:uid="{00000000-0005-0000-0000-0000E62C0000}"/>
    <cellStyle name="Normal 2 2 2 2 2 2 29 2 6" xfId="11538" xr:uid="{00000000-0005-0000-0000-0000E72C0000}"/>
    <cellStyle name="Normal 2 2 2 2 2 2 29 2 7" xfId="11539" xr:uid="{00000000-0005-0000-0000-0000E82C0000}"/>
    <cellStyle name="Normal 2 2 2 2 2 2 29 2 8" xfId="11540" xr:uid="{00000000-0005-0000-0000-0000E92C0000}"/>
    <cellStyle name="Normal 2 2 2 2 2 2 29 2 9" xfId="11541" xr:uid="{00000000-0005-0000-0000-0000EA2C0000}"/>
    <cellStyle name="Normal 2 2 2 2 2 2 29 3" xfId="11542" xr:uid="{00000000-0005-0000-0000-0000EB2C0000}"/>
    <cellStyle name="Normal 2 2 2 2 2 2 29 3 10" xfId="11543" xr:uid="{00000000-0005-0000-0000-0000EC2C0000}"/>
    <cellStyle name="Normal 2 2 2 2 2 2 29 3 2" xfId="11544" xr:uid="{00000000-0005-0000-0000-0000ED2C0000}"/>
    <cellStyle name="Normal 2 2 2 2 2 2 29 3 3" xfId="11545" xr:uid="{00000000-0005-0000-0000-0000EE2C0000}"/>
    <cellStyle name="Normal 2 2 2 2 2 2 29 3 4" xfId="11546" xr:uid="{00000000-0005-0000-0000-0000EF2C0000}"/>
    <cellStyle name="Normal 2 2 2 2 2 2 29 3 5" xfId="11547" xr:uid="{00000000-0005-0000-0000-0000F02C0000}"/>
    <cellStyle name="Normal 2 2 2 2 2 2 29 3 6" xfId="11548" xr:uid="{00000000-0005-0000-0000-0000F12C0000}"/>
    <cellStyle name="Normal 2 2 2 2 2 2 29 3 7" xfId="11549" xr:uid="{00000000-0005-0000-0000-0000F22C0000}"/>
    <cellStyle name="Normal 2 2 2 2 2 2 29 3 8" xfId="11550" xr:uid="{00000000-0005-0000-0000-0000F32C0000}"/>
    <cellStyle name="Normal 2 2 2 2 2 2 29 3 9" xfId="11551" xr:uid="{00000000-0005-0000-0000-0000F42C0000}"/>
    <cellStyle name="Normal 2 2 2 2 2 2 29 4" xfId="11552" xr:uid="{00000000-0005-0000-0000-0000F52C0000}"/>
    <cellStyle name="Normal 2 2 2 2 2 2 29 4 10" xfId="11553" xr:uid="{00000000-0005-0000-0000-0000F62C0000}"/>
    <cellStyle name="Normal 2 2 2 2 2 2 29 4 2" xfId="11554" xr:uid="{00000000-0005-0000-0000-0000F72C0000}"/>
    <cellStyle name="Normal 2 2 2 2 2 2 29 4 3" xfId="11555" xr:uid="{00000000-0005-0000-0000-0000F82C0000}"/>
    <cellStyle name="Normal 2 2 2 2 2 2 29 4 4" xfId="11556" xr:uid="{00000000-0005-0000-0000-0000F92C0000}"/>
    <cellStyle name="Normal 2 2 2 2 2 2 29 4 5" xfId="11557" xr:uid="{00000000-0005-0000-0000-0000FA2C0000}"/>
    <cellStyle name="Normal 2 2 2 2 2 2 29 4 6" xfId="11558" xr:uid="{00000000-0005-0000-0000-0000FB2C0000}"/>
    <cellStyle name="Normal 2 2 2 2 2 2 29 4 7" xfId="11559" xr:uid="{00000000-0005-0000-0000-0000FC2C0000}"/>
    <cellStyle name="Normal 2 2 2 2 2 2 29 4 8" xfId="11560" xr:uid="{00000000-0005-0000-0000-0000FD2C0000}"/>
    <cellStyle name="Normal 2 2 2 2 2 2 29 4 9" xfId="11561" xr:uid="{00000000-0005-0000-0000-0000FE2C0000}"/>
    <cellStyle name="Normal 2 2 2 2 2 2 29 5" xfId="11562" xr:uid="{00000000-0005-0000-0000-0000FF2C0000}"/>
    <cellStyle name="Normal 2 2 2 2 2 2 29 5 10" xfId="11563" xr:uid="{00000000-0005-0000-0000-0000002D0000}"/>
    <cellStyle name="Normal 2 2 2 2 2 2 29 5 2" xfId="11564" xr:uid="{00000000-0005-0000-0000-0000012D0000}"/>
    <cellStyle name="Normal 2 2 2 2 2 2 29 5 3" xfId="11565" xr:uid="{00000000-0005-0000-0000-0000022D0000}"/>
    <cellStyle name="Normal 2 2 2 2 2 2 29 5 4" xfId="11566" xr:uid="{00000000-0005-0000-0000-0000032D0000}"/>
    <cellStyle name="Normal 2 2 2 2 2 2 29 5 5" xfId="11567" xr:uid="{00000000-0005-0000-0000-0000042D0000}"/>
    <cellStyle name="Normal 2 2 2 2 2 2 29 5 6" xfId="11568" xr:uid="{00000000-0005-0000-0000-0000052D0000}"/>
    <cellStyle name="Normal 2 2 2 2 2 2 29 5 7" xfId="11569" xr:uid="{00000000-0005-0000-0000-0000062D0000}"/>
    <cellStyle name="Normal 2 2 2 2 2 2 29 5 8" xfId="11570" xr:uid="{00000000-0005-0000-0000-0000072D0000}"/>
    <cellStyle name="Normal 2 2 2 2 2 2 29 5 9" xfId="11571" xr:uid="{00000000-0005-0000-0000-0000082D0000}"/>
    <cellStyle name="Normal 2 2 2 2 2 2 29 6" xfId="11572" xr:uid="{00000000-0005-0000-0000-0000092D0000}"/>
    <cellStyle name="Normal 2 2 2 2 2 2 29 7" xfId="11573" xr:uid="{00000000-0005-0000-0000-00000A2D0000}"/>
    <cellStyle name="Normal 2 2 2 2 2 2 29 8" xfId="11574" xr:uid="{00000000-0005-0000-0000-00000B2D0000}"/>
    <cellStyle name="Normal 2 2 2 2 2 2 29 9" xfId="11575" xr:uid="{00000000-0005-0000-0000-00000C2D0000}"/>
    <cellStyle name="Normal 2 2 2 2 2 2 3" xfId="11576" xr:uid="{00000000-0005-0000-0000-00000D2D0000}"/>
    <cellStyle name="Normal 2 2 2 2 2 2 3 10" xfId="11577" xr:uid="{00000000-0005-0000-0000-00000E2D0000}"/>
    <cellStyle name="Normal 2 2 2 2 2 2 3 11" xfId="11578" xr:uid="{00000000-0005-0000-0000-00000F2D0000}"/>
    <cellStyle name="Normal 2 2 2 2 2 2 3 12" xfId="11579" xr:uid="{00000000-0005-0000-0000-0000102D0000}"/>
    <cellStyle name="Normal 2 2 2 2 2 2 3 13" xfId="11580" xr:uid="{00000000-0005-0000-0000-0000112D0000}"/>
    <cellStyle name="Normal 2 2 2 2 2 2 3 14" xfId="11581" xr:uid="{00000000-0005-0000-0000-0000122D0000}"/>
    <cellStyle name="Normal 2 2 2 2 2 2 3 15" xfId="11582" xr:uid="{00000000-0005-0000-0000-0000132D0000}"/>
    <cellStyle name="Normal 2 2 2 2 2 2 3 16" xfId="11583" xr:uid="{00000000-0005-0000-0000-0000142D0000}"/>
    <cellStyle name="Normal 2 2 2 2 2 2 3 2" xfId="11584" xr:uid="{00000000-0005-0000-0000-0000152D0000}"/>
    <cellStyle name="Normal 2 2 2 2 2 2 3 2 10" xfId="11585" xr:uid="{00000000-0005-0000-0000-0000162D0000}"/>
    <cellStyle name="Normal 2 2 2 2 2 2 3 2 2" xfId="11586" xr:uid="{00000000-0005-0000-0000-0000172D0000}"/>
    <cellStyle name="Normal 2 2 2 2 2 2 3 2 3" xfId="11587" xr:uid="{00000000-0005-0000-0000-0000182D0000}"/>
    <cellStyle name="Normal 2 2 2 2 2 2 3 2 4" xfId="11588" xr:uid="{00000000-0005-0000-0000-0000192D0000}"/>
    <cellStyle name="Normal 2 2 2 2 2 2 3 2 5" xfId="11589" xr:uid="{00000000-0005-0000-0000-00001A2D0000}"/>
    <cellStyle name="Normal 2 2 2 2 2 2 3 2 6" xfId="11590" xr:uid="{00000000-0005-0000-0000-00001B2D0000}"/>
    <cellStyle name="Normal 2 2 2 2 2 2 3 2 7" xfId="11591" xr:uid="{00000000-0005-0000-0000-00001C2D0000}"/>
    <cellStyle name="Normal 2 2 2 2 2 2 3 2 8" xfId="11592" xr:uid="{00000000-0005-0000-0000-00001D2D0000}"/>
    <cellStyle name="Normal 2 2 2 2 2 2 3 2 9" xfId="11593" xr:uid="{00000000-0005-0000-0000-00001E2D0000}"/>
    <cellStyle name="Normal 2 2 2 2 2 2 3 3" xfId="11594" xr:uid="{00000000-0005-0000-0000-00001F2D0000}"/>
    <cellStyle name="Normal 2 2 2 2 2 2 3 3 10" xfId="11595" xr:uid="{00000000-0005-0000-0000-0000202D0000}"/>
    <cellStyle name="Normal 2 2 2 2 2 2 3 3 2" xfId="11596" xr:uid="{00000000-0005-0000-0000-0000212D0000}"/>
    <cellStyle name="Normal 2 2 2 2 2 2 3 3 3" xfId="11597" xr:uid="{00000000-0005-0000-0000-0000222D0000}"/>
    <cellStyle name="Normal 2 2 2 2 2 2 3 3 4" xfId="11598" xr:uid="{00000000-0005-0000-0000-0000232D0000}"/>
    <cellStyle name="Normal 2 2 2 2 2 2 3 3 5" xfId="11599" xr:uid="{00000000-0005-0000-0000-0000242D0000}"/>
    <cellStyle name="Normal 2 2 2 2 2 2 3 3 6" xfId="11600" xr:uid="{00000000-0005-0000-0000-0000252D0000}"/>
    <cellStyle name="Normal 2 2 2 2 2 2 3 3 7" xfId="11601" xr:uid="{00000000-0005-0000-0000-0000262D0000}"/>
    <cellStyle name="Normal 2 2 2 2 2 2 3 3 8" xfId="11602" xr:uid="{00000000-0005-0000-0000-0000272D0000}"/>
    <cellStyle name="Normal 2 2 2 2 2 2 3 3 9" xfId="11603" xr:uid="{00000000-0005-0000-0000-0000282D0000}"/>
    <cellStyle name="Normal 2 2 2 2 2 2 3 4" xfId="11604" xr:uid="{00000000-0005-0000-0000-0000292D0000}"/>
    <cellStyle name="Normal 2 2 2 2 2 2 3 4 10" xfId="11605" xr:uid="{00000000-0005-0000-0000-00002A2D0000}"/>
    <cellStyle name="Normal 2 2 2 2 2 2 3 4 2" xfId="11606" xr:uid="{00000000-0005-0000-0000-00002B2D0000}"/>
    <cellStyle name="Normal 2 2 2 2 2 2 3 4 3" xfId="11607" xr:uid="{00000000-0005-0000-0000-00002C2D0000}"/>
    <cellStyle name="Normal 2 2 2 2 2 2 3 4 4" xfId="11608" xr:uid="{00000000-0005-0000-0000-00002D2D0000}"/>
    <cellStyle name="Normal 2 2 2 2 2 2 3 4 5" xfId="11609" xr:uid="{00000000-0005-0000-0000-00002E2D0000}"/>
    <cellStyle name="Normal 2 2 2 2 2 2 3 4 6" xfId="11610" xr:uid="{00000000-0005-0000-0000-00002F2D0000}"/>
    <cellStyle name="Normal 2 2 2 2 2 2 3 4 7" xfId="11611" xr:uid="{00000000-0005-0000-0000-0000302D0000}"/>
    <cellStyle name="Normal 2 2 2 2 2 2 3 4 8" xfId="11612" xr:uid="{00000000-0005-0000-0000-0000312D0000}"/>
    <cellStyle name="Normal 2 2 2 2 2 2 3 4 9" xfId="11613" xr:uid="{00000000-0005-0000-0000-0000322D0000}"/>
    <cellStyle name="Normal 2 2 2 2 2 2 3 5" xfId="11614" xr:uid="{00000000-0005-0000-0000-0000332D0000}"/>
    <cellStyle name="Normal 2 2 2 2 2 2 3 5 10" xfId="11615" xr:uid="{00000000-0005-0000-0000-0000342D0000}"/>
    <cellStyle name="Normal 2 2 2 2 2 2 3 5 2" xfId="11616" xr:uid="{00000000-0005-0000-0000-0000352D0000}"/>
    <cellStyle name="Normal 2 2 2 2 2 2 3 5 3" xfId="11617" xr:uid="{00000000-0005-0000-0000-0000362D0000}"/>
    <cellStyle name="Normal 2 2 2 2 2 2 3 5 4" xfId="11618" xr:uid="{00000000-0005-0000-0000-0000372D0000}"/>
    <cellStyle name="Normal 2 2 2 2 2 2 3 5 5" xfId="11619" xr:uid="{00000000-0005-0000-0000-0000382D0000}"/>
    <cellStyle name="Normal 2 2 2 2 2 2 3 5 6" xfId="11620" xr:uid="{00000000-0005-0000-0000-0000392D0000}"/>
    <cellStyle name="Normal 2 2 2 2 2 2 3 5 7" xfId="11621" xr:uid="{00000000-0005-0000-0000-00003A2D0000}"/>
    <cellStyle name="Normal 2 2 2 2 2 2 3 5 8" xfId="11622" xr:uid="{00000000-0005-0000-0000-00003B2D0000}"/>
    <cellStyle name="Normal 2 2 2 2 2 2 3 5 9" xfId="11623" xr:uid="{00000000-0005-0000-0000-00003C2D0000}"/>
    <cellStyle name="Normal 2 2 2 2 2 2 3 6" xfId="11624" xr:uid="{00000000-0005-0000-0000-00003D2D0000}"/>
    <cellStyle name="Normal 2 2 2 2 2 2 3 7" xfId="11625" xr:uid="{00000000-0005-0000-0000-00003E2D0000}"/>
    <cellStyle name="Normal 2 2 2 2 2 2 3 8" xfId="11626" xr:uid="{00000000-0005-0000-0000-00003F2D0000}"/>
    <cellStyle name="Normal 2 2 2 2 2 2 3 9" xfId="11627" xr:uid="{00000000-0005-0000-0000-0000402D0000}"/>
    <cellStyle name="Normal 2 2 2 2 2 2 30" xfId="11628" xr:uid="{00000000-0005-0000-0000-0000412D0000}"/>
    <cellStyle name="Normal 2 2 2 2 2 2 30 10" xfId="11629" xr:uid="{00000000-0005-0000-0000-0000422D0000}"/>
    <cellStyle name="Normal 2 2 2 2 2 2 30 11" xfId="11630" xr:uid="{00000000-0005-0000-0000-0000432D0000}"/>
    <cellStyle name="Normal 2 2 2 2 2 2 30 12" xfId="11631" xr:uid="{00000000-0005-0000-0000-0000442D0000}"/>
    <cellStyle name="Normal 2 2 2 2 2 2 30 13" xfId="11632" xr:uid="{00000000-0005-0000-0000-0000452D0000}"/>
    <cellStyle name="Normal 2 2 2 2 2 2 30 14" xfId="11633" xr:uid="{00000000-0005-0000-0000-0000462D0000}"/>
    <cellStyle name="Normal 2 2 2 2 2 2 30 2" xfId="11634" xr:uid="{00000000-0005-0000-0000-0000472D0000}"/>
    <cellStyle name="Normal 2 2 2 2 2 2 30 2 10" xfId="11635" xr:uid="{00000000-0005-0000-0000-0000482D0000}"/>
    <cellStyle name="Normal 2 2 2 2 2 2 30 2 2" xfId="11636" xr:uid="{00000000-0005-0000-0000-0000492D0000}"/>
    <cellStyle name="Normal 2 2 2 2 2 2 30 2 3" xfId="11637" xr:uid="{00000000-0005-0000-0000-00004A2D0000}"/>
    <cellStyle name="Normal 2 2 2 2 2 2 30 2 4" xfId="11638" xr:uid="{00000000-0005-0000-0000-00004B2D0000}"/>
    <cellStyle name="Normal 2 2 2 2 2 2 30 2 5" xfId="11639" xr:uid="{00000000-0005-0000-0000-00004C2D0000}"/>
    <cellStyle name="Normal 2 2 2 2 2 2 30 2 6" xfId="11640" xr:uid="{00000000-0005-0000-0000-00004D2D0000}"/>
    <cellStyle name="Normal 2 2 2 2 2 2 30 2 7" xfId="11641" xr:uid="{00000000-0005-0000-0000-00004E2D0000}"/>
    <cellStyle name="Normal 2 2 2 2 2 2 30 2 8" xfId="11642" xr:uid="{00000000-0005-0000-0000-00004F2D0000}"/>
    <cellStyle name="Normal 2 2 2 2 2 2 30 2 9" xfId="11643" xr:uid="{00000000-0005-0000-0000-0000502D0000}"/>
    <cellStyle name="Normal 2 2 2 2 2 2 30 3" xfId="11644" xr:uid="{00000000-0005-0000-0000-0000512D0000}"/>
    <cellStyle name="Normal 2 2 2 2 2 2 30 3 10" xfId="11645" xr:uid="{00000000-0005-0000-0000-0000522D0000}"/>
    <cellStyle name="Normal 2 2 2 2 2 2 30 3 2" xfId="11646" xr:uid="{00000000-0005-0000-0000-0000532D0000}"/>
    <cellStyle name="Normal 2 2 2 2 2 2 30 3 3" xfId="11647" xr:uid="{00000000-0005-0000-0000-0000542D0000}"/>
    <cellStyle name="Normal 2 2 2 2 2 2 30 3 4" xfId="11648" xr:uid="{00000000-0005-0000-0000-0000552D0000}"/>
    <cellStyle name="Normal 2 2 2 2 2 2 30 3 5" xfId="11649" xr:uid="{00000000-0005-0000-0000-0000562D0000}"/>
    <cellStyle name="Normal 2 2 2 2 2 2 30 3 6" xfId="11650" xr:uid="{00000000-0005-0000-0000-0000572D0000}"/>
    <cellStyle name="Normal 2 2 2 2 2 2 30 3 7" xfId="11651" xr:uid="{00000000-0005-0000-0000-0000582D0000}"/>
    <cellStyle name="Normal 2 2 2 2 2 2 30 3 8" xfId="11652" xr:uid="{00000000-0005-0000-0000-0000592D0000}"/>
    <cellStyle name="Normal 2 2 2 2 2 2 30 3 9" xfId="11653" xr:uid="{00000000-0005-0000-0000-00005A2D0000}"/>
    <cellStyle name="Normal 2 2 2 2 2 2 30 4" xfId="11654" xr:uid="{00000000-0005-0000-0000-00005B2D0000}"/>
    <cellStyle name="Normal 2 2 2 2 2 2 30 4 10" xfId="11655" xr:uid="{00000000-0005-0000-0000-00005C2D0000}"/>
    <cellStyle name="Normal 2 2 2 2 2 2 30 4 2" xfId="11656" xr:uid="{00000000-0005-0000-0000-00005D2D0000}"/>
    <cellStyle name="Normal 2 2 2 2 2 2 30 4 3" xfId="11657" xr:uid="{00000000-0005-0000-0000-00005E2D0000}"/>
    <cellStyle name="Normal 2 2 2 2 2 2 30 4 4" xfId="11658" xr:uid="{00000000-0005-0000-0000-00005F2D0000}"/>
    <cellStyle name="Normal 2 2 2 2 2 2 30 4 5" xfId="11659" xr:uid="{00000000-0005-0000-0000-0000602D0000}"/>
    <cellStyle name="Normal 2 2 2 2 2 2 30 4 6" xfId="11660" xr:uid="{00000000-0005-0000-0000-0000612D0000}"/>
    <cellStyle name="Normal 2 2 2 2 2 2 30 4 7" xfId="11661" xr:uid="{00000000-0005-0000-0000-0000622D0000}"/>
    <cellStyle name="Normal 2 2 2 2 2 2 30 4 8" xfId="11662" xr:uid="{00000000-0005-0000-0000-0000632D0000}"/>
    <cellStyle name="Normal 2 2 2 2 2 2 30 4 9" xfId="11663" xr:uid="{00000000-0005-0000-0000-0000642D0000}"/>
    <cellStyle name="Normal 2 2 2 2 2 2 30 5" xfId="11664" xr:uid="{00000000-0005-0000-0000-0000652D0000}"/>
    <cellStyle name="Normal 2 2 2 2 2 2 30 5 10" xfId="11665" xr:uid="{00000000-0005-0000-0000-0000662D0000}"/>
    <cellStyle name="Normal 2 2 2 2 2 2 30 5 2" xfId="11666" xr:uid="{00000000-0005-0000-0000-0000672D0000}"/>
    <cellStyle name="Normal 2 2 2 2 2 2 30 5 3" xfId="11667" xr:uid="{00000000-0005-0000-0000-0000682D0000}"/>
    <cellStyle name="Normal 2 2 2 2 2 2 30 5 4" xfId="11668" xr:uid="{00000000-0005-0000-0000-0000692D0000}"/>
    <cellStyle name="Normal 2 2 2 2 2 2 30 5 5" xfId="11669" xr:uid="{00000000-0005-0000-0000-00006A2D0000}"/>
    <cellStyle name="Normal 2 2 2 2 2 2 30 5 6" xfId="11670" xr:uid="{00000000-0005-0000-0000-00006B2D0000}"/>
    <cellStyle name="Normal 2 2 2 2 2 2 30 5 7" xfId="11671" xr:uid="{00000000-0005-0000-0000-00006C2D0000}"/>
    <cellStyle name="Normal 2 2 2 2 2 2 30 5 8" xfId="11672" xr:uid="{00000000-0005-0000-0000-00006D2D0000}"/>
    <cellStyle name="Normal 2 2 2 2 2 2 30 5 9" xfId="11673" xr:uid="{00000000-0005-0000-0000-00006E2D0000}"/>
    <cellStyle name="Normal 2 2 2 2 2 2 30 6" xfId="11674" xr:uid="{00000000-0005-0000-0000-00006F2D0000}"/>
    <cellStyle name="Normal 2 2 2 2 2 2 30 7" xfId="11675" xr:uid="{00000000-0005-0000-0000-0000702D0000}"/>
    <cellStyle name="Normal 2 2 2 2 2 2 30 8" xfId="11676" xr:uid="{00000000-0005-0000-0000-0000712D0000}"/>
    <cellStyle name="Normal 2 2 2 2 2 2 30 9" xfId="11677" xr:uid="{00000000-0005-0000-0000-0000722D0000}"/>
    <cellStyle name="Normal 2 2 2 2 2 2 31" xfId="11678" xr:uid="{00000000-0005-0000-0000-0000732D0000}"/>
    <cellStyle name="Normal 2 2 2 2 2 2 31 10" xfId="11679" xr:uid="{00000000-0005-0000-0000-0000742D0000}"/>
    <cellStyle name="Normal 2 2 2 2 2 2 31 11" xfId="11680" xr:uid="{00000000-0005-0000-0000-0000752D0000}"/>
    <cellStyle name="Normal 2 2 2 2 2 2 31 12" xfId="11681" xr:uid="{00000000-0005-0000-0000-0000762D0000}"/>
    <cellStyle name="Normal 2 2 2 2 2 2 31 13" xfId="11682" xr:uid="{00000000-0005-0000-0000-0000772D0000}"/>
    <cellStyle name="Normal 2 2 2 2 2 2 31 14" xfId="11683" xr:uid="{00000000-0005-0000-0000-0000782D0000}"/>
    <cellStyle name="Normal 2 2 2 2 2 2 31 2" xfId="11684" xr:uid="{00000000-0005-0000-0000-0000792D0000}"/>
    <cellStyle name="Normal 2 2 2 2 2 2 31 2 10" xfId="11685" xr:uid="{00000000-0005-0000-0000-00007A2D0000}"/>
    <cellStyle name="Normal 2 2 2 2 2 2 31 2 2" xfId="11686" xr:uid="{00000000-0005-0000-0000-00007B2D0000}"/>
    <cellStyle name="Normal 2 2 2 2 2 2 31 2 3" xfId="11687" xr:uid="{00000000-0005-0000-0000-00007C2D0000}"/>
    <cellStyle name="Normal 2 2 2 2 2 2 31 2 4" xfId="11688" xr:uid="{00000000-0005-0000-0000-00007D2D0000}"/>
    <cellStyle name="Normal 2 2 2 2 2 2 31 2 5" xfId="11689" xr:uid="{00000000-0005-0000-0000-00007E2D0000}"/>
    <cellStyle name="Normal 2 2 2 2 2 2 31 2 6" xfId="11690" xr:uid="{00000000-0005-0000-0000-00007F2D0000}"/>
    <cellStyle name="Normal 2 2 2 2 2 2 31 2 7" xfId="11691" xr:uid="{00000000-0005-0000-0000-0000802D0000}"/>
    <cellStyle name="Normal 2 2 2 2 2 2 31 2 8" xfId="11692" xr:uid="{00000000-0005-0000-0000-0000812D0000}"/>
    <cellStyle name="Normal 2 2 2 2 2 2 31 2 9" xfId="11693" xr:uid="{00000000-0005-0000-0000-0000822D0000}"/>
    <cellStyle name="Normal 2 2 2 2 2 2 31 3" xfId="11694" xr:uid="{00000000-0005-0000-0000-0000832D0000}"/>
    <cellStyle name="Normal 2 2 2 2 2 2 31 3 10" xfId="11695" xr:uid="{00000000-0005-0000-0000-0000842D0000}"/>
    <cellStyle name="Normal 2 2 2 2 2 2 31 3 2" xfId="11696" xr:uid="{00000000-0005-0000-0000-0000852D0000}"/>
    <cellStyle name="Normal 2 2 2 2 2 2 31 3 3" xfId="11697" xr:uid="{00000000-0005-0000-0000-0000862D0000}"/>
    <cellStyle name="Normal 2 2 2 2 2 2 31 3 4" xfId="11698" xr:uid="{00000000-0005-0000-0000-0000872D0000}"/>
    <cellStyle name="Normal 2 2 2 2 2 2 31 3 5" xfId="11699" xr:uid="{00000000-0005-0000-0000-0000882D0000}"/>
    <cellStyle name="Normal 2 2 2 2 2 2 31 3 6" xfId="11700" xr:uid="{00000000-0005-0000-0000-0000892D0000}"/>
    <cellStyle name="Normal 2 2 2 2 2 2 31 3 7" xfId="11701" xr:uid="{00000000-0005-0000-0000-00008A2D0000}"/>
    <cellStyle name="Normal 2 2 2 2 2 2 31 3 8" xfId="11702" xr:uid="{00000000-0005-0000-0000-00008B2D0000}"/>
    <cellStyle name="Normal 2 2 2 2 2 2 31 3 9" xfId="11703" xr:uid="{00000000-0005-0000-0000-00008C2D0000}"/>
    <cellStyle name="Normal 2 2 2 2 2 2 31 4" xfId="11704" xr:uid="{00000000-0005-0000-0000-00008D2D0000}"/>
    <cellStyle name="Normal 2 2 2 2 2 2 31 4 10" xfId="11705" xr:uid="{00000000-0005-0000-0000-00008E2D0000}"/>
    <cellStyle name="Normal 2 2 2 2 2 2 31 4 2" xfId="11706" xr:uid="{00000000-0005-0000-0000-00008F2D0000}"/>
    <cellStyle name="Normal 2 2 2 2 2 2 31 4 3" xfId="11707" xr:uid="{00000000-0005-0000-0000-0000902D0000}"/>
    <cellStyle name="Normal 2 2 2 2 2 2 31 4 4" xfId="11708" xr:uid="{00000000-0005-0000-0000-0000912D0000}"/>
    <cellStyle name="Normal 2 2 2 2 2 2 31 4 5" xfId="11709" xr:uid="{00000000-0005-0000-0000-0000922D0000}"/>
    <cellStyle name="Normal 2 2 2 2 2 2 31 4 6" xfId="11710" xr:uid="{00000000-0005-0000-0000-0000932D0000}"/>
    <cellStyle name="Normal 2 2 2 2 2 2 31 4 7" xfId="11711" xr:uid="{00000000-0005-0000-0000-0000942D0000}"/>
    <cellStyle name="Normal 2 2 2 2 2 2 31 4 8" xfId="11712" xr:uid="{00000000-0005-0000-0000-0000952D0000}"/>
    <cellStyle name="Normal 2 2 2 2 2 2 31 4 9" xfId="11713" xr:uid="{00000000-0005-0000-0000-0000962D0000}"/>
    <cellStyle name="Normal 2 2 2 2 2 2 31 5" xfId="11714" xr:uid="{00000000-0005-0000-0000-0000972D0000}"/>
    <cellStyle name="Normal 2 2 2 2 2 2 31 5 10" xfId="11715" xr:uid="{00000000-0005-0000-0000-0000982D0000}"/>
    <cellStyle name="Normal 2 2 2 2 2 2 31 5 2" xfId="11716" xr:uid="{00000000-0005-0000-0000-0000992D0000}"/>
    <cellStyle name="Normal 2 2 2 2 2 2 31 5 3" xfId="11717" xr:uid="{00000000-0005-0000-0000-00009A2D0000}"/>
    <cellStyle name="Normal 2 2 2 2 2 2 31 5 4" xfId="11718" xr:uid="{00000000-0005-0000-0000-00009B2D0000}"/>
    <cellStyle name="Normal 2 2 2 2 2 2 31 5 5" xfId="11719" xr:uid="{00000000-0005-0000-0000-00009C2D0000}"/>
    <cellStyle name="Normal 2 2 2 2 2 2 31 5 6" xfId="11720" xr:uid="{00000000-0005-0000-0000-00009D2D0000}"/>
    <cellStyle name="Normal 2 2 2 2 2 2 31 5 7" xfId="11721" xr:uid="{00000000-0005-0000-0000-00009E2D0000}"/>
    <cellStyle name="Normal 2 2 2 2 2 2 31 5 8" xfId="11722" xr:uid="{00000000-0005-0000-0000-00009F2D0000}"/>
    <cellStyle name="Normal 2 2 2 2 2 2 31 5 9" xfId="11723" xr:uid="{00000000-0005-0000-0000-0000A02D0000}"/>
    <cellStyle name="Normal 2 2 2 2 2 2 31 6" xfId="11724" xr:uid="{00000000-0005-0000-0000-0000A12D0000}"/>
    <cellStyle name="Normal 2 2 2 2 2 2 31 7" xfId="11725" xr:uid="{00000000-0005-0000-0000-0000A22D0000}"/>
    <cellStyle name="Normal 2 2 2 2 2 2 31 8" xfId="11726" xr:uid="{00000000-0005-0000-0000-0000A32D0000}"/>
    <cellStyle name="Normal 2 2 2 2 2 2 31 9" xfId="11727" xr:uid="{00000000-0005-0000-0000-0000A42D0000}"/>
    <cellStyle name="Normal 2 2 2 2 2 2 32" xfId="11728" xr:uid="{00000000-0005-0000-0000-0000A52D0000}"/>
    <cellStyle name="Normal 2 2 2 2 2 2 32 10" xfId="11729" xr:uid="{00000000-0005-0000-0000-0000A62D0000}"/>
    <cellStyle name="Normal 2 2 2 2 2 2 32 11" xfId="11730" xr:uid="{00000000-0005-0000-0000-0000A72D0000}"/>
    <cellStyle name="Normal 2 2 2 2 2 2 32 12" xfId="11731" xr:uid="{00000000-0005-0000-0000-0000A82D0000}"/>
    <cellStyle name="Normal 2 2 2 2 2 2 32 13" xfId="11732" xr:uid="{00000000-0005-0000-0000-0000A92D0000}"/>
    <cellStyle name="Normal 2 2 2 2 2 2 32 14" xfId="11733" xr:uid="{00000000-0005-0000-0000-0000AA2D0000}"/>
    <cellStyle name="Normal 2 2 2 2 2 2 32 2" xfId="11734" xr:uid="{00000000-0005-0000-0000-0000AB2D0000}"/>
    <cellStyle name="Normal 2 2 2 2 2 2 32 2 10" xfId="11735" xr:uid="{00000000-0005-0000-0000-0000AC2D0000}"/>
    <cellStyle name="Normal 2 2 2 2 2 2 32 2 2" xfId="11736" xr:uid="{00000000-0005-0000-0000-0000AD2D0000}"/>
    <cellStyle name="Normal 2 2 2 2 2 2 32 2 3" xfId="11737" xr:uid="{00000000-0005-0000-0000-0000AE2D0000}"/>
    <cellStyle name="Normal 2 2 2 2 2 2 32 2 4" xfId="11738" xr:uid="{00000000-0005-0000-0000-0000AF2D0000}"/>
    <cellStyle name="Normal 2 2 2 2 2 2 32 2 5" xfId="11739" xr:uid="{00000000-0005-0000-0000-0000B02D0000}"/>
    <cellStyle name="Normal 2 2 2 2 2 2 32 2 6" xfId="11740" xr:uid="{00000000-0005-0000-0000-0000B12D0000}"/>
    <cellStyle name="Normal 2 2 2 2 2 2 32 2 7" xfId="11741" xr:uid="{00000000-0005-0000-0000-0000B22D0000}"/>
    <cellStyle name="Normal 2 2 2 2 2 2 32 2 8" xfId="11742" xr:uid="{00000000-0005-0000-0000-0000B32D0000}"/>
    <cellStyle name="Normal 2 2 2 2 2 2 32 2 9" xfId="11743" xr:uid="{00000000-0005-0000-0000-0000B42D0000}"/>
    <cellStyle name="Normal 2 2 2 2 2 2 32 3" xfId="11744" xr:uid="{00000000-0005-0000-0000-0000B52D0000}"/>
    <cellStyle name="Normal 2 2 2 2 2 2 32 3 10" xfId="11745" xr:uid="{00000000-0005-0000-0000-0000B62D0000}"/>
    <cellStyle name="Normal 2 2 2 2 2 2 32 3 2" xfId="11746" xr:uid="{00000000-0005-0000-0000-0000B72D0000}"/>
    <cellStyle name="Normal 2 2 2 2 2 2 32 3 3" xfId="11747" xr:uid="{00000000-0005-0000-0000-0000B82D0000}"/>
    <cellStyle name="Normal 2 2 2 2 2 2 32 3 4" xfId="11748" xr:uid="{00000000-0005-0000-0000-0000B92D0000}"/>
    <cellStyle name="Normal 2 2 2 2 2 2 32 3 5" xfId="11749" xr:uid="{00000000-0005-0000-0000-0000BA2D0000}"/>
    <cellStyle name="Normal 2 2 2 2 2 2 32 3 6" xfId="11750" xr:uid="{00000000-0005-0000-0000-0000BB2D0000}"/>
    <cellStyle name="Normal 2 2 2 2 2 2 32 3 7" xfId="11751" xr:uid="{00000000-0005-0000-0000-0000BC2D0000}"/>
    <cellStyle name="Normal 2 2 2 2 2 2 32 3 8" xfId="11752" xr:uid="{00000000-0005-0000-0000-0000BD2D0000}"/>
    <cellStyle name="Normal 2 2 2 2 2 2 32 3 9" xfId="11753" xr:uid="{00000000-0005-0000-0000-0000BE2D0000}"/>
    <cellStyle name="Normal 2 2 2 2 2 2 32 4" xfId="11754" xr:uid="{00000000-0005-0000-0000-0000BF2D0000}"/>
    <cellStyle name="Normal 2 2 2 2 2 2 32 4 10" xfId="11755" xr:uid="{00000000-0005-0000-0000-0000C02D0000}"/>
    <cellStyle name="Normal 2 2 2 2 2 2 32 4 2" xfId="11756" xr:uid="{00000000-0005-0000-0000-0000C12D0000}"/>
    <cellStyle name="Normal 2 2 2 2 2 2 32 4 3" xfId="11757" xr:uid="{00000000-0005-0000-0000-0000C22D0000}"/>
    <cellStyle name="Normal 2 2 2 2 2 2 32 4 4" xfId="11758" xr:uid="{00000000-0005-0000-0000-0000C32D0000}"/>
    <cellStyle name="Normal 2 2 2 2 2 2 32 4 5" xfId="11759" xr:uid="{00000000-0005-0000-0000-0000C42D0000}"/>
    <cellStyle name="Normal 2 2 2 2 2 2 32 4 6" xfId="11760" xr:uid="{00000000-0005-0000-0000-0000C52D0000}"/>
    <cellStyle name="Normal 2 2 2 2 2 2 32 4 7" xfId="11761" xr:uid="{00000000-0005-0000-0000-0000C62D0000}"/>
    <cellStyle name="Normal 2 2 2 2 2 2 32 4 8" xfId="11762" xr:uid="{00000000-0005-0000-0000-0000C72D0000}"/>
    <cellStyle name="Normal 2 2 2 2 2 2 32 4 9" xfId="11763" xr:uid="{00000000-0005-0000-0000-0000C82D0000}"/>
    <cellStyle name="Normal 2 2 2 2 2 2 32 5" xfId="11764" xr:uid="{00000000-0005-0000-0000-0000C92D0000}"/>
    <cellStyle name="Normal 2 2 2 2 2 2 32 5 10" xfId="11765" xr:uid="{00000000-0005-0000-0000-0000CA2D0000}"/>
    <cellStyle name="Normal 2 2 2 2 2 2 32 5 2" xfId="11766" xr:uid="{00000000-0005-0000-0000-0000CB2D0000}"/>
    <cellStyle name="Normal 2 2 2 2 2 2 32 5 3" xfId="11767" xr:uid="{00000000-0005-0000-0000-0000CC2D0000}"/>
    <cellStyle name="Normal 2 2 2 2 2 2 32 5 4" xfId="11768" xr:uid="{00000000-0005-0000-0000-0000CD2D0000}"/>
    <cellStyle name="Normal 2 2 2 2 2 2 32 5 5" xfId="11769" xr:uid="{00000000-0005-0000-0000-0000CE2D0000}"/>
    <cellStyle name="Normal 2 2 2 2 2 2 32 5 6" xfId="11770" xr:uid="{00000000-0005-0000-0000-0000CF2D0000}"/>
    <cellStyle name="Normal 2 2 2 2 2 2 32 5 7" xfId="11771" xr:uid="{00000000-0005-0000-0000-0000D02D0000}"/>
    <cellStyle name="Normal 2 2 2 2 2 2 32 5 8" xfId="11772" xr:uid="{00000000-0005-0000-0000-0000D12D0000}"/>
    <cellStyle name="Normal 2 2 2 2 2 2 32 5 9" xfId="11773" xr:uid="{00000000-0005-0000-0000-0000D22D0000}"/>
    <cellStyle name="Normal 2 2 2 2 2 2 32 6" xfId="11774" xr:uid="{00000000-0005-0000-0000-0000D32D0000}"/>
    <cellStyle name="Normal 2 2 2 2 2 2 32 7" xfId="11775" xr:uid="{00000000-0005-0000-0000-0000D42D0000}"/>
    <cellStyle name="Normal 2 2 2 2 2 2 32 8" xfId="11776" xr:uid="{00000000-0005-0000-0000-0000D52D0000}"/>
    <cellStyle name="Normal 2 2 2 2 2 2 32 9" xfId="11777" xr:uid="{00000000-0005-0000-0000-0000D62D0000}"/>
    <cellStyle name="Normal 2 2 2 2 2 2 33" xfId="11778" xr:uid="{00000000-0005-0000-0000-0000D72D0000}"/>
    <cellStyle name="Normal 2 2 2 2 2 2 33 10" xfId="11779" xr:uid="{00000000-0005-0000-0000-0000D82D0000}"/>
    <cellStyle name="Normal 2 2 2 2 2 2 33 11" xfId="11780" xr:uid="{00000000-0005-0000-0000-0000D92D0000}"/>
    <cellStyle name="Normal 2 2 2 2 2 2 33 12" xfId="11781" xr:uid="{00000000-0005-0000-0000-0000DA2D0000}"/>
    <cellStyle name="Normal 2 2 2 2 2 2 33 13" xfId="11782" xr:uid="{00000000-0005-0000-0000-0000DB2D0000}"/>
    <cellStyle name="Normal 2 2 2 2 2 2 33 14" xfId="11783" xr:uid="{00000000-0005-0000-0000-0000DC2D0000}"/>
    <cellStyle name="Normal 2 2 2 2 2 2 33 2" xfId="11784" xr:uid="{00000000-0005-0000-0000-0000DD2D0000}"/>
    <cellStyle name="Normal 2 2 2 2 2 2 33 2 10" xfId="11785" xr:uid="{00000000-0005-0000-0000-0000DE2D0000}"/>
    <cellStyle name="Normal 2 2 2 2 2 2 33 2 2" xfId="11786" xr:uid="{00000000-0005-0000-0000-0000DF2D0000}"/>
    <cellStyle name="Normal 2 2 2 2 2 2 33 2 3" xfId="11787" xr:uid="{00000000-0005-0000-0000-0000E02D0000}"/>
    <cellStyle name="Normal 2 2 2 2 2 2 33 2 4" xfId="11788" xr:uid="{00000000-0005-0000-0000-0000E12D0000}"/>
    <cellStyle name="Normal 2 2 2 2 2 2 33 2 5" xfId="11789" xr:uid="{00000000-0005-0000-0000-0000E22D0000}"/>
    <cellStyle name="Normal 2 2 2 2 2 2 33 2 6" xfId="11790" xr:uid="{00000000-0005-0000-0000-0000E32D0000}"/>
    <cellStyle name="Normal 2 2 2 2 2 2 33 2 7" xfId="11791" xr:uid="{00000000-0005-0000-0000-0000E42D0000}"/>
    <cellStyle name="Normal 2 2 2 2 2 2 33 2 8" xfId="11792" xr:uid="{00000000-0005-0000-0000-0000E52D0000}"/>
    <cellStyle name="Normal 2 2 2 2 2 2 33 2 9" xfId="11793" xr:uid="{00000000-0005-0000-0000-0000E62D0000}"/>
    <cellStyle name="Normal 2 2 2 2 2 2 33 3" xfId="11794" xr:uid="{00000000-0005-0000-0000-0000E72D0000}"/>
    <cellStyle name="Normal 2 2 2 2 2 2 33 3 10" xfId="11795" xr:uid="{00000000-0005-0000-0000-0000E82D0000}"/>
    <cellStyle name="Normal 2 2 2 2 2 2 33 3 2" xfId="11796" xr:uid="{00000000-0005-0000-0000-0000E92D0000}"/>
    <cellStyle name="Normal 2 2 2 2 2 2 33 3 3" xfId="11797" xr:uid="{00000000-0005-0000-0000-0000EA2D0000}"/>
    <cellStyle name="Normal 2 2 2 2 2 2 33 3 4" xfId="11798" xr:uid="{00000000-0005-0000-0000-0000EB2D0000}"/>
    <cellStyle name="Normal 2 2 2 2 2 2 33 3 5" xfId="11799" xr:uid="{00000000-0005-0000-0000-0000EC2D0000}"/>
    <cellStyle name="Normal 2 2 2 2 2 2 33 3 6" xfId="11800" xr:uid="{00000000-0005-0000-0000-0000ED2D0000}"/>
    <cellStyle name="Normal 2 2 2 2 2 2 33 3 7" xfId="11801" xr:uid="{00000000-0005-0000-0000-0000EE2D0000}"/>
    <cellStyle name="Normal 2 2 2 2 2 2 33 3 8" xfId="11802" xr:uid="{00000000-0005-0000-0000-0000EF2D0000}"/>
    <cellStyle name="Normal 2 2 2 2 2 2 33 3 9" xfId="11803" xr:uid="{00000000-0005-0000-0000-0000F02D0000}"/>
    <cellStyle name="Normal 2 2 2 2 2 2 33 4" xfId="11804" xr:uid="{00000000-0005-0000-0000-0000F12D0000}"/>
    <cellStyle name="Normal 2 2 2 2 2 2 33 4 10" xfId="11805" xr:uid="{00000000-0005-0000-0000-0000F22D0000}"/>
    <cellStyle name="Normal 2 2 2 2 2 2 33 4 2" xfId="11806" xr:uid="{00000000-0005-0000-0000-0000F32D0000}"/>
    <cellStyle name="Normal 2 2 2 2 2 2 33 4 3" xfId="11807" xr:uid="{00000000-0005-0000-0000-0000F42D0000}"/>
    <cellStyle name="Normal 2 2 2 2 2 2 33 4 4" xfId="11808" xr:uid="{00000000-0005-0000-0000-0000F52D0000}"/>
    <cellStyle name="Normal 2 2 2 2 2 2 33 4 5" xfId="11809" xr:uid="{00000000-0005-0000-0000-0000F62D0000}"/>
    <cellStyle name="Normal 2 2 2 2 2 2 33 4 6" xfId="11810" xr:uid="{00000000-0005-0000-0000-0000F72D0000}"/>
    <cellStyle name="Normal 2 2 2 2 2 2 33 4 7" xfId="11811" xr:uid="{00000000-0005-0000-0000-0000F82D0000}"/>
    <cellStyle name="Normal 2 2 2 2 2 2 33 4 8" xfId="11812" xr:uid="{00000000-0005-0000-0000-0000F92D0000}"/>
    <cellStyle name="Normal 2 2 2 2 2 2 33 4 9" xfId="11813" xr:uid="{00000000-0005-0000-0000-0000FA2D0000}"/>
    <cellStyle name="Normal 2 2 2 2 2 2 33 5" xfId="11814" xr:uid="{00000000-0005-0000-0000-0000FB2D0000}"/>
    <cellStyle name="Normal 2 2 2 2 2 2 33 5 10" xfId="11815" xr:uid="{00000000-0005-0000-0000-0000FC2D0000}"/>
    <cellStyle name="Normal 2 2 2 2 2 2 33 5 2" xfId="11816" xr:uid="{00000000-0005-0000-0000-0000FD2D0000}"/>
    <cellStyle name="Normal 2 2 2 2 2 2 33 5 3" xfId="11817" xr:uid="{00000000-0005-0000-0000-0000FE2D0000}"/>
    <cellStyle name="Normal 2 2 2 2 2 2 33 5 4" xfId="11818" xr:uid="{00000000-0005-0000-0000-0000FF2D0000}"/>
    <cellStyle name="Normal 2 2 2 2 2 2 33 5 5" xfId="11819" xr:uid="{00000000-0005-0000-0000-0000002E0000}"/>
    <cellStyle name="Normal 2 2 2 2 2 2 33 5 6" xfId="11820" xr:uid="{00000000-0005-0000-0000-0000012E0000}"/>
    <cellStyle name="Normal 2 2 2 2 2 2 33 5 7" xfId="11821" xr:uid="{00000000-0005-0000-0000-0000022E0000}"/>
    <cellStyle name="Normal 2 2 2 2 2 2 33 5 8" xfId="11822" xr:uid="{00000000-0005-0000-0000-0000032E0000}"/>
    <cellStyle name="Normal 2 2 2 2 2 2 33 5 9" xfId="11823" xr:uid="{00000000-0005-0000-0000-0000042E0000}"/>
    <cellStyle name="Normal 2 2 2 2 2 2 33 6" xfId="11824" xr:uid="{00000000-0005-0000-0000-0000052E0000}"/>
    <cellStyle name="Normal 2 2 2 2 2 2 33 7" xfId="11825" xr:uid="{00000000-0005-0000-0000-0000062E0000}"/>
    <cellStyle name="Normal 2 2 2 2 2 2 33 8" xfId="11826" xr:uid="{00000000-0005-0000-0000-0000072E0000}"/>
    <cellStyle name="Normal 2 2 2 2 2 2 33 9" xfId="11827" xr:uid="{00000000-0005-0000-0000-0000082E0000}"/>
    <cellStyle name="Normal 2 2 2 2 2 2 34" xfId="11828" xr:uid="{00000000-0005-0000-0000-0000092E0000}"/>
    <cellStyle name="Normal 2 2 2 2 2 2 34 10" xfId="11829" xr:uid="{00000000-0005-0000-0000-00000A2E0000}"/>
    <cellStyle name="Normal 2 2 2 2 2 2 34 2" xfId="11830" xr:uid="{00000000-0005-0000-0000-00000B2E0000}"/>
    <cellStyle name="Normal 2 2 2 2 2 2 34 3" xfId="11831" xr:uid="{00000000-0005-0000-0000-00000C2E0000}"/>
    <cellStyle name="Normal 2 2 2 2 2 2 34 4" xfId="11832" xr:uid="{00000000-0005-0000-0000-00000D2E0000}"/>
    <cellStyle name="Normal 2 2 2 2 2 2 34 5" xfId="11833" xr:uid="{00000000-0005-0000-0000-00000E2E0000}"/>
    <cellStyle name="Normal 2 2 2 2 2 2 34 6" xfId="11834" xr:uid="{00000000-0005-0000-0000-00000F2E0000}"/>
    <cellStyle name="Normal 2 2 2 2 2 2 34 7" xfId="11835" xr:uid="{00000000-0005-0000-0000-0000102E0000}"/>
    <cellStyle name="Normal 2 2 2 2 2 2 34 8" xfId="11836" xr:uid="{00000000-0005-0000-0000-0000112E0000}"/>
    <cellStyle name="Normal 2 2 2 2 2 2 34 9" xfId="11837" xr:uid="{00000000-0005-0000-0000-0000122E0000}"/>
    <cellStyle name="Normal 2 2 2 2 2 2 35" xfId="11838" xr:uid="{00000000-0005-0000-0000-0000132E0000}"/>
    <cellStyle name="Normal 2 2 2 2 2 2 35 10" xfId="11839" xr:uid="{00000000-0005-0000-0000-0000142E0000}"/>
    <cellStyle name="Normal 2 2 2 2 2 2 35 2" xfId="11840" xr:uid="{00000000-0005-0000-0000-0000152E0000}"/>
    <cellStyle name="Normal 2 2 2 2 2 2 35 3" xfId="11841" xr:uid="{00000000-0005-0000-0000-0000162E0000}"/>
    <cellStyle name="Normal 2 2 2 2 2 2 35 4" xfId="11842" xr:uid="{00000000-0005-0000-0000-0000172E0000}"/>
    <cellStyle name="Normal 2 2 2 2 2 2 35 5" xfId="11843" xr:uid="{00000000-0005-0000-0000-0000182E0000}"/>
    <cellStyle name="Normal 2 2 2 2 2 2 35 6" xfId="11844" xr:uid="{00000000-0005-0000-0000-0000192E0000}"/>
    <cellStyle name="Normal 2 2 2 2 2 2 35 7" xfId="11845" xr:uid="{00000000-0005-0000-0000-00001A2E0000}"/>
    <cellStyle name="Normal 2 2 2 2 2 2 35 8" xfId="11846" xr:uid="{00000000-0005-0000-0000-00001B2E0000}"/>
    <cellStyle name="Normal 2 2 2 2 2 2 35 9" xfId="11847" xr:uid="{00000000-0005-0000-0000-00001C2E0000}"/>
    <cellStyle name="Normal 2 2 2 2 2 2 36" xfId="11848" xr:uid="{00000000-0005-0000-0000-00001D2E0000}"/>
    <cellStyle name="Normal 2 2 2 2 2 2 36 10" xfId="11849" xr:uid="{00000000-0005-0000-0000-00001E2E0000}"/>
    <cellStyle name="Normal 2 2 2 2 2 2 36 2" xfId="11850" xr:uid="{00000000-0005-0000-0000-00001F2E0000}"/>
    <cellStyle name="Normal 2 2 2 2 2 2 36 3" xfId="11851" xr:uid="{00000000-0005-0000-0000-0000202E0000}"/>
    <cellStyle name="Normal 2 2 2 2 2 2 36 4" xfId="11852" xr:uid="{00000000-0005-0000-0000-0000212E0000}"/>
    <cellStyle name="Normal 2 2 2 2 2 2 36 5" xfId="11853" xr:uid="{00000000-0005-0000-0000-0000222E0000}"/>
    <cellStyle name="Normal 2 2 2 2 2 2 36 6" xfId="11854" xr:uid="{00000000-0005-0000-0000-0000232E0000}"/>
    <cellStyle name="Normal 2 2 2 2 2 2 36 7" xfId="11855" xr:uid="{00000000-0005-0000-0000-0000242E0000}"/>
    <cellStyle name="Normal 2 2 2 2 2 2 36 8" xfId="11856" xr:uid="{00000000-0005-0000-0000-0000252E0000}"/>
    <cellStyle name="Normal 2 2 2 2 2 2 36 9" xfId="11857" xr:uid="{00000000-0005-0000-0000-0000262E0000}"/>
    <cellStyle name="Normal 2 2 2 2 2 2 37" xfId="11858" xr:uid="{00000000-0005-0000-0000-0000272E0000}"/>
    <cellStyle name="Normal 2 2 2 2 2 2 37 10" xfId="11859" xr:uid="{00000000-0005-0000-0000-0000282E0000}"/>
    <cellStyle name="Normal 2 2 2 2 2 2 37 2" xfId="11860" xr:uid="{00000000-0005-0000-0000-0000292E0000}"/>
    <cellStyle name="Normal 2 2 2 2 2 2 37 3" xfId="11861" xr:uid="{00000000-0005-0000-0000-00002A2E0000}"/>
    <cellStyle name="Normal 2 2 2 2 2 2 37 4" xfId="11862" xr:uid="{00000000-0005-0000-0000-00002B2E0000}"/>
    <cellStyle name="Normal 2 2 2 2 2 2 37 5" xfId="11863" xr:uid="{00000000-0005-0000-0000-00002C2E0000}"/>
    <cellStyle name="Normal 2 2 2 2 2 2 37 6" xfId="11864" xr:uid="{00000000-0005-0000-0000-00002D2E0000}"/>
    <cellStyle name="Normal 2 2 2 2 2 2 37 7" xfId="11865" xr:uid="{00000000-0005-0000-0000-00002E2E0000}"/>
    <cellStyle name="Normal 2 2 2 2 2 2 37 8" xfId="11866" xr:uid="{00000000-0005-0000-0000-00002F2E0000}"/>
    <cellStyle name="Normal 2 2 2 2 2 2 37 9" xfId="11867" xr:uid="{00000000-0005-0000-0000-0000302E0000}"/>
    <cellStyle name="Normal 2 2 2 2 2 2 38" xfId="11868" xr:uid="{00000000-0005-0000-0000-0000312E0000}"/>
    <cellStyle name="Normal 2 2 2 2 2 2 39" xfId="11869" xr:uid="{00000000-0005-0000-0000-0000322E0000}"/>
    <cellStyle name="Normal 2 2 2 2 2 2 4" xfId="11870" xr:uid="{00000000-0005-0000-0000-0000332E0000}"/>
    <cellStyle name="Normal 2 2 2 2 2 2 4 10" xfId="11871" xr:uid="{00000000-0005-0000-0000-0000342E0000}"/>
    <cellStyle name="Normal 2 2 2 2 2 2 4 11" xfId="11872" xr:uid="{00000000-0005-0000-0000-0000352E0000}"/>
    <cellStyle name="Normal 2 2 2 2 2 2 4 12" xfId="11873" xr:uid="{00000000-0005-0000-0000-0000362E0000}"/>
    <cellStyle name="Normal 2 2 2 2 2 2 4 13" xfId="11874" xr:uid="{00000000-0005-0000-0000-0000372E0000}"/>
    <cellStyle name="Normal 2 2 2 2 2 2 4 14" xfId="11875" xr:uid="{00000000-0005-0000-0000-0000382E0000}"/>
    <cellStyle name="Normal 2 2 2 2 2 2 4 2" xfId="11876" xr:uid="{00000000-0005-0000-0000-0000392E0000}"/>
    <cellStyle name="Normal 2 2 2 2 2 2 4 2 10" xfId="11877" xr:uid="{00000000-0005-0000-0000-00003A2E0000}"/>
    <cellStyle name="Normal 2 2 2 2 2 2 4 2 2" xfId="11878" xr:uid="{00000000-0005-0000-0000-00003B2E0000}"/>
    <cellStyle name="Normal 2 2 2 2 2 2 4 2 3" xfId="11879" xr:uid="{00000000-0005-0000-0000-00003C2E0000}"/>
    <cellStyle name="Normal 2 2 2 2 2 2 4 2 4" xfId="11880" xr:uid="{00000000-0005-0000-0000-00003D2E0000}"/>
    <cellStyle name="Normal 2 2 2 2 2 2 4 2 5" xfId="11881" xr:uid="{00000000-0005-0000-0000-00003E2E0000}"/>
    <cellStyle name="Normal 2 2 2 2 2 2 4 2 6" xfId="11882" xr:uid="{00000000-0005-0000-0000-00003F2E0000}"/>
    <cellStyle name="Normal 2 2 2 2 2 2 4 2 7" xfId="11883" xr:uid="{00000000-0005-0000-0000-0000402E0000}"/>
    <cellStyle name="Normal 2 2 2 2 2 2 4 2 8" xfId="11884" xr:uid="{00000000-0005-0000-0000-0000412E0000}"/>
    <cellStyle name="Normal 2 2 2 2 2 2 4 2 9" xfId="11885" xr:uid="{00000000-0005-0000-0000-0000422E0000}"/>
    <cellStyle name="Normal 2 2 2 2 2 2 4 3" xfId="11886" xr:uid="{00000000-0005-0000-0000-0000432E0000}"/>
    <cellStyle name="Normal 2 2 2 2 2 2 4 3 10" xfId="11887" xr:uid="{00000000-0005-0000-0000-0000442E0000}"/>
    <cellStyle name="Normal 2 2 2 2 2 2 4 3 2" xfId="11888" xr:uid="{00000000-0005-0000-0000-0000452E0000}"/>
    <cellStyle name="Normal 2 2 2 2 2 2 4 3 3" xfId="11889" xr:uid="{00000000-0005-0000-0000-0000462E0000}"/>
    <cellStyle name="Normal 2 2 2 2 2 2 4 3 4" xfId="11890" xr:uid="{00000000-0005-0000-0000-0000472E0000}"/>
    <cellStyle name="Normal 2 2 2 2 2 2 4 3 5" xfId="11891" xr:uid="{00000000-0005-0000-0000-0000482E0000}"/>
    <cellStyle name="Normal 2 2 2 2 2 2 4 3 6" xfId="11892" xr:uid="{00000000-0005-0000-0000-0000492E0000}"/>
    <cellStyle name="Normal 2 2 2 2 2 2 4 3 7" xfId="11893" xr:uid="{00000000-0005-0000-0000-00004A2E0000}"/>
    <cellStyle name="Normal 2 2 2 2 2 2 4 3 8" xfId="11894" xr:uid="{00000000-0005-0000-0000-00004B2E0000}"/>
    <cellStyle name="Normal 2 2 2 2 2 2 4 3 9" xfId="11895" xr:uid="{00000000-0005-0000-0000-00004C2E0000}"/>
    <cellStyle name="Normal 2 2 2 2 2 2 4 4" xfId="11896" xr:uid="{00000000-0005-0000-0000-00004D2E0000}"/>
    <cellStyle name="Normal 2 2 2 2 2 2 4 4 10" xfId="11897" xr:uid="{00000000-0005-0000-0000-00004E2E0000}"/>
    <cellStyle name="Normal 2 2 2 2 2 2 4 4 2" xfId="11898" xr:uid="{00000000-0005-0000-0000-00004F2E0000}"/>
    <cellStyle name="Normal 2 2 2 2 2 2 4 4 3" xfId="11899" xr:uid="{00000000-0005-0000-0000-0000502E0000}"/>
    <cellStyle name="Normal 2 2 2 2 2 2 4 4 4" xfId="11900" xr:uid="{00000000-0005-0000-0000-0000512E0000}"/>
    <cellStyle name="Normal 2 2 2 2 2 2 4 4 5" xfId="11901" xr:uid="{00000000-0005-0000-0000-0000522E0000}"/>
    <cellStyle name="Normal 2 2 2 2 2 2 4 4 6" xfId="11902" xr:uid="{00000000-0005-0000-0000-0000532E0000}"/>
    <cellStyle name="Normal 2 2 2 2 2 2 4 4 7" xfId="11903" xr:uid="{00000000-0005-0000-0000-0000542E0000}"/>
    <cellStyle name="Normal 2 2 2 2 2 2 4 4 8" xfId="11904" xr:uid="{00000000-0005-0000-0000-0000552E0000}"/>
    <cellStyle name="Normal 2 2 2 2 2 2 4 4 9" xfId="11905" xr:uid="{00000000-0005-0000-0000-0000562E0000}"/>
    <cellStyle name="Normal 2 2 2 2 2 2 4 5" xfId="11906" xr:uid="{00000000-0005-0000-0000-0000572E0000}"/>
    <cellStyle name="Normal 2 2 2 2 2 2 4 5 10" xfId="11907" xr:uid="{00000000-0005-0000-0000-0000582E0000}"/>
    <cellStyle name="Normal 2 2 2 2 2 2 4 5 2" xfId="11908" xr:uid="{00000000-0005-0000-0000-0000592E0000}"/>
    <cellStyle name="Normal 2 2 2 2 2 2 4 5 3" xfId="11909" xr:uid="{00000000-0005-0000-0000-00005A2E0000}"/>
    <cellStyle name="Normal 2 2 2 2 2 2 4 5 4" xfId="11910" xr:uid="{00000000-0005-0000-0000-00005B2E0000}"/>
    <cellStyle name="Normal 2 2 2 2 2 2 4 5 5" xfId="11911" xr:uid="{00000000-0005-0000-0000-00005C2E0000}"/>
    <cellStyle name="Normal 2 2 2 2 2 2 4 5 6" xfId="11912" xr:uid="{00000000-0005-0000-0000-00005D2E0000}"/>
    <cellStyle name="Normal 2 2 2 2 2 2 4 5 7" xfId="11913" xr:uid="{00000000-0005-0000-0000-00005E2E0000}"/>
    <cellStyle name="Normal 2 2 2 2 2 2 4 5 8" xfId="11914" xr:uid="{00000000-0005-0000-0000-00005F2E0000}"/>
    <cellStyle name="Normal 2 2 2 2 2 2 4 5 9" xfId="11915" xr:uid="{00000000-0005-0000-0000-0000602E0000}"/>
    <cellStyle name="Normal 2 2 2 2 2 2 4 6" xfId="11916" xr:uid="{00000000-0005-0000-0000-0000612E0000}"/>
    <cellStyle name="Normal 2 2 2 2 2 2 4 7" xfId="11917" xr:uid="{00000000-0005-0000-0000-0000622E0000}"/>
    <cellStyle name="Normal 2 2 2 2 2 2 4 8" xfId="11918" xr:uid="{00000000-0005-0000-0000-0000632E0000}"/>
    <cellStyle name="Normal 2 2 2 2 2 2 4 9" xfId="11919" xr:uid="{00000000-0005-0000-0000-0000642E0000}"/>
    <cellStyle name="Normal 2 2 2 2 2 2 40" xfId="11920" xr:uid="{00000000-0005-0000-0000-0000652E0000}"/>
    <cellStyle name="Normal 2 2 2 2 2 2 41" xfId="11921" xr:uid="{00000000-0005-0000-0000-0000662E0000}"/>
    <cellStyle name="Normal 2 2 2 2 2 2 42" xfId="11922" xr:uid="{00000000-0005-0000-0000-0000672E0000}"/>
    <cellStyle name="Normal 2 2 2 2 2 2 43" xfId="11923" xr:uid="{00000000-0005-0000-0000-0000682E0000}"/>
    <cellStyle name="Normal 2 2 2 2 2 2 44" xfId="11924" xr:uid="{00000000-0005-0000-0000-0000692E0000}"/>
    <cellStyle name="Normal 2 2 2 2 2 2 45" xfId="11925" xr:uid="{00000000-0005-0000-0000-00006A2E0000}"/>
    <cellStyle name="Normal 2 2 2 2 2 2 46" xfId="11926" xr:uid="{00000000-0005-0000-0000-00006B2E0000}"/>
    <cellStyle name="Normal 2 2 2 2 2 2 47" xfId="11927" xr:uid="{00000000-0005-0000-0000-00006C2E0000}"/>
    <cellStyle name="Normal 2 2 2 2 2 2 48" xfId="11928" xr:uid="{00000000-0005-0000-0000-00006D2E0000}"/>
    <cellStyle name="Normal 2 2 2 2 2 2 5" xfId="11929" xr:uid="{00000000-0005-0000-0000-00006E2E0000}"/>
    <cellStyle name="Normal 2 2 2 2 2 2 5 10" xfId="11930" xr:uid="{00000000-0005-0000-0000-00006F2E0000}"/>
    <cellStyle name="Normal 2 2 2 2 2 2 5 11" xfId="11931" xr:uid="{00000000-0005-0000-0000-0000702E0000}"/>
    <cellStyle name="Normal 2 2 2 2 2 2 5 12" xfId="11932" xr:uid="{00000000-0005-0000-0000-0000712E0000}"/>
    <cellStyle name="Normal 2 2 2 2 2 2 5 13" xfId="11933" xr:uid="{00000000-0005-0000-0000-0000722E0000}"/>
    <cellStyle name="Normal 2 2 2 2 2 2 5 14" xfId="11934" xr:uid="{00000000-0005-0000-0000-0000732E0000}"/>
    <cellStyle name="Normal 2 2 2 2 2 2 5 2" xfId="11935" xr:uid="{00000000-0005-0000-0000-0000742E0000}"/>
    <cellStyle name="Normal 2 2 2 2 2 2 5 2 10" xfId="11936" xr:uid="{00000000-0005-0000-0000-0000752E0000}"/>
    <cellStyle name="Normal 2 2 2 2 2 2 5 2 2" xfId="11937" xr:uid="{00000000-0005-0000-0000-0000762E0000}"/>
    <cellStyle name="Normal 2 2 2 2 2 2 5 2 3" xfId="11938" xr:uid="{00000000-0005-0000-0000-0000772E0000}"/>
    <cellStyle name="Normal 2 2 2 2 2 2 5 2 4" xfId="11939" xr:uid="{00000000-0005-0000-0000-0000782E0000}"/>
    <cellStyle name="Normal 2 2 2 2 2 2 5 2 5" xfId="11940" xr:uid="{00000000-0005-0000-0000-0000792E0000}"/>
    <cellStyle name="Normal 2 2 2 2 2 2 5 2 6" xfId="11941" xr:uid="{00000000-0005-0000-0000-00007A2E0000}"/>
    <cellStyle name="Normal 2 2 2 2 2 2 5 2 7" xfId="11942" xr:uid="{00000000-0005-0000-0000-00007B2E0000}"/>
    <cellStyle name="Normal 2 2 2 2 2 2 5 2 8" xfId="11943" xr:uid="{00000000-0005-0000-0000-00007C2E0000}"/>
    <cellStyle name="Normal 2 2 2 2 2 2 5 2 9" xfId="11944" xr:uid="{00000000-0005-0000-0000-00007D2E0000}"/>
    <cellStyle name="Normal 2 2 2 2 2 2 5 3" xfId="11945" xr:uid="{00000000-0005-0000-0000-00007E2E0000}"/>
    <cellStyle name="Normal 2 2 2 2 2 2 5 3 10" xfId="11946" xr:uid="{00000000-0005-0000-0000-00007F2E0000}"/>
    <cellStyle name="Normal 2 2 2 2 2 2 5 3 2" xfId="11947" xr:uid="{00000000-0005-0000-0000-0000802E0000}"/>
    <cellStyle name="Normal 2 2 2 2 2 2 5 3 3" xfId="11948" xr:uid="{00000000-0005-0000-0000-0000812E0000}"/>
    <cellStyle name="Normal 2 2 2 2 2 2 5 3 4" xfId="11949" xr:uid="{00000000-0005-0000-0000-0000822E0000}"/>
    <cellStyle name="Normal 2 2 2 2 2 2 5 3 5" xfId="11950" xr:uid="{00000000-0005-0000-0000-0000832E0000}"/>
    <cellStyle name="Normal 2 2 2 2 2 2 5 3 6" xfId="11951" xr:uid="{00000000-0005-0000-0000-0000842E0000}"/>
    <cellStyle name="Normal 2 2 2 2 2 2 5 3 7" xfId="11952" xr:uid="{00000000-0005-0000-0000-0000852E0000}"/>
    <cellStyle name="Normal 2 2 2 2 2 2 5 3 8" xfId="11953" xr:uid="{00000000-0005-0000-0000-0000862E0000}"/>
    <cellStyle name="Normal 2 2 2 2 2 2 5 3 9" xfId="11954" xr:uid="{00000000-0005-0000-0000-0000872E0000}"/>
    <cellStyle name="Normal 2 2 2 2 2 2 5 4" xfId="11955" xr:uid="{00000000-0005-0000-0000-0000882E0000}"/>
    <cellStyle name="Normal 2 2 2 2 2 2 5 4 10" xfId="11956" xr:uid="{00000000-0005-0000-0000-0000892E0000}"/>
    <cellStyle name="Normal 2 2 2 2 2 2 5 4 2" xfId="11957" xr:uid="{00000000-0005-0000-0000-00008A2E0000}"/>
    <cellStyle name="Normal 2 2 2 2 2 2 5 4 3" xfId="11958" xr:uid="{00000000-0005-0000-0000-00008B2E0000}"/>
    <cellStyle name="Normal 2 2 2 2 2 2 5 4 4" xfId="11959" xr:uid="{00000000-0005-0000-0000-00008C2E0000}"/>
    <cellStyle name="Normal 2 2 2 2 2 2 5 4 5" xfId="11960" xr:uid="{00000000-0005-0000-0000-00008D2E0000}"/>
    <cellStyle name="Normal 2 2 2 2 2 2 5 4 6" xfId="11961" xr:uid="{00000000-0005-0000-0000-00008E2E0000}"/>
    <cellStyle name="Normal 2 2 2 2 2 2 5 4 7" xfId="11962" xr:uid="{00000000-0005-0000-0000-00008F2E0000}"/>
    <cellStyle name="Normal 2 2 2 2 2 2 5 4 8" xfId="11963" xr:uid="{00000000-0005-0000-0000-0000902E0000}"/>
    <cellStyle name="Normal 2 2 2 2 2 2 5 4 9" xfId="11964" xr:uid="{00000000-0005-0000-0000-0000912E0000}"/>
    <cellStyle name="Normal 2 2 2 2 2 2 5 5" xfId="11965" xr:uid="{00000000-0005-0000-0000-0000922E0000}"/>
    <cellStyle name="Normal 2 2 2 2 2 2 5 5 10" xfId="11966" xr:uid="{00000000-0005-0000-0000-0000932E0000}"/>
    <cellStyle name="Normal 2 2 2 2 2 2 5 5 2" xfId="11967" xr:uid="{00000000-0005-0000-0000-0000942E0000}"/>
    <cellStyle name="Normal 2 2 2 2 2 2 5 5 3" xfId="11968" xr:uid="{00000000-0005-0000-0000-0000952E0000}"/>
    <cellStyle name="Normal 2 2 2 2 2 2 5 5 4" xfId="11969" xr:uid="{00000000-0005-0000-0000-0000962E0000}"/>
    <cellStyle name="Normal 2 2 2 2 2 2 5 5 5" xfId="11970" xr:uid="{00000000-0005-0000-0000-0000972E0000}"/>
    <cellStyle name="Normal 2 2 2 2 2 2 5 5 6" xfId="11971" xr:uid="{00000000-0005-0000-0000-0000982E0000}"/>
    <cellStyle name="Normal 2 2 2 2 2 2 5 5 7" xfId="11972" xr:uid="{00000000-0005-0000-0000-0000992E0000}"/>
    <cellStyle name="Normal 2 2 2 2 2 2 5 5 8" xfId="11973" xr:uid="{00000000-0005-0000-0000-00009A2E0000}"/>
    <cellStyle name="Normal 2 2 2 2 2 2 5 5 9" xfId="11974" xr:uid="{00000000-0005-0000-0000-00009B2E0000}"/>
    <cellStyle name="Normal 2 2 2 2 2 2 5 6" xfId="11975" xr:uid="{00000000-0005-0000-0000-00009C2E0000}"/>
    <cellStyle name="Normal 2 2 2 2 2 2 5 7" xfId="11976" xr:uid="{00000000-0005-0000-0000-00009D2E0000}"/>
    <cellStyle name="Normal 2 2 2 2 2 2 5 8" xfId="11977" xr:uid="{00000000-0005-0000-0000-00009E2E0000}"/>
    <cellStyle name="Normal 2 2 2 2 2 2 5 9" xfId="11978" xr:uid="{00000000-0005-0000-0000-00009F2E0000}"/>
    <cellStyle name="Normal 2 2 2 2 2 2 6" xfId="11979" xr:uid="{00000000-0005-0000-0000-0000A02E0000}"/>
    <cellStyle name="Normal 2 2 2 2 2 2 6 10" xfId="11980" xr:uid="{00000000-0005-0000-0000-0000A12E0000}"/>
    <cellStyle name="Normal 2 2 2 2 2 2 6 11" xfId="11981" xr:uid="{00000000-0005-0000-0000-0000A22E0000}"/>
    <cellStyle name="Normal 2 2 2 2 2 2 6 12" xfId="11982" xr:uid="{00000000-0005-0000-0000-0000A32E0000}"/>
    <cellStyle name="Normal 2 2 2 2 2 2 6 13" xfId="11983" xr:uid="{00000000-0005-0000-0000-0000A42E0000}"/>
    <cellStyle name="Normal 2 2 2 2 2 2 6 14" xfId="11984" xr:uid="{00000000-0005-0000-0000-0000A52E0000}"/>
    <cellStyle name="Normal 2 2 2 2 2 2 6 2" xfId="11985" xr:uid="{00000000-0005-0000-0000-0000A62E0000}"/>
    <cellStyle name="Normal 2 2 2 2 2 2 6 2 10" xfId="11986" xr:uid="{00000000-0005-0000-0000-0000A72E0000}"/>
    <cellStyle name="Normal 2 2 2 2 2 2 6 2 2" xfId="11987" xr:uid="{00000000-0005-0000-0000-0000A82E0000}"/>
    <cellStyle name="Normal 2 2 2 2 2 2 6 2 3" xfId="11988" xr:uid="{00000000-0005-0000-0000-0000A92E0000}"/>
    <cellStyle name="Normal 2 2 2 2 2 2 6 2 4" xfId="11989" xr:uid="{00000000-0005-0000-0000-0000AA2E0000}"/>
    <cellStyle name="Normal 2 2 2 2 2 2 6 2 5" xfId="11990" xr:uid="{00000000-0005-0000-0000-0000AB2E0000}"/>
    <cellStyle name="Normal 2 2 2 2 2 2 6 2 6" xfId="11991" xr:uid="{00000000-0005-0000-0000-0000AC2E0000}"/>
    <cellStyle name="Normal 2 2 2 2 2 2 6 2 7" xfId="11992" xr:uid="{00000000-0005-0000-0000-0000AD2E0000}"/>
    <cellStyle name="Normal 2 2 2 2 2 2 6 2 8" xfId="11993" xr:uid="{00000000-0005-0000-0000-0000AE2E0000}"/>
    <cellStyle name="Normal 2 2 2 2 2 2 6 2 9" xfId="11994" xr:uid="{00000000-0005-0000-0000-0000AF2E0000}"/>
    <cellStyle name="Normal 2 2 2 2 2 2 6 3" xfId="11995" xr:uid="{00000000-0005-0000-0000-0000B02E0000}"/>
    <cellStyle name="Normal 2 2 2 2 2 2 6 3 10" xfId="11996" xr:uid="{00000000-0005-0000-0000-0000B12E0000}"/>
    <cellStyle name="Normal 2 2 2 2 2 2 6 3 2" xfId="11997" xr:uid="{00000000-0005-0000-0000-0000B22E0000}"/>
    <cellStyle name="Normal 2 2 2 2 2 2 6 3 3" xfId="11998" xr:uid="{00000000-0005-0000-0000-0000B32E0000}"/>
    <cellStyle name="Normal 2 2 2 2 2 2 6 3 4" xfId="11999" xr:uid="{00000000-0005-0000-0000-0000B42E0000}"/>
    <cellStyle name="Normal 2 2 2 2 2 2 6 3 5" xfId="12000" xr:uid="{00000000-0005-0000-0000-0000B52E0000}"/>
    <cellStyle name="Normal 2 2 2 2 2 2 6 3 6" xfId="12001" xr:uid="{00000000-0005-0000-0000-0000B62E0000}"/>
    <cellStyle name="Normal 2 2 2 2 2 2 6 3 7" xfId="12002" xr:uid="{00000000-0005-0000-0000-0000B72E0000}"/>
    <cellStyle name="Normal 2 2 2 2 2 2 6 3 8" xfId="12003" xr:uid="{00000000-0005-0000-0000-0000B82E0000}"/>
    <cellStyle name="Normal 2 2 2 2 2 2 6 3 9" xfId="12004" xr:uid="{00000000-0005-0000-0000-0000B92E0000}"/>
    <cellStyle name="Normal 2 2 2 2 2 2 6 4" xfId="12005" xr:uid="{00000000-0005-0000-0000-0000BA2E0000}"/>
    <cellStyle name="Normal 2 2 2 2 2 2 6 4 10" xfId="12006" xr:uid="{00000000-0005-0000-0000-0000BB2E0000}"/>
    <cellStyle name="Normal 2 2 2 2 2 2 6 4 2" xfId="12007" xr:uid="{00000000-0005-0000-0000-0000BC2E0000}"/>
    <cellStyle name="Normal 2 2 2 2 2 2 6 4 3" xfId="12008" xr:uid="{00000000-0005-0000-0000-0000BD2E0000}"/>
    <cellStyle name="Normal 2 2 2 2 2 2 6 4 4" xfId="12009" xr:uid="{00000000-0005-0000-0000-0000BE2E0000}"/>
    <cellStyle name="Normal 2 2 2 2 2 2 6 4 5" xfId="12010" xr:uid="{00000000-0005-0000-0000-0000BF2E0000}"/>
    <cellStyle name="Normal 2 2 2 2 2 2 6 4 6" xfId="12011" xr:uid="{00000000-0005-0000-0000-0000C02E0000}"/>
    <cellStyle name="Normal 2 2 2 2 2 2 6 4 7" xfId="12012" xr:uid="{00000000-0005-0000-0000-0000C12E0000}"/>
    <cellStyle name="Normal 2 2 2 2 2 2 6 4 8" xfId="12013" xr:uid="{00000000-0005-0000-0000-0000C22E0000}"/>
    <cellStyle name="Normal 2 2 2 2 2 2 6 4 9" xfId="12014" xr:uid="{00000000-0005-0000-0000-0000C32E0000}"/>
    <cellStyle name="Normal 2 2 2 2 2 2 6 5" xfId="12015" xr:uid="{00000000-0005-0000-0000-0000C42E0000}"/>
    <cellStyle name="Normal 2 2 2 2 2 2 6 5 10" xfId="12016" xr:uid="{00000000-0005-0000-0000-0000C52E0000}"/>
    <cellStyle name="Normal 2 2 2 2 2 2 6 5 2" xfId="12017" xr:uid="{00000000-0005-0000-0000-0000C62E0000}"/>
    <cellStyle name="Normal 2 2 2 2 2 2 6 5 3" xfId="12018" xr:uid="{00000000-0005-0000-0000-0000C72E0000}"/>
    <cellStyle name="Normal 2 2 2 2 2 2 6 5 4" xfId="12019" xr:uid="{00000000-0005-0000-0000-0000C82E0000}"/>
    <cellStyle name="Normal 2 2 2 2 2 2 6 5 5" xfId="12020" xr:uid="{00000000-0005-0000-0000-0000C92E0000}"/>
    <cellStyle name="Normal 2 2 2 2 2 2 6 5 6" xfId="12021" xr:uid="{00000000-0005-0000-0000-0000CA2E0000}"/>
    <cellStyle name="Normal 2 2 2 2 2 2 6 5 7" xfId="12022" xr:uid="{00000000-0005-0000-0000-0000CB2E0000}"/>
    <cellStyle name="Normal 2 2 2 2 2 2 6 5 8" xfId="12023" xr:uid="{00000000-0005-0000-0000-0000CC2E0000}"/>
    <cellStyle name="Normal 2 2 2 2 2 2 6 5 9" xfId="12024" xr:uid="{00000000-0005-0000-0000-0000CD2E0000}"/>
    <cellStyle name="Normal 2 2 2 2 2 2 6 6" xfId="12025" xr:uid="{00000000-0005-0000-0000-0000CE2E0000}"/>
    <cellStyle name="Normal 2 2 2 2 2 2 6 7" xfId="12026" xr:uid="{00000000-0005-0000-0000-0000CF2E0000}"/>
    <cellStyle name="Normal 2 2 2 2 2 2 6 8" xfId="12027" xr:uid="{00000000-0005-0000-0000-0000D02E0000}"/>
    <cellStyle name="Normal 2 2 2 2 2 2 6 9" xfId="12028" xr:uid="{00000000-0005-0000-0000-0000D12E0000}"/>
    <cellStyle name="Normal 2 2 2 2 2 2 7" xfId="12029" xr:uid="{00000000-0005-0000-0000-0000D22E0000}"/>
    <cellStyle name="Normal 2 2 2 2 2 2 7 10" xfId="12030" xr:uid="{00000000-0005-0000-0000-0000D32E0000}"/>
    <cellStyle name="Normal 2 2 2 2 2 2 7 11" xfId="12031" xr:uid="{00000000-0005-0000-0000-0000D42E0000}"/>
    <cellStyle name="Normal 2 2 2 2 2 2 7 12" xfId="12032" xr:uid="{00000000-0005-0000-0000-0000D52E0000}"/>
    <cellStyle name="Normal 2 2 2 2 2 2 7 13" xfId="12033" xr:uid="{00000000-0005-0000-0000-0000D62E0000}"/>
    <cellStyle name="Normal 2 2 2 2 2 2 7 14" xfId="12034" xr:uid="{00000000-0005-0000-0000-0000D72E0000}"/>
    <cellStyle name="Normal 2 2 2 2 2 2 7 2" xfId="12035" xr:uid="{00000000-0005-0000-0000-0000D82E0000}"/>
    <cellStyle name="Normal 2 2 2 2 2 2 7 2 10" xfId="12036" xr:uid="{00000000-0005-0000-0000-0000D92E0000}"/>
    <cellStyle name="Normal 2 2 2 2 2 2 7 2 2" xfId="12037" xr:uid="{00000000-0005-0000-0000-0000DA2E0000}"/>
    <cellStyle name="Normal 2 2 2 2 2 2 7 2 3" xfId="12038" xr:uid="{00000000-0005-0000-0000-0000DB2E0000}"/>
    <cellStyle name="Normal 2 2 2 2 2 2 7 2 4" xfId="12039" xr:uid="{00000000-0005-0000-0000-0000DC2E0000}"/>
    <cellStyle name="Normal 2 2 2 2 2 2 7 2 5" xfId="12040" xr:uid="{00000000-0005-0000-0000-0000DD2E0000}"/>
    <cellStyle name="Normal 2 2 2 2 2 2 7 2 6" xfId="12041" xr:uid="{00000000-0005-0000-0000-0000DE2E0000}"/>
    <cellStyle name="Normal 2 2 2 2 2 2 7 2 7" xfId="12042" xr:uid="{00000000-0005-0000-0000-0000DF2E0000}"/>
    <cellStyle name="Normal 2 2 2 2 2 2 7 2 8" xfId="12043" xr:uid="{00000000-0005-0000-0000-0000E02E0000}"/>
    <cellStyle name="Normal 2 2 2 2 2 2 7 2 9" xfId="12044" xr:uid="{00000000-0005-0000-0000-0000E12E0000}"/>
    <cellStyle name="Normal 2 2 2 2 2 2 7 3" xfId="12045" xr:uid="{00000000-0005-0000-0000-0000E22E0000}"/>
    <cellStyle name="Normal 2 2 2 2 2 2 7 3 10" xfId="12046" xr:uid="{00000000-0005-0000-0000-0000E32E0000}"/>
    <cellStyle name="Normal 2 2 2 2 2 2 7 3 2" xfId="12047" xr:uid="{00000000-0005-0000-0000-0000E42E0000}"/>
    <cellStyle name="Normal 2 2 2 2 2 2 7 3 3" xfId="12048" xr:uid="{00000000-0005-0000-0000-0000E52E0000}"/>
    <cellStyle name="Normal 2 2 2 2 2 2 7 3 4" xfId="12049" xr:uid="{00000000-0005-0000-0000-0000E62E0000}"/>
    <cellStyle name="Normal 2 2 2 2 2 2 7 3 5" xfId="12050" xr:uid="{00000000-0005-0000-0000-0000E72E0000}"/>
    <cellStyle name="Normal 2 2 2 2 2 2 7 3 6" xfId="12051" xr:uid="{00000000-0005-0000-0000-0000E82E0000}"/>
    <cellStyle name="Normal 2 2 2 2 2 2 7 3 7" xfId="12052" xr:uid="{00000000-0005-0000-0000-0000E92E0000}"/>
    <cellStyle name="Normal 2 2 2 2 2 2 7 3 8" xfId="12053" xr:uid="{00000000-0005-0000-0000-0000EA2E0000}"/>
    <cellStyle name="Normal 2 2 2 2 2 2 7 3 9" xfId="12054" xr:uid="{00000000-0005-0000-0000-0000EB2E0000}"/>
    <cellStyle name="Normal 2 2 2 2 2 2 7 4" xfId="12055" xr:uid="{00000000-0005-0000-0000-0000EC2E0000}"/>
    <cellStyle name="Normal 2 2 2 2 2 2 7 4 10" xfId="12056" xr:uid="{00000000-0005-0000-0000-0000ED2E0000}"/>
    <cellStyle name="Normal 2 2 2 2 2 2 7 4 2" xfId="12057" xr:uid="{00000000-0005-0000-0000-0000EE2E0000}"/>
    <cellStyle name="Normal 2 2 2 2 2 2 7 4 3" xfId="12058" xr:uid="{00000000-0005-0000-0000-0000EF2E0000}"/>
    <cellStyle name="Normal 2 2 2 2 2 2 7 4 4" xfId="12059" xr:uid="{00000000-0005-0000-0000-0000F02E0000}"/>
    <cellStyle name="Normal 2 2 2 2 2 2 7 4 5" xfId="12060" xr:uid="{00000000-0005-0000-0000-0000F12E0000}"/>
    <cellStyle name="Normal 2 2 2 2 2 2 7 4 6" xfId="12061" xr:uid="{00000000-0005-0000-0000-0000F22E0000}"/>
    <cellStyle name="Normal 2 2 2 2 2 2 7 4 7" xfId="12062" xr:uid="{00000000-0005-0000-0000-0000F32E0000}"/>
    <cellStyle name="Normal 2 2 2 2 2 2 7 4 8" xfId="12063" xr:uid="{00000000-0005-0000-0000-0000F42E0000}"/>
    <cellStyle name="Normal 2 2 2 2 2 2 7 4 9" xfId="12064" xr:uid="{00000000-0005-0000-0000-0000F52E0000}"/>
    <cellStyle name="Normal 2 2 2 2 2 2 7 5" xfId="12065" xr:uid="{00000000-0005-0000-0000-0000F62E0000}"/>
    <cellStyle name="Normal 2 2 2 2 2 2 7 5 10" xfId="12066" xr:uid="{00000000-0005-0000-0000-0000F72E0000}"/>
    <cellStyle name="Normal 2 2 2 2 2 2 7 5 2" xfId="12067" xr:uid="{00000000-0005-0000-0000-0000F82E0000}"/>
    <cellStyle name="Normal 2 2 2 2 2 2 7 5 3" xfId="12068" xr:uid="{00000000-0005-0000-0000-0000F92E0000}"/>
    <cellStyle name="Normal 2 2 2 2 2 2 7 5 4" xfId="12069" xr:uid="{00000000-0005-0000-0000-0000FA2E0000}"/>
    <cellStyle name="Normal 2 2 2 2 2 2 7 5 5" xfId="12070" xr:uid="{00000000-0005-0000-0000-0000FB2E0000}"/>
    <cellStyle name="Normal 2 2 2 2 2 2 7 5 6" xfId="12071" xr:uid="{00000000-0005-0000-0000-0000FC2E0000}"/>
    <cellStyle name="Normal 2 2 2 2 2 2 7 5 7" xfId="12072" xr:uid="{00000000-0005-0000-0000-0000FD2E0000}"/>
    <cellStyle name="Normal 2 2 2 2 2 2 7 5 8" xfId="12073" xr:uid="{00000000-0005-0000-0000-0000FE2E0000}"/>
    <cellStyle name="Normal 2 2 2 2 2 2 7 5 9" xfId="12074" xr:uid="{00000000-0005-0000-0000-0000FF2E0000}"/>
    <cellStyle name="Normal 2 2 2 2 2 2 7 6" xfId="12075" xr:uid="{00000000-0005-0000-0000-0000002F0000}"/>
    <cellStyle name="Normal 2 2 2 2 2 2 7 7" xfId="12076" xr:uid="{00000000-0005-0000-0000-0000012F0000}"/>
    <cellStyle name="Normal 2 2 2 2 2 2 7 8" xfId="12077" xr:uid="{00000000-0005-0000-0000-0000022F0000}"/>
    <cellStyle name="Normal 2 2 2 2 2 2 7 9" xfId="12078" xr:uid="{00000000-0005-0000-0000-0000032F0000}"/>
    <cellStyle name="Normal 2 2 2 2 2 2 8" xfId="12079" xr:uid="{00000000-0005-0000-0000-0000042F0000}"/>
    <cellStyle name="Normal 2 2 2 2 2 2 8 10" xfId="12080" xr:uid="{00000000-0005-0000-0000-0000052F0000}"/>
    <cellStyle name="Normal 2 2 2 2 2 2 8 11" xfId="12081" xr:uid="{00000000-0005-0000-0000-0000062F0000}"/>
    <cellStyle name="Normal 2 2 2 2 2 2 8 12" xfId="12082" xr:uid="{00000000-0005-0000-0000-0000072F0000}"/>
    <cellStyle name="Normal 2 2 2 2 2 2 8 13" xfId="12083" xr:uid="{00000000-0005-0000-0000-0000082F0000}"/>
    <cellStyle name="Normal 2 2 2 2 2 2 8 14" xfId="12084" xr:uid="{00000000-0005-0000-0000-0000092F0000}"/>
    <cellStyle name="Normal 2 2 2 2 2 2 8 2" xfId="12085" xr:uid="{00000000-0005-0000-0000-00000A2F0000}"/>
    <cellStyle name="Normal 2 2 2 2 2 2 8 2 10" xfId="12086" xr:uid="{00000000-0005-0000-0000-00000B2F0000}"/>
    <cellStyle name="Normal 2 2 2 2 2 2 8 2 2" xfId="12087" xr:uid="{00000000-0005-0000-0000-00000C2F0000}"/>
    <cellStyle name="Normal 2 2 2 2 2 2 8 2 3" xfId="12088" xr:uid="{00000000-0005-0000-0000-00000D2F0000}"/>
    <cellStyle name="Normal 2 2 2 2 2 2 8 2 4" xfId="12089" xr:uid="{00000000-0005-0000-0000-00000E2F0000}"/>
    <cellStyle name="Normal 2 2 2 2 2 2 8 2 5" xfId="12090" xr:uid="{00000000-0005-0000-0000-00000F2F0000}"/>
    <cellStyle name="Normal 2 2 2 2 2 2 8 2 6" xfId="12091" xr:uid="{00000000-0005-0000-0000-0000102F0000}"/>
    <cellStyle name="Normal 2 2 2 2 2 2 8 2 7" xfId="12092" xr:uid="{00000000-0005-0000-0000-0000112F0000}"/>
    <cellStyle name="Normal 2 2 2 2 2 2 8 2 8" xfId="12093" xr:uid="{00000000-0005-0000-0000-0000122F0000}"/>
    <cellStyle name="Normal 2 2 2 2 2 2 8 2 9" xfId="12094" xr:uid="{00000000-0005-0000-0000-0000132F0000}"/>
    <cellStyle name="Normal 2 2 2 2 2 2 8 3" xfId="12095" xr:uid="{00000000-0005-0000-0000-0000142F0000}"/>
    <cellStyle name="Normal 2 2 2 2 2 2 8 3 10" xfId="12096" xr:uid="{00000000-0005-0000-0000-0000152F0000}"/>
    <cellStyle name="Normal 2 2 2 2 2 2 8 3 2" xfId="12097" xr:uid="{00000000-0005-0000-0000-0000162F0000}"/>
    <cellStyle name="Normal 2 2 2 2 2 2 8 3 3" xfId="12098" xr:uid="{00000000-0005-0000-0000-0000172F0000}"/>
    <cellStyle name="Normal 2 2 2 2 2 2 8 3 4" xfId="12099" xr:uid="{00000000-0005-0000-0000-0000182F0000}"/>
    <cellStyle name="Normal 2 2 2 2 2 2 8 3 5" xfId="12100" xr:uid="{00000000-0005-0000-0000-0000192F0000}"/>
    <cellStyle name="Normal 2 2 2 2 2 2 8 3 6" xfId="12101" xr:uid="{00000000-0005-0000-0000-00001A2F0000}"/>
    <cellStyle name="Normal 2 2 2 2 2 2 8 3 7" xfId="12102" xr:uid="{00000000-0005-0000-0000-00001B2F0000}"/>
    <cellStyle name="Normal 2 2 2 2 2 2 8 3 8" xfId="12103" xr:uid="{00000000-0005-0000-0000-00001C2F0000}"/>
    <cellStyle name="Normal 2 2 2 2 2 2 8 3 9" xfId="12104" xr:uid="{00000000-0005-0000-0000-00001D2F0000}"/>
    <cellStyle name="Normal 2 2 2 2 2 2 8 4" xfId="12105" xr:uid="{00000000-0005-0000-0000-00001E2F0000}"/>
    <cellStyle name="Normal 2 2 2 2 2 2 8 4 10" xfId="12106" xr:uid="{00000000-0005-0000-0000-00001F2F0000}"/>
    <cellStyle name="Normal 2 2 2 2 2 2 8 4 2" xfId="12107" xr:uid="{00000000-0005-0000-0000-0000202F0000}"/>
    <cellStyle name="Normal 2 2 2 2 2 2 8 4 3" xfId="12108" xr:uid="{00000000-0005-0000-0000-0000212F0000}"/>
    <cellStyle name="Normal 2 2 2 2 2 2 8 4 4" xfId="12109" xr:uid="{00000000-0005-0000-0000-0000222F0000}"/>
    <cellStyle name="Normal 2 2 2 2 2 2 8 4 5" xfId="12110" xr:uid="{00000000-0005-0000-0000-0000232F0000}"/>
    <cellStyle name="Normal 2 2 2 2 2 2 8 4 6" xfId="12111" xr:uid="{00000000-0005-0000-0000-0000242F0000}"/>
    <cellStyle name="Normal 2 2 2 2 2 2 8 4 7" xfId="12112" xr:uid="{00000000-0005-0000-0000-0000252F0000}"/>
    <cellStyle name="Normal 2 2 2 2 2 2 8 4 8" xfId="12113" xr:uid="{00000000-0005-0000-0000-0000262F0000}"/>
    <cellStyle name="Normal 2 2 2 2 2 2 8 4 9" xfId="12114" xr:uid="{00000000-0005-0000-0000-0000272F0000}"/>
    <cellStyle name="Normal 2 2 2 2 2 2 8 5" xfId="12115" xr:uid="{00000000-0005-0000-0000-0000282F0000}"/>
    <cellStyle name="Normal 2 2 2 2 2 2 8 5 10" xfId="12116" xr:uid="{00000000-0005-0000-0000-0000292F0000}"/>
    <cellStyle name="Normal 2 2 2 2 2 2 8 5 2" xfId="12117" xr:uid="{00000000-0005-0000-0000-00002A2F0000}"/>
    <cellStyle name="Normal 2 2 2 2 2 2 8 5 3" xfId="12118" xr:uid="{00000000-0005-0000-0000-00002B2F0000}"/>
    <cellStyle name="Normal 2 2 2 2 2 2 8 5 4" xfId="12119" xr:uid="{00000000-0005-0000-0000-00002C2F0000}"/>
    <cellStyle name="Normal 2 2 2 2 2 2 8 5 5" xfId="12120" xr:uid="{00000000-0005-0000-0000-00002D2F0000}"/>
    <cellStyle name="Normal 2 2 2 2 2 2 8 5 6" xfId="12121" xr:uid="{00000000-0005-0000-0000-00002E2F0000}"/>
    <cellStyle name="Normal 2 2 2 2 2 2 8 5 7" xfId="12122" xr:uid="{00000000-0005-0000-0000-00002F2F0000}"/>
    <cellStyle name="Normal 2 2 2 2 2 2 8 5 8" xfId="12123" xr:uid="{00000000-0005-0000-0000-0000302F0000}"/>
    <cellStyle name="Normal 2 2 2 2 2 2 8 5 9" xfId="12124" xr:uid="{00000000-0005-0000-0000-0000312F0000}"/>
    <cellStyle name="Normal 2 2 2 2 2 2 8 6" xfId="12125" xr:uid="{00000000-0005-0000-0000-0000322F0000}"/>
    <cellStyle name="Normal 2 2 2 2 2 2 8 7" xfId="12126" xr:uid="{00000000-0005-0000-0000-0000332F0000}"/>
    <cellStyle name="Normal 2 2 2 2 2 2 8 8" xfId="12127" xr:uid="{00000000-0005-0000-0000-0000342F0000}"/>
    <cellStyle name="Normal 2 2 2 2 2 2 8 9" xfId="12128" xr:uid="{00000000-0005-0000-0000-0000352F0000}"/>
    <cellStyle name="Normal 2 2 2 2 2 2 9" xfId="12129" xr:uid="{00000000-0005-0000-0000-0000362F0000}"/>
    <cellStyle name="Normal 2 2 2 2 2 2 9 10" xfId="12130" xr:uid="{00000000-0005-0000-0000-0000372F0000}"/>
    <cellStyle name="Normal 2 2 2 2 2 2 9 11" xfId="12131" xr:uid="{00000000-0005-0000-0000-0000382F0000}"/>
    <cellStyle name="Normal 2 2 2 2 2 2 9 12" xfId="12132" xr:uid="{00000000-0005-0000-0000-0000392F0000}"/>
    <cellStyle name="Normal 2 2 2 2 2 2 9 13" xfId="12133" xr:uid="{00000000-0005-0000-0000-00003A2F0000}"/>
    <cellStyle name="Normal 2 2 2 2 2 2 9 14" xfId="12134" xr:uid="{00000000-0005-0000-0000-00003B2F0000}"/>
    <cellStyle name="Normal 2 2 2 2 2 2 9 2" xfId="12135" xr:uid="{00000000-0005-0000-0000-00003C2F0000}"/>
    <cellStyle name="Normal 2 2 2 2 2 2 9 2 10" xfId="12136" xr:uid="{00000000-0005-0000-0000-00003D2F0000}"/>
    <cellStyle name="Normal 2 2 2 2 2 2 9 2 2" xfId="12137" xr:uid="{00000000-0005-0000-0000-00003E2F0000}"/>
    <cellStyle name="Normal 2 2 2 2 2 2 9 2 3" xfId="12138" xr:uid="{00000000-0005-0000-0000-00003F2F0000}"/>
    <cellStyle name="Normal 2 2 2 2 2 2 9 2 4" xfId="12139" xr:uid="{00000000-0005-0000-0000-0000402F0000}"/>
    <cellStyle name="Normal 2 2 2 2 2 2 9 2 5" xfId="12140" xr:uid="{00000000-0005-0000-0000-0000412F0000}"/>
    <cellStyle name="Normal 2 2 2 2 2 2 9 2 6" xfId="12141" xr:uid="{00000000-0005-0000-0000-0000422F0000}"/>
    <cellStyle name="Normal 2 2 2 2 2 2 9 2 7" xfId="12142" xr:uid="{00000000-0005-0000-0000-0000432F0000}"/>
    <cellStyle name="Normal 2 2 2 2 2 2 9 2 8" xfId="12143" xr:uid="{00000000-0005-0000-0000-0000442F0000}"/>
    <cellStyle name="Normal 2 2 2 2 2 2 9 2 9" xfId="12144" xr:uid="{00000000-0005-0000-0000-0000452F0000}"/>
    <cellStyle name="Normal 2 2 2 2 2 2 9 3" xfId="12145" xr:uid="{00000000-0005-0000-0000-0000462F0000}"/>
    <cellStyle name="Normal 2 2 2 2 2 2 9 3 10" xfId="12146" xr:uid="{00000000-0005-0000-0000-0000472F0000}"/>
    <cellStyle name="Normal 2 2 2 2 2 2 9 3 2" xfId="12147" xr:uid="{00000000-0005-0000-0000-0000482F0000}"/>
    <cellStyle name="Normal 2 2 2 2 2 2 9 3 3" xfId="12148" xr:uid="{00000000-0005-0000-0000-0000492F0000}"/>
    <cellStyle name="Normal 2 2 2 2 2 2 9 3 4" xfId="12149" xr:uid="{00000000-0005-0000-0000-00004A2F0000}"/>
    <cellStyle name="Normal 2 2 2 2 2 2 9 3 5" xfId="12150" xr:uid="{00000000-0005-0000-0000-00004B2F0000}"/>
    <cellStyle name="Normal 2 2 2 2 2 2 9 3 6" xfId="12151" xr:uid="{00000000-0005-0000-0000-00004C2F0000}"/>
    <cellStyle name="Normal 2 2 2 2 2 2 9 3 7" xfId="12152" xr:uid="{00000000-0005-0000-0000-00004D2F0000}"/>
    <cellStyle name="Normal 2 2 2 2 2 2 9 3 8" xfId="12153" xr:uid="{00000000-0005-0000-0000-00004E2F0000}"/>
    <cellStyle name="Normal 2 2 2 2 2 2 9 3 9" xfId="12154" xr:uid="{00000000-0005-0000-0000-00004F2F0000}"/>
    <cellStyle name="Normal 2 2 2 2 2 2 9 4" xfId="12155" xr:uid="{00000000-0005-0000-0000-0000502F0000}"/>
    <cellStyle name="Normal 2 2 2 2 2 2 9 4 10" xfId="12156" xr:uid="{00000000-0005-0000-0000-0000512F0000}"/>
    <cellStyle name="Normal 2 2 2 2 2 2 9 4 2" xfId="12157" xr:uid="{00000000-0005-0000-0000-0000522F0000}"/>
    <cellStyle name="Normal 2 2 2 2 2 2 9 4 3" xfId="12158" xr:uid="{00000000-0005-0000-0000-0000532F0000}"/>
    <cellStyle name="Normal 2 2 2 2 2 2 9 4 4" xfId="12159" xr:uid="{00000000-0005-0000-0000-0000542F0000}"/>
    <cellStyle name="Normal 2 2 2 2 2 2 9 4 5" xfId="12160" xr:uid="{00000000-0005-0000-0000-0000552F0000}"/>
    <cellStyle name="Normal 2 2 2 2 2 2 9 4 6" xfId="12161" xr:uid="{00000000-0005-0000-0000-0000562F0000}"/>
    <cellStyle name="Normal 2 2 2 2 2 2 9 4 7" xfId="12162" xr:uid="{00000000-0005-0000-0000-0000572F0000}"/>
    <cellStyle name="Normal 2 2 2 2 2 2 9 4 8" xfId="12163" xr:uid="{00000000-0005-0000-0000-0000582F0000}"/>
    <cellStyle name="Normal 2 2 2 2 2 2 9 4 9" xfId="12164" xr:uid="{00000000-0005-0000-0000-0000592F0000}"/>
    <cellStyle name="Normal 2 2 2 2 2 2 9 5" xfId="12165" xr:uid="{00000000-0005-0000-0000-00005A2F0000}"/>
    <cellStyle name="Normal 2 2 2 2 2 2 9 5 10" xfId="12166" xr:uid="{00000000-0005-0000-0000-00005B2F0000}"/>
    <cellStyle name="Normal 2 2 2 2 2 2 9 5 2" xfId="12167" xr:uid="{00000000-0005-0000-0000-00005C2F0000}"/>
    <cellStyle name="Normal 2 2 2 2 2 2 9 5 3" xfId="12168" xr:uid="{00000000-0005-0000-0000-00005D2F0000}"/>
    <cellStyle name="Normal 2 2 2 2 2 2 9 5 4" xfId="12169" xr:uid="{00000000-0005-0000-0000-00005E2F0000}"/>
    <cellStyle name="Normal 2 2 2 2 2 2 9 5 5" xfId="12170" xr:uid="{00000000-0005-0000-0000-00005F2F0000}"/>
    <cellStyle name="Normal 2 2 2 2 2 2 9 5 6" xfId="12171" xr:uid="{00000000-0005-0000-0000-0000602F0000}"/>
    <cellStyle name="Normal 2 2 2 2 2 2 9 5 7" xfId="12172" xr:uid="{00000000-0005-0000-0000-0000612F0000}"/>
    <cellStyle name="Normal 2 2 2 2 2 2 9 5 8" xfId="12173" xr:uid="{00000000-0005-0000-0000-0000622F0000}"/>
    <cellStyle name="Normal 2 2 2 2 2 2 9 5 9" xfId="12174" xr:uid="{00000000-0005-0000-0000-0000632F0000}"/>
    <cellStyle name="Normal 2 2 2 2 2 2 9 6" xfId="12175" xr:uid="{00000000-0005-0000-0000-0000642F0000}"/>
    <cellStyle name="Normal 2 2 2 2 2 2 9 7" xfId="12176" xr:uid="{00000000-0005-0000-0000-0000652F0000}"/>
    <cellStyle name="Normal 2 2 2 2 2 2 9 8" xfId="12177" xr:uid="{00000000-0005-0000-0000-0000662F0000}"/>
    <cellStyle name="Normal 2 2 2 2 2 2 9 9" xfId="12178" xr:uid="{00000000-0005-0000-0000-0000672F0000}"/>
    <cellStyle name="Normal 2 2 2 2 2 20" xfId="12179" xr:uid="{00000000-0005-0000-0000-0000682F0000}"/>
    <cellStyle name="Normal 2 2 2 2 2 20 10" xfId="12180" xr:uid="{00000000-0005-0000-0000-0000692F0000}"/>
    <cellStyle name="Normal 2 2 2 2 2 20 11" xfId="12181" xr:uid="{00000000-0005-0000-0000-00006A2F0000}"/>
    <cellStyle name="Normal 2 2 2 2 2 20 12" xfId="12182" xr:uid="{00000000-0005-0000-0000-00006B2F0000}"/>
    <cellStyle name="Normal 2 2 2 2 2 20 13" xfId="12183" xr:uid="{00000000-0005-0000-0000-00006C2F0000}"/>
    <cellStyle name="Normal 2 2 2 2 2 20 14" xfId="12184" xr:uid="{00000000-0005-0000-0000-00006D2F0000}"/>
    <cellStyle name="Normal 2 2 2 2 2 20 2" xfId="12185" xr:uid="{00000000-0005-0000-0000-00006E2F0000}"/>
    <cellStyle name="Normal 2 2 2 2 2 20 2 10" xfId="12186" xr:uid="{00000000-0005-0000-0000-00006F2F0000}"/>
    <cellStyle name="Normal 2 2 2 2 2 20 2 2" xfId="12187" xr:uid="{00000000-0005-0000-0000-0000702F0000}"/>
    <cellStyle name="Normal 2 2 2 2 2 20 2 3" xfId="12188" xr:uid="{00000000-0005-0000-0000-0000712F0000}"/>
    <cellStyle name="Normal 2 2 2 2 2 20 2 4" xfId="12189" xr:uid="{00000000-0005-0000-0000-0000722F0000}"/>
    <cellStyle name="Normal 2 2 2 2 2 20 2 5" xfId="12190" xr:uid="{00000000-0005-0000-0000-0000732F0000}"/>
    <cellStyle name="Normal 2 2 2 2 2 20 2 6" xfId="12191" xr:uid="{00000000-0005-0000-0000-0000742F0000}"/>
    <cellStyle name="Normal 2 2 2 2 2 20 2 7" xfId="12192" xr:uid="{00000000-0005-0000-0000-0000752F0000}"/>
    <cellStyle name="Normal 2 2 2 2 2 20 2 8" xfId="12193" xr:uid="{00000000-0005-0000-0000-0000762F0000}"/>
    <cellStyle name="Normal 2 2 2 2 2 20 2 9" xfId="12194" xr:uid="{00000000-0005-0000-0000-0000772F0000}"/>
    <cellStyle name="Normal 2 2 2 2 2 20 3" xfId="12195" xr:uid="{00000000-0005-0000-0000-0000782F0000}"/>
    <cellStyle name="Normal 2 2 2 2 2 20 3 10" xfId="12196" xr:uid="{00000000-0005-0000-0000-0000792F0000}"/>
    <cellStyle name="Normal 2 2 2 2 2 20 3 2" xfId="12197" xr:uid="{00000000-0005-0000-0000-00007A2F0000}"/>
    <cellStyle name="Normal 2 2 2 2 2 20 3 3" xfId="12198" xr:uid="{00000000-0005-0000-0000-00007B2F0000}"/>
    <cellStyle name="Normal 2 2 2 2 2 20 3 4" xfId="12199" xr:uid="{00000000-0005-0000-0000-00007C2F0000}"/>
    <cellStyle name="Normal 2 2 2 2 2 20 3 5" xfId="12200" xr:uid="{00000000-0005-0000-0000-00007D2F0000}"/>
    <cellStyle name="Normal 2 2 2 2 2 20 3 6" xfId="12201" xr:uid="{00000000-0005-0000-0000-00007E2F0000}"/>
    <cellStyle name="Normal 2 2 2 2 2 20 3 7" xfId="12202" xr:uid="{00000000-0005-0000-0000-00007F2F0000}"/>
    <cellStyle name="Normal 2 2 2 2 2 20 3 8" xfId="12203" xr:uid="{00000000-0005-0000-0000-0000802F0000}"/>
    <cellStyle name="Normal 2 2 2 2 2 20 3 9" xfId="12204" xr:uid="{00000000-0005-0000-0000-0000812F0000}"/>
    <cellStyle name="Normal 2 2 2 2 2 20 4" xfId="12205" xr:uid="{00000000-0005-0000-0000-0000822F0000}"/>
    <cellStyle name="Normal 2 2 2 2 2 20 4 10" xfId="12206" xr:uid="{00000000-0005-0000-0000-0000832F0000}"/>
    <cellStyle name="Normal 2 2 2 2 2 20 4 2" xfId="12207" xr:uid="{00000000-0005-0000-0000-0000842F0000}"/>
    <cellStyle name="Normal 2 2 2 2 2 20 4 3" xfId="12208" xr:uid="{00000000-0005-0000-0000-0000852F0000}"/>
    <cellStyle name="Normal 2 2 2 2 2 20 4 4" xfId="12209" xr:uid="{00000000-0005-0000-0000-0000862F0000}"/>
    <cellStyle name="Normal 2 2 2 2 2 20 4 5" xfId="12210" xr:uid="{00000000-0005-0000-0000-0000872F0000}"/>
    <cellStyle name="Normal 2 2 2 2 2 20 4 6" xfId="12211" xr:uid="{00000000-0005-0000-0000-0000882F0000}"/>
    <cellStyle name="Normal 2 2 2 2 2 20 4 7" xfId="12212" xr:uid="{00000000-0005-0000-0000-0000892F0000}"/>
    <cellStyle name="Normal 2 2 2 2 2 20 4 8" xfId="12213" xr:uid="{00000000-0005-0000-0000-00008A2F0000}"/>
    <cellStyle name="Normal 2 2 2 2 2 20 4 9" xfId="12214" xr:uid="{00000000-0005-0000-0000-00008B2F0000}"/>
    <cellStyle name="Normal 2 2 2 2 2 20 5" xfId="12215" xr:uid="{00000000-0005-0000-0000-00008C2F0000}"/>
    <cellStyle name="Normal 2 2 2 2 2 20 5 10" xfId="12216" xr:uid="{00000000-0005-0000-0000-00008D2F0000}"/>
    <cellStyle name="Normal 2 2 2 2 2 20 5 2" xfId="12217" xr:uid="{00000000-0005-0000-0000-00008E2F0000}"/>
    <cellStyle name="Normal 2 2 2 2 2 20 5 3" xfId="12218" xr:uid="{00000000-0005-0000-0000-00008F2F0000}"/>
    <cellStyle name="Normal 2 2 2 2 2 20 5 4" xfId="12219" xr:uid="{00000000-0005-0000-0000-0000902F0000}"/>
    <cellStyle name="Normal 2 2 2 2 2 20 5 5" xfId="12220" xr:uid="{00000000-0005-0000-0000-0000912F0000}"/>
    <cellStyle name="Normal 2 2 2 2 2 20 5 6" xfId="12221" xr:uid="{00000000-0005-0000-0000-0000922F0000}"/>
    <cellStyle name="Normal 2 2 2 2 2 20 5 7" xfId="12222" xr:uid="{00000000-0005-0000-0000-0000932F0000}"/>
    <cellStyle name="Normal 2 2 2 2 2 20 5 8" xfId="12223" xr:uid="{00000000-0005-0000-0000-0000942F0000}"/>
    <cellStyle name="Normal 2 2 2 2 2 20 5 9" xfId="12224" xr:uid="{00000000-0005-0000-0000-0000952F0000}"/>
    <cellStyle name="Normal 2 2 2 2 2 20 6" xfId="12225" xr:uid="{00000000-0005-0000-0000-0000962F0000}"/>
    <cellStyle name="Normal 2 2 2 2 2 20 7" xfId="12226" xr:uid="{00000000-0005-0000-0000-0000972F0000}"/>
    <cellStyle name="Normal 2 2 2 2 2 20 8" xfId="12227" xr:uid="{00000000-0005-0000-0000-0000982F0000}"/>
    <cellStyle name="Normal 2 2 2 2 2 20 9" xfId="12228" xr:uid="{00000000-0005-0000-0000-0000992F0000}"/>
    <cellStyle name="Normal 2 2 2 2 2 21" xfId="12229" xr:uid="{00000000-0005-0000-0000-00009A2F0000}"/>
    <cellStyle name="Normal 2 2 2 2 2 21 10" xfId="12230" xr:uid="{00000000-0005-0000-0000-00009B2F0000}"/>
    <cellStyle name="Normal 2 2 2 2 2 21 11" xfId="12231" xr:uid="{00000000-0005-0000-0000-00009C2F0000}"/>
    <cellStyle name="Normal 2 2 2 2 2 21 12" xfId="12232" xr:uid="{00000000-0005-0000-0000-00009D2F0000}"/>
    <cellStyle name="Normal 2 2 2 2 2 21 13" xfId="12233" xr:uid="{00000000-0005-0000-0000-00009E2F0000}"/>
    <cellStyle name="Normal 2 2 2 2 2 21 14" xfId="12234" xr:uid="{00000000-0005-0000-0000-00009F2F0000}"/>
    <cellStyle name="Normal 2 2 2 2 2 21 2" xfId="12235" xr:uid="{00000000-0005-0000-0000-0000A02F0000}"/>
    <cellStyle name="Normal 2 2 2 2 2 21 2 10" xfId="12236" xr:uid="{00000000-0005-0000-0000-0000A12F0000}"/>
    <cellStyle name="Normal 2 2 2 2 2 21 2 2" xfId="12237" xr:uid="{00000000-0005-0000-0000-0000A22F0000}"/>
    <cellStyle name="Normal 2 2 2 2 2 21 2 3" xfId="12238" xr:uid="{00000000-0005-0000-0000-0000A32F0000}"/>
    <cellStyle name="Normal 2 2 2 2 2 21 2 4" xfId="12239" xr:uid="{00000000-0005-0000-0000-0000A42F0000}"/>
    <cellStyle name="Normal 2 2 2 2 2 21 2 5" xfId="12240" xr:uid="{00000000-0005-0000-0000-0000A52F0000}"/>
    <cellStyle name="Normal 2 2 2 2 2 21 2 6" xfId="12241" xr:uid="{00000000-0005-0000-0000-0000A62F0000}"/>
    <cellStyle name="Normal 2 2 2 2 2 21 2 7" xfId="12242" xr:uid="{00000000-0005-0000-0000-0000A72F0000}"/>
    <cellStyle name="Normal 2 2 2 2 2 21 2 8" xfId="12243" xr:uid="{00000000-0005-0000-0000-0000A82F0000}"/>
    <cellStyle name="Normal 2 2 2 2 2 21 2 9" xfId="12244" xr:uid="{00000000-0005-0000-0000-0000A92F0000}"/>
    <cellStyle name="Normal 2 2 2 2 2 21 3" xfId="12245" xr:uid="{00000000-0005-0000-0000-0000AA2F0000}"/>
    <cellStyle name="Normal 2 2 2 2 2 21 3 10" xfId="12246" xr:uid="{00000000-0005-0000-0000-0000AB2F0000}"/>
    <cellStyle name="Normal 2 2 2 2 2 21 3 2" xfId="12247" xr:uid="{00000000-0005-0000-0000-0000AC2F0000}"/>
    <cellStyle name="Normal 2 2 2 2 2 21 3 3" xfId="12248" xr:uid="{00000000-0005-0000-0000-0000AD2F0000}"/>
    <cellStyle name="Normal 2 2 2 2 2 21 3 4" xfId="12249" xr:uid="{00000000-0005-0000-0000-0000AE2F0000}"/>
    <cellStyle name="Normal 2 2 2 2 2 21 3 5" xfId="12250" xr:uid="{00000000-0005-0000-0000-0000AF2F0000}"/>
    <cellStyle name="Normal 2 2 2 2 2 21 3 6" xfId="12251" xr:uid="{00000000-0005-0000-0000-0000B02F0000}"/>
    <cellStyle name="Normal 2 2 2 2 2 21 3 7" xfId="12252" xr:uid="{00000000-0005-0000-0000-0000B12F0000}"/>
    <cellStyle name="Normal 2 2 2 2 2 21 3 8" xfId="12253" xr:uid="{00000000-0005-0000-0000-0000B22F0000}"/>
    <cellStyle name="Normal 2 2 2 2 2 21 3 9" xfId="12254" xr:uid="{00000000-0005-0000-0000-0000B32F0000}"/>
    <cellStyle name="Normal 2 2 2 2 2 21 4" xfId="12255" xr:uid="{00000000-0005-0000-0000-0000B42F0000}"/>
    <cellStyle name="Normal 2 2 2 2 2 21 4 10" xfId="12256" xr:uid="{00000000-0005-0000-0000-0000B52F0000}"/>
    <cellStyle name="Normal 2 2 2 2 2 21 4 2" xfId="12257" xr:uid="{00000000-0005-0000-0000-0000B62F0000}"/>
    <cellStyle name="Normal 2 2 2 2 2 21 4 3" xfId="12258" xr:uid="{00000000-0005-0000-0000-0000B72F0000}"/>
    <cellStyle name="Normal 2 2 2 2 2 21 4 4" xfId="12259" xr:uid="{00000000-0005-0000-0000-0000B82F0000}"/>
    <cellStyle name="Normal 2 2 2 2 2 21 4 5" xfId="12260" xr:uid="{00000000-0005-0000-0000-0000B92F0000}"/>
    <cellStyle name="Normal 2 2 2 2 2 21 4 6" xfId="12261" xr:uid="{00000000-0005-0000-0000-0000BA2F0000}"/>
    <cellStyle name="Normal 2 2 2 2 2 21 4 7" xfId="12262" xr:uid="{00000000-0005-0000-0000-0000BB2F0000}"/>
    <cellStyle name="Normal 2 2 2 2 2 21 4 8" xfId="12263" xr:uid="{00000000-0005-0000-0000-0000BC2F0000}"/>
    <cellStyle name="Normal 2 2 2 2 2 21 4 9" xfId="12264" xr:uid="{00000000-0005-0000-0000-0000BD2F0000}"/>
    <cellStyle name="Normal 2 2 2 2 2 21 5" xfId="12265" xr:uid="{00000000-0005-0000-0000-0000BE2F0000}"/>
    <cellStyle name="Normal 2 2 2 2 2 21 5 10" xfId="12266" xr:uid="{00000000-0005-0000-0000-0000BF2F0000}"/>
    <cellStyle name="Normal 2 2 2 2 2 21 5 2" xfId="12267" xr:uid="{00000000-0005-0000-0000-0000C02F0000}"/>
    <cellStyle name="Normal 2 2 2 2 2 21 5 3" xfId="12268" xr:uid="{00000000-0005-0000-0000-0000C12F0000}"/>
    <cellStyle name="Normal 2 2 2 2 2 21 5 4" xfId="12269" xr:uid="{00000000-0005-0000-0000-0000C22F0000}"/>
    <cellStyle name="Normal 2 2 2 2 2 21 5 5" xfId="12270" xr:uid="{00000000-0005-0000-0000-0000C32F0000}"/>
    <cellStyle name="Normal 2 2 2 2 2 21 5 6" xfId="12271" xr:uid="{00000000-0005-0000-0000-0000C42F0000}"/>
    <cellStyle name="Normal 2 2 2 2 2 21 5 7" xfId="12272" xr:uid="{00000000-0005-0000-0000-0000C52F0000}"/>
    <cellStyle name="Normal 2 2 2 2 2 21 5 8" xfId="12273" xr:uid="{00000000-0005-0000-0000-0000C62F0000}"/>
    <cellStyle name="Normal 2 2 2 2 2 21 5 9" xfId="12274" xr:uid="{00000000-0005-0000-0000-0000C72F0000}"/>
    <cellStyle name="Normal 2 2 2 2 2 21 6" xfId="12275" xr:uid="{00000000-0005-0000-0000-0000C82F0000}"/>
    <cellStyle name="Normal 2 2 2 2 2 21 7" xfId="12276" xr:uid="{00000000-0005-0000-0000-0000C92F0000}"/>
    <cellStyle name="Normal 2 2 2 2 2 21 8" xfId="12277" xr:uid="{00000000-0005-0000-0000-0000CA2F0000}"/>
    <cellStyle name="Normal 2 2 2 2 2 21 9" xfId="12278" xr:uid="{00000000-0005-0000-0000-0000CB2F0000}"/>
    <cellStyle name="Normal 2 2 2 2 2 22" xfId="12279" xr:uid="{00000000-0005-0000-0000-0000CC2F0000}"/>
    <cellStyle name="Normal 2 2 2 2 2 22 10" xfId="12280" xr:uid="{00000000-0005-0000-0000-0000CD2F0000}"/>
    <cellStyle name="Normal 2 2 2 2 2 22 11" xfId="12281" xr:uid="{00000000-0005-0000-0000-0000CE2F0000}"/>
    <cellStyle name="Normal 2 2 2 2 2 22 12" xfId="12282" xr:uid="{00000000-0005-0000-0000-0000CF2F0000}"/>
    <cellStyle name="Normal 2 2 2 2 2 22 13" xfId="12283" xr:uid="{00000000-0005-0000-0000-0000D02F0000}"/>
    <cellStyle name="Normal 2 2 2 2 2 22 14" xfId="12284" xr:uid="{00000000-0005-0000-0000-0000D12F0000}"/>
    <cellStyle name="Normal 2 2 2 2 2 22 2" xfId="12285" xr:uid="{00000000-0005-0000-0000-0000D22F0000}"/>
    <cellStyle name="Normal 2 2 2 2 2 22 2 10" xfId="12286" xr:uid="{00000000-0005-0000-0000-0000D32F0000}"/>
    <cellStyle name="Normal 2 2 2 2 2 22 2 2" xfId="12287" xr:uid="{00000000-0005-0000-0000-0000D42F0000}"/>
    <cellStyle name="Normal 2 2 2 2 2 22 2 3" xfId="12288" xr:uid="{00000000-0005-0000-0000-0000D52F0000}"/>
    <cellStyle name="Normal 2 2 2 2 2 22 2 4" xfId="12289" xr:uid="{00000000-0005-0000-0000-0000D62F0000}"/>
    <cellStyle name="Normal 2 2 2 2 2 22 2 5" xfId="12290" xr:uid="{00000000-0005-0000-0000-0000D72F0000}"/>
    <cellStyle name="Normal 2 2 2 2 2 22 2 6" xfId="12291" xr:uid="{00000000-0005-0000-0000-0000D82F0000}"/>
    <cellStyle name="Normal 2 2 2 2 2 22 2 7" xfId="12292" xr:uid="{00000000-0005-0000-0000-0000D92F0000}"/>
    <cellStyle name="Normal 2 2 2 2 2 22 2 8" xfId="12293" xr:uid="{00000000-0005-0000-0000-0000DA2F0000}"/>
    <cellStyle name="Normal 2 2 2 2 2 22 2 9" xfId="12294" xr:uid="{00000000-0005-0000-0000-0000DB2F0000}"/>
    <cellStyle name="Normal 2 2 2 2 2 22 3" xfId="12295" xr:uid="{00000000-0005-0000-0000-0000DC2F0000}"/>
    <cellStyle name="Normal 2 2 2 2 2 22 3 10" xfId="12296" xr:uid="{00000000-0005-0000-0000-0000DD2F0000}"/>
    <cellStyle name="Normal 2 2 2 2 2 22 3 2" xfId="12297" xr:uid="{00000000-0005-0000-0000-0000DE2F0000}"/>
    <cellStyle name="Normal 2 2 2 2 2 22 3 3" xfId="12298" xr:uid="{00000000-0005-0000-0000-0000DF2F0000}"/>
    <cellStyle name="Normal 2 2 2 2 2 22 3 4" xfId="12299" xr:uid="{00000000-0005-0000-0000-0000E02F0000}"/>
    <cellStyle name="Normal 2 2 2 2 2 22 3 5" xfId="12300" xr:uid="{00000000-0005-0000-0000-0000E12F0000}"/>
    <cellStyle name="Normal 2 2 2 2 2 22 3 6" xfId="12301" xr:uid="{00000000-0005-0000-0000-0000E22F0000}"/>
    <cellStyle name="Normal 2 2 2 2 2 22 3 7" xfId="12302" xr:uid="{00000000-0005-0000-0000-0000E32F0000}"/>
    <cellStyle name="Normal 2 2 2 2 2 22 3 8" xfId="12303" xr:uid="{00000000-0005-0000-0000-0000E42F0000}"/>
    <cellStyle name="Normal 2 2 2 2 2 22 3 9" xfId="12304" xr:uid="{00000000-0005-0000-0000-0000E52F0000}"/>
    <cellStyle name="Normal 2 2 2 2 2 22 4" xfId="12305" xr:uid="{00000000-0005-0000-0000-0000E62F0000}"/>
    <cellStyle name="Normal 2 2 2 2 2 22 4 10" xfId="12306" xr:uid="{00000000-0005-0000-0000-0000E72F0000}"/>
    <cellStyle name="Normal 2 2 2 2 2 22 4 2" xfId="12307" xr:uid="{00000000-0005-0000-0000-0000E82F0000}"/>
    <cellStyle name="Normal 2 2 2 2 2 22 4 3" xfId="12308" xr:uid="{00000000-0005-0000-0000-0000E92F0000}"/>
    <cellStyle name="Normal 2 2 2 2 2 22 4 4" xfId="12309" xr:uid="{00000000-0005-0000-0000-0000EA2F0000}"/>
    <cellStyle name="Normal 2 2 2 2 2 22 4 5" xfId="12310" xr:uid="{00000000-0005-0000-0000-0000EB2F0000}"/>
    <cellStyle name="Normal 2 2 2 2 2 22 4 6" xfId="12311" xr:uid="{00000000-0005-0000-0000-0000EC2F0000}"/>
    <cellStyle name="Normal 2 2 2 2 2 22 4 7" xfId="12312" xr:uid="{00000000-0005-0000-0000-0000ED2F0000}"/>
    <cellStyle name="Normal 2 2 2 2 2 22 4 8" xfId="12313" xr:uid="{00000000-0005-0000-0000-0000EE2F0000}"/>
    <cellStyle name="Normal 2 2 2 2 2 22 4 9" xfId="12314" xr:uid="{00000000-0005-0000-0000-0000EF2F0000}"/>
    <cellStyle name="Normal 2 2 2 2 2 22 5" xfId="12315" xr:uid="{00000000-0005-0000-0000-0000F02F0000}"/>
    <cellStyle name="Normal 2 2 2 2 2 22 5 10" xfId="12316" xr:uid="{00000000-0005-0000-0000-0000F12F0000}"/>
    <cellStyle name="Normal 2 2 2 2 2 22 5 2" xfId="12317" xr:uid="{00000000-0005-0000-0000-0000F22F0000}"/>
    <cellStyle name="Normal 2 2 2 2 2 22 5 3" xfId="12318" xr:uid="{00000000-0005-0000-0000-0000F32F0000}"/>
    <cellStyle name="Normal 2 2 2 2 2 22 5 4" xfId="12319" xr:uid="{00000000-0005-0000-0000-0000F42F0000}"/>
    <cellStyle name="Normal 2 2 2 2 2 22 5 5" xfId="12320" xr:uid="{00000000-0005-0000-0000-0000F52F0000}"/>
    <cellStyle name="Normal 2 2 2 2 2 22 5 6" xfId="12321" xr:uid="{00000000-0005-0000-0000-0000F62F0000}"/>
    <cellStyle name="Normal 2 2 2 2 2 22 5 7" xfId="12322" xr:uid="{00000000-0005-0000-0000-0000F72F0000}"/>
    <cellStyle name="Normal 2 2 2 2 2 22 5 8" xfId="12323" xr:uid="{00000000-0005-0000-0000-0000F82F0000}"/>
    <cellStyle name="Normal 2 2 2 2 2 22 5 9" xfId="12324" xr:uid="{00000000-0005-0000-0000-0000F92F0000}"/>
    <cellStyle name="Normal 2 2 2 2 2 22 6" xfId="12325" xr:uid="{00000000-0005-0000-0000-0000FA2F0000}"/>
    <cellStyle name="Normal 2 2 2 2 2 22 7" xfId="12326" xr:uid="{00000000-0005-0000-0000-0000FB2F0000}"/>
    <cellStyle name="Normal 2 2 2 2 2 22 8" xfId="12327" xr:uid="{00000000-0005-0000-0000-0000FC2F0000}"/>
    <cellStyle name="Normal 2 2 2 2 2 22 9" xfId="12328" xr:uid="{00000000-0005-0000-0000-0000FD2F0000}"/>
    <cellStyle name="Normal 2 2 2 2 2 23" xfId="12329" xr:uid="{00000000-0005-0000-0000-0000FE2F0000}"/>
    <cellStyle name="Normal 2 2 2 2 2 23 10" xfId="12330" xr:uid="{00000000-0005-0000-0000-0000FF2F0000}"/>
    <cellStyle name="Normal 2 2 2 2 2 23 11" xfId="12331" xr:uid="{00000000-0005-0000-0000-000000300000}"/>
    <cellStyle name="Normal 2 2 2 2 2 23 12" xfId="12332" xr:uid="{00000000-0005-0000-0000-000001300000}"/>
    <cellStyle name="Normal 2 2 2 2 2 23 13" xfId="12333" xr:uid="{00000000-0005-0000-0000-000002300000}"/>
    <cellStyle name="Normal 2 2 2 2 2 23 14" xfId="12334" xr:uid="{00000000-0005-0000-0000-000003300000}"/>
    <cellStyle name="Normal 2 2 2 2 2 23 2" xfId="12335" xr:uid="{00000000-0005-0000-0000-000004300000}"/>
    <cellStyle name="Normal 2 2 2 2 2 23 2 10" xfId="12336" xr:uid="{00000000-0005-0000-0000-000005300000}"/>
    <cellStyle name="Normal 2 2 2 2 2 23 2 2" xfId="12337" xr:uid="{00000000-0005-0000-0000-000006300000}"/>
    <cellStyle name="Normal 2 2 2 2 2 23 2 3" xfId="12338" xr:uid="{00000000-0005-0000-0000-000007300000}"/>
    <cellStyle name="Normal 2 2 2 2 2 23 2 4" xfId="12339" xr:uid="{00000000-0005-0000-0000-000008300000}"/>
    <cellStyle name="Normal 2 2 2 2 2 23 2 5" xfId="12340" xr:uid="{00000000-0005-0000-0000-000009300000}"/>
    <cellStyle name="Normal 2 2 2 2 2 23 2 6" xfId="12341" xr:uid="{00000000-0005-0000-0000-00000A300000}"/>
    <cellStyle name="Normal 2 2 2 2 2 23 2 7" xfId="12342" xr:uid="{00000000-0005-0000-0000-00000B300000}"/>
    <cellStyle name="Normal 2 2 2 2 2 23 2 8" xfId="12343" xr:uid="{00000000-0005-0000-0000-00000C300000}"/>
    <cellStyle name="Normal 2 2 2 2 2 23 2 9" xfId="12344" xr:uid="{00000000-0005-0000-0000-00000D300000}"/>
    <cellStyle name="Normal 2 2 2 2 2 23 3" xfId="12345" xr:uid="{00000000-0005-0000-0000-00000E300000}"/>
    <cellStyle name="Normal 2 2 2 2 2 23 3 10" xfId="12346" xr:uid="{00000000-0005-0000-0000-00000F300000}"/>
    <cellStyle name="Normal 2 2 2 2 2 23 3 2" xfId="12347" xr:uid="{00000000-0005-0000-0000-000010300000}"/>
    <cellStyle name="Normal 2 2 2 2 2 23 3 3" xfId="12348" xr:uid="{00000000-0005-0000-0000-000011300000}"/>
    <cellStyle name="Normal 2 2 2 2 2 23 3 4" xfId="12349" xr:uid="{00000000-0005-0000-0000-000012300000}"/>
    <cellStyle name="Normal 2 2 2 2 2 23 3 5" xfId="12350" xr:uid="{00000000-0005-0000-0000-000013300000}"/>
    <cellStyle name="Normal 2 2 2 2 2 23 3 6" xfId="12351" xr:uid="{00000000-0005-0000-0000-000014300000}"/>
    <cellStyle name="Normal 2 2 2 2 2 23 3 7" xfId="12352" xr:uid="{00000000-0005-0000-0000-000015300000}"/>
    <cellStyle name="Normal 2 2 2 2 2 23 3 8" xfId="12353" xr:uid="{00000000-0005-0000-0000-000016300000}"/>
    <cellStyle name="Normal 2 2 2 2 2 23 3 9" xfId="12354" xr:uid="{00000000-0005-0000-0000-000017300000}"/>
    <cellStyle name="Normal 2 2 2 2 2 23 4" xfId="12355" xr:uid="{00000000-0005-0000-0000-000018300000}"/>
    <cellStyle name="Normal 2 2 2 2 2 23 4 10" xfId="12356" xr:uid="{00000000-0005-0000-0000-000019300000}"/>
    <cellStyle name="Normal 2 2 2 2 2 23 4 2" xfId="12357" xr:uid="{00000000-0005-0000-0000-00001A300000}"/>
    <cellStyle name="Normal 2 2 2 2 2 23 4 3" xfId="12358" xr:uid="{00000000-0005-0000-0000-00001B300000}"/>
    <cellStyle name="Normal 2 2 2 2 2 23 4 4" xfId="12359" xr:uid="{00000000-0005-0000-0000-00001C300000}"/>
    <cellStyle name="Normal 2 2 2 2 2 23 4 5" xfId="12360" xr:uid="{00000000-0005-0000-0000-00001D300000}"/>
    <cellStyle name="Normal 2 2 2 2 2 23 4 6" xfId="12361" xr:uid="{00000000-0005-0000-0000-00001E300000}"/>
    <cellStyle name="Normal 2 2 2 2 2 23 4 7" xfId="12362" xr:uid="{00000000-0005-0000-0000-00001F300000}"/>
    <cellStyle name="Normal 2 2 2 2 2 23 4 8" xfId="12363" xr:uid="{00000000-0005-0000-0000-000020300000}"/>
    <cellStyle name="Normal 2 2 2 2 2 23 4 9" xfId="12364" xr:uid="{00000000-0005-0000-0000-000021300000}"/>
    <cellStyle name="Normal 2 2 2 2 2 23 5" xfId="12365" xr:uid="{00000000-0005-0000-0000-000022300000}"/>
    <cellStyle name="Normal 2 2 2 2 2 23 5 10" xfId="12366" xr:uid="{00000000-0005-0000-0000-000023300000}"/>
    <cellStyle name="Normal 2 2 2 2 2 23 5 2" xfId="12367" xr:uid="{00000000-0005-0000-0000-000024300000}"/>
    <cellStyle name="Normal 2 2 2 2 2 23 5 3" xfId="12368" xr:uid="{00000000-0005-0000-0000-000025300000}"/>
    <cellStyle name="Normal 2 2 2 2 2 23 5 4" xfId="12369" xr:uid="{00000000-0005-0000-0000-000026300000}"/>
    <cellStyle name="Normal 2 2 2 2 2 23 5 5" xfId="12370" xr:uid="{00000000-0005-0000-0000-000027300000}"/>
    <cellStyle name="Normal 2 2 2 2 2 23 5 6" xfId="12371" xr:uid="{00000000-0005-0000-0000-000028300000}"/>
    <cellStyle name="Normal 2 2 2 2 2 23 5 7" xfId="12372" xr:uid="{00000000-0005-0000-0000-000029300000}"/>
    <cellStyle name="Normal 2 2 2 2 2 23 5 8" xfId="12373" xr:uid="{00000000-0005-0000-0000-00002A300000}"/>
    <cellStyle name="Normal 2 2 2 2 2 23 5 9" xfId="12374" xr:uid="{00000000-0005-0000-0000-00002B300000}"/>
    <cellStyle name="Normal 2 2 2 2 2 23 6" xfId="12375" xr:uid="{00000000-0005-0000-0000-00002C300000}"/>
    <cellStyle name="Normal 2 2 2 2 2 23 7" xfId="12376" xr:uid="{00000000-0005-0000-0000-00002D300000}"/>
    <cellStyle name="Normal 2 2 2 2 2 23 8" xfId="12377" xr:uid="{00000000-0005-0000-0000-00002E300000}"/>
    <cellStyle name="Normal 2 2 2 2 2 23 9" xfId="12378" xr:uid="{00000000-0005-0000-0000-00002F300000}"/>
    <cellStyle name="Normal 2 2 2 2 2 24" xfId="12379" xr:uid="{00000000-0005-0000-0000-000030300000}"/>
    <cellStyle name="Normal 2 2 2 2 2 24 10" xfId="12380" xr:uid="{00000000-0005-0000-0000-000031300000}"/>
    <cellStyle name="Normal 2 2 2 2 2 24 11" xfId="12381" xr:uid="{00000000-0005-0000-0000-000032300000}"/>
    <cellStyle name="Normal 2 2 2 2 2 24 12" xfId="12382" xr:uid="{00000000-0005-0000-0000-000033300000}"/>
    <cellStyle name="Normal 2 2 2 2 2 24 13" xfId="12383" xr:uid="{00000000-0005-0000-0000-000034300000}"/>
    <cellStyle name="Normal 2 2 2 2 2 24 14" xfId="12384" xr:uid="{00000000-0005-0000-0000-000035300000}"/>
    <cellStyle name="Normal 2 2 2 2 2 24 2" xfId="12385" xr:uid="{00000000-0005-0000-0000-000036300000}"/>
    <cellStyle name="Normal 2 2 2 2 2 24 2 10" xfId="12386" xr:uid="{00000000-0005-0000-0000-000037300000}"/>
    <cellStyle name="Normal 2 2 2 2 2 24 2 2" xfId="12387" xr:uid="{00000000-0005-0000-0000-000038300000}"/>
    <cellStyle name="Normal 2 2 2 2 2 24 2 3" xfId="12388" xr:uid="{00000000-0005-0000-0000-000039300000}"/>
    <cellStyle name="Normal 2 2 2 2 2 24 2 4" xfId="12389" xr:uid="{00000000-0005-0000-0000-00003A300000}"/>
    <cellStyle name="Normal 2 2 2 2 2 24 2 5" xfId="12390" xr:uid="{00000000-0005-0000-0000-00003B300000}"/>
    <cellStyle name="Normal 2 2 2 2 2 24 2 6" xfId="12391" xr:uid="{00000000-0005-0000-0000-00003C300000}"/>
    <cellStyle name="Normal 2 2 2 2 2 24 2 7" xfId="12392" xr:uid="{00000000-0005-0000-0000-00003D300000}"/>
    <cellStyle name="Normal 2 2 2 2 2 24 2 8" xfId="12393" xr:uid="{00000000-0005-0000-0000-00003E300000}"/>
    <cellStyle name="Normal 2 2 2 2 2 24 2 9" xfId="12394" xr:uid="{00000000-0005-0000-0000-00003F300000}"/>
    <cellStyle name="Normal 2 2 2 2 2 24 3" xfId="12395" xr:uid="{00000000-0005-0000-0000-000040300000}"/>
    <cellStyle name="Normal 2 2 2 2 2 24 3 10" xfId="12396" xr:uid="{00000000-0005-0000-0000-000041300000}"/>
    <cellStyle name="Normal 2 2 2 2 2 24 3 2" xfId="12397" xr:uid="{00000000-0005-0000-0000-000042300000}"/>
    <cellStyle name="Normal 2 2 2 2 2 24 3 3" xfId="12398" xr:uid="{00000000-0005-0000-0000-000043300000}"/>
    <cellStyle name="Normal 2 2 2 2 2 24 3 4" xfId="12399" xr:uid="{00000000-0005-0000-0000-000044300000}"/>
    <cellStyle name="Normal 2 2 2 2 2 24 3 5" xfId="12400" xr:uid="{00000000-0005-0000-0000-000045300000}"/>
    <cellStyle name="Normal 2 2 2 2 2 24 3 6" xfId="12401" xr:uid="{00000000-0005-0000-0000-000046300000}"/>
    <cellStyle name="Normal 2 2 2 2 2 24 3 7" xfId="12402" xr:uid="{00000000-0005-0000-0000-000047300000}"/>
    <cellStyle name="Normal 2 2 2 2 2 24 3 8" xfId="12403" xr:uid="{00000000-0005-0000-0000-000048300000}"/>
    <cellStyle name="Normal 2 2 2 2 2 24 3 9" xfId="12404" xr:uid="{00000000-0005-0000-0000-000049300000}"/>
    <cellStyle name="Normal 2 2 2 2 2 24 4" xfId="12405" xr:uid="{00000000-0005-0000-0000-00004A300000}"/>
    <cellStyle name="Normal 2 2 2 2 2 24 4 10" xfId="12406" xr:uid="{00000000-0005-0000-0000-00004B300000}"/>
    <cellStyle name="Normal 2 2 2 2 2 24 4 2" xfId="12407" xr:uid="{00000000-0005-0000-0000-00004C300000}"/>
    <cellStyle name="Normal 2 2 2 2 2 24 4 3" xfId="12408" xr:uid="{00000000-0005-0000-0000-00004D300000}"/>
    <cellStyle name="Normal 2 2 2 2 2 24 4 4" xfId="12409" xr:uid="{00000000-0005-0000-0000-00004E300000}"/>
    <cellStyle name="Normal 2 2 2 2 2 24 4 5" xfId="12410" xr:uid="{00000000-0005-0000-0000-00004F300000}"/>
    <cellStyle name="Normal 2 2 2 2 2 24 4 6" xfId="12411" xr:uid="{00000000-0005-0000-0000-000050300000}"/>
    <cellStyle name="Normal 2 2 2 2 2 24 4 7" xfId="12412" xr:uid="{00000000-0005-0000-0000-000051300000}"/>
    <cellStyle name="Normal 2 2 2 2 2 24 4 8" xfId="12413" xr:uid="{00000000-0005-0000-0000-000052300000}"/>
    <cellStyle name="Normal 2 2 2 2 2 24 4 9" xfId="12414" xr:uid="{00000000-0005-0000-0000-000053300000}"/>
    <cellStyle name="Normal 2 2 2 2 2 24 5" xfId="12415" xr:uid="{00000000-0005-0000-0000-000054300000}"/>
    <cellStyle name="Normal 2 2 2 2 2 24 5 10" xfId="12416" xr:uid="{00000000-0005-0000-0000-000055300000}"/>
    <cellStyle name="Normal 2 2 2 2 2 24 5 2" xfId="12417" xr:uid="{00000000-0005-0000-0000-000056300000}"/>
    <cellStyle name="Normal 2 2 2 2 2 24 5 3" xfId="12418" xr:uid="{00000000-0005-0000-0000-000057300000}"/>
    <cellStyle name="Normal 2 2 2 2 2 24 5 4" xfId="12419" xr:uid="{00000000-0005-0000-0000-000058300000}"/>
    <cellStyle name="Normal 2 2 2 2 2 24 5 5" xfId="12420" xr:uid="{00000000-0005-0000-0000-000059300000}"/>
    <cellStyle name="Normal 2 2 2 2 2 24 5 6" xfId="12421" xr:uid="{00000000-0005-0000-0000-00005A300000}"/>
    <cellStyle name="Normal 2 2 2 2 2 24 5 7" xfId="12422" xr:uid="{00000000-0005-0000-0000-00005B300000}"/>
    <cellStyle name="Normal 2 2 2 2 2 24 5 8" xfId="12423" xr:uid="{00000000-0005-0000-0000-00005C300000}"/>
    <cellStyle name="Normal 2 2 2 2 2 24 5 9" xfId="12424" xr:uid="{00000000-0005-0000-0000-00005D300000}"/>
    <cellStyle name="Normal 2 2 2 2 2 24 6" xfId="12425" xr:uid="{00000000-0005-0000-0000-00005E300000}"/>
    <cellStyle name="Normal 2 2 2 2 2 24 7" xfId="12426" xr:uid="{00000000-0005-0000-0000-00005F300000}"/>
    <cellStyle name="Normal 2 2 2 2 2 24 8" xfId="12427" xr:uid="{00000000-0005-0000-0000-000060300000}"/>
    <cellStyle name="Normal 2 2 2 2 2 24 9" xfId="12428" xr:uid="{00000000-0005-0000-0000-000061300000}"/>
    <cellStyle name="Normal 2 2 2 2 2 25" xfId="12429" xr:uid="{00000000-0005-0000-0000-000062300000}"/>
    <cellStyle name="Normal 2 2 2 2 2 25 10" xfId="12430" xr:uid="{00000000-0005-0000-0000-000063300000}"/>
    <cellStyle name="Normal 2 2 2 2 2 25 11" xfId="12431" xr:uid="{00000000-0005-0000-0000-000064300000}"/>
    <cellStyle name="Normal 2 2 2 2 2 25 12" xfId="12432" xr:uid="{00000000-0005-0000-0000-000065300000}"/>
    <cellStyle name="Normal 2 2 2 2 2 25 13" xfId="12433" xr:uid="{00000000-0005-0000-0000-000066300000}"/>
    <cellStyle name="Normal 2 2 2 2 2 25 14" xfId="12434" xr:uid="{00000000-0005-0000-0000-000067300000}"/>
    <cellStyle name="Normal 2 2 2 2 2 25 2" xfId="12435" xr:uid="{00000000-0005-0000-0000-000068300000}"/>
    <cellStyle name="Normal 2 2 2 2 2 25 2 10" xfId="12436" xr:uid="{00000000-0005-0000-0000-000069300000}"/>
    <cellStyle name="Normal 2 2 2 2 2 25 2 2" xfId="12437" xr:uid="{00000000-0005-0000-0000-00006A300000}"/>
    <cellStyle name="Normal 2 2 2 2 2 25 2 3" xfId="12438" xr:uid="{00000000-0005-0000-0000-00006B300000}"/>
    <cellStyle name="Normal 2 2 2 2 2 25 2 4" xfId="12439" xr:uid="{00000000-0005-0000-0000-00006C300000}"/>
    <cellStyle name="Normal 2 2 2 2 2 25 2 5" xfId="12440" xr:uid="{00000000-0005-0000-0000-00006D300000}"/>
    <cellStyle name="Normal 2 2 2 2 2 25 2 6" xfId="12441" xr:uid="{00000000-0005-0000-0000-00006E300000}"/>
    <cellStyle name="Normal 2 2 2 2 2 25 2 7" xfId="12442" xr:uid="{00000000-0005-0000-0000-00006F300000}"/>
    <cellStyle name="Normal 2 2 2 2 2 25 2 8" xfId="12443" xr:uid="{00000000-0005-0000-0000-000070300000}"/>
    <cellStyle name="Normal 2 2 2 2 2 25 2 9" xfId="12444" xr:uid="{00000000-0005-0000-0000-000071300000}"/>
    <cellStyle name="Normal 2 2 2 2 2 25 3" xfId="12445" xr:uid="{00000000-0005-0000-0000-000072300000}"/>
    <cellStyle name="Normal 2 2 2 2 2 25 3 10" xfId="12446" xr:uid="{00000000-0005-0000-0000-000073300000}"/>
    <cellStyle name="Normal 2 2 2 2 2 25 3 2" xfId="12447" xr:uid="{00000000-0005-0000-0000-000074300000}"/>
    <cellStyle name="Normal 2 2 2 2 2 25 3 3" xfId="12448" xr:uid="{00000000-0005-0000-0000-000075300000}"/>
    <cellStyle name="Normal 2 2 2 2 2 25 3 4" xfId="12449" xr:uid="{00000000-0005-0000-0000-000076300000}"/>
    <cellStyle name="Normal 2 2 2 2 2 25 3 5" xfId="12450" xr:uid="{00000000-0005-0000-0000-000077300000}"/>
    <cellStyle name="Normal 2 2 2 2 2 25 3 6" xfId="12451" xr:uid="{00000000-0005-0000-0000-000078300000}"/>
    <cellStyle name="Normal 2 2 2 2 2 25 3 7" xfId="12452" xr:uid="{00000000-0005-0000-0000-000079300000}"/>
    <cellStyle name="Normal 2 2 2 2 2 25 3 8" xfId="12453" xr:uid="{00000000-0005-0000-0000-00007A300000}"/>
    <cellStyle name="Normal 2 2 2 2 2 25 3 9" xfId="12454" xr:uid="{00000000-0005-0000-0000-00007B300000}"/>
    <cellStyle name="Normal 2 2 2 2 2 25 4" xfId="12455" xr:uid="{00000000-0005-0000-0000-00007C300000}"/>
    <cellStyle name="Normal 2 2 2 2 2 25 4 10" xfId="12456" xr:uid="{00000000-0005-0000-0000-00007D300000}"/>
    <cellStyle name="Normal 2 2 2 2 2 25 4 2" xfId="12457" xr:uid="{00000000-0005-0000-0000-00007E300000}"/>
    <cellStyle name="Normal 2 2 2 2 2 25 4 3" xfId="12458" xr:uid="{00000000-0005-0000-0000-00007F300000}"/>
    <cellStyle name="Normal 2 2 2 2 2 25 4 4" xfId="12459" xr:uid="{00000000-0005-0000-0000-000080300000}"/>
    <cellStyle name="Normal 2 2 2 2 2 25 4 5" xfId="12460" xr:uid="{00000000-0005-0000-0000-000081300000}"/>
    <cellStyle name="Normal 2 2 2 2 2 25 4 6" xfId="12461" xr:uid="{00000000-0005-0000-0000-000082300000}"/>
    <cellStyle name="Normal 2 2 2 2 2 25 4 7" xfId="12462" xr:uid="{00000000-0005-0000-0000-000083300000}"/>
    <cellStyle name="Normal 2 2 2 2 2 25 4 8" xfId="12463" xr:uid="{00000000-0005-0000-0000-000084300000}"/>
    <cellStyle name="Normal 2 2 2 2 2 25 4 9" xfId="12464" xr:uid="{00000000-0005-0000-0000-000085300000}"/>
    <cellStyle name="Normal 2 2 2 2 2 25 5" xfId="12465" xr:uid="{00000000-0005-0000-0000-000086300000}"/>
    <cellStyle name="Normal 2 2 2 2 2 25 5 10" xfId="12466" xr:uid="{00000000-0005-0000-0000-000087300000}"/>
    <cellStyle name="Normal 2 2 2 2 2 25 5 2" xfId="12467" xr:uid="{00000000-0005-0000-0000-000088300000}"/>
    <cellStyle name="Normal 2 2 2 2 2 25 5 3" xfId="12468" xr:uid="{00000000-0005-0000-0000-000089300000}"/>
    <cellStyle name="Normal 2 2 2 2 2 25 5 4" xfId="12469" xr:uid="{00000000-0005-0000-0000-00008A300000}"/>
    <cellStyle name="Normal 2 2 2 2 2 25 5 5" xfId="12470" xr:uid="{00000000-0005-0000-0000-00008B300000}"/>
    <cellStyle name="Normal 2 2 2 2 2 25 5 6" xfId="12471" xr:uid="{00000000-0005-0000-0000-00008C300000}"/>
    <cellStyle name="Normal 2 2 2 2 2 25 5 7" xfId="12472" xr:uid="{00000000-0005-0000-0000-00008D300000}"/>
    <cellStyle name="Normal 2 2 2 2 2 25 5 8" xfId="12473" xr:uid="{00000000-0005-0000-0000-00008E300000}"/>
    <cellStyle name="Normal 2 2 2 2 2 25 5 9" xfId="12474" xr:uid="{00000000-0005-0000-0000-00008F300000}"/>
    <cellStyle name="Normal 2 2 2 2 2 25 6" xfId="12475" xr:uid="{00000000-0005-0000-0000-000090300000}"/>
    <cellStyle name="Normal 2 2 2 2 2 25 7" xfId="12476" xr:uid="{00000000-0005-0000-0000-000091300000}"/>
    <cellStyle name="Normal 2 2 2 2 2 25 8" xfId="12477" xr:uid="{00000000-0005-0000-0000-000092300000}"/>
    <cellStyle name="Normal 2 2 2 2 2 25 9" xfId="12478" xr:uid="{00000000-0005-0000-0000-000093300000}"/>
    <cellStyle name="Normal 2 2 2 2 2 26" xfId="12479" xr:uid="{00000000-0005-0000-0000-000094300000}"/>
    <cellStyle name="Normal 2 2 2 2 2 26 10" xfId="12480" xr:uid="{00000000-0005-0000-0000-000095300000}"/>
    <cellStyle name="Normal 2 2 2 2 2 26 11" xfId="12481" xr:uid="{00000000-0005-0000-0000-000096300000}"/>
    <cellStyle name="Normal 2 2 2 2 2 26 12" xfId="12482" xr:uid="{00000000-0005-0000-0000-000097300000}"/>
    <cellStyle name="Normal 2 2 2 2 2 26 13" xfId="12483" xr:uid="{00000000-0005-0000-0000-000098300000}"/>
    <cellStyle name="Normal 2 2 2 2 2 26 14" xfId="12484" xr:uid="{00000000-0005-0000-0000-000099300000}"/>
    <cellStyle name="Normal 2 2 2 2 2 26 2" xfId="12485" xr:uid="{00000000-0005-0000-0000-00009A300000}"/>
    <cellStyle name="Normal 2 2 2 2 2 26 2 10" xfId="12486" xr:uid="{00000000-0005-0000-0000-00009B300000}"/>
    <cellStyle name="Normal 2 2 2 2 2 26 2 2" xfId="12487" xr:uid="{00000000-0005-0000-0000-00009C300000}"/>
    <cellStyle name="Normal 2 2 2 2 2 26 2 3" xfId="12488" xr:uid="{00000000-0005-0000-0000-00009D300000}"/>
    <cellStyle name="Normal 2 2 2 2 2 26 2 4" xfId="12489" xr:uid="{00000000-0005-0000-0000-00009E300000}"/>
    <cellStyle name="Normal 2 2 2 2 2 26 2 5" xfId="12490" xr:uid="{00000000-0005-0000-0000-00009F300000}"/>
    <cellStyle name="Normal 2 2 2 2 2 26 2 6" xfId="12491" xr:uid="{00000000-0005-0000-0000-0000A0300000}"/>
    <cellStyle name="Normal 2 2 2 2 2 26 2 7" xfId="12492" xr:uid="{00000000-0005-0000-0000-0000A1300000}"/>
    <cellStyle name="Normal 2 2 2 2 2 26 2 8" xfId="12493" xr:uid="{00000000-0005-0000-0000-0000A2300000}"/>
    <cellStyle name="Normal 2 2 2 2 2 26 2 9" xfId="12494" xr:uid="{00000000-0005-0000-0000-0000A3300000}"/>
    <cellStyle name="Normal 2 2 2 2 2 26 3" xfId="12495" xr:uid="{00000000-0005-0000-0000-0000A4300000}"/>
    <cellStyle name="Normal 2 2 2 2 2 26 3 10" xfId="12496" xr:uid="{00000000-0005-0000-0000-0000A5300000}"/>
    <cellStyle name="Normal 2 2 2 2 2 26 3 2" xfId="12497" xr:uid="{00000000-0005-0000-0000-0000A6300000}"/>
    <cellStyle name="Normal 2 2 2 2 2 26 3 3" xfId="12498" xr:uid="{00000000-0005-0000-0000-0000A7300000}"/>
    <cellStyle name="Normal 2 2 2 2 2 26 3 4" xfId="12499" xr:uid="{00000000-0005-0000-0000-0000A8300000}"/>
    <cellStyle name="Normal 2 2 2 2 2 26 3 5" xfId="12500" xr:uid="{00000000-0005-0000-0000-0000A9300000}"/>
    <cellStyle name="Normal 2 2 2 2 2 26 3 6" xfId="12501" xr:uid="{00000000-0005-0000-0000-0000AA300000}"/>
    <cellStyle name="Normal 2 2 2 2 2 26 3 7" xfId="12502" xr:uid="{00000000-0005-0000-0000-0000AB300000}"/>
    <cellStyle name="Normal 2 2 2 2 2 26 3 8" xfId="12503" xr:uid="{00000000-0005-0000-0000-0000AC300000}"/>
    <cellStyle name="Normal 2 2 2 2 2 26 3 9" xfId="12504" xr:uid="{00000000-0005-0000-0000-0000AD300000}"/>
    <cellStyle name="Normal 2 2 2 2 2 26 4" xfId="12505" xr:uid="{00000000-0005-0000-0000-0000AE300000}"/>
    <cellStyle name="Normal 2 2 2 2 2 26 4 10" xfId="12506" xr:uid="{00000000-0005-0000-0000-0000AF300000}"/>
    <cellStyle name="Normal 2 2 2 2 2 26 4 2" xfId="12507" xr:uid="{00000000-0005-0000-0000-0000B0300000}"/>
    <cellStyle name="Normal 2 2 2 2 2 26 4 3" xfId="12508" xr:uid="{00000000-0005-0000-0000-0000B1300000}"/>
    <cellStyle name="Normal 2 2 2 2 2 26 4 4" xfId="12509" xr:uid="{00000000-0005-0000-0000-0000B2300000}"/>
    <cellStyle name="Normal 2 2 2 2 2 26 4 5" xfId="12510" xr:uid="{00000000-0005-0000-0000-0000B3300000}"/>
    <cellStyle name="Normal 2 2 2 2 2 26 4 6" xfId="12511" xr:uid="{00000000-0005-0000-0000-0000B4300000}"/>
    <cellStyle name="Normal 2 2 2 2 2 26 4 7" xfId="12512" xr:uid="{00000000-0005-0000-0000-0000B5300000}"/>
    <cellStyle name="Normal 2 2 2 2 2 26 4 8" xfId="12513" xr:uid="{00000000-0005-0000-0000-0000B6300000}"/>
    <cellStyle name="Normal 2 2 2 2 2 26 4 9" xfId="12514" xr:uid="{00000000-0005-0000-0000-0000B7300000}"/>
    <cellStyle name="Normal 2 2 2 2 2 26 5" xfId="12515" xr:uid="{00000000-0005-0000-0000-0000B8300000}"/>
    <cellStyle name="Normal 2 2 2 2 2 26 5 10" xfId="12516" xr:uid="{00000000-0005-0000-0000-0000B9300000}"/>
    <cellStyle name="Normal 2 2 2 2 2 26 5 2" xfId="12517" xr:uid="{00000000-0005-0000-0000-0000BA300000}"/>
    <cellStyle name="Normal 2 2 2 2 2 26 5 3" xfId="12518" xr:uid="{00000000-0005-0000-0000-0000BB300000}"/>
    <cellStyle name="Normal 2 2 2 2 2 26 5 4" xfId="12519" xr:uid="{00000000-0005-0000-0000-0000BC300000}"/>
    <cellStyle name="Normal 2 2 2 2 2 26 5 5" xfId="12520" xr:uid="{00000000-0005-0000-0000-0000BD300000}"/>
    <cellStyle name="Normal 2 2 2 2 2 26 5 6" xfId="12521" xr:uid="{00000000-0005-0000-0000-0000BE300000}"/>
    <cellStyle name="Normal 2 2 2 2 2 26 5 7" xfId="12522" xr:uid="{00000000-0005-0000-0000-0000BF300000}"/>
    <cellStyle name="Normal 2 2 2 2 2 26 5 8" xfId="12523" xr:uid="{00000000-0005-0000-0000-0000C0300000}"/>
    <cellStyle name="Normal 2 2 2 2 2 26 5 9" xfId="12524" xr:uid="{00000000-0005-0000-0000-0000C1300000}"/>
    <cellStyle name="Normal 2 2 2 2 2 26 6" xfId="12525" xr:uid="{00000000-0005-0000-0000-0000C2300000}"/>
    <cellStyle name="Normal 2 2 2 2 2 26 7" xfId="12526" xr:uid="{00000000-0005-0000-0000-0000C3300000}"/>
    <cellStyle name="Normal 2 2 2 2 2 26 8" xfId="12527" xr:uid="{00000000-0005-0000-0000-0000C4300000}"/>
    <cellStyle name="Normal 2 2 2 2 2 26 9" xfId="12528" xr:uid="{00000000-0005-0000-0000-0000C5300000}"/>
    <cellStyle name="Normal 2 2 2 2 2 27" xfId="12529" xr:uid="{00000000-0005-0000-0000-0000C6300000}"/>
    <cellStyle name="Normal 2 2 2 2 2 27 10" xfId="12530" xr:uid="{00000000-0005-0000-0000-0000C7300000}"/>
    <cellStyle name="Normal 2 2 2 2 2 27 11" xfId="12531" xr:uid="{00000000-0005-0000-0000-0000C8300000}"/>
    <cellStyle name="Normal 2 2 2 2 2 27 12" xfId="12532" xr:uid="{00000000-0005-0000-0000-0000C9300000}"/>
    <cellStyle name="Normal 2 2 2 2 2 27 13" xfId="12533" xr:uid="{00000000-0005-0000-0000-0000CA300000}"/>
    <cellStyle name="Normal 2 2 2 2 2 27 14" xfId="12534" xr:uid="{00000000-0005-0000-0000-0000CB300000}"/>
    <cellStyle name="Normal 2 2 2 2 2 27 2" xfId="12535" xr:uid="{00000000-0005-0000-0000-0000CC300000}"/>
    <cellStyle name="Normal 2 2 2 2 2 27 2 10" xfId="12536" xr:uid="{00000000-0005-0000-0000-0000CD300000}"/>
    <cellStyle name="Normal 2 2 2 2 2 27 2 2" xfId="12537" xr:uid="{00000000-0005-0000-0000-0000CE300000}"/>
    <cellStyle name="Normal 2 2 2 2 2 27 2 3" xfId="12538" xr:uid="{00000000-0005-0000-0000-0000CF300000}"/>
    <cellStyle name="Normal 2 2 2 2 2 27 2 4" xfId="12539" xr:uid="{00000000-0005-0000-0000-0000D0300000}"/>
    <cellStyle name="Normal 2 2 2 2 2 27 2 5" xfId="12540" xr:uid="{00000000-0005-0000-0000-0000D1300000}"/>
    <cellStyle name="Normal 2 2 2 2 2 27 2 6" xfId="12541" xr:uid="{00000000-0005-0000-0000-0000D2300000}"/>
    <cellStyle name="Normal 2 2 2 2 2 27 2 7" xfId="12542" xr:uid="{00000000-0005-0000-0000-0000D3300000}"/>
    <cellStyle name="Normal 2 2 2 2 2 27 2 8" xfId="12543" xr:uid="{00000000-0005-0000-0000-0000D4300000}"/>
    <cellStyle name="Normal 2 2 2 2 2 27 2 9" xfId="12544" xr:uid="{00000000-0005-0000-0000-0000D5300000}"/>
    <cellStyle name="Normal 2 2 2 2 2 27 3" xfId="12545" xr:uid="{00000000-0005-0000-0000-0000D6300000}"/>
    <cellStyle name="Normal 2 2 2 2 2 27 3 10" xfId="12546" xr:uid="{00000000-0005-0000-0000-0000D7300000}"/>
    <cellStyle name="Normal 2 2 2 2 2 27 3 2" xfId="12547" xr:uid="{00000000-0005-0000-0000-0000D8300000}"/>
    <cellStyle name="Normal 2 2 2 2 2 27 3 3" xfId="12548" xr:uid="{00000000-0005-0000-0000-0000D9300000}"/>
    <cellStyle name="Normal 2 2 2 2 2 27 3 4" xfId="12549" xr:uid="{00000000-0005-0000-0000-0000DA300000}"/>
    <cellStyle name="Normal 2 2 2 2 2 27 3 5" xfId="12550" xr:uid="{00000000-0005-0000-0000-0000DB300000}"/>
    <cellStyle name="Normal 2 2 2 2 2 27 3 6" xfId="12551" xr:uid="{00000000-0005-0000-0000-0000DC300000}"/>
    <cellStyle name="Normal 2 2 2 2 2 27 3 7" xfId="12552" xr:uid="{00000000-0005-0000-0000-0000DD300000}"/>
    <cellStyle name="Normal 2 2 2 2 2 27 3 8" xfId="12553" xr:uid="{00000000-0005-0000-0000-0000DE300000}"/>
    <cellStyle name="Normal 2 2 2 2 2 27 3 9" xfId="12554" xr:uid="{00000000-0005-0000-0000-0000DF300000}"/>
    <cellStyle name="Normal 2 2 2 2 2 27 4" xfId="12555" xr:uid="{00000000-0005-0000-0000-0000E0300000}"/>
    <cellStyle name="Normal 2 2 2 2 2 27 4 10" xfId="12556" xr:uid="{00000000-0005-0000-0000-0000E1300000}"/>
    <cellStyle name="Normal 2 2 2 2 2 27 4 2" xfId="12557" xr:uid="{00000000-0005-0000-0000-0000E2300000}"/>
    <cellStyle name="Normal 2 2 2 2 2 27 4 3" xfId="12558" xr:uid="{00000000-0005-0000-0000-0000E3300000}"/>
    <cellStyle name="Normal 2 2 2 2 2 27 4 4" xfId="12559" xr:uid="{00000000-0005-0000-0000-0000E4300000}"/>
    <cellStyle name="Normal 2 2 2 2 2 27 4 5" xfId="12560" xr:uid="{00000000-0005-0000-0000-0000E5300000}"/>
    <cellStyle name="Normal 2 2 2 2 2 27 4 6" xfId="12561" xr:uid="{00000000-0005-0000-0000-0000E6300000}"/>
    <cellStyle name="Normal 2 2 2 2 2 27 4 7" xfId="12562" xr:uid="{00000000-0005-0000-0000-0000E7300000}"/>
    <cellStyle name="Normal 2 2 2 2 2 27 4 8" xfId="12563" xr:uid="{00000000-0005-0000-0000-0000E8300000}"/>
    <cellStyle name="Normal 2 2 2 2 2 27 4 9" xfId="12564" xr:uid="{00000000-0005-0000-0000-0000E9300000}"/>
    <cellStyle name="Normal 2 2 2 2 2 27 5" xfId="12565" xr:uid="{00000000-0005-0000-0000-0000EA300000}"/>
    <cellStyle name="Normal 2 2 2 2 2 27 5 10" xfId="12566" xr:uid="{00000000-0005-0000-0000-0000EB300000}"/>
    <cellStyle name="Normal 2 2 2 2 2 27 5 2" xfId="12567" xr:uid="{00000000-0005-0000-0000-0000EC300000}"/>
    <cellStyle name="Normal 2 2 2 2 2 27 5 3" xfId="12568" xr:uid="{00000000-0005-0000-0000-0000ED300000}"/>
    <cellStyle name="Normal 2 2 2 2 2 27 5 4" xfId="12569" xr:uid="{00000000-0005-0000-0000-0000EE300000}"/>
    <cellStyle name="Normal 2 2 2 2 2 27 5 5" xfId="12570" xr:uid="{00000000-0005-0000-0000-0000EF300000}"/>
    <cellStyle name="Normal 2 2 2 2 2 27 5 6" xfId="12571" xr:uid="{00000000-0005-0000-0000-0000F0300000}"/>
    <cellStyle name="Normal 2 2 2 2 2 27 5 7" xfId="12572" xr:uid="{00000000-0005-0000-0000-0000F1300000}"/>
    <cellStyle name="Normal 2 2 2 2 2 27 5 8" xfId="12573" xr:uid="{00000000-0005-0000-0000-0000F2300000}"/>
    <cellStyle name="Normal 2 2 2 2 2 27 5 9" xfId="12574" xr:uid="{00000000-0005-0000-0000-0000F3300000}"/>
    <cellStyle name="Normal 2 2 2 2 2 27 6" xfId="12575" xr:uid="{00000000-0005-0000-0000-0000F4300000}"/>
    <cellStyle name="Normal 2 2 2 2 2 27 7" xfId="12576" xr:uid="{00000000-0005-0000-0000-0000F5300000}"/>
    <cellStyle name="Normal 2 2 2 2 2 27 8" xfId="12577" xr:uid="{00000000-0005-0000-0000-0000F6300000}"/>
    <cellStyle name="Normal 2 2 2 2 2 27 9" xfId="12578" xr:uid="{00000000-0005-0000-0000-0000F7300000}"/>
    <cellStyle name="Normal 2 2 2 2 2 28" xfId="12579" xr:uid="{00000000-0005-0000-0000-0000F8300000}"/>
    <cellStyle name="Normal 2 2 2 2 2 28 10" xfId="12580" xr:uid="{00000000-0005-0000-0000-0000F9300000}"/>
    <cellStyle name="Normal 2 2 2 2 2 28 11" xfId="12581" xr:uid="{00000000-0005-0000-0000-0000FA300000}"/>
    <cellStyle name="Normal 2 2 2 2 2 28 12" xfId="12582" xr:uid="{00000000-0005-0000-0000-0000FB300000}"/>
    <cellStyle name="Normal 2 2 2 2 2 28 13" xfId="12583" xr:uid="{00000000-0005-0000-0000-0000FC300000}"/>
    <cellStyle name="Normal 2 2 2 2 2 28 14" xfId="12584" xr:uid="{00000000-0005-0000-0000-0000FD300000}"/>
    <cellStyle name="Normal 2 2 2 2 2 28 2" xfId="12585" xr:uid="{00000000-0005-0000-0000-0000FE300000}"/>
    <cellStyle name="Normal 2 2 2 2 2 28 2 10" xfId="12586" xr:uid="{00000000-0005-0000-0000-0000FF300000}"/>
    <cellStyle name="Normal 2 2 2 2 2 28 2 2" xfId="12587" xr:uid="{00000000-0005-0000-0000-000000310000}"/>
    <cellStyle name="Normal 2 2 2 2 2 28 2 3" xfId="12588" xr:uid="{00000000-0005-0000-0000-000001310000}"/>
    <cellStyle name="Normal 2 2 2 2 2 28 2 4" xfId="12589" xr:uid="{00000000-0005-0000-0000-000002310000}"/>
    <cellStyle name="Normal 2 2 2 2 2 28 2 5" xfId="12590" xr:uid="{00000000-0005-0000-0000-000003310000}"/>
    <cellStyle name="Normal 2 2 2 2 2 28 2 6" xfId="12591" xr:uid="{00000000-0005-0000-0000-000004310000}"/>
    <cellStyle name="Normal 2 2 2 2 2 28 2 7" xfId="12592" xr:uid="{00000000-0005-0000-0000-000005310000}"/>
    <cellStyle name="Normal 2 2 2 2 2 28 2 8" xfId="12593" xr:uid="{00000000-0005-0000-0000-000006310000}"/>
    <cellStyle name="Normal 2 2 2 2 2 28 2 9" xfId="12594" xr:uid="{00000000-0005-0000-0000-000007310000}"/>
    <cellStyle name="Normal 2 2 2 2 2 28 3" xfId="12595" xr:uid="{00000000-0005-0000-0000-000008310000}"/>
    <cellStyle name="Normal 2 2 2 2 2 28 3 10" xfId="12596" xr:uid="{00000000-0005-0000-0000-000009310000}"/>
    <cellStyle name="Normal 2 2 2 2 2 28 3 2" xfId="12597" xr:uid="{00000000-0005-0000-0000-00000A310000}"/>
    <cellStyle name="Normal 2 2 2 2 2 28 3 3" xfId="12598" xr:uid="{00000000-0005-0000-0000-00000B310000}"/>
    <cellStyle name="Normal 2 2 2 2 2 28 3 4" xfId="12599" xr:uid="{00000000-0005-0000-0000-00000C310000}"/>
    <cellStyle name="Normal 2 2 2 2 2 28 3 5" xfId="12600" xr:uid="{00000000-0005-0000-0000-00000D310000}"/>
    <cellStyle name="Normal 2 2 2 2 2 28 3 6" xfId="12601" xr:uid="{00000000-0005-0000-0000-00000E310000}"/>
    <cellStyle name="Normal 2 2 2 2 2 28 3 7" xfId="12602" xr:uid="{00000000-0005-0000-0000-00000F310000}"/>
    <cellStyle name="Normal 2 2 2 2 2 28 3 8" xfId="12603" xr:uid="{00000000-0005-0000-0000-000010310000}"/>
    <cellStyle name="Normal 2 2 2 2 2 28 3 9" xfId="12604" xr:uid="{00000000-0005-0000-0000-000011310000}"/>
    <cellStyle name="Normal 2 2 2 2 2 28 4" xfId="12605" xr:uid="{00000000-0005-0000-0000-000012310000}"/>
    <cellStyle name="Normal 2 2 2 2 2 28 4 10" xfId="12606" xr:uid="{00000000-0005-0000-0000-000013310000}"/>
    <cellStyle name="Normal 2 2 2 2 2 28 4 2" xfId="12607" xr:uid="{00000000-0005-0000-0000-000014310000}"/>
    <cellStyle name="Normal 2 2 2 2 2 28 4 3" xfId="12608" xr:uid="{00000000-0005-0000-0000-000015310000}"/>
    <cellStyle name="Normal 2 2 2 2 2 28 4 4" xfId="12609" xr:uid="{00000000-0005-0000-0000-000016310000}"/>
    <cellStyle name="Normal 2 2 2 2 2 28 4 5" xfId="12610" xr:uid="{00000000-0005-0000-0000-000017310000}"/>
    <cellStyle name="Normal 2 2 2 2 2 28 4 6" xfId="12611" xr:uid="{00000000-0005-0000-0000-000018310000}"/>
    <cellStyle name="Normal 2 2 2 2 2 28 4 7" xfId="12612" xr:uid="{00000000-0005-0000-0000-000019310000}"/>
    <cellStyle name="Normal 2 2 2 2 2 28 4 8" xfId="12613" xr:uid="{00000000-0005-0000-0000-00001A310000}"/>
    <cellStyle name="Normal 2 2 2 2 2 28 4 9" xfId="12614" xr:uid="{00000000-0005-0000-0000-00001B310000}"/>
    <cellStyle name="Normal 2 2 2 2 2 28 5" xfId="12615" xr:uid="{00000000-0005-0000-0000-00001C310000}"/>
    <cellStyle name="Normal 2 2 2 2 2 28 5 10" xfId="12616" xr:uid="{00000000-0005-0000-0000-00001D310000}"/>
    <cellStyle name="Normal 2 2 2 2 2 28 5 2" xfId="12617" xr:uid="{00000000-0005-0000-0000-00001E310000}"/>
    <cellStyle name="Normal 2 2 2 2 2 28 5 3" xfId="12618" xr:uid="{00000000-0005-0000-0000-00001F310000}"/>
    <cellStyle name="Normal 2 2 2 2 2 28 5 4" xfId="12619" xr:uid="{00000000-0005-0000-0000-000020310000}"/>
    <cellStyle name="Normal 2 2 2 2 2 28 5 5" xfId="12620" xr:uid="{00000000-0005-0000-0000-000021310000}"/>
    <cellStyle name="Normal 2 2 2 2 2 28 5 6" xfId="12621" xr:uid="{00000000-0005-0000-0000-000022310000}"/>
    <cellStyle name="Normal 2 2 2 2 2 28 5 7" xfId="12622" xr:uid="{00000000-0005-0000-0000-000023310000}"/>
    <cellStyle name="Normal 2 2 2 2 2 28 5 8" xfId="12623" xr:uid="{00000000-0005-0000-0000-000024310000}"/>
    <cellStyle name="Normal 2 2 2 2 2 28 5 9" xfId="12624" xr:uid="{00000000-0005-0000-0000-000025310000}"/>
    <cellStyle name="Normal 2 2 2 2 2 28 6" xfId="12625" xr:uid="{00000000-0005-0000-0000-000026310000}"/>
    <cellStyle name="Normal 2 2 2 2 2 28 7" xfId="12626" xr:uid="{00000000-0005-0000-0000-000027310000}"/>
    <cellStyle name="Normal 2 2 2 2 2 28 8" xfId="12627" xr:uid="{00000000-0005-0000-0000-000028310000}"/>
    <cellStyle name="Normal 2 2 2 2 2 28 9" xfId="12628" xr:uid="{00000000-0005-0000-0000-000029310000}"/>
    <cellStyle name="Normal 2 2 2 2 2 29" xfId="12629" xr:uid="{00000000-0005-0000-0000-00002A310000}"/>
    <cellStyle name="Normal 2 2 2 2 2 29 10" xfId="12630" xr:uid="{00000000-0005-0000-0000-00002B310000}"/>
    <cellStyle name="Normal 2 2 2 2 2 29 11" xfId="12631" xr:uid="{00000000-0005-0000-0000-00002C310000}"/>
    <cellStyle name="Normal 2 2 2 2 2 29 12" xfId="12632" xr:uid="{00000000-0005-0000-0000-00002D310000}"/>
    <cellStyle name="Normal 2 2 2 2 2 29 13" xfId="12633" xr:uid="{00000000-0005-0000-0000-00002E310000}"/>
    <cellStyle name="Normal 2 2 2 2 2 29 14" xfId="12634" xr:uid="{00000000-0005-0000-0000-00002F310000}"/>
    <cellStyle name="Normal 2 2 2 2 2 29 2" xfId="12635" xr:uid="{00000000-0005-0000-0000-000030310000}"/>
    <cellStyle name="Normal 2 2 2 2 2 29 2 10" xfId="12636" xr:uid="{00000000-0005-0000-0000-000031310000}"/>
    <cellStyle name="Normal 2 2 2 2 2 29 2 2" xfId="12637" xr:uid="{00000000-0005-0000-0000-000032310000}"/>
    <cellStyle name="Normal 2 2 2 2 2 29 2 3" xfId="12638" xr:uid="{00000000-0005-0000-0000-000033310000}"/>
    <cellStyle name="Normal 2 2 2 2 2 29 2 4" xfId="12639" xr:uid="{00000000-0005-0000-0000-000034310000}"/>
    <cellStyle name="Normal 2 2 2 2 2 29 2 5" xfId="12640" xr:uid="{00000000-0005-0000-0000-000035310000}"/>
    <cellStyle name="Normal 2 2 2 2 2 29 2 6" xfId="12641" xr:uid="{00000000-0005-0000-0000-000036310000}"/>
    <cellStyle name="Normal 2 2 2 2 2 29 2 7" xfId="12642" xr:uid="{00000000-0005-0000-0000-000037310000}"/>
    <cellStyle name="Normal 2 2 2 2 2 29 2 8" xfId="12643" xr:uid="{00000000-0005-0000-0000-000038310000}"/>
    <cellStyle name="Normal 2 2 2 2 2 29 2 9" xfId="12644" xr:uid="{00000000-0005-0000-0000-000039310000}"/>
    <cellStyle name="Normal 2 2 2 2 2 29 3" xfId="12645" xr:uid="{00000000-0005-0000-0000-00003A310000}"/>
    <cellStyle name="Normal 2 2 2 2 2 29 3 10" xfId="12646" xr:uid="{00000000-0005-0000-0000-00003B310000}"/>
    <cellStyle name="Normal 2 2 2 2 2 29 3 2" xfId="12647" xr:uid="{00000000-0005-0000-0000-00003C310000}"/>
    <cellStyle name="Normal 2 2 2 2 2 29 3 3" xfId="12648" xr:uid="{00000000-0005-0000-0000-00003D310000}"/>
    <cellStyle name="Normal 2 2 2 2 2 29 3 4" xfId="12649" xr:uid="{00000000-0005-0000-0000-00003E310000}"/>
    <cellStyle name="Normal 2 2 2 2 2 29 3 5" xfId="12650" xr:uid="{00000000-0005-0000-0000-00003F310000}"/>
    <cellStyle name="Normal 2 2 2 2 2 29 3 6" xfId="12651" xr:uid="{00000000-0005-0000-0000-000040310000}"/>
    <cellStyle name="Normal 2 2 2 2 2 29 3 7" xfId="12652" xr:uid="{00000000-0005-0000-0000-000041310000}"/>
    <cellStyle name="Normal 2 2 2 2 2 29 3 8" xfId="12653" xr:uid="{00000000-0005-0000-0000-000042310000}"/>
    <cellStyle name="Normal 2 2 2 2 2 29 3 9" xfId="12654" xr:uid="{00000000-0005-0000-0000-000043310000}"/>
    <cellStyle name="Normal 2 2 2 2 2 29 4" xfId="12655" xr:uid="{00000000-0005-0000-0000-000044310000}"/>
    <cellStyle name="Normal 2 2 2 2 2 29 4 10" xfId="12656" xr:uid="{00000000-0005-0000-0000-000045310000}"/>
    <cellStyle name="Normal 2 2 2 2 2 29 4 2" xfId="12657" xr:uid="{00000000-0005-0000-0000-000046310000}"/>
    <cellStyle name="Normal 2 2 2 2 2 29 4 3" xfId="12658" xr:uid="{00000000-0005-0000-0000-000047310000}"/>
    <cellStyle name="Normal 2 2 2 2 2 29 4 4" xfId="12659" xr:uid="{00000000-0005-0000-0000-000048310000}"/>
    <cellStyle name="Normal 2 2 2 2 2 29 4 5" xfId="12660" xr:uid="{00000000-0005-0000-0000-000049310000}"/>
    <cellStyle name="Normal 2 2 2 2 2 29 4 6" xfId="12661" xr:uid="{00000000-0005-0000-0000-00004A310000}"/>
    <cellStyle name="Normal 2 2 2 2 2 29 4 7" xfId="12662" xr:uid="{00000000-0005-0000-0000-00004B310000}"/>
    <cellStyle name="Normal 2 2 2 2 2 29 4 8" xfId="12663" xr:uid="{00000000-0005-0000-0000-00004C310000}"/>
    <cellStyle name="Normal 2 2 2 2 2 29 4 9" xfId="12664" xr:uid="{00000000-0005-0000-0000-00004D310000}"/>
    <cellStyle name="Normal 2 2 2 2 2 29 5" xfId="12665" xr:uid="{00000000-0005-0000-0000-00004E310000}"/>
    <cellStyle name="Normal 2 2 2 2 2 29 5 10" xfId="12666" xr:uid="{00000000-0005-0000-0000-00004F310000}"/>
    <cellStyle name="Normal 2 2 2 2 2 29 5 2" xfId="12667" xr:uid="{00000000-0005-0000-0000-000050310000}"/>
    <cellStyle name="Normal 2 2 2 2 2 29 5 3" xfId="12668" xr:uid="{00000000-0005-0000-0000-000051310000}"/>
    <cellStyle name="Normal 2 2 2 2 2 29 5 4" xfId="12669" xr:uid="{00000000-0005-0000-0000-000052310000}"/>
    <cellStyle name="Normal 2 2 2 2 2 29 5 5" xfId="12670" xr:uid="{00000000-0005-0000-0000-000053310000}"/>
    <cellStyle name="Normal 2 2 2 2 2 29 5 6" xfId="12671" xr:uid="{00000000-0005-0000-0000-000054310000}"/>
    <cellStyle name="Normal 2 2 2 2 2 29 5 7" xfId="12672" xr:uid="{00000000-0005-0000-0000-000055310000}"/>
    <cellStyle name="Normal 2 2 2 2 2 29 5 8" xfId="12673" xr:uid="{00000000-0005-0000-0000-000056310000}"/>
    <cellStyle name="Normal 2 2 2 2 2 29 5 9" xfId="12674" xr:uid="{00000000-0005-0000-0000-000057310000}"/>
    <cellStyle name="Normal 2 2 2 2 2 29 6" xfId="12675" xr:uid="{00000000-0005-0000-0000-000058310000}"/>
    <cellStyle name="Normal 2 2 2 2 2 29 7" xfId="12676" xr:uid="{00000000-0005-0000-0000-000059310000}"/>
    <cellStyle name="Normal 2 2 2 2 2 29 8" xfId="12677" xr:uid="{00000000-0005-0000-0000-00005A310000}"/>
    <cellStyle name="Normal 2 2 2 2 2 29 9" xfId="12678" xr:uid="{00000000-0005-0000-0000-00005B310000}"/>
    <cellStyle name="Normal 2 2 2 2 2 3" xfId="12679" xr:uid="{00000000-0005-0000-0000-00005C310000}"/>
    <cellStyle name="Normal 2 2 2 2 2 3 10" xfId="12680" xr:uid="{00000000-0005-0000-0000-00005D310000}"/>
    <cellStyle name="Normal 2 2 2 2 2 3 11" xfId="12681" xr:uid="{00000000-0005-0000-0000-00005E310000}"/>
    <cellStyle name="Normal 2 2 2 2 2 3 12" xfId="12682" xr:uid="{00000000-0005-0000-0000-00005F310000}"/>
    <cellStyle name="Normal 2 2 2 2 2 3 13" xfId="12683" xr:uid="{00000000-0005-0000-0000-000060310000}"/>
    <cellStyle name="Normal 2 2 2 2 2 3 14" xfId="12684" xr:uid="{00000000-0005-0000-0000-000061310000}"/>
    <cellStyle name="Normal 2 2 2 2 2 3 15" xfId="12685" xr:uid="{00000000-0005-0000-0000-000062310000}"/>
    <cellStyle name="Normal 2 2 2 2 2 3 16" xfId="12686" xr:uid="{00000000-0005-0000-0000-000063310000}"/>
    <cellStyle name="Normal 2 2 2 2 2 3 2" xfId="12687" xr:uid="{00000000-0005-0000-0000-000064310000}"/>
    <cellStyle name="Normal 2 2 2 2 2 3 2 10" xfId="12688" xr:uid="{00000000-0005-0000-0000-000065310000}"/>
    <cellStyle name="Normal 2 2 2 2 2 3 2 11" xfId="12689" xr:uid="{00000000-0005-0000-0000-000066310000}"/>
    <cellStyle name="Normal 2 2 2 2 2 3 2 12" xfId="12690" xr:uid="{00000000-0005-0000-0000-000067310000}"/>
    <cellStyle name="Normal 2 2 2 2 2 3 2 2" xfId="12691" xr:uid="{00000000-0005-0000-0000-000068310000}"/>
    <cellStyle name="Normal 2 2 2 2 2 3 2 3" xfId="12692" xr:uid="{00000000-0005-0000-0000-000069310000}"/>
    <cellStyle name="Normal 2 2 2 2 2 3 2 4" xfId="12693" xr:uid="{00000000-0005-0000-0000-00006A310000}"/>
    <cellStyle name="Normal 2 2 2 2 2 3 2 5" xfId="12694" xr:uid="{00000000-0005-0000-0000-00006B310000}"/>
    <cellStyle name="Normal 2 2 2 2 2 3 2 6" xfId="12695" xr:uid="{00000000-0005-0000-0000-00006C310000}"/>
    <cellStyle name="Normal 2 2 2 2 2 3 2 7" xfId="12696" xr:uid="{00000000-0005-0000-0000-00006D310000}"/>
    <cellStyle name="Normal 2 2 2 2 2 3 2 8" xfId="12697" xr:uid="{00000000-0005-0000-0000-00006E310000}"/>
    <cellStyle name="Normal 2 2 2 2 2 3 2 9" xfId="12698" xr:uid="{00000000-0005-0000-0000-00006F310000}"/>
    <cellStyle name="Normal 2 2 2 2 2 3 3" xfId="12699" xr:uid="{00000000-0005-0000-0000-000070310000}"/>
    <cellStyle name="Normal 2 2 2 2 2 3 3 10" xfId="12700" xr:uid="{00000000-0005-0000-0000-000071310000}"/>
    <cellStyle name="Normal 2 2 2 2 2 3 3 2" xfId="12701" xr:uid="{00000000-0005-0000-0000-000072310000}"/>
    <cellStyle name="Normal 2 2 2 2 2 3 3 3" xfId="12702" xr:uid="{00000000-0005-0000-0000-000073310000}"/>
    <cellStyle name="Normal 2 2 2 2 2 3 3 4" xfId="12703" xr:uid="{00000000-0005-0000-0000-000074310000}"/>
    <cellStyle name="Normal 2 2 2 2 2 3 3 5" xfId="12704" xr:uid="{00000000-0005-0000-0000-000075310000}"/>
    <cellStyle name="Normal 2 2 2 2 2 3 3 6" xfId="12705" xr:uid="{00000000-0005-0000-0000-000076310000}"/>
    <cellStyle name="Normal 2 2 2 2 2 3 3 7" xfId="12706" xr:uid="{00000000-0005-0000-0000-000077310000}"/>
    <cellStyle name="Normal 2 2 2 2 2 3 3 8" xfId="12707" xr:uid="{00000000-0005-0000-0000-000078310000}"/>
    <cellStyle name="Normal 2 2 2 2 2 3 3 9" xfId="12708" xr:uid="{00000000-0005-0000-0000-000079310000}"/>
    <cellStyle name="Normal 2 2 2 2 2 3 4" xfId="12709" xr:uid="{00000000-0005-0000-0000-00007A310000}"/>
    <cellStyle name="Normal 2 2 2 2 2 3 4 10" xfId="12710" xr:uid="{00000000-0005-0000-0000-00007B310000}"/>
    <cellStyle name="Normal 2 2 2 2 2 3 4 2" xfId="12711" xr:uid="{00000000-0005-0000-0000-00007C310000}"/>
    <cellStyle name="Normal 2 2 2 2 2 3 4 3" xfId="12712" xr:uid="{00000000-0005-0000-0000-00007D310000}"/>
    <cellStyle name="Normal 2 2 2 2 2 3 4 4" xfId="12713" xr:uid="{00000000-0005-0000-0000-00007E310000}"/>
    <cellStyle name="Normal 2 2 2 2 2 3 4 5" xfId="12714" xr:uid="{00000000-0005-0000-0000-00007F310000}"/>
    <cellStyle name="Normal 2 2 2 2 2 3 4 6" xfId="12715" xr:uid="{00000000-0005-0000-0000-000080310000}"/>
    <cellStyle name="Normal 2 2 2 2 2 3 4 7" xfId="12716" xr:uid="{00000000-0005-0000-0000-000081310000}"/>
    <cellStyle name="Normal 2 2 2 2 2 3 4 8" xfId="12717" xr:uid="{00000000-0005-0000-0000-000082310000}"/>
    <cellStyle name="Normal 2 2 2 2 2 3 4 9" xfId="12718" xr:uid="{00000000-0005-0000-0000-000083310000}"/>
    <cellStyle name="Normal 2 2 2 2 2 3 5" xfId="12719" xr:uid="{00000000-0005-0000-0000-000084310000}"/>
    <cellStyle name="Normal 2 2 2 2 2 3 5 10" xfId="12720" xr:uid="{00000000-0005-0000-0000-000085310000}"/>
    <cellStyle name="Normal 2 2 2 2 2 3 5 2" xfId="12721" xr:uid="{00000000-0005-0000-0000-000086310000}"/>
    <cellStyle name="Normal 2 2 2 2 2 3 5 3" xfId="12722" xr:uid="{00000000-0005-0000-0000-000087310000}"/>
    <cellStyle name="Normal 2 2 2 2 2 3 5 4" xfId="12723" xr:uid="{00000000-0005-0000-0000-000088310000}"/>
    <cellStyle name="Normal 2 2 2 2 2 3 5 5" xfId="12724" xr:uid="{00000000-0005-0000-0000-000089310000}"/>
    <cellStyle name="Normal 2 2 2 2 2 3 5 6" xfId="12725" xr:uid="{00000000-0005-0000-0000-00008A310000}"/>
    <cellStyle name="Normal 2 2 2 2 2 3 5 7" xfId="12726" xr:uid="{00000000-0005-0000-0000-00008B310000}"/>
    <cellStyle name="Normal 2 2 2 2 2 3 5 8" xfId="12727" xr:uid="{00000000-0005-0000-0000-00008C310000}"/>
    <cellStyle name="Normal 2 2 2 2 2 3 5 9" xfId="12728" xr:uid="{00000000-0005-0000-0000-00008D310000}"/>
    <cellStyle name="Normal 2 2 2 2 2 3 6" xfId="12729" xr:uid="{00000000-0005-0000-0000-00008E310000}"/>
    <cellStyle name="Normal 2 2 2 2 2 3 7" xfId="12730" xr:uid="{00000000-0005-0000-0000-00008F310000}"/>
    <cellStyle name="Normal 2 2 2 2 2 3 8" xfId="12731" xr:uid="{00000000-0005-0000-0000-000090310000}"/>
    <cellStyle name="Normal 2 2 2 2 2 3 9" xfId="12732" xr:uid="{00000000-0005-0000-0000-000091310000}"/>
    <cellStyle name="Normal 2 2 2 2 2 30" xfId="12733" xr:uid="{00000000-0005-0000-0000-000092310000}"/>
    <cellStyle name="Normal 2 2 2 2 2 30 10" xfId="12734" xr:uid="{00000000-0005-0000-0000-000093310000}"/>
    <cellStyle name="Normal 2 2 2 2 2 30 11" xfId="12735" xr:uid="{00000000-0005-0000-0000-000094310000}"/>
    <cellStyle name="Normal 2 2 2 2 2 30 12" xfId="12736" xr:uid="{00000000-0005-0000-0000-000095310000}"/>
    <cellStyle name="Normal 2 2 2 2 2 30 13" xfId="12737" xr:uid="{00000000-0005-0000-0000-000096310000}"/>
    <cellStyle name="Normal 2 2 2 2 2 30 14" xfId="12738" xr:uid="{00000000-0005-0000-0000-000097310000}"/>
    <cellStyle name="Normal 2 2 2 2 2 30 2" xfId="12739" xr:uid="{00000000-0005-0000-0000-000098310000}"/>
    <cellStyle name="Normal 2 2 2 2 2 30 2 10" xfId="12740" xr:uid="{00000000-0005-0000-0000-000099310000}"/>
    <cellStyle name="Normal 2 2 2 2 2 30 2 2" xfId="12741" xr:uid="{00000000-0005-0000-0000-00009A310000}"/>
    <cellStyle name="Normal 2 2 2 2 2 30 2 3" xfId="12742" xr:uid="{00000000-0005-0000-0000-00009B310000}"/>
    <cellStyle name="Normal 2 2 2 2 2 30 2 4" xfId="12743" xr:uid="{00000000-0005-0000-0000-00009C310000}"/>
    <cellStyle name="Normal 2 2 2 2 2 30 2 5" xfId="12744" xr:uid="{00000000-0005-0000-0000-00009D310000}"/>
    <cellStyle name="Normal 2 2 2 2 2 30 2 6" xfId="12745" xr:uid="{00000000-0005-0000-0000-00009E310000}"/>
    <cellStyle name="Normal 2 2 2 2 2 30 2 7" xfId="12746" xr:uid="{00000000-0005-0000-0000-00009F310000}"/>
    <cellStyle name="Normal 2 2 2 2 2 30 2 8" xfId="12747" xr:uid="{00000000-0005-0000-0000-0000A0310000}"/>
    <cellStyle name="Normal 2 2 2 2 2 30 2 9" xfId="12748" xr:uid="{00000000-0005-0000-0000-0000A1310000}"/>
    <cellStyle name="Normal 2 2 2 2 2 30 3" xfId="12749" xr:uid="{00000000-0005-0000-0000-0000A2310000}"/>
    <cellStyle name="Normal 2 2 2 2 2 30 3 10" xfId="12750" xr:uid="{00000000-0005-0000-0000-0000A3310000}"/>
    <cellStyle name="Normal 2 2 2 2 2 30 3 2" xfId="12751" xr:uid="{00000000-0005-0000-0000-0000A4310000}"/>
    <cellStyle name="Normal 2 2 2 2 2 30 3 3" xfId="12752" xr:uid="{00000000-0005-0000-0000-0000A5310000}"/>
    <cellStyle name="Normal 2 2 2 2 2 30 3 4" xfId="12753" xr:uid="{00000000-0005-0000-0000-0000A6310000}"/>
    <cellStyle name="Normal 2 2 2 2 2 30 3 5" xfId="12754" xr:uid="{00000000-0005-0000-0000-0000A7310000}"/>
    <cellStyle name="Normal 2 2 2 2 2 30 3 6" xfId="12755" xr:uid="{00000000-0005-0000-0000-0000A8310000}"/>
    <cellStyle name="Normal 2 2 2 2 2 30 3 7" xfId="12756" xr:uid="{00000000-0005-0000-0000-0000A9310000}"/>
    <cellStyle name="Normal 2 2 2 2 2 30 3 8" xfId="12757" xr:uid="{00000000-0005-0000-0000-0000AA310000}"/>
    <cellStyle name="Normal 2 2 2 2 2 30 3 9" xfId="12758" xr:uid="{00000000-0005-0000-0000-0000AB310000}"/>
    <cellStyle name="Normal 2 2 2 2 2 30 4" xfId="12759" xr:uid="{00000000-0005-0000-0000-0000AC310000}"/>
    <cellStyle name="Normal 2 2 2 2 2 30 4 10" xfId="12760" xr:uid="{00000000-0005-0000-0000-0000AD310000}"/>
    <cellStyle name="Normal 2 2 2 2 2 30 4 2" xfId="12761" xr:uid="{00000000-0005-0000-0000-0000AE310000}"/>
    <cellStyle name="Normal 2 2 2 2 2 30 4 3" xfId="12762" xr:uid="{00000000-0005-0000-0000-0000AF310000}"/>
    <cellStyle name="Normal 2 2 2 2 2 30 4 4" xfId="12763" xr:uid="{00000000-0005-0000-0000-0000B0310000}"/>
    <cellStyle name="Normal 2 2 2 2 2 30 4 5" xfId="12764" xr:uid="{00000000-0005-0000-0000-0000B1310000}"/>
    <cellStyle name="Normal 2 2 2 2 2 30 4 6" xfId="12765" xr:uid="{00000000-0005-0000-0000-0000B2310000}"/>
    <cellStyle name="Normal 2 2 2 2 2 30 4 7" xfId="12766" xr:uid="{00000000-0005-0000-0000-0000B3310000}"/>
    <cellStyle name="Normal 2 2 2 2 2 30 4 8" xfId="12767" xr:uid="{00000000-0005-0000-0000-0000B4310000}"/>
    <cellStyle name="Normal 2 2 2 2 2 30 4 9" xfId="12768" xr:uid="{00000000-0005-0000-0000-0000B5310000}"/>
    <cellStyle name="Normal 2 2 2 2 2 30 5" xfId="12769" xr:uid="{00000000-0005-0000-0000-0000B6310000}"/>
    <cellStyle name="Normal 2 2 2 2 2 30 5 10" xfId="12770" xr:uid="{00000000-0005-0000-0000-0000B7310000}"/>
    <cellStyle name="Normal 2 2 2 2 2 30 5 2" xfId="12771" xr:uid="{00000000-0005-0000-0000-0000B8310000}"/>
    <cellStyle name="Normal 2 2 2 2 2 30 5 3" xfId="12772" xr:uid="{00000000-0005-0000-0000-0000B9310000}"/>
    <cellStyle name="Normal 2 2 2 2 2 30 5 4" xfId="12773" xr:uid="{00000000-0005-0000-0000-0000BA310000}"/>
    <cellStyle name="Normal 2 2 2 2 2 30 5 5" xfId="12774" xr:uid="{00000000-0005-0000-0000-0000BB310000}"/>
    <cellStyle name="Normal 2 2 2 2 2 30 5 6" xfId="12775" xr:uid="{00000000-0005-0000-0000-0000BC310000}"/>
    <cellStyle name="Normal 2 2 2 2 2 30 5 7" xfId="12776" xr:uid="{00000000-0005-0000-0000-0000BD310000}"/>
    <cellStyle name="Normal 2 2 2 2 2 30 5 8" xfId="12777" xr:uid="{00000000-0005-0000-0000-0000BE310000}"/>
    <cellStyle name="Normal 2 2 2 2 2 30 5 9" xfId="12778" xr:uid="{00000000-0005-0000-0000-0000BF310000}"/>
    <cellStyle name="Normal 2 2 2 2 2 30 6" xfId="12779" xr:uid="{00000000-0005-0000-0000-0000C0310000}"/>
    <cellStyle name="Normal 2 2 2 2 2 30 7" xfId="12780" xr:uid="{00000000-0005-0000-0000-0000C1310000}"/>
    <cellStyle name="Normal 2 2 2 2 2 30 8" xfId="12781" xr:uid="{00000000-0005-0000-0000-0000C2310000}"/>
    <cellStyle name="Normal 2 2 2 2 2 30 9" xfId="12782" xr:uid="{00000000-0005-0000-0000-0000C3310000}"/>
    <cellStyle name="Normal 2 2 2 2 2 31" xfId="12783" xr:uid="{00000000-0005-0000-0000-0000C4310000}"/>
    <cellStyle name="Normal 2 2 2 2 2 31 10" xfId="12784" xr:uid="{00000000-0005-0000-0000-0000C5310000}"/>
    <cellStyle name="Normal 2 2 2 2 2 31 11" xfId="12785" xr:uid="{00000000-0005-0000-0000-0000C6310000}"/>
    <cellStyle name="Normal 2 2 2 2 2 31 12" xfId="12786" xr:uid="{00000000-0005-0000-0000-0000C7310000}"/>
    <cellStyle name="Normal 2 2 2 2 2 31 13" xfId="12787" xr:uid="{00000000-0005-0000-0000-0000C8310000}"/>
    <cellStyle name="Normal 2 2 2 2 2 31 14" xfId="12788" xr:uid="{00000000-0005-0000-0000-0000C9310000}"/>
    <cellStyle name="Normal 2 2 2 2 2 31 2" xfId="12789" xr:uid="{00000000-0005-0000-0000-0000CA310000}"/>
    <cellStyle name="Normal 2 2 2 2 2 31 2 10" xfId="12790" xr:uid="{00000000-0005-0000-0000-0000CB310000}"/>
    <cellStyle name="Normal 2 2 2 2 2 31 2 2" xfId="12791" xr:uid="{00000000-0005-0000-0000-0000CC310000}"/>
    <cellStyle name="Normal 2 2 2 2 2 31 2 3" xfId="12792" xr:uid="{00000000-0005-0000-0000-0000CD310000}"/>
    <cellStyle name="Normal 2 2 2 2 2 31 2 4" xfId="12793" xr:uid="{00000000-0005-0000-0000-0000CE310000}"/>
    <cellStyle name="Normal 2 2 2 2 2 31 2 5" xfId="12794" xr:uid="{00000000-0005-0000-0000-0000CF310000}"/>
    <cellStyle name="Normal 2 2 2 2 2 31 2 6" xfId="12795" xr:uid="{00000000-0005-0000-0000-0000D0310000}"/>
    <cellStyle name="Normal 2 2 2 2 2 31 2 7" xfId="12796" xr:uid="{00000000-0005-0000-0000-0000D1310000}"/>
    <cellStyle name="Normal 2 2 2 2 2 31 2 8" xfId="12797" xr:uid="{00000000-0005-0000-0000-0000D2310000}"/>
    <cellStyle name="Normal 2 2 2 2 2 31 2 9" xfId="12798" xr:uid="{00000000-0005-0000-0000-0000D3310000}"/>
    <cellStyle name="Normal 2 2 2 2 2 31 3" xfId="12799" xr:uid="{00000000-0005-0000-0000-0000D4310000}"/>
    <cellStyle name="Normal 2 2 2 2 2 31 3 10" xfId="12800" xr:uid="{00000000-0005-0000-0000-0000D5310000}"/>
    <cellStyle name="Normal 2 2 2 2 2 31 3 2" xfId="12801" xr:uid="{00000000-0005-0000-0000-0000D6310000}"/>
    <cellStyle name="Normal 2 2 2 2 2 31 3 3" xfId="12802" xr:uid="{00000000-0005-0000-0000-0000D7310000}"/>
    <cellStyle name="Normal 2 2 2 2 2 31 3 4" xfId="12803" xr:uid="{00000000-0005-0000-0000-0000D8310000}"/>
    <cellStyle name="Normal 2 2 2 2 2 31 3 5" xfId="12804" xr:uid="{00000000-0005-0000-0000-0000D9310000}"/>
    <cellStyle name="Normal 2 2 2 2 2 31 3 6" xfId="12805" xr:uid="{00000000-0005-0000-0000-0000DA310000}"/>
    <cellStyle name="Normal 2 2 2 2 2 31 3 7" xfId="12806" xr:uid="{00000000-0005-0000-0000-0000DB310000}"/>
    <cellStyle name="Normal 2 2 2 2 2 31 3 8" xfId="12807" xr:uid="{00000000-0005-0000-0000-0000DC310000}"/>
    <cellStyle name="Normal 2 2 2 2 2 31 3 9" xfId="12808" xr:uid="{00000000-0005-0000-0000-0000DD310000}"/>
    <cellStyle name="Normal 2 2 2 2 2 31 4" xfId="12809" xr:uid="{00000000-0005-0000-0000-0000DE310000}"/>
    <cellStyle name="Normal 2 2 2 2 2 31 4 10" xfId="12810" xr:uid="{00000000-0005-0000-0000-0000DF310000}"/>
    <cellStyle name="Normal 2 2 2 2 2 31 4 2" xfId="12811" xr:uid="{00000000-0005-0000-0000-0000E0310000}"/>
    <cellStyle name="Normal 2 2 2 2 2 31 4 3" xfId="12812" xr:uid="{00000000-0005-0000-0000-0000E1310000}"/>
    <cellStyle name="Normal 2 2 2 2 2 31 4 4" xfId="12813" xr:uid="{00000000-0005-0000-0000-0000E2310000}"/>
    <cellStyle name="Normal 2 2 2 2 2 31 4 5" xfId="12814" xr:uid="{00000000-0005-0000-0000-0000E3310000}"/>
    <cellStyle name="Normal 2 2 2 2 2 31 4 6" xfId="12815" xr:uid="{00000000-0005-0000-0000-0000E4310000}"/>
    <cellStyle name="Normal 2 2 2 2 2 31 4 7" xfId="12816" xr:uid="{00000000-0005-0000-0000-0000E5310000}"/>
    <cellStyle name="Normal 2 2 2 2 2 31 4 8" xfId="12817" xr:uid="{00000000-0005-0000-0000-0000E6310000}"/>
    <cellStyle name="Normal 2 2 2 2 2 31 4 9" xfId="12818" xr:uid="{00000000-0005-0000-0000-0000E7310000}"/>
    <cellStyle name="Normal 2 2 2 2 2 31 5" xfId="12819" xr:uid="{00000000-0005-0000-0000-0000E8310000}"/>
    <cellStyle name="Normal 2 2 2 2 2 31 5 10" xfId="12820" xr:uid="{00000000-0005-0000-0000-0000E9310000}"/>
    <cellStyle name="Normal 2 2 2 2 2 31 5 2" xfId="12821" xr:uid="{00000000-0005-0000-0000-0000EA310000}"/>
    <cellStyle name="Normal 2 2 2 2 2 31 5 3" xfId="12822" xr:uid="{00000000-0005-0000-0000-0000EB310000}"/>
    <cellStyle name="Normal 2 2 2 2 2 31 5 4" xfId="12823" xr:uid="{00000000-0005-0000-0000-0000EC310000}"/>
    <cellStyle name="Normal 2 2 2 2 2 31 5 5" xfId="12824" xr:uid="{00000000-0005-0000-0000-0000ED310000}"/>
    <cellStyle name="Normal 2 2 2 2 2 31 5 6" xfId="12825" xr:uid="{00000000-0005-0000-0000-0000EE310000}"/>
    <cellStyle name="Normal 2 2 2 2 2 31 5 7" xfId="12826" xr:uid="{00000000-0005-0000-0000-0000EF310000}"/>
    <cellStyle name="Normal 2 2 2 2 2 31 5 8" xfId="12827" xr:uid="{00000000-0005-0000-0000-0000F0310000}"/>
    <cellStyle name="Normal 2 2 2 2 2 31 5 9" xfId="12828" xr:uid="{00000000-0005-0000-0000-0000F1310000}"/>
    <cellStyle name="Normal 2 2 2 2 2 31 6" xfId="12829" xr:uid="{00000000-0005-0000-0000-0000F2310000}"/>
    <cellStyle name="Normal 2 2 2 2 2 31 7" xfId="12830" xr:uid="{00000000-0005-0000-0000-0000F3310000}"/>
    <cellStyle name="Normal 2 2 2 2 2 31 8" xfId="12831" xr:uid="{00000000-0005-0000-0000-0000F4310000}"/>
    <cellStyle name="Normal 2 2 2 2 2 31 9" xfId="12832" xr:uid="{00000000-0005-0000-0000-0000F5310000}"/>
    <cellStyle name="Normal 2 2 2 2 2 32" xfId="12833" xr:uid="{00000000-0005-0000-0000-0000F6310000}"/>
    <cellStyle name="Normal 2 2 2 2 2 32 10" xfId="12834" xr:uid="{00000000-0005-0000-0000-0000F7310000}"/>
    <cellStyle name="Normal 2 2 2 2 2 32 11" xfId="12835" xr:uid="{00000000-0005-0000-0000-0000F8310000}"/>
    <cellStyle name="Normal 2 2 2 2 2 32 12" xfId="12836" xr:uid="{00000000-0005-0000-0000-0000F9310000}"/>
    <cellStyle name="Normal 2 2 2 2 2 32 13" xfId="12837" xr:uid="{00000000-0005-0000-0000-0000FA310000}"/>
    <cellStyle name="Normal 2 2 2 2 2 32 14" xfId="12838" xr:uid="{00000000-0005-0000-0000-0000FB310000}"/>
    <cellStyle name="Normal 2 2 2 2 2 32 2" xfId="12839" xr:uid="{00000000-0005-0000-0000-0000FC310000}"/>
    <cellStyle name="Normal 2 2 2 2 2 32 2 10" xfId="12840" xr:uid="{00000000-0005-0000-0000-0000FD310000}"/>
    <cellStyle name="Normal 2 2 2 2 2 32 2 2" xfId="12841" xr:uid="{00000000-0005-0000-0000-0000FE310000}"/>
    <cellStyle name="Normal 2 2 2 2 2 32 2 3" xfId="12842" xr:uid="{00000000-0005-0000-0000-0000FF310000}"/>
    <cellStyle name="Normal 2 2 2 2 2 32 2 4" xfId="12843" xr:uid="{00000000-0005-0000-0000-000000320000}"/>
    <cellStyle name="Normal 2 2 2 2 2 32 2 5" xfId="12844" xr:uid="{00000000-0005-0000-0000-000001320000}"/>
    <cellStyle name="Normal 2 2 2 2 2 32 2 6" xfId="12845" xr:uid="{00000000-0005-0000-0000-000002320000}"/>
    <cellStyle name="Normal 2 2 2 2 2 32 2 7" xfId="12846" xr:uid="{00000000-0005-0000-0000-000003320000}"/>
    <cellStyle name="Normal 2 2 2 2 2 32 2 8" xfId="12847" xr:uid="{00000000-0005-0000-0000-000004320000}"/>
    <cellStyle name="Normal 2 2 2 2 2 32 2 9" xfId="12848" xr:uid="{00000000-0005-0000-0000-000005320000}"/>
    <cellStyle name="Normal 2 2 2 2 2 32 3" xfId="12849" xr:uid="{00000000-0005-0000-0000-000006320000}"/>
    <cellStyle name="Normal 2 2 2 2 2 32 3 10" xfId="12850" xr:uid="{00000000-0005-0000-0000-000007320000}"/>
    <cellStyle name="Normal 2 2 2 2 2 32 3 2" xfId="12851" xr:uid="{00000000-0005-0000-0000-000008320000}"/>
    <cellStyle name="Normal 2 2 2 2 2 32 3 3" xfId="12852" xr:uid="{00000000-0005-0000-0000-000009320000}"/>
    <cellStyle name="Normal 2 2 2 2 2 32 3 4" xfId="12853" xr:uid="{00000000-0005-0000-0000-00000A320000}"/>
    <cellStyle name="Normal 2 2 2 2 2 32 3 5" xfId="12854" xr:uid="{00000000-0005-0000-0000-00000B320000}"/>
    <cellStyle name="Normal 2 2 2 2 2 32 3 6" xfId="12855" xr:uid="{00000000-0005-0000-0000-00000C320000}"/>
    <cellStyle name="Normal 2 2 2 2 2 32 3 7" xfId="12856" xr:uid="{00000000-0005-0000-0000-00000D320000}"/>
    <cellStyle name="Normal 2 2 2 2 2 32 3 8" xfId="12857" xr:uid="{00000000-0005-0000-0000-00000E320000}"/>
    <cellStyle name="Normal 2 2 2 2 2 32 3 9" xfId="12858" xr:uid="{00000000-0005-0000-0000-00000F320000}"/>
    <cellStyle name="Normal 2 2 2 2 2 32 4" xfId="12859" xr:uid="{00000000-0005-0000-0000-000010320000}"/>
    <cellStyle name="Normal 2 2 2 2 2 32 4 10" xfId="12860" xr:uid="{00000000-0005-0000-0000-000011320000}"/>
    <cellStyle name="Normal 2 2 2 2 2 32 4 2" xfId="12861" xr:uid="{00000000-0005-0000-0000-000012320000}"/>
    <cellStyle name="Normal 2 2 2 2 2 32 4 3" xfId="12862" xr:uid="{00000000-0005-0000-0000-000013320000}"/>
    <cellStyle name="Normal 2 2 2 2 2 32 4 4" xfId="12863" xr:uid="{00000000-0005-0000-0000-000014320000}"/>
    <cellStyle name="Normal 2 2 2 2 2 32 4 5" xfId="12864" xr:uid="{00000000-0005-0000-0000-000015320000}"/>
    <cellStyle name="Normal 2 2 2 2 2 32 4 6" xfId="12865" xr:uid="{00000000-0005-0000-0000-000016320000}"/>
    <cellStyle name="Normal 2 2 2 2 2 32 4 7" xfId="12866" xr:uid="{00000000-0005-0000-0000-000017320000}"/>
    <cellStyle name="Normal 2 2 2 2 2 32 4 8" xfId="12867" xr:uid="{00000000-0005-0000-0000-000018320000}"/>
    <cellStyle name="Normal 2 2 2 2 2 32 4 9" xfId="12868" xr:uid="{00000000-0005-0000-0000-000019320000}"/>
    <cellStyle name="Normal 2 2 2 2 2 32 5" xfId="12869" xr:uid="{00000000-0005-0000-0000-00001A320000}"/>
    <cellStyle name="Normal 2 2 2 2 2 32 5 10" xfId="12870" xr:uid="{00000000-0005-0000-0000-00001B320000}"/>
    <cellStyle name="Normal 2 2 2 2 2 32 5 2" xfId="12871" xr:uid="{00000000-0005-0000-0000-00001C320000}"/>
    <cellStyle name="Normal 2 2 2 2 2 32 5 3" xfId="12872" xr:uid="{00000000-0005-0000-0000-00001D320000}"/>
    <cellStyle name="Normal 2 2 2 2 2 32 5 4" xfId="12873" xr:uid="{00000000-0005-0000-0000-00001E320000}"/>
    <cellStyle name="Normal 2 2 2 2 2 32 5 5" xfId="12874" xr:uid="{00000000-0005-0000-0000-00001F320000}"/>
    <cellStyle name="Normal 2 2 2 2 2 32 5 6" xfId="12875" xr:uid="{00000000-0005-0000-0000-000020320000}"/>
    <cellStyle name="Normal 2 2 2 2 2 32 5 7" xfId="12876" xr:uid="{00000000-0005-0000-0000-000021320000}"/>
    <cellStyle name="Normal 2 2 2 2 2 32 5 8" xfId="12877" xr:uid="{00000000-0005-0000-0000-000022320000}"/>
    <cellStyle name="Normal 2 2 2 2 2 32 5 9" xfId="12878" xr:uid="{00000000-0005-0000-0000-000023320000}"/>
    <cellStyle name="Normal 2 2 2 2 2 32 6" xfId="12879" xr:uid="{00000000-0005-0000-0000-000024320000}"/>
    <cellStyle name="Normal 2 2 2 2 2 32 7" xfId="12880" xr:uid="{00000000-0005-0000-0000-000025320000}"/>
    <cellStyle name="Normal 2 2 2 2 2 32 8" xfId="12881" xr:uid="{00000000-0005-0000-0000-000026320000}"/>
    <cellStyle name="Normal 2 2 2 2 2 32 9" xfId="12882" xr:uid="{00000000-0005-0000-0000-000027320000}"/>
    <cellStyle name="Normal 2 2 2 2 2 33" xfId="12883" xr:uid="{00000000-0005-0000-0000-000028320000}"/>
    <cellStyle name="Normal 2 2 2 2 2 33 10" xfId="12884" xr:uid="{00000000-0005-0000-0000-000029320000}"/>
    <cellStyle name="Normal 2 2 2 2 2 33 11" xfId="12885" xr:uid="{00000000-0005-0000-0000-00002A320000}"/>
    <cellStyle name="Normal 2 2 2 2 2 33 12" xfId="12886" xr:uid="{00000000-0005-0000-0000-00002B320000}"/>
    <cellStyle name="Normal 2 2 2 2 2 33 13" xfId="12887" xr:uid="{00000000-0005-0000-0000-00002C320000}"/>
    <cellStyle name="Normal 2 2 2 2 2 33 14" xfId="12888" xr:uid="{00000000-0005-0000-0000-00002D320000}"/>
    <cellStyle name="Normal 2 2 2 2 2 33 2" xfId="12889" xr:uid="{00000000-0005-0000-0000-00002E320000}"/>
    <cellStyle name="Normal 2 2 2 2 2 33 2 10" xfId="12890" xr:uid="{00000000-0005-0000-0000-00002F320000}"/>
    <cellStyle name="Normal 2 2 2 2 2 33 2 2" xfId="12891" xr:uid="{00000000-0005-0000-0000-000030320000}"/>
    <cellStyle name="Normal 2 2 2 2 2 33 2 3" xfId="12892" xr:uid="{00000000-0005-0000-0000-000031320000}"/>
    <cellStyle name="Normal 2 2 2 2 2 33 2 4" xfId="12893" xr:uid="{00000000-0005-0000-0000-000032320000}"/>
    <cellStyle name="Normal 2 2 2 2 2 33 2 5" xfId="12894" xr:uid="{00000000-0005-0000-0000-000033320000}"/>
    <cellStyle name="Normal 2 2 2 2 2 33 2 6" xfId="12895" xr:uid="{00000000-0005-0000-0000-000034320000}"/>
    <cellStyle name="Normal 2 2 2 2 2 33 2 7" xfId="12896" xr:uid="{00000000-0005-0000-0000-000035320000}"/>
    <cellStyle name="Normal 2 2 2 2 2 33 2 8" xfId="12897" xr:uid="{00000000-0005-0000-0000-000036320000}"/>
    <cellStyle name="Normal 2 2 2 2 2 33 2 9" xfId="12898" xr:uid="{00000000-0005-0000-0000-000037320000}"/>
    <cellStyle name="Normal 2 2 2 2 2 33 3" xfId="12899" xr:uid="{00000000-0005-0000-0000-000038320000}"/>
    <cellStyle name="Normal 2 2 2 2 2 33 3 10" xfId="12900" xr:uid="{00000000-0005-0000-0000-000039320000}"/>
    <cellStyle name="Normal 2 2 2 2 2 33 3 2" xfId="12901" xr:uid="{00000000-0005-0000-0000-00003A320000}"/>
    <cellStyle name="Normal 2 2 2 2 2 33 3 3" xfId="12902" xr:uid="{00000000-0005-0000-0000-00003B320000}"/>
    <cellStyle name="Normal 2 2 2 2 2 33 3 4" xfId="12903" xr:uid="{00000000-0005-0000-0000-00003C320000}"/>
    <cellStyle name="Normal 2 2 2 2 2 33 3 5" xfId="12904" xr:uid="{00000000-0005-0000-0000-00003D320000}"/>
    <cellStyle name="Normal 2 2 2 2 2 33 3 6" xfId="12905" xr:uid="{00000000-0005-0000-0000-00003E320000}"/>
    <cellStyle name="Normal 2 2 2 2 2 33 3 7" xfId="12906" xr:uid="{00000000-0005-0000-0000-00003F320000}"/>
    <cellStyle name="Normal 2 2 2 2 2 33 3 8" xfId="12907" xr:uid="{00000000-0005-0000-0000-000040320000}"/>
    <cellStyle name="Normal 2 2 2 2 2 33 3 9" xfId="12908" xr:uid="{00000000-0005-0000-0000-000041320000}"/>
    <cellStyle name="Normal 2 2 2 2 2 33 4" xfId="12909" xr:uid="{00000000-0005-0000-0000-000042320000}"/>
    <cellStyle name="Normal 2 2 2 2 2 33 4 10" xfId="12910" xr:uid="{00000000-0005-0000-0000-000043320000}"/>
    <cellStyle name="Normal 2 2 2 2 2 33 4 2" xfId="12911" xr:uid="{00000000-0005-0000-0000-000044320000}"/>
    <cellStyle name="Normal 2 2 2 2 2 33 4 3" xfId="12912" xr:uid="{00000000-0005-0000-0000-000045320000}"/>
    <cellStyle name="Normal 2 2 2 2 2 33 4 4" xfId="12913" xr:uid="{00000000-0005-0000-0000-000046320000}"/>
    <cellStyle name="Normal 2 2 2 2 2 33 4 5" xfId="12914" xr:uid="{00000000-0005-0000-0000-000047320000}"/>
    <cellStyle name="Normal 2 2 2 2 2 33 4 6" xfId="12915" xr:uid="{00000000-0005-0000-0000-000048320000}"/>
    <cellStyle name="Normal 2 2 2 2 2 33 4 7" xfId="12916" xr:uid="{00000000-0005-0000-0000-000049320000}"/>
    <cellStyle name="Normal 2 2 2 2 2 33 4 8" xfId="12917" xr:uid="{00000000-0005-0000-0000-00004A320000}"/>
    <cellStyle name="Normal 2 2 2 2 2 33 4 9" xfId="12918" xr:uid="{00000000-0005-0000-0000-00004B320000}"/>
    <cellStyle name="Normal 2 2 2 2 2 33 5" xfId="12919" xr:uid="{00000000-0005-0000-0000-00004C320000}"/>
    <cellStyle name="Normal 2 2 2 2 2 33 5 10" xfId="12920" xr:uid="{00000000-0005-0000-0000-00004D320000}"/>
    <cellStyle name="Normal 2 2 2 2 2 33 5 2" xfId="12921" xr:uid="{00000000-0005-0000-0000-00004E320000}"/>
    <cellStyle name="Normal 2 2 2 2 2 33 5 3" xfId="12922" xr:uid="{00000000-0005-0000-0000-00004F320000}"/>
    <cellStyle name="Normal 2 2 2 2 2 33 5 4" xfId="12923" xr:uid="{00000000-0005-0000-0000-000050320000}"/>
    <cellStyle name="Normal 2 2 2 2 2 33 5 5" xfId="12924" xr:uid="{00000000-0005-0000-0000-000051320000}"/>
    <cellStyle name="Normal 2 2 2 2 2 33 5 6" xfId="12925" xr:uid="{00000000-0005-0000-0000-000052320000}"/>
    <cellStyle name="Normal 2 2 2 2 2 33 5 7" xfId="12926" xr:uid="{00000000-0005-0000-0000-000053320000}"/>
    <cellStyle name="Normal 2 2 2 2 2 33 5 8" xfId="12927" xr:uid="{00000000-0005-0000-0000-000054320000}"/>
    <cellStyle name="Normal 2 2 2 2 2 33 5 9" xfId="12928" xr:uid="{00000000-0005-0000-0000-000055320000}"/>
    <cellStyle name="Normal 2 2 2 2 2 33 6" xfId="12929" xr:uid="{00000000-0005-0000-0000-000056320000}"/>
    <cellStyle name="Normal 2 2 2 2 2 33 7" xfId="12930" xr:uid="{00000000-0005-0000-0000-000057320000}"/>
    <cellStyle name="Normal 2 2 2 2 2 33 8" xfId="12931" xr:uid="{00000000-0005-0000-0000-000058320000}"/>
    <cellStyle name="Normal 2 2 2 2 2 33 9" xfId="12932" xr:uid="{00000000-0005-0000-0000-000059320000}"/>
    <cellStyle name="Normal 2 2 2 2 2 34" xfId="12933" xr:uid="{00000000-0005-0000-0000-00005A320000}"/>
    <cellStyle name="Normal 2 2 2 2 2 34 10" xfId="12934" xr:uid="{00000000-0005-0000-0000-00005B320000}"/>
    <cellStyle name="Normal 2 2 2 2 2 34 11" xfId="12935" xr:uid="{00000000-0005-0000-0000-00005C320000}"/>
    <cellStyle name="Normal 2 2 2 2 2 34 12" xfId="12936" xr:uid="{00000000-0005-0000-0000-00005D320000}"/>
    <cellStyle name="Normal 2 2 2 2 2 34 13" xfId="12937" xr:uid="{00000000-0005-0000-0000-00005E320000}"/>
    <cellStyle name="Normal 2 2 2 2 2 34 14" xfId="12938" xr:uid="{00000000-0005-0000-0000-00005F320000}"/>
    <cellStyle name="Normal 2 2 2 2 2 34 2" xfId="12939" xr:uid="{00000000-0005-0000-0000-000060320000}"/>
    <cellStyle name="Normal 2 2 2 2 2 34 2 10" xfId="12940" xr:uid="{00000000-0005-0000-0000-000061320000}"/>
    <cellStyle name="Normal 2 2 2 2 2 34 2 2" xfId="12941" xr:uid="{00000000-0005-0000-0000-000062320000}"/>
    <cellStyle name="Normal 2 2 2 2 2 34 2 3" xfId="12942" xr:uid="{00000000-0005-0000-0000-000063320000}"/>
    <cellStyle name="Normal 2 2 2 2 2 34 2 4" xfId="12943" xr:uid="{00000000-0005-0000-0000-000064320000}"/>
    <cellStyle name="Normal 2 2 2 2 2 34 2 5" xfId="12944" xr:uid="{00000000-0005-0000-0000-000065320000}"/>
    <cellStyle name="Normal 2 2 2 2 2 34 2 6" xfId="12945" xr:uid="{00000000-0005-0000-0000-000066320000}"/>
    <cellStyle name="Normal 2 2 2 2 2 34 2 7" xfId="12946" xr:uid="{00000000-0005-0000-0000-000067320000}"/>
    <cellStyle name="Normal 2 2 2 2 2 34 2 8" xfId="12947" xr:uid="{00000000-0005-0000-0000-000068320000}"/>
    <cellStyle name="Normal 2 2 2 2 2 34 2 9" xfId="12948" xr:uid="{00000000-0005-0000-0000-000069320000}"/>
    <cellStyle name="Normal 2 2 2 2 2 34 3" xfId="12949" xr:uid="{00000000-0005-0000-0000-00006A320000}"/>
    <cellStyle name="Normal 2 2 2 2 2 34 3 10" xfId="12950" xr:uid="{00000000-0005-0000-0000-00006B320000}"/>
    <cellStyle name="Normal 2 2 2 2 2 34 3 2" xfId="12951" xr:uid="{00000000-0005-0000-0000-00006C320000}"/>
    <cellStyle name="Normal 2 2 2 2 2 34 3 3" xfId="12952" xr:uid="{00000000-0005-0000-0000-00006D320000}"/>
    <cellStyle name="Normal 2 2 2 2 2 34 3 4" xfId="12953" xr:uid="{00000000-0005-0000-0000-00006E320000}"/>
    <cellStyle name="Normal 2 2 2 2 2 34 3 5" xfId="12954" xr:uid="{00000000-0005-0000-0000-00006F320000}"/>
    <cellStyle name="Normal 2 2 2 2 2 34 3 6" xfId="12955" xr:uid="{00000000-0005-0000-0000-000070320000}"/>
    <cellStyle name="Normal 2 2 2 2 2 34 3 7" xfId="12956" xr:uid="{00000000-0005-0000-0000-000071320000}"/>
    <cellStyle name="Normal 2 2 2 2 2 34 3 8" xfId="12957" xr:uid="{00000000-0005-0000-0000-000072320000}"/>
    <cellStyle name="Normal 2 2 2 2 2 34 3 9" xfId="12958" xr:uid="{00000000-0005-0000-0000-000073320000}"/>
    <cellStyle name="Normal 2 2 2 2 2 34 4" xfId="12959" xr:uid="{00000000-0005-0000-0000-000074320000}"/>
    <cellStyle name="Normal 2 2 2 2 2 34 4 10" xfId="12960" xr:uid="{00000000-0005-0000-0000-000075320000}"/>
    <cellStyle name="Normal 2 2 2 2 2 34 4 2" xfId="12961" xr:uid="{00000000-0005-0000-0000-000076320000}"/>
    <cellStyle name="Normal 2 2 2 2 2 34 4 3" xfId="12962" xr:uid="{00000000-0005-0000-0000-000077320000}"/>
    <cellStyle name="Normal 2 2 2 2 2 34 4 4" xfId="12963" xr:uid="{00000000-0005-0000-0000-000078320000}"/>
    <cellStyle name="Normal 2 2 2 2 2 34 4 5" xfId="12964" xr:uid="{00000000-0005-0000-0000-000079320000}"/>
    <cellStyle name="Normal 2 2 2 2 2 34 4 6" xfId="12965" xr:uid="{00000000-0005-0000-0000-00007A320000}"/>
    <cellStyle name="Normal 2 2 2 2 2 34 4 7" xfId="12966" xr:uid="{00000000-0005-0000-0000-00007B320000}"/>
    <cellStyle name="Normal 2 2 2 2 2 34 4 8" xfId="12967" xr:uid="{00000000-0005-0000-0000-00007C320000}"/>
    <cellStyle name="Normal 2 2 2 2 2 34 4 9" xfId="12968" xr:uid="{00000000-0005-0000-0000-00007D320000}"/>
    <cellStyle name="Normal 2 2 2 2 2 34 5" xfId="12969" xr:uid="{00000000-0005-0000-0000-00007E320000}"/>
    <cellStyle name="Normal 2 2 2 2 2 34 5 10" xfId="12970" xr:uid="{00000000-0005-0000-0000-00007F320000}"/>
    <cellStyle name="Normal 2 2 2 2 2 34 5 2" xfId="12971" xr:uid="{00000000-0005-0000-0000-000080320000}"/>
    <cellStyle name="Normal 2 2 2 2 2 34 5 3" xfId="12972" xr:uid="{00000000-0005-0000-0000-000081320000}"/>
    <cellStyle name="Normal 2 2 2 2 2 34 5 4" xfId="12973" xr:uid="{00000000-0005-0000-0000-000082320000}"/>
    <cellStyle name="Normal 2 2 2 2 2 34 5 5" xfId="12974" xr:uid="{00000000-0005-0000-0000-000083320000}"/>
    <cellStyle name="Normal 2 2 2 2 2 34 5 6" xfId="12975" xr:uid="{00000000-0005-0000-0000-000084320000}"/>
    <cellStyle name="Normal 2 2 2 2 2 34 5 7" xfId="12976" xr:uid="{00000000-0005-0000-0000-000085320000}"/>
    <cellStyle name="Normal 2 2 2 2 2 34 5 8" xfId="12977" xr:uid="{00000000-0005-0000-0000-000086320000}"/>
    <cellStyle name="Normal 2 2 2 2 2 34 5 9" xfId="12978" xr:uid="{00000000-0005-0000-0000-000087320000}"/>
    <cellStyle name="Normal 2 2 2 2 2 34 6" xfId="12979" xr:uid="{00000000-0005-0000-0000-000088320000}"/>
    <cellStyle name="Normal 2 2 2 2 2 34 7" xfId="12980" xr:uid="{00000000-0005-0000-0000-000089320000}"/>
    <cellStyle name="Normal 2 2 2 2 2 34 8" xfId="12981" xr:uid="{00000000-0005-0000-0000-00008A320000}"/>
    <cellStyle name="Normal 2 2 2 2 2 34 9" xfId="12982" xr:uid="{00000000-0005-0000-0000-00008B320000}"/>
    <cellStyle name="Normal 2 2 2 2 2 35" xfId="12983" xr:uid="{00000000-0005-0000-0000-00008C320000}"/>
    <cellStyle name="Normal 2 2 2 2 2 35 10" xfId="12984" xr:uid="{00000000-0005-0000-0000-00008D320000}"/>
    <cellStyle name="Normal 2 2 2 2 2 35 2" xfId="12985" xr:uid="{00000000-0005-0000-0000-00008E320000}"/>
    <cellStyle name="Normal 2 2 2 2 2 35 3" xfId="12986" xr:uid="{00000000-0005-0000-0000-00008F320000}"/>
    <cellStyle name="Normal 2 2 2 2 2 35 4" xfId="12987" xr:uid="{00000000-0005-0000-0000-000090320000}"/>
    <cellStyle name="Normal 2 2 2 2 2 35 5" xfId="12988" xr:uid="{00000000-0005-0000-0000-000091320000}"/>
    <cellStyle name="Normal 2 2 2 2 2 35 6" xfId="12989" xr:uid="{00000000-0005-0000-0000-000092320000}"/>
    <cellStyle name="Normal 2 2 2 2 2 35 7" xfId="12990" xr:uid="{00000000-0005-0000-0000-000093320000}"/>
    <cellStyle name="Normal 2 2 2 2 2 35 8" xfId="12991" xr:uid="{00000000-0005-0000-0000-000094320000}"/>
    <cellStyle name="Normal 2 2 2 2 2 35 9" xfId="12992" xr:uid="{00000000-0005-0000-0000-000095320000}"/>
    <cellStyle name="Normal 2 2 2 2 2 36" xfId="12993" xr:uid="{00000000-0005-0000-0000-000096320000}"/>
    <cellStyle name="Normal 2 2 2 2 2 36 10" xfId="12994" xr:uid="{00000000-0005-0000-0000-000097320000}"/>
    <cellStyle name="Normal 2 2 2 2 2 36 2" xfId="12995" xr:uid="{00000000-0005-0000-0000-000098320000}"/>
    <cellStyle name="Normal 2 2 2 2 2 36 3" xfId="12996" xr:uid="{00000000-0005-0000-0000-000099320000}"/>
    <cellStyle name="Normal 2 2 2 2 2 36 4" xfId="12997" xr:uid="{00000000-0005-0000-0000-00009A320000}"/>
    <cellStyle name="Normal 2 2 2 2 2 36 5" xfId="12998" xr:uid="{00000000-0005-0000-0000-00009B320000}"/>
    <cellStyle name="Normal 2 2 2 2 2 36 6" xfId="12999" xr:uid="{00000000-0005-0000-0000-00009C320000}"/>
    <cellStyle name="Normal 2 2 2 2 2 36 7" xfId="13000" xr:uid="{00000000-0005-0000-0000-00009D320000}"/>
    <cellStyle name="Normal 2 2 2 2 2 36 8" xfId="13001" xr:uid="{00000000-0005-0000-0000-00009E320000}"/>
    <cellStyle name="Normal 2 2 2 2 2 36 9" xfId="13002" xr:uid="{00000000-0005-0000-0000-00009F320000}"/>
    <cellStyle name="Normal 2 2 2 2 2 37" xfId="13003" xr:uid="{00000000-0005-0000-0000-0000A0320000}"/>
    <cellStyle name="Normal 2 2 2 2 2 37 10" xfId="13004" xr:uid="{00000000-0005-0000-0000-0000A1320000}"/>
    <cellStyle name="Normal 2 2 2 2 2 37 2" xfId="13005" xr:uid="{00000000-0005-0000-0000-0000A2320000}"/>
    <cellStyle name="Normal 2 2 2 2 2 37 3" xfId="13006" xr:uid="{00000000-0005-0000-0000-0000A3320000}"/>
    <cellStyle name="Normal 2 2 2 2 2 37 4" xfId="13007" xr:uid="{00000000-0005-0000-0000-0000A4320000}"/>
    <cellStyle name="Normal 2 2 2 2 2 37 5" xfId="13008" xr:uid="{00000000-0005-0000-0000-0000A5320000}"/>
    <cellStyle name="Normal 2 2 2 2 2 37 6" xfId="13009" xr:uid="{00000000-0005-0000-0000-0000A6320000}"/>
    <cellStyle name="Normal 2 2 2 2 2 37 7" xfId="13010" xr:uid="{00000000-0005-0000-0000-0000A7320000}"/>
    <cellStyle name="Normal 2 2 2 2 2 37 8" xfId="13011" xr:uid="{00000000-0005-0000-0000-0000A8320000}"/>
    <cellStyle name="Normal 2 2 2 2 2 37 9" xfId="13012" xr:uid="{00000000-0005-0000-0000-0000A9320000}"/>
    <cellStyle name="Normal 2 2 2 2 2 38" xfId="13013" xr:uid="{00000000-0005-0000-0000-0000AA320000}"/>
    <cellStyle name="Normal 2 2 2 2 2 38 10" xfId="13014" xr:uid="{00000000-0005-0000-0000-0000AB320000}"/>
    <cellStyle name="Normal 2 2 2 2 2 38 2" xfId="13015" xr:uid="{00000000-0005-0000-0000-0000AC320000}"/>
    <cellStyle name="Normal 2 2 2 2 2 38 3" xfId="13016" xr:uid="{00000000-0005-0000-0000-0000AD320000}"/>
    <cellStyle name="Normal 2 2 2 2 2 38 4" xfId="13017" xr:uid="{00000000-0005-0000-0000-0000AE320000}"/>
    <cellStyle name="Normal 2 2 2 2 2 38 5" xfId="13018" xr:uid="{00000000-0005-0000-0000-0000AF320000}"/>
    <cellStyle name="Normal 2 2 2 2 2 38 6" xfId="13019" xr:uid="{00000000-0005-0000-0000-0000B0320000}"/>
    <cellStyle name="Normal 2 2 2 2 2 38 7" xfId="13020" xr:uid="{00000000-0005-0000-0000-0000B1320000}"/>
    <cellStyle name="Normal 2 2 2 2 2 38 8" xfId="13021" xr:uid="{00000000-0005-0000-0000-0000B2320000}"/>
    <cellStyle name="Normal 2 2 2 2 2 38 9" xfId="13022" xr:uid="{00000000-0005-0000-0000-0000B3320000}"/>
    <cellStyle name="Normal 2 2 2 2 2 39" xfId="13023" xr:uid="{00000000-0005-0000-0000-0000B4320000}"/>
    <cellStyle name="Normal 2 2 2 2 2 4" xfId="13024" xr:uid="{00000000-0005-0000-0000-0000B5320000}"/>
    <cellStyle name="Normal 2 2 2 2 2 4 10" xfId="13025" xr:uid="{00000000-0005-0000-0000-0000B6320000}"/>
    <cellStyle name="Normal 2 2 2 2 2 4 11" xfId="13026" xr:uid="{00000000-0005-0000-0000-0000B7320000}"/>
    <cellStyle name="Normal 2 2 2 2 2 4 12" xfId="13027" xr:uid="{00000000-0005-0000-0000-0000B8320000}"/>
    <cellStyle name="Normal 2 2 2 2 2 4 13" xfId="13028" xr:uid="{00000000-0005-0000-0000-0000B9320000}"/>
    <cellStyle name="Normal 2 2 2 2 2 4 14" xfId="13029" xr:uid="{00000000-0005-0000-0000-0000BA320000}"/>
    <cellStyle name="Normal 2 2 2 2 2 4 15" xfId="13030" xr:uid="{00000000-0005-0000-0000-0000BB320000}"/>
    <cellStyle name="Normal 2 2 2 2 2 4 16" xfId="13031" xr:uid="{00000000-0005-0000-0000-0000BC320000}"/>
    <cellStyle name="Normal 2 2 2 2 2 4 2" xfId="13032" xr:uid="{00000000-0005-0000-0000-0000BD320000}"/>
    <cellStyle name="Normal 2 2 2 2 2 4 2 10" xfId="13033" xr:uid="{00000000-0005-0000-0000-0000BE320000}"/>
    <cellStyle name="Normal 2 2 2 2 2 4 2 2" xfId="13034" xr:uid="{00000000-0005-0000-0000-0000BF320000}"/>
    <cellStyle name="Normal 2 2 2 2 2 4 2 3" xfId="13035" xr:uid="{00000000-0005-0000-0000-0000C0320000}"/>
    <cellStyle name="Normal 2 2 2 2 2 4 2 4" xfId="13036" xr:uid="{00000000-0005-0000-0000-0000C1320000}"/>
    <cellStyle name="Normal 2 2 2 2 2 4 2 5" xfId="13037" xr:uid="{00000000-0005-0000-0000-0000C2320000}"/>
    <cellStyle name="Normal 2 2 2 2 2 4 2 6" xfId="13038" xr:uid="{00000000-0005-0000-0000-0000C3320000}"/>
    <cellStyle name="Normal 2 2 2 2 2 4 2 7" xfId="13039" xr:uid="{00000000-0005-0000-0000-0000C4320000}"/>
    <cellStyle name="Normal 2 2 2 2 2 4 2 8" xfId="13040" xr:uid="{00000000-0005-0000-0000-0000C5320000}"/>
    <cellStyle name="Normal 2 2 2 2 2 4 2 9" xfId="13041" xr:uid="{00000000-0005-0000-0000-0000C6320000}"/>
    <cellStyle name="Normal 2 2 2 2 2 4 3" xfId="13042" xr:uid="{00000000-0005-0000-0000-0000C7320000}"/>
    <cellStyle name="Normal 2 2 2 2 2 4 3 10" xfId="13043" xr:uid="{00000000-0005-0000-0000-0000C8320000}"/>
    <cellStyle name="Normal 2 2 2 2 2 4 3 2" xfId="13044" xr:uid="{00000000-0005-0000-0000-0000C9320000}"/>
    <cellStyle name="Normal 2 2 2 2 2 4 3 3" xfId="13045" xr:uid="{00000000-0005-0000-0000-0000CA320000}"/>
    <cellStyle name="Normal 2 2 2 2 2 4 3 4" xfId="13046" xr:uid="{00000000-0005-0000-0000-0000CB320000}"/>
    <cellStyle name="Normal 2 2 2 2 2 4 3 5" xfId="13047" xr:uid="{00000000-0005-0000-0000-0000CC320000}"/>
    <cellStyle name="Normal 2 2 2 2 2 4 3 6" xfId="13048" xr:uid="{00000000-0005-0000-0000-0000CD320000}"/>
    <cellStyle name="Normal 2 2 2 2 2 4 3 7" xfId="13049" xr:uid="{00000000-0005-0000-0000-0000CE320000}"/>
    <cellStyle name="Normal 2 2 2 2 2 4 3 8" xfId="13050" xr:uid="{00000000-0005-0000-0000-0000CF320000}"/>
    <cellStyle name="Normal 2 2 2 2 2 4 3 9" xfId="13051" xr:uid="{00000000-0005-0000-0000-0000D0320000}"/>
    <cellStyle name="Normal 2 2 2 2 2 4 4" xfId="13052" xr:uid="{00000000-0005-0000-0000-0000D1320000}"/>
    <cellStyle name="Normal 2 2 2 2 2 4 4 10" xfId="13053" xr:uid="{00000000-0005-0000-0000-0000D2320000}"/>
    <cellStyle name="Normal 2 2 2 2 2 4 4 2" xfId="13054" xr:uid="{00000000-0005-0000-0000-0000D3320000}"/>
    <cellStyle name="Normal 2 2 2 2 2 4 4 3" xfId="13055" xr:uid="{00000000-0005-0000-0000-0000D4320000}"/>
    <cellStyle name="Normal 2 2 2 2 2 4 4 4" xfId="13056" xr:uid="{00000000-0005-0000-0000-0000D5320000}"/>
    <cellStyle name="Normal 2 2 2 2 2 4 4 5" xfId="13057" xr:uid="{00000000-0005-0000-0000-0000D6320000}"/>
    <cellStyle name="Normal 2 2 2 2 2 4 4 6" xfId="13058" xr:uid="{00000000-0005-0000-0000-0000D7320000}"/>
    <cellStyle name="Normal 2 2 2 2 2 4 4 7" xfId="13059" xr:uid="{00000000-0005-0000-0000-0000D8320000}"/>
    <cellStyle name="Normal 2 2 2 2 2 4 4 8" xfId="13060" xr:uid="{00000000-0005-0000-0000-0000D9320000}"/>
    <cellStyle name="Normal 2 2 2 2 2 4 4 9" xfId="13061" xr:uid="{00000000-0005-0000-0000-0000DA320000}"/>
    <cellStyle name="Normal 2 2 2 2 2 4 5" xfId="13062" xr:uid="{00000000-0005-0000-0000-0000DB320000}"/>
    <cellStyle name="Normal 2 2 2 2 2 4 5 10" xfId="13063" xr:uid="{00000000-0005-0000-0000-0000DC320000}"/>
    <cellStyle name="Normal 2 2 2 2 2 4 5 2" xfId="13064" xr:uid="{00000000-0005-0000-0000-0000DD320000}"/>
    <cellStyle name="Normal 2 2 2 2 2 4 5 3" xfId="13065" xr:uid="{00000000-0005-0000-0000-0000DE320000}"/>
    <cellStyle name="Normal 2 2 2 2 2 4 5 4" xfId="13066" xr:uid="{00000000-0005-0000-0000-0000DF320000}"/>
    <cellStyle name="Normal 2 2 2 2 2 4 5 5" xfId="13067" xr:uid="{00000000-0005-0000-0000-0000E0320000}"/>
    <cellStyle name="Normal 2 2 2 2 2 4 5 6" xfId="13068" xr:uid="{00000000-0005-0000-0000-0000E1320000}"/>
    <cellStyle name="Normal 2 2 2 2 2 4 5 7" xfId="13069" xr:uid="{00000000-0005-0000-0000-0000E2320000}"/>
    <cellStyle name="Normal 2 2 2 2 2 4 5 8" xfId="13070" xr:uid="{00000000-0005-0000-0000-0000E3320000}"/>
    <cellStyle name="Normal 2 2 2 2 2 4 5 9" xfId="13071" xr:uid="{00000000-0005-0000-0000-0000E4320000}"/>
    <cellStyle name="Normal 2 2 2 2 2 4 6" xfId="13072" xr:uid="{00000000-0005-0000-0000-0000E5320000}"/>
    <cellStyle name="Normal 2 2 2 2 2 4 7" xfId="13073" xr:uid="{00000000-0005-0000-0000-0000E6320000}"/>
    <cellStyle name="Normal 2 2 2 2 2 4 8" xfId="13074" xr:uid="{00000000-0005-0000-0000-0000E7320000}"/>
    <cellStyle name="Normal 2 2 2 2 2 4 9" xfId="13075" xr:uid="{00000000-0005-0000-0000-0000E8320000}"/>
    <cellStyle name="Normal 2 2 2 2 2 40" xfId="13076" xr:uid="{00000000-0005-0000-0000-0000E9320000}"/>
    <cellStyle name="Normal 2 2 2 2 2 41" xfId="13077" xr:uid="{00000000-0005-0000-0000-0000EA320000}"/>
    <cellStyle name="Normal 2 2 2 2 2 42" xfId="13078" xr:uid="{00000000-0005-0000-0000-0000EB320000}"/>
    <cellStyle name="Normal 2 2 2 2 2 43" xfId="13079" xr:uid="{00000000-0005-0000-0000-0000EC320000}"/>
    <cellStyle name="Normal 2 2 2 2 2 44" xfId="13080" xr:uid="{00000000-0005-0000-0000-0000ED320000}"/>
    <cellStyle name="Normal 2 2 2 2 2 45" xfId="13081" xr:uid="{00000000-0005-0000-0000-0000EE320000}"/>
    <cellStyle name="Normal 2 2 2 2 2 46" xfId="13082" xr:uid="{00000000-0005-0000-0000-0000EF320000}"/>
    <cellStyle name="Normal 2 2 2 2 2 47" xfId="13083" xr:uid="{00000000-0005-0000-0000-0000F0320000}"/>
    <cellStyle name="Normal 2 2 2 2 2 48" xfId="13084" xr:uid="{00000000-0005-0000-0000-0000F1320000}"/>
    <cellStyle name="Normal 2 2 2 2 2 49" xfId="13085" xr:uid="{00000000-0005-0000-0000-0000F2320000}"/>
    <cellStyle name="Normal 2 2 2 2 2 5" xfId="13086" xr:uid="{00000000-0005-0000-0000-0000F3320000}"/>
    <cellStyle name="Normal 2 2 2 2 2 5 10" xfId="13087" xr:uid="{00000000-0005-0000-0000-0000F4320000}"/>
    <cellStyle name="Normal 2 2 2 2 2 5 11" xfId="13088" xr:uid="{00000000-0005-0000-0000-0000F5320000}"/>
    <cellStyle name="Normal 2 2 2 2 2 5 12" xfId="13089" xr:uid="{00000000-0005-0000-0000-0000F6320000}"/>
    <cellStyle name="Normal 2 2 2 2 2 5 13" xfId="13090" xr:uid="{00000000-0005-0000-0000-0000F7320000}"/>
    <cellStyle name="Normal 2 2 2 2 2 5 14" xfId="13091" xr:uid="{00000000-0005-0000-0000-0000F8320000}"/>
    <cellStyle name="Normal 2 2 2 2 2 5 2" xfId="13092" xr:uid="{00000000-0005-0000-0000-0000F9320000}"/>
    <cellStyle name="Normal 2 2 2 2 2 5 2 10" xfId="13093" xr:uid="{00000000-0005-0000-0000-0000FA320000}"/>
    <cellStyle name="Normal 2 2 2 2 2 5 2 2" xfId="13094" xr:uid="{00000000-0005-0000-0000-0000FB320000}"/>
    <cellStyle name="Normal 2 2 2 2 2 5 2 3" xfId="13095" xr:uid="{00000000-0005-0000-0000-0000FC320000}"/>
    <cellStyle name="Normal 2 2 2 2 2 5 2 4" xfId="13096" xr:uid="{00000000-0005-0000-0000-0000FD320000}"/>
    <cellStyle name="Normal 2 2 2 2 2 5 2 5" xfId="13097" xr:uid="{00000000-0005-0000-0000-0000FE320000}"/>
    <cellStyle name="Normal 2 2 2 2 2 5 2 6" xfId="13098" xr:uid="{00000000-0005-0000-0000-0000FF320000}"/>
    <cellStyle name="Normal 2 2 2 2 2 5 2 7" xfId="13099" xr:uid="{00000000-0005-0000-0000-000000330000}"/>
    <cellStyle name="Normal 2 2 2 2 2 5 2 8" xfId="13100" xr:uid="{00000000-0005-0000-0000-000001330000}"/>
    <cellStyle name="Normal 2 2 2 2 2 5 2 9" xfId="13101" xr:uid="{00000000-0005-0000-0000-000002330000}"/>
    <cellStyle name="Normal 2 2 2 2 2 5 3" xfId="13102" xr:uid="{00000000-0005-0000-0000-000003330000}"/>
    <cellStyle name="Normal 2 2 2 2 2 5 3 10" xfId="13103" xr:uid="{00000000-0005-0000-0000-000004330000}"/>
    <cellStyle name="Normal 2 2 2 2 2 5 3 2" xfId="13104" xr:uid="{00000000-0005-0000-0000-000005330000}"/>
    <cellStyle name="Normal 2 2 2 2 2 5 3 3" xfId="13105" xr:uid="{00000000-0005-0000-0000-000006330000}"/>
    <cellStyle name="Normal 2 2 2 2 2 5 3 4" xfId="13106" xr:uid="{00000000-0005-0000-0000-000007330000}"/>
    <cellStyle name="Normal 2 2 2 2 2 5 3 5" xfId="13107" xr:uid="{00000000-0005-0000-0000-000008330000}"/>
    <cellStyle name="Normal 2 2 2 2 2 5 3 6" xfId="13108" xr:uid="{00000000-0005-0000-0000-000009330000}"/>
    <cellStyle name="Normal 2 2 2 2 2 5 3 7" xfId="13109" xr:uid="{00000000-0005-0000-0000-00000A330000}"/>
    <cellStyle name="Normal 2 2 2 2 2 5 3 8" xfId="13110" xr:uid="{00000000-0005-0000-0000-00000B330000}"/>
    <cellStyle name="Normal 2 2 2 2 2 5 3 9" xfId="13111" xr:uid="{00000000-0005-0000-0000-00000C330000}"/>
    <cellStyle name="Normal 2 2 2 2 2 5 4" xfId="13112" xr:uid="{00000000-0005-0000-0000-00000D330000}"/>
    <cellStyle name="Normal 2 2 2 2 2 5 4 10" xfId="13113" xr:uid="{00000000-0005-0000-0000-00000E330000}"/>
    <cellStyle name="Normal 2 2 2 2 2 5 4 2" xfId="13114" xr:uid="{00000000-0005-0000-0000-00000F330000}"/>
    <cellStyle name="Normal 2 2 2 2 2 5 4 3" xfId="13115" xr:uid="{00000000-0005-0000-0000-000010330000}"/>
    <cellStyle name="Normal 2 2 2 2 2 5 4 4" xfId="13116" xr:uid="{00000000-0005-0000-0000-000011330000}"/>
    <cellStyle name="Normal 2 2 2 2 2 5 4 5" xfId="13117" xr:uid="{00000000-0005-0000-0000-000012330000}"/>
    <cellStyle name="Normal 2 2 2 2 2 5 4 6" xfId="13118" xr:uid="{00000000-0005-0000-0000-000013330000}"/>
    <cellStyle name="Normal 2 2 2 2 2 5 4 7" xfId="13119" xr:uid="{00000000-0005-0000-0000-000014330000}"/>
    <cellStyle name="Normal 2 2 2 2 2 5 4 8" xfId="13120" xr:uid="{00000000-0005-0000-0000-000015330000}"/>
    <cellStyle name="Normal 2 2 2 2 2 5 4 9" xfId="13121" xr:uid="{00000000-0005-0000-0000-000016330000}"/>
    <cellStyle name="Normal 2 2 2 2 2 5 5" xfId="13122" xr:uid="{00000000-0005-0000-0000-000017330000}"/>
    <cellStyle name="Normal 2 2 2 2 2 5 5 10" xfId="13123" xr:uid="{00000000-0005-0000-0000-000018330000}"/>
    <cellStyle name="Normal 2 2 2 2 2 5 5 2" xfId="13124" xr:uid="{00000000-0005-0000-0000-000019330000}"/>
    <cellStyle name="Normal 2 2 2 2 2 5 5 3" xfId="13125" xr:uid="{00000000-0005-0000-0000-00001A330000}"/>
    <cellStyle name="Normal 2 2 2 2 2 5 5 4" xfId="13126" xr:uid="{00000000-0005-0000-0000-00001B330000}"/>
    <cellStyle name="Normal 2 2 2 2 2 5 5 5" xfId="13127" xr:uid="{00000000-0005-0000-0000-00001C330000}"/>
    <cellStyle name="Normal 2 2 2 2 2 5 5 6" xfId="13128" xr:uid="{00000000-0005-0000-0000-00001D330000}"/>
    <cellStyle name="Normal 2 2 2 2 2 5 5 7" xfId="13129" xr:uid="{00000000-0005-0000-0000-00001E330000}"/>
    <cellStyle name="Normal 2 2 2 2 2 5 5 8" xfId="13130" xr:uid="{00000000-0005-0000-0000-00001F330000}"/>
    <cellStyle name="Normal 2 2 2 2 2 5 5 9" xfId="13131" xr:uid="{00000000-0005-0000-0000-000020330000}"/>
    <cellStyle name="Normal 2 2 2 2 2 5 6" xfId="13132" xr:uid="{00000000-0005-0000-0000-000021330000}"/>
    <cellStyle name="Normal 2 2 2 2 2 5 7" xfId="13133" xr:uid="{00000000-0005-0000-0000-000022330000}"/>
    <cellStyle name="Normal 2 2 2 2 2 5 8" xfId="13134" xr:uid="{00000000-0005-0000-0000-000023330000}"/>
    <cellStyle name="Normal 2 2 2 2 2 5 9" xfId="13135" xr:uid="{00000000-0005-0000-0000-000024330000}"/>
    <cellStyle name="Normal 2 2 2 2 2 6" xfId="13136" xr:uid="{00000000-0005-0000-0000-000025330000}"/>
    <cellStyle name="Normal 2 2 2 2 2 6 10" xfId="13137" xr:uid="{00000000-0005-0000-0000-000026330000}"/>
    <cellStyle name="Normal 2 2 2 2 2 6 11" xfId="13138" xr:uid="{00000000-0005-0000-0000-000027330000}"/>
    <cellStyle name="Normal 2 2 2 2 2 6 12" xfId="13139" xr:uid="{00000000-0005-0000-0000-000028330000}"/>
    <cellStyle name="Normal 2 2 2 2 2 6 13" xfId="13140" xr:uid="{00000000-0005-0000-0000-000029330000}"/>
    <cellStyle name="Normal 2 2 2 2 2 6 14" xfId="13141" xr:uid="{00000000-0005-0000-0000-00002A330000}"/>
    <cellStyle name="Normal 2 2 2 2 2 6 2" xfId="13142" xr:uid="{00000000-0005-0000-0000-00002B330000}"/>
    <cellStyle name="Normal 2 2 2 2 2 6 2 10" xfId="13143" xr:uid="{00000000-0005-0000-0000-00002C330000}"/>
    <cellStyle name="Normal 2 2 2 2 2 6 2 2" xfId="13144" xr:uid="{00000000-0005-0000-0000-00002D330000}"/>
    <cellStyle name="Normal 2 2 2 2 2 6 2 3" xfId="13145" xr:uid="{00000000-0005-0000-0000-00002E330000}"/>
    <cellStyle name="Normal 2 2 2 2 2 6 2 4" xfId="13146" xr:uid="{00000000-0005-0000-0000-00002F330000}"/>
    <cellStyle name="Normal 2 2 2 2 2 6 2 5" xfId="13147" xr:uid="{00000000-0005-0000-0000-000030330000}"/>
    <cellStyle name="Normal 2 2 2 2 2 6 2 6" xfId="13148" xr:uid="{00000000-0005-0000-0000-000031330000}"/>
    <cellStyle name="Normal 2 2 2 2 2 6 2 7" xfId="13149" xr:uid="{00000000-0005-0000-0000-000032330000}"/>
    <cellStyle name="Normal 2 2 2 2 2 6 2 8" xfId="13150" xr:uid="{00000000-0005-0000-0000-000033330000}"/>
    <cellStyle name="Normal 2 2 2 2 2 6 2 9" xfId="13151" xr:uid="{00000000-0005-0000-0000-000034330000}"/>
    <cellStyle name="Normal 2 2 2 2 2 6 3" xfId="13152" xr:uid="{00000000-0005-0000-0000-000035330000}"/>
    <cellStyle name="Normal 2 2 2 2 2 6 3 10" xfId="13153" xr:uid="{00000000-0005-0000-0000-000036330000}"/>
    <cellStyle name="Normal 2 2 2 2 2 6 3 2" xfId="13154" xr:uid="{00000000-0005-0000-0000-000037330000}"/>
    <cellStyle name="Normal 2 2 2 2 2 6 3 3" xfId="13155" xr:uid="{00000000-0005-0000-0000-000038330000}"/>
    <cellStyle name="Normal 2 2 2 2 2 6 3 4" xfId="13156" xr:uid="{00000000-0005-0000-0000-000039330000}"/>
    <cellStyle name="Normal 2 2 2 2 2 6 3 5" xfId="13157" xr:uid="{00000000-0005-0000-0000-00003A330000}"/>
    <cellStyle name="Normal 2 2 2 2 2 6 3 6" xfId="13158" xr:uid="{00000000-0005-0000-0000-00003B330000}"/>
    <cellStyle name="Normal 2 2 2 2 2 6 3 7" xfId="13159" xr:uid="{00000000-0005-0000-0000-00003C330000}"/>
    <cellStyle name="Normal 2 2 2 2 2 6 3 8" xfId="13160" xr:uid="{00000000-0005-0000-0000-00003D330000}"/>
    <cellStyle name="Normal 2 2 2 2 2 6 3 9" xfId="13161" xr:uid="{00000000-0005-0000-0000-00003E330000}"/>
    <cellStyle name="Normal 2 2 2 2 2 6 4" xfId="13162" xr:uid="{00000000-0005-0000-0000-00003F330000}"/>
    <cellStyle name="Normal 2 2 2 2 2 6 4 10" xfId="13163" xr:uid="{00000000-0005-0000-0000-000040330000}"/>
    <cellStyle name="Normal 2 2 2 2 2 6 4 2" xfId="13164" xr:uid="{00000000-0005-0000-0000-000041330000}"/>
    <cellStyle name="Normal 2 2 2 2 2 6 4 3" xfId="13165" xr:uid="{00000000-0005-0000-0000-000042330000}"/>
    <cellStyle name="Normal 2 2 2 2 2 6 4 4" xfId="13166" xr:uid="{00000000-0005-0000-0000-000043330000}"/>
    <cellStyle name="Normal 2 2 2 2 2 6 4 5" xfId="13167" xr:uid="{00000000-0005-0000-0000-000044330000}"/>
    <cellStyle name="Normal 2 2 2 2 2 6 4 6" xfId="13168" xr:uid="{00000000-0005-0000-0000-000045330000}"/>
    <cellStyle name="Normal 2 2 2 2 2 6 4 7" xfId="13169" xr:uid="{00000000-0005-0000-0000-000046330000}"/>
    <cellStyle name="Normal 2 2 2 2 2 6 4 8" xfId="13170" xr:uid="{00000000-0005-0000-0000-000047330000}"/>
    <cellStyle name="Normal 2 2 2 2 2 6 4 9" xfId="13171" xr:uid="{00000000-0005-0000-0000-000048330000}"/>
    <cellStyle name="Normal 2 2 2 2 2 6 5" xfId="13172" xr:uid="{00000000-0005-0000-0000-000049330000}"/>
    <cellStyle name="Normal 2 2 2 2 2 6 5 10" xfId="13173" xr:uid="{00000000-0005-0000-0000-00004A330000}"/>
    <cellStyle name="Normal 2 2 2 2 2 6 5 2" xfId="13174" xr:uid="{00000000-0005-0000-0000-00004B330000}"/>
    <cellStyle name="Normal 2 2 2 2 2 6 5 3" xfId="13175" xr:uid="{00000000-0005-0000-0000-00004C330000}"/>
    <cellStyle name="Normal 2 2 2 2 2 6 5 4" xfId="13176" xr:uid="{00000000-0005-0000-0000-00004D330000}"/>
    <cellStyle name="Normal 2 2 2 2 2 6 5 5" xfId="13177" xr:uid="{00000000-0005-0000-0000-00004E330000}"/>
    <cellStyle name="Normal 2 2 2 2 2 6 5 6" xfId="13178" xr:uid="{00000000-0005-0000-0000-00004F330000}"/>
    <cellStyle name="Normal 2 2 2 2 2 6 5 7" xfId="13179" xr:uid="{00000000-0005-0000-0000-000050330000}"/>
    <cellStyle name="Normal 2 2 2 2 2 6 5 8" xfId="13180" xr:uid="{00000000-0005-0000-0000-000051330000}"/>
    <cellStyle name="Normal 2 2 2 2 2 6 5 9" xfId="13181" xr:uid="{00000000-0005-0000-0000-000052330000}"/>
    <cellStyle name="Normal 2 2 2 2 2 6 6" xfId="13182" xr:uid="{00000000-0005-0000-0000-000053330000}"/>
    <cellStyle name="Normal 2 2 2 2 2 6 7" xfId="13183" xr:uid="{00000000-0005-0000-0000-000054330000}"/>
    <cellStyle name="Normal 2 2 2 2 2 6 8" xfId="13184" xr:uid="{00000000-0005-0000-0000-000055330000}"/>
    <cellStyle name="Normal 2 2 2 2 2 6 9" xfId="13185" xr:uid="{00000000-0005-0000-0000-000056330000}"/>
    <cellStyle name="Normal 2 2 2 2 2 7" xfId="13186" xr:uid="{00000000-0005-0000-0000-000057330000}"/>
    <cellStyle name="Normal 2 2 2 2 2 7 10" xfId="13187" xr:uid="{00000000-0005-0000-0000-000058330000}"/>
    <cellStyle name="Normal 2 2 2 2 2 7 11" xfId="13188" xr:uid="{00000000-0005-0000-0000-000059330000}"/>
    <cellStyle name="Normal 2 2 2 2 2 7 12" xfId="13189" xr:uid="{00000000-0005-0000-0000-00005A330000}"/>
    <cellStyle name="Normal 2 2 2 2 2 7 13" xfId="13190" xr:uid="{00000000-0005-0000-0000-00005B330000}"/>
    <cellStyle name="Normal 2 2 2 2 2 7 14" xfId="13191" xr:uid="{00000000-0005-0000-0000-00005C330000}"/>
    <cellStyle name="Normal 2 2 2 2 2 7 2" xfId="13192" xr:uid="{00000000-0005-0000-0000-00005D330000}"/>
    <cellStyle name="Normal 2 2 2 2 2 7 2 10" xfId="13193" xr:uid="{00000000-0005-0000-0000-00005E330000}"/>
    <cellStyle name="Normal 2 2 2 2 2 7 2 2" xfId="13194" xr:uid="{00000000-0005-0000-0000-00005F330000}"/>
    <cellStyle name="Normal 2 2 2 2 2 7 2 3" xfId="13195" xr:uid="{00000000-0005-0000-0000-000060330000}"/>
    <cellStyle name="Normal 2 2 2 2 2 7 2 4" xfId="13196" xr:uid="{00000000-0005-0000-0000-000061330000}"/>
    <cellStyle name="Normal 2 2 2 2 2 7 2 5" xfId="13197" xr:uid="{00000000-0005-0000-0000-000062330000}"/>
    <cellStyle name="Normal 2 2 2 2 2 7 2 6" xfId="13198" xr:uid="{00000000-0005-0000-0000-000063330000}"/>
    <cellStyle name="Normal 2 2 2 2 2 7 2 7" xfId="13199" xr:uid="{00000000-0005-0000-0000-000064330000}"/>
    <cellStyle name="Normal 2 2 2 2 2 7 2 8" xfId="13200" xr:uid="{00000000-0005-0000-0000-000065330000}"/>
    <cellStyle name="Normal 2 2 2 2 2 7 2 9" xfId="13201" xr:uid="{00000000-0005-0000-0000-000066330000}"/>
    <cellStyle name="Normal 2 2 2 2 2 7 3" xfId="13202" xr:uid="{00000000-0005-0000-0000-000067330000}"/>
    <cellStyle name="Normal 2 2 2 2 2 7 3 10" xfId="13203" xr:uid="{00000000-0005-0000-0000-000068330000}"/>
    <cellStyle name="Normal 2 2 2 2 2 7 3 2" xfId="13204" xr:uid="{00000000-0005-0000-0000-000069330000}"/>
    <cellStyle name="Normal 2 2 2 2 2 7 3 3" xfId="13205" xr:uid="{00000000-0005-0000-0000-00006A330000}"/>
    <cellStyle name="Normal 2 2 2 2 2 7 3 4" xfId="13206" xr:uid="{00000000-0005-0000-0000-00006B330000}"/>
    <cellStyle name="Normal 2 2 2 2 2 7 3 5" xfId="13207" xr:uid="{00000000-0005-0000-0000-00006C330000}"/>
    <cellStyle name="Normal 2 2 2 2 2 7 3 6" xfId="13208" xr:uid="{00000000-0005-0000-0000-00006D330000}"/>
    <cellStyle name="Normal 2 2 2 2 2 7 3 7" xfId="13209" xr:uid="{00000000-0005-0000-0000-00006E330000}"/>
    <cellStyle name="Normal 2 2 2 2 2 7 3 8" xfId="13210" xr:uid="{00000000-0005-0000-0000-00006F330000}"/>
    <cellStyle name="Normal 2 2 2 2 2 7 3 9" xfId="13211" xr:uid="{00000000-0005-0000-0000-000070330000}"/>
    <cellStyle name="Normal 2 2 2 2 2 7 4" xfId="13212" xr:uid="{00000000-0005-0000-0000-000071330000}"/>
    <cellStyle name="Normal 2 2 2 2 2 7 4 10" xfId="13213" xr:uid="{00000000-0005-0000-0000-000072330000}"/>
    <cellStyle name="Normal 2 2 2 2 2 7 4 2" xfId="13214" xr:uid="{00000000-0005-0000-0000-000073330000}"/>
    <cellStyle name="Normal 2 2 2 2 2 7 4 3" xfId="13215" xr:uid="{00000000-0005-0000-0000-000074330000}"/>
    <cellStyle name="Normal 2 2 2 2 2 7 4 4" xfId="13216" xr:uid="{00000000-0005-0000-0000-000075330000}"/>
    <cellStyle name="Normal 2 2 2 2 2 7 4 5" xfId="13217" xr:uid="{00000000-0005-0000-0000-000076330000}"/>
    <cellStyle name="Normal 2 2 2 2 2 7 4 6" xfId="13218" xr:uid="{00000000-0005-0000-0000-000077330000}"/>
    <cellStyle name="Normal 2 2 2 2 2 7 4 7" xfId="13219" xr:uid="{00000000-0005-0000-0000-000078330000}"/>
    <cellStyle name="Normal 2 2 2 2 2 7 4 8" xfId="13220" xr:uid="{00000000-0005-0000-0000-000079330000}"/>
    <cellStyle name="Normal 2 2 2 2 2 7 4 9" xfId="13221" xr:uid="{00000000-0005-0000-0000-00007A330000}"/>
    <cellStyle name="Normal 2 2 2 2 2 7 5" xfId="13222" xr:uid="{00000000-0005-0000-0000-00007B330000}"/>
    <cellStyle name="Normal 2 2 2 2 2 7 5 10" xfId="13223" xr:uid="{00000000-0005-0000-0000-00007C330000}"/>
    <cellStyle name="Normal 2 2 2 2 2 7 5 2" xfId="13224" xr:uid="{00000000-0005-0000-0000-00007D330000}"/>
    <cellStyle name="Normal 2 2 2 2 2 7 5 3" xfId="13225" xr:uid="{00000000-0005-0000-0000-00007E330000}"/>
    <cellStyle name="Normal 2 2 2 2 2 7 5 4" xfId="13226" xr:uid="{00000000-0005-0000-0000-00007F330000}"/>
    <cellStyle name="Normal 2 2 2 2 2 7 5 5" xfId="13227" xr:uid="{00000000-0005-0000-0000-000080330000}"/>
    <cellStyle name="Normal 2 2 2 2 2 7 5 6" xfId="13228" xr:uid="{00000000-0005-0000-0000-000081330000}"/>
    <cellStyle name="Normal 2 2 2 2 2 7 5 7" xfId="13229" xr:uid="{00000000-0005-0000-0000-000082330000}"/>
    <cellStyle name="Normal 2 2 2 2 2 7 5 8" xfId="13230" xr:uid="{00000000-0005-0000-0000-000083330000}"/>
    <cellStyle name="Normal 2 2 2 2 2 7 5 9" xfId="13231" xr:uid="{00000000-0005-0000-0000-000084330000}"/>
    <cellStyle name="Normal 2 2 2 2 2 7 6" xfId="13232" xr:uid="{00000000-0005-0000-0000-000085330000}"/>
    <cellStyle name="Normal 2 2 2 2 2 7 7" xfId="13233" xr:uid="{00000000-0005-0000-0000-000086330000}"/>
    <cellStyle name="Normal 2 2 2 2 2 7 8" xfId="13234" xr:uid="{00000000-0005-0000-0000-000087330000}"/>
    <cellStyle name="Normal 2 2 2 2 2 7 9" xfId="13235" xr:uid="{00000000-0005-0000-0000-000088330000}"/>
    <cellStyle name="Normal 2 2 2 2 2 8" xfId="13236" xr:uid="{00000000-0005-0000-0000-000089330000}"/>
    <cellStyle name="Normal 2 2 2 2 2 8 10" xfId="13237" xr:uid="{00000000-0005-0000-0000-00008A330000}"/>
    <cellStyle name="Normal 2 2 2 2 2 8 11" xfId="13238" xr:uid="{00000000-0005-0000-0000-00008B330000}"/>
    <cellStyle name="Normal 2 2 2 2 2 8 12" xfId="13239" xr:uid="{00000000-0005-0000-0000-00008C330000}"/>
    <cellStyle name="Normal 2 2 2 2 2 8 13" xfId="13240" xr:uid="{00000000-0005-0000-0000-00008D330000}"/>
    <cellStyle name="Normal 2 2 2 2 2 8 14" xfId="13241" xr:uid="{00000000-0005-0000-0000-00008E330000}"/>
    <cellStyle name="Normal 2 2 2 2 2 8 2" xfId="13242" xr:uid="{00000000-0005-0000-0000-00008F330000}"/>
    <cellStyle name="Normal 2 2 2 2 2 8 2 10" xfId="13243" xr:uid="{00000000-0005-0000-0000-000090330000}"/>
    <cellStyle name="Normal 2 2 2 2 2 8 2 2" xfId="13244" xr:uid="{00000000-0005-0000-0000-000091330000}"/>
    <cellStyle name="Normal 2 2 2 2 2 8 2 3" xfId="13245" xr:uid="{00000000-0005-0000-0000-000092330000}"/>
    <cellStyle name="Normal 2 2 2 2 2 8 2 4" xfId="13246" xr:uid="{00000000-0005-0000-0000-000093330000}"/>
    <cellStyle name="Normal 2 2 2 2 2 8 2 5" xfId="13247" xr:uid="{00000000-0005-0000-0000-000094330000}"/>
    <cellStyle name="Normal 2 2 2 2 2 8 2 6" xfId="13248" xr:uid="{00000000-0005-0000-0000-000095330000}"/>
    <cellStyle name="Normal 2 2 2 2 2 8 2 7" xfId="13249" xr:uid="{00000000-0005-0000-0000-000096330000}"/>
    <cellStyle name="Normal 2 2 2 2 2 8 2 8" xfId="13250" xr:uid="{00000000-0005-0000-0000-000097330000}"/>
    <cellStyle name="Normal 2 2 2 2 2 8 2 9" xfId="13251" xr:uid="{00000000-0005-0000-0000-000098330000}"/>
    <cellStyle name="Normal 2 2 2 2 2 8 3" xfId="13252" xr:uid="{00000000-0005-0000-0000-000099330000}"/>
    <cellStyle name="Normal 2 2 2 2 2 8 3 10" xfId="13253" xr:uid="{00000000-0005-0000-0000-00009A330000}"/>
    <cellStyle name="Normal 2 2 2 2 2 8 3 2" xfId="13254" xr:uid="{00000000-0005-0000-0000-00009B330000}"/>
    <cellStyle name="Normal 2 2 2 2 2 8 3 3" xfId="13255" xr:uid="{00000000-0005-0000-0000-00009C330000}"/>
    <cellStyle name="Normal 2 2 2 2 2 8 3 4" xfId="13256" xr:uid="{00000000-0005-0000-0000-00009D330000}"/>
    <cellStyle name="Normal 2 2 2 2 2 8 3 5" xfId="13257" xr:uid="{00000000-0005-0000-0000-00009E330000}"/>
    <cellStyle name="Normal 2 2 2 2 2 8 3 6" xfId="13258" xr:uid="{00000000-0005-0000-0000-00009F330000}"/>
    <cellStyle name="Normal 2 2 2 2 2 8 3 7" xfId="13259" xr:uid="{00000000-0005-0000-0000-0000A0330000}"/>
    <cellStyle name="Normal 2 2 2 2 2 8 3 8" xfId="13260" xr:uid="{00000000-0005-0000-0000-0000A1330000}"/>
    <cellStyle name="Normal 2 2 2 2 2 8 3 9" xfId="13261" xr:uid="{00000000-0005-0000-0000-0000A2330000}"/>
    <cellStyle name="Normal 2 2 2 2 2 8 4" xfId="13262" xr:uid="{00000000-0005-0000-0000-0000A3330000}"/>
    <cellStyle name="Normal 2 2 2 2 2 8 4 10" xfId="13263" xr:uid="{00000000-0005-0000-0000-0000A4330000}"/>
    <cellStyle name="Normal 2 2 2 2 2 8 4 2" xfId="13264" xr:uid="{00000000-0005-0000-0000-0000A5330000}"/>
    <cellStyle name="Normal 2 2 2 2 2 8 4 3" xfId="13265" xr:uid="{00000000-0005-0000-0000-0000A6330000}"/>
    <cellStyle name="Normal 2 2 2 2 2 8 4 4" xfId="13266" xr:uid="{00000000-0005-0000-0000-0000A7330000}"/>
    <cellStyle name="Normal 2 2 2 2 2 8 4 5" xfId="13267" xr:uid="{00000000-0005-0000-0000-0000A8330000}"/>
    <cellStyle name="Normal 2 2 2 2 2 8 4 6" xfId="13268" xr:uid="{00000000-0005-0000-0000-0000A9330000}"/>
    <cellStyle name="Normal 2 2 2 2 2 8 4 7" xfId="13269" xr:uid="{00000000-0005-0000-0000-0000AA330000}"/>
    <cellStyle name="Normal 2 2 2 2 2 8 4 8" xfId="13270" xr:uid="{00000000-0005-0000-0000-0000AB330000}"/>
    <cellStyle name="Normal 2 2 2 2 2 8 4 9" xfId="13271" xr:uid="{00000000-0005-0000-0000-0000AC330000}"/>
    <cellStyle name="Normal 2 2 2 2 2 8 5" xfId="13272" xr:uid="{00000000-0005-0000-0000-0000AD330000}"/>
    <cellStyle name="Normal 2 2 2 2 2 8 5 10" xfId="13273" xr:uid="{00000000-0005-0000-0000-0000AE330000}"/>
    <cellStyle name="Normal 2 2 2 2 2 8 5 2" xfId="13274" xr:uid="{00000000-0005-0000-0000-0000AF330000}"/>
    <cellStyle name="Normal 2 2 2 2 2 8 5 3" xfId="13275" xr:uid="{00000000-0005-0000-0000-0000B0330000}"/>
    <cellStyle name="Normal 2 2 2 2 2 8 5 4" xfId="13276" xr:uid="{00000000-0005-0000-0000-0000B1330000}"/>
    <cellStyle name="Normal 2 2 2 2 2 8 5 5" xfId="13277" xr:uid="{00000000-0005-0000-0000-0000B2330000}"/>
    <cellStyle name="Normal 2 2 2 2 2 8 5 6" xfId="13278" xr:uid="{00000000-0005-0000-0000-0000B3330000}"/>
    <cellStyle name="Normal 2 2 2 2 2 8 5 7" xfId="13279" xr:uid="{00000000-0005-0000-0000-0000B4330000}"/>
    <cellStyle name="Normal 2 2 2 2 2 8 5 8" xfId="13280" xr:uid="{00000000-0005-0000-0000-0000B5330000}"/>
    <cellStyle name="Normal 2 2 2 2 2 8 5 9" xfId="13281" xr:uid="{00000000-0005-0000-0000-0000B6330000}"/>
    <cellStyle name="Normal 2 2 2 2 2 8 6" xfId="13282" xr:uid="{00000000-0005-0000-0000-0000B7330000}"/>
    <cellStyle name="Normal 2 2 2 2 2 8 7" xfId="13283" xr:uid="{00000000-0005-0000-0000-0000B8330000}"/>
    <cellStyle name="Normal 2 2 2 2 2 8 8" xfId="13284" xr:uid="{00000000-0005-0000-0000-0000B9330000}"/>
    <cellStyle name="Normal 2 2 2 2 2 8 9" xfId="13285" xr:uid="{00000000-0005-0000-0000-0000BA330000}"/>
    <cellStyle name="Normal 2 2 2 2 2 9" xfId="13286" xr:uid="{00000000-0005-0000-0000-0000BB330000}"/>
    <cellStyle name="Normal 2 2 2 2 2 9 10" xfId="13287" xr:uid="{00000000-0005-0000-0000-0000BC330000}"/>
    <cellStyle name="Normal 2 2 2 2 2 9 11" xfId="13288" xr:uid="{00000000-0005-0000-0000-0000BD330000}"/>
    <cellStyle name="Normal 2 2 2 2 2 9 12" xfId="13289" xr:uid="{00000000-0005-0000-0000-0000BE330000}"/>
    <cellStyle name="Normal 2 2 2 2 2 9 13" xfId="13290" xr:uid="{00000000-0005-0000-0000-0000BF330000}"/>
    <cellStyle name="Normal 2 2 2 2 2 9 14" xfId="13291" xr:uid="{00000000-0005-0000-0000-0000C0330000}"/>
    <cellStyle name="Normal 2 2 2 2 2 9 2" xfId="13292" xr:uid="{00000000-0005-0000-0000-0000C1330000}"/>
    <cellStyle name="Normal 2 2 2 2 2 9 2 10" xfId="13293" xr:uid="{00000000-0005-0000-0000-0000C2330000}"/>
    <cellStyle name="Normal 2 2 2 2 2 9 2 2" xfId="13294" xr:uid="{00000000-0005-0000-0000-0000C3330000}"/>
    <cellStyle name="Normal 2 2 2 2 2 9 2 3" xfId="13295" xr:uid="{00000000-0005-0000-0000-0000C4330000}"/>
    <cellStyle name="Normal 2 2 2 2 2 9 2 4" xfId="13296" xr:uid="{00000000-0005-0000-0000-0000C5330000}"/>
    <cellStyle name="Normal 2 2 2 2 2 9 2 5" xfId="13297" xr:uid="{00000000-0005-0000-0000-0000C6330000}"/>
    <cellStyle name="Normal 2 2 2 2 2 9 2 6" xfId="13298" xr:uid="{00000000-0005-0000-0000-0000C7330000}"/>
    <cellStyle name="Normal 2 2 2 2 2 9 2 7" xfId="13299" xr:uid="{00000000-0005-0000-0000-0000C8330000}"/>
    <cellStyle name="Normal 2 2 2 2 2 9 2 8" xfId="13300" xr:uid="{00000000-0005-0000-0000-0000C9330000}"/>
    <cellStyle name="Normal 2 2 2 2 2 9 2 9" xfId="13301" xr:uid="{00000000-0005-0000-0000-0000CA330000}"/>
    <cellStyle name="Normal 2 2 2 2 2 9 3" xfId="13302" xr:uid="{00000000-0005-0000-0000-0000CB330000}"/>
    <cellStyle name="Normal 2 2 2 2 2 9 3 10" xfId="13303" xr:uid="{00000000-0005-0000-0000-0000CC330000}"/>
    <cellStyle name="Normal 2 2 2 2 2 9 3 2" xfId="13304" xr:uid="{00000000-0005-0000-0000-0000CD330000}"/>
    <cellStyle name="Normal 2 2 2 2 2 9 3 3" xfId="13305" xr:uid="{00000000-0005-0000-0000-0000CE330000}"/>
    <cellStyle name="Normal 2 2 2 2 2 9 3 4" xfId="13306" xr:uid="{00000000-0005-0000-0000-0000CF330000}"/>
    <cellStyle name="Normal 2 2 2 2 2 9 3 5" xfId="13307" xr:uid="{00000000-0005-0000-0000-0000D0330000}"/>
    <cellStyle name="Normal 2 2 2 2 2 9 3 6" xfId="13308" xr:uid="{00000000-0005-0000-0000-0000D1330000}"/>
    <cellStyle name="Normal 2 2 2 2 2 9 3 7" xfId="13309" xr:uid="{00000000-0005-0000-0000-0000D2330000}"/>
    <cellStyle name="Normal 2 2 2 2 2 9 3 8" xfId="13310" xr:uid="{00000000-0005-0000-0000-0000D3330000}"/>
    <cellStyle name="Normal 2 2 2 2 2 9 3 9" xfId="13311" xr:uid="{00000000-0005-0000-0000-0000D4330000}"/>
    <cellStyle name="Normal 2 2 2 2 2 9 4" xfId="13312" xr:uid="{00000000-0005-0000-0000-0000D5330000}"/>
    <cellStyle name="Normal 2 2 2 2 2 9 4 10" xfId="13313" xr:uid="{00000000-0005-0000-0000-0000D6330000}"/>
    <cellStyle name="Normal 2 2 2 2 2 9 4 2" xfId="13314" xr:uid="{00000000-0005-0000-0000-0000D7330000}"/>
    <cellStyle name="Normal 2 2 2 2 2 9 4 3" xfId="13315" xr:uid="{00000000-0005-0000-0000-0000D8330000}"/>
    <cellStyle name="Normal 2 2 2 2 2 9 4 4" xfId="13316" xr:uid="{00000000-0005-0000-0000-0000D9330000}"/>
    <cellStyle name="Normal 2 2 2 2 2 9 4 5" xfId="13317" xr:uid="{00000000-0005-0000-0000-0000DA330000}"/>
    <cellStyle name="Normal 2 2 2 2 2 9 4 6" xfId="13318" xr:uid="{00000000-0005-0000-0000-0000DB330000}"/>
    <cellStyle name="Normal 2 2 2 2 2 9 4 7" xfId="13319" xr:uid="{00000000-0005-0000-0000-0000DC330000}"/>
    <cellStyle name="Normal 2 2 2 2 2 9 4 8" xfId="13320" xr:uid="{00000000-0005-0000-0000-0000DD330000}"/>
    <cellStyle name="Normal 2 2 2 2 2 9 4 9" xfId="13321" xr:uid="{00000000-0005-0000-0000-0000DE330000}"/>
    <cellStyle name="Normal 2 2 2 2 2 9 5" xfId="13322" xr:uid="{00000000-0005-0000-0000-0000DF330000}"/>
    <cellStyle name="Normal 2 2 2 2 2 9 5 10" xfId="13323" xr:uid="{00000000-0005-0000-0000-0000E0330000}"/>
    <cellStyle name="Normal 2 2 2 2 2 9 5 2" xfId="13324" xr:uid="{00000000-0005-0000-0000-0000E1330000}"/>
    <cellStyle name="Normal 2 2 2 2 2 9 5 3" xfId="13325" xr:uid="{00000000-0005-0000-0000-0000E2330000}"/>
    <cellStyle name="Normal 2 2 2 2 2 9 5 4" xfId="13326" xr:uid="{00000000-0005-0000-0000-0000E3330000}"/>
    <cellStyle name="Normal 2 2 2 2 2 9 5 5" xfId="13327" xr:uid="{00000000-0005-0000-0000-0000E4330000}"/>
    <cellStyle name="Normal 2 2 2 2 2 9 5 6" xfId="13328" xr:uid="{00000000-0005-0000-0000-0000E5330000}"/>
    <cellStyle name="Normal 2 2 2 2 2 9 5 7" xfId="13329" xr:uid="{00000000-0005-0000-0000-0000E6330000}"/>
    <cellStyle name="Normal 2 2 2 2 2 9 5 8" xfId="13330" xr:uid="{00000000-0005-0000-0000-0000E7330000}"/>
    <cellStyle name="Normal 2 2 2 2 2 9 5 9" xfId="13331" xr:uid="{00000000-0005-0000-0000-0000E8330000}"/>
    <cellStyle name="Normal 2 2 2 2 2 9 6" xfId="13332" xr:uid="{00000000-0005-0000-0000-0000E9330000}"/>
    <cellStyle name="Normal 2 2 2 2 2 9 7" xfId="13333" xr:uid="{00000000-0005-0000-0000-0000EA330000}"/>
    <cellStyle name="Normal 2 2 2 2 2 9 8" xfId="13334" xr:uid="{00000000-0005-0000-0000-0000EB330000}"/>
    <cellStyle name="Normal 2 2 2 2 2 9 9" xfId="13335" xr:uid="{00000000-0005-0000-0000-0000EC330000}"/>
    <cellStyle name="Normal 2 2 2 2 20" xfId="13336" xr:uid="{00000000-0005-0000-0000-0000ED330000}"/>
    <cellStyle name="Normal 2 2 2 2 21" xfId="13337" xr:uid="{00000000-0005-0000-0000-0000EE330000}"/>
    <cellStyle name="Normal 2 2 2 2 22" xfId="13338" xr:uid="{00000000-0005-0000-0000-0000EF330000}"/>
    <cellStyle name="Normal 2 2 2 2 23" xfId="13339" xr:uid="{00000000-0005-0000-0000-0000F0330000}"/>
    <cellStyle name="Normal 2 2 2 2 24" xfId="13340" xr:uid="{00000000-0005-0000-0000-0000F1330000}"/>
    <cellStyle name="Normal 2 2 2 2 25" xfId="13341" xr:uid="{00000000-0005-0000-0000-0000F2330000}"/>
    <cellStyle name="Normal 2 2 2 2 26" xfId="13342" xr:uid="{00000000-0005-0000-0000-0000F3330000}"/>
    <cellStyle name="Normal 2 2 2 2 27" xfId="13343" xr:uid="{00000000-0005-0000-0000-0000F4330000}"/>
    <cellStyle name="Normal 2 2 2 2 28" xfId="13344" xr:uid="{00000000-0005-0000-0000-0000F5330000}"/>
    <cellStyle name="Normal 2 2 2 2 29" xfId="13345" xr:uid="{00000000-0005-0000-0000-0000F6330000}"/>
    <cellStyle name="Normal 2 2 2 2 3" xfId="52" xr:uid="{00000000-0005-0000-0000-0000F7330000}"/>
    <cellStyle name="Normal 2 2 2 2 3 2" xfId="13347" xr:uid="{00000000-0005-0000-0000-0000F8330000}"/>
    <cellStyle name="Normal 2 2 2 2 3 2 2" xfId="13348" xr:uid="{00000000-0005-0000-0000-0000F9330000}"/>
    <cellStyle name="Normal 2 2 2 2 3 3" xfId="13349" xr:uid="{00000000-0005-0000-0000-0000FA330000}"/>
    <cellStyle name="Normal 2 2 2 2 3 4" xfId="13350" xr:uid="{00000000-0005-0000-0000-0000FB330000}"/>
    <cellStyle name="Normal 2 2 2 2 3 5" xfId="13351" xr:uid="{00000000-0005-0000-0000-0000FC330000}"/>
    <cellStyle name="Normal 2 2 2 2 3 6" xfId="13346" xr:uid="{00000000-0005-0000-0000-0000FD330000}"/>
    <cellStyle name="Normal 2 2 2 2 30" xfId="13352" xr:uid="{00000000-0005-0000-0000-0000FE330000}"/>
    <cellStyle name="Normal 2 2 2 2 31" xfId="13353" xr:uid="{00000000-0005-0000-0000-0000FF330000}"/>
    <cellStyle name="Normal 2 2 2 2 32" xfId="13354" xr:uid="{00000000-0005-0000-0000-000000340000}"/>
    <cellStyle name="Normal 2 2 2 2 33" xfId="13355" xr:uid="{00000000-0005-0000-0000-000001340000}"/>
    <cellStyle name="Normal 2 2 2 2 34" xfId="13356" xr:uid="{00000000-0005-0000-0000-000002340000}"/>
    <cellStyle name="Normal 2 2 2 2 35" xfId="13357" xr:uid="{00000000-0005-0000-0000-000003340000}"/>
    <cellStyle name="Normal 2 2 2 2 36" xfId="13358" xr:uid="{00000000-0005-0000-0000-000004340000}"/>
    <cellStyle name="Normal 2 2 2 2 37" xfId="13359" xr:uid="{00000000-0005-0000-0000-000005340000}"/>
    <cellStyle name="Normal 2 2 2 2 38" xfId="13360" xr:uid="{00000000-0005-0000-0000-000006340000}"/>
    <cellStyle name="Normal 2 2 2 2 39" xfId="13361" xr:uid="{00000000-0005-0000-0000-000007340000}"/>
    <cellStyle name="Normal 2 2 2 2 4" xfId="13362" xr:uid="{00000000-0005-0000-0000-000008340000}"/>
    <cellStyle name="Normal 2 2 2 2 4 10" xfId="13363" xr:uid="{00000000-0005-0000-0000-000009340000}"/>
    <cellStyle name="Normal 2 2 2 2 4 10 10" xfId="13364" xr:uid="{00000000-0005-0000-0000-00000A340000}"/>
    <cellStyle name="Normal 2 2 2 2 4 10 11" xfId="13365" xr:uid="{00000000-0005-0000-0000-00000B340000}"/>
    <cellStyle name="Normal 2 2 2 2 4 10 12" xfId="13366" xr:uid="{00000000-0005-0000-0000-00000C340000}"/>
    <cellStyle name="Normal 2 2 2 2 4 10 13" xfId="13367" xr:uid="{00000000-0005-0000-0000-00000D340000}"/>
    <cellStyle name="Normal 2 2 2 2 4 10 14" xfId="13368" xr:uid="{00000000-0005-0000-0000-00000E340000}"/>
    <cellStyle name="Normal 2 2 2 2 4 10 2" xfId="13369" xr:uid="{00000000-0005-0000-0000-00000F340000}"/>
    <cellStyle name="Normal 2 2 2 2 4 10 2 10" xfId="13370" xr:uid="{00000000-0005-0000-0000-000010340000}"/>
    <cellStyle name="Normal 2 2 2 2 4 10 2 2" xfId="13371" xr:uid="{00000000-0005-0000-0000-000011340000}"/>
    <cellStyle name="Normal 2 2 2 2 4 10 2 3" xfId="13372" xr:uid="{00000000-0005-0000-0000-000012340000}"/>
    <cellStyle name="Normal 2 2 2 2 4 10 2 4" xfId="13373" xr:uid="{00000000-0005-0000-0000-000013340000}"/>
    <cellStyle name="Normal 2 2 2 2 4 10 2 5" xfId="13374" xr:uid="{00000000-0005-0000-0000-000014340000}"/>
    <cellStyle name="Normal 2 2 2 2 4 10 2 6" xfId="13375" xr:uid="{00000000-0005-0000-0000-000015340000}"/>
    <cellStyle name="Normal 2 2 2 2 4 10 2 7" xfId="13376" xr:uid="{00000000-0005-0000-0000-000016340000}"/>
    <cellStyle name="Normal 2 2 2 2 4 10 2 8" xfId="13377" xr:uid="{00000000-0005-0000-0000-000017340000}"/>
    <cellStyle name="Normal 2 2 2 2 4 10 2 9" xfId="13378" xr:uid="{00000000-0005-0000-0000-000018340000}"/>
    <cellStyle name="Normal 2 2 2 2 4 10 3" xfId="13379" xr:uid="{00000000-0005-0000-0000-000019340000}"/>
    <cellStyle name="Normal 2 2 2 2 4 10 3 10" xfId="13380" xr:uid="{00000000-0005-0000-0000-00001A340000}"/>
    <cellStyle name="Normal 2 2 2 2 4 10 3 2" xfId="13381" xr:uid="{00000000-0005-0000-0000-00001B340000}"/>
    <cellStyle name="Normal 2 2 2 2 4 10 3 3" xfId="13382" xr:uid="{00000000-0005-0000-0000-00001C340000}"/>
    <cellStyle name="Normal 2 2 2 2 4 10 3 4" xfId="13383" xr:uid="{00000000-0005-0000-0000-00001D340000}"/>
    <cellStyle name="Normal 2 2 2 2 4 10 3 5" xfId="13384" xr:uid="{00000000-0005-0000-0000-00001E340000}"/>
    <cellStyle name="Normal 2 2 2 2 4 10 3 6" xfId="13385" xr:uid="{00000000-0005-0000-0000-00001F340000}"/>
    <cellStyle name="Normal 2 2 2 2 4 10 3 7" xfId="13386" xr:uid="{00000000-0005-0000-0000-000020340000}"/>
    <cellStyle name="Normal 2 2 2 2 4 10 3 8" xfId="13387" xr:uid="{00000000-0005-0000-0000-000021340000}"/>
    <cellStyle name="Normal 2 2 2 2 4 10 3 9" xfId="13388" xr:uid="{00000000-0005-0000-0000-000022340000}"/>
    <cellStyle name="Normal 2 2 2 2 4 10 4" xfId="13389" xr:uid="{00000000-0005-0000-0000-000023340000}"/>
    <cellStyle name="Normal 2 2 2 2 4 10 4 10" xfId="13390" xr:uid="{00000000-0005-0000-0000-000024340000}"/>
    <cellStyle name="Normal 2 2 2 2 4 10 4 2" xfId="13391" xr:uid="{00000000-0005-0000-0000-000025340000}"/>
    <cellStyle name="Normal 2 2 2 2 4 10 4 3" xfId="13392" xr:uid="{00000000-0005-0000-0000-000026340000}"/>
    <cellStyle name="Normal 2 2 2 2 4 10 4 4" xfId="13393" xr:uid="{00000000-0005-0000-0000-000027340000}"/>
    <cellStyle name="Normal 2 2 2 2 4 10 4 5" xfId="13394" xr:uid="{00000000-0005-0000-0000-000028340000}"/>
    <cellStyle name="Normal 2 2 2 2 4 10 4 6" xfId="13395" xr:uid="{00000000-0005-0000-0000-000029340000}"/>
    <cellStyle name="Normal 2 2 2 2 4 10 4 7" xfId="13396" xr:uid="{00000000-0005-0000-0000-00002A340000}"/>
    <cellStyle name="Normal 2 2 2 2 4 10 4 8" xfId="13397" xr:uid="{00000000-0005-0000-0000-00002B340000}"/>
    <cellStyle name="Normal 2 2 2 2 4 10 4 9" xfId="13398" xr:uid="{00000000-0005-0000-0000-00002C340000}"/>
    <cellStyle name="Normal 2 2 2 2 4 10 5" xfId="13399" xr:uid="{00000000-0005-0000-0000-00002D340000}"/>
    <cellStyle name="Normal 2 2 2 2 4 10 5 10" xfId="13400" xr:uid="{00000000-0005-0000-0000-00002E340000}"/>
    <cellStyle name="Normal 2 2 2 2 4 10 5 2" xfId="13401" xr:uid="{00000000-0005-0000-0000-00002F340000}"/>
    <cellStyle name="Normal 2 2 2 2 4 10 5 3" xfId="13402" xr:uid="{00000000-0005-0000-0000-000030340000}"/>
    <cellStyle name="Normal 2 2 2 2 4 10 5 4" xfId="13403" xr:uid="{00000000-0005-0000-0000-000031340000}"/>
    <cellStyle name="Normal 2 2 2 2 4 10 5 5" xfId="13404" xr:uid="{00000000-0005-0000-0000-000032340000}"/>
    <cellStyle name="Normal 2 2 2 2 4 10 5 6" xfId="13405" xr:uid="{00000000-0005-0000-0000-000033340000}"/>
    <cellStyle name="Normal 2 2 2 2 4 10 5 7" xfId="13406" xr:uid="{00000000-0005-0000-0000-000034340000}"/>
    <cellStyle name="Normal 2 2 2 2 4 10 5 8" xfId="13407" xr:uid="{00000000-0005-0000-0000-000035340000}"/>
    <cellStyle name="Normal 2 2 2 2 4 10 5 9" xfId="13408" xr:uid="{00000000-0005-0000-0000-000036340000}"/>
    <cellStyle name="Normal 2 2 2 2 4 10 6" xfId="13409" xr:uid="{00000000-0005-0000-0000-000037340000}"/>
    <cellStyle name="Normal 2 2 2 2 4 10 7" xfId="13410" xr:uid="{00000000-0005-0000-0000-000038340000}"/>
    <cellStyle name="Normal 2 2 2 2 4 10 8" xfId="13411" xr:uid="{00000000-0005-0000-0000-000039340000}"/>
    <cellStyle name="Normal 2 2 2 2 4 10 9" xfId="13412" xr:uid="{00000000-0005-0000-0000-00003A340000}"/>
    <cellStyle name="Normal 2 2 2 2 4 11" xfId="13413" xr:uid="{00000000-0005-0000-0000-00003B340000}"/>
    <cellStyle name="Normal 2 2 2 2 4 11 10" xfId="13414" xr:uid="{00000000-0005-0000-0000-00003C340000}"/>
    <cellStyle name="Normal 2 2 2 2 4 11 11" xfId="13415" xr:uid="{00000000-0005-0000-0000-00003D340000}"/>
    <cellStyle name="Normal 2 2 2 2 4 11 12" xfId="13416" xr:uid="{00000000-0005-0000-0000-00003E340000}"/>
    <cellStyle name="Normal 2 2 2 2 4 11 13" xfId="13417" xr:uid="{00000000-0005-0000-0000-00003F340000}"/>
    <cellStyle name="Normal 2 2 2 2 4 11 14" xfId="13418" xr:uid="{00000000-0005-0000-0000-000040340000}"/>
    <cellStyle name="Normal 2 2 2 2 4 11 2" xfId="13419" xr:uid="{00000000-0005-0000-0000-000041340000}"/>
    <cellStyle name="Normal 2 2 2 2 4 11 2 10" xfId="13420" xr:uid="{00000000-0005-0000-0000-000042340000}"/>
    <cellStyle name="Normal 2 2 2 2 4 11 2 2" xfId="13421" xr:uid="{00000000-0005-0000-0000-000043340000}"/>
    <cellStyle name="Normal 2 2 2 2 4 11 2 3" xfId="13422" xr:uid="{00000000-0005-0000-0000-000044340000}"/>
    <cellStyle name="Normal 2 2 2 2 4 11 2 4" xfId="13423" xr:uid="{00000000-0005-0000-0000-000045340000}"/>
    <cellStyle name="Normal 2 2 2 2 4 11 2 5" xfId="13424" xr:uid="{00000000-0005-0000-0000-000046340000}"/>
    <cellStyle name="Normal 2 2 2 2 4 11 2 6" xfId="13425" xr:uid="{00000000-0005-0000-0000-000047340000}"/>
    <cellStyle name="Normal 2 2 2 2 4 11 2 7" xfId="13426" xr:uid="{00000000-0005-0000-0000-000048340000}"/>
    <cellStyle name="Normal 2 2 2 2 4 11 2 8" xfId="13427" xr:uid="{00000000-0005-0000-0000-000049340000}"/>
    <cellStyle name="Normal 2 2 2 2 4 11 2 9" xfId="13428" xr:uid="{00000000-0005-0000-0000-00004A340000}"/>
    <cellStyle name="Normal 2 2 2 2 4 11 3" xfId="13429" xr:uid="{00000000-0005-0000-0000-00004B340000}"/>
    <cellStyle name="Normal 2 2 2 2 4 11 3 10" xfId="13430" xr:uid="{00000000-0005-0000-0000-00004C340000}"/>
    <cellStyle name="Normal 2 2 2 2 4 11 3 2" xfId="13431" xr:uid="{00000000-0005-0000-0000-00004D340000}"/>
    <cellStyle name="Normal 2 2 2 2 4 11 3 3" xfId="13432" xr:uid="{00000000-0005-0000-0000-00004E340000}"/>
    <cellStyle name="Normal 2 2 2 2 4 11 3 4" xfId="13433" xr:uid="{00000000-0005-0000-0000-00004F340000}"/>
    <cellStyle name="Normal 2 2 2 2 4 11 3 5" xfId="13434" xr:uid="{00000000-0005-0000-0000-000050340000}"/>
    <cellStyle name="Normal 2 2 2 2 4 11 3 6" xfId="13435" xr:uid="{00000000-0005-0000-0000-000051340000}"/>
    <cellStyle name="Normal 2 2 2 2 4 11 3 7" xfId="13436" xr:uid="{00000000-0005-0000-0000-000052340000}"/>
    <cellStyle name="Normal 2 2 2 2 4 11 3 8" xfId="13437" xr:uid="{00000000-0005-0000-0000-000053340000}"/>
    <cellStyle name="Normal 2 2 2 2 4 11 3 9" xfId="13438" xr:uid="{00000000-0005-0000-0000-000054340000}"/>
    <cellStyle name="Normal 2 2 2 2 4 11 4" xfId="13439" xr:uid="{00000000-0005-0000-0000-000055340000}"/>
    <cellStyle name="Normal 2 2 2 2 4 11 4 10" xfId="13440" xr:uid="{00000000-0005-0000-0000-000056340000}"/>
    <cellStyle name="Normal 2 2 2 2 4 11 4 2" xfId="13441" xr:uid="{00000000-0005-0000-0000-000057340000}"/>
    <cellStyle name="Normal 2 2 2 2 4 11 4 3" xfId="13442" xr:uid="{00000000-0005-0000-0000-000058340000}"/>
    <cellStyle name="Normal 2 2 2 2 4 11 4 4" xfId="13443" xr:uid="{00000000-0005-0000-0000-000059340000}"/>
    <cellStyle name="Normal 2 2 2 2 4 11 4 5" xfId="13444" xr:uid="{00000000-0005-0000-0000-00005A340000}"/>
    <cellStyle name="Normal 2 2 2 2 4 11 4 6" xfId="13445" xr:uid="{00000000-0005-0000-0000-00005B340000}"/>
    <cellStyle name="Normal 2 2 2 2 4 11 4 7" xfId="13446" xr:uid="{00000000-0005-0000-0000-00005C340000}"/>
    <cellStyle name="Normal 2 2 2 2 4 11 4 8" xfId="13447" xr:uid="{00000000-0005-0000-0000-00005D340000}"/>
    <cellStyle name="Normal 2 2 2 2 4 11 4 9" xfId="13448" xr:uid="{00000000-0005-0000-0000-00005E340000}"/>
    <cellStyle name="Normal 2 2 2 2 4 11 5" xfId="13449" xr:uid="{00000000-0005-0000-0000-00005F340000}"/>
    <cellStyle name="Normal 2 2 2 2 4 11 5 10" xfId="13450" xr:uid="{00000000-0005-0000-0000-000060340000}"/>
    <cellStyle name="Normal 2 2 2 2 4 11 5 2" xfId="13451" xr:uid="{00000000-0005-0000-0000-000061340000}"/>
    <cellStyle name="Normal 2 2 2 2 4 11 5 3" xfId="13452" xr:uid="{00000000-0005-0000-0000-000062340000}"/>
    <cellStyle name="Normal 2 2 2 2 4 11 5 4" xfId="13453" xr:uid="{00000000-0005-0000-0000-000063340000}"/>
    <cellStyle name="Normal 2 2 2 2 4 11 5 5" xfId="13454" xr:uid="{00000000-0005-0000-0000-000064340000}"/>
    <cellStyle name="Normal 2 2 2 2 4 11 5 6" xfId="13455" xr:uid="{00000000-0005-0000-0000-000065340000}"/>
    <cellStyle name="Normal 2 2 2 2 4 11 5 7" xfId="13456" xr:uid="{00000000-0005-0000-0000-000066340000}"/>
    <cellStyle name="Normal 2 2 2 2 4 11 5 8" xfId="13457" xr:uid="{00000000-0005-0000-0000-000067340000}"/>
    <cellStyle name="Normal 2 2 2 2 4 11 5 9" xfId="13458" xr:uid="{00000000-0005-0000-0000-000068340000}"/>
    <cellStyle name="Normal 2 2 2 2 4 11 6" xfId="13459" xr:uid="{00000000-0005-0000-0000-000069340000}"/>
    <cellStyle name="Normal 2 2 2 2 4 11 7" xfId="13460" xr:uid="{00000000-0005-0000-0000-00006A340000}"/>
    <cellStyle name="Normal 2 2 2 2 4 11 8" xfId="13461" xr:uid="{00000000-0005-0000-0000-00006B340000}"/>
    <cellStyle name="Normal 2 2 2 2 4 11 9" xfId="13462" xr:uid="{00000000-0005-0000-0000-00006C340000}"/>
    <cellStyle name="Normal 2 2 2 2 4 12" xfId="13463" xr:uid="{00000000-0005-0000-0000-00006D340000}"/>
    <cellStyle name="Normal 2 2 2 2 4 12 10" xfId="13464" xr:uid="{00000000-0005-0000-0000-00006E340000}"/>
    <cellStyle name="Normal 2 2 2 2 4 12 11" xfId="13465" xr:uid="{00000000-0005-0000-0000-00006F340000}"/>
    <cellStyle name="Normal 2 2 2 2 4 12 12" xfId="13466" xr:uid="{00000000-0005-0000-0000-000070340000}"/>
    <cellStyle name="Normal 2 2 2 2 4 12 13" xfId="13467" xr:uid="{00000000-0005-0000-0000-000071340000}"/>
    <cellStyle name="Normal 2 2 2 2 4 12 14" xfId="13468" xr:uid="{00000000-0005-0000-0000-000072340000}"/>
    <cellStyle name="Normal 2 2 2 2 4 12 2" xfId="13469" xr:uid="{00000000-0005-0000-0000-000073340000}"/>
    <cellStyle name="Normal 2 2 2 2 4 12 2 10" xfId="13470" xr:uid="{00000000-0005-0000-0000-000074340000}"/>
    <cellStyle name="Normal 2 2 2 2 4 12 2 2" xfId="13471" xr:uid="{00000000-0005-0000-0000-000075340000}"/>
    <cellStyle name="Normal 2 2 2 2 4 12 2 3" xfId="13472" xr:uid="{00000000-0005-0000-0000-000076340000}"/>
    <cellStyle name="Normal 2 2 2 2 4 12 2 4" xfId="13473" xr:uid="{00000000-0005-0000-0000-000077340000}"/>
    <cellStyle name="Normal 2 2 2 2 4 12 2 5" xfId="13474" xr:uid="{00000000-0005-0000-0000-000078340000}"/>
    <cellStyle name="Normal 2 2 2 2 4 12 2 6" xfId="13475" xr:uid="{00000000-0005-0000-0000-000079340000}"/>
    <cellStyle name="Normal 2 2 2 2 4 12 2 7" xfId="13476" xr:uid="{00000000-0005-0000-0000-00007A340000}"/>
    <cellStyle name="Normal 2 2 2 2 4 12 2 8" xfId="13477" xr:uid="{00000000-0005-0000-0000-00007B340000}"/>
    <cellStyle name="Normal 2 2 2 2 4 12 2 9" xfId="13478" xr:uid="{00000000-0005-0000-0000-00007C340000}"/>
    <cellStyle name="Normal 2 2 2 2 4 12 3" xfId="13479" xr:uid="{00000000-0005-0000-0000-00007D340000}"/>
    <cellStyle name="Normal 2 2 2 2 4 12 3 10" xfId="13480" xr:uid="{00000000-0005-0000-0000-00007E340000}"/>
    <cellStyle name="Normal 2 2 2 2 4 12 3 2" xfId="13481" xr:uid="{00000000-0005-0000-0000-00007F340000}"/>
    <cellStyle name="Normal 2 2 2 2 4 12 3 3" xfId="13482" xr:uid="{00000000-0005-0000-0000-000080340000}"/>
    <cellStyle name="Normal 2 2 2 2 4 12 3 4" xfId="13483" xr:uid="{00000000-0005-0000-0000-000081340000}"/>
    <cellStyle name="Normal 2 2 2 2 4 12 3 5" xfId="13484" xr:uid="{00000000-0005-0000-0000-000082340000}"/>
    <cellStyle name="Normal 2 2 2 2 4 12 3 6" xfId="13485" xr:uid="{00000000-0005-0000-0000-000083340000}"/>
    <cellStyle name="Normal 2 2 2 2 4 12 3 7" xfId="13486" xr:uid="{00000000-0005-0000-0000-000084340000}"/>
    <cellStyle name="Normal 2 2 2 2 4 12 3 8" xfId="13487" xr:uid="{00000000-0005-0000-0000-000085340000}"/>
    <cellStyle name="Normal 2 2 2 2 4 12 3 9" xfId="13488" xr:uid="{00000000-0005-0000-0000-000086340000}"/>
    <cellStyle name="Normal 2 2 2 2 4 12 4" xfId="13489" xr:uid="{00000000-0005-0000-0000-000087340000}"/>
    <cellStyle name="Normal 2 2 2 2 4 12 4 10" xfId="13490" xr:uid="{00000000-0005-0000-0000-000088340000}"/>
    <cellStyle name="Normal 2 2 2 2 4 12 4 2" xfId="13491" xr:uid="{00000000-0005-0000-0000-000089340000}"/>
    <cellStyle name="Normal 2 2 2 2 4 12 4 3" xfId="13492" xr:uid="{00000000-0005-0000-0000-00008A340000}"/>
    <cellStyle name="Normal 2 2 2 2 4 12 4 4" xfId="13493" xr:uid="{00000000-0005-0000-0000-00008B340000}"/>
    <cellStyle name="Normal 2 2 2 2 4 12 4 5" xfId="13494" xr:uid="{00000000-0005-0000-0000-00008C340000}"/>
    <cellStyle name="Normal 2 2 2 2 4 12 4 6" xfId="13495" xr:uid="{00000000-0005-0000-0000-00008D340000}"/>
    <cellStyle name="Normal 2 2 2 2 4 12 4 7" xfId="13496" xr:uid="{00000000-0005-0000-0000-00008E340000}"/>
    <cellStyle name="Normal 2 2 2 2 4 12 4 8" xfId="13497" xr:uid="{00000000-0005-0000-0000-00008F340000}"/>
    <cellStyle name="Normal 2 2 2 2 4 12 4 9" xfId="13498" xr:uid="{00000000-0005-0000-0000-000090340000}"/>
    <cellStyle name="Normal 2 2 2 2 4 12 5" xfId="13499" xr:uid="{00000000-0005-0000-0000-000091340000}"/>
    <cellStyle name="Normal 2 2 2 2 4 12 5 10" xfId="13500" xr:uid="{00000000-0005-0000-0000-000092340000}"/>
    <cellStyle name="Normal 2 2 2 2 4 12 5 2" xfId="13501" xr:uid="{00000000-0005-0000-0000-000093340000}"/>
    <cellStyle name="Normal 2 2 2 2 4 12 5 3" xfId="13502" xr:uid="{00000000-0005-0000-0000-000094340000}"/>
    <cellStyle name="Normal 2 2 2 2 4 12 5 4" xfId="13503" xr:uid="{00000000-0005-0000-0000-000095340000}"/>
    <cellStyle name="Normal 2 2 2 2 4 12 5 5" xfId="13504" xr:uid="{00000000-0005-0000-0000-000096340000}"/>
    <cellStyle name="Normal 2 2 2 2 4 12 5 6" xfId="13505" xr:uid="{00000000-0005-0000-0000-000097340000}"/>
    <cellStyle name="Normal 2 2 2 2 4 12 5 7" xfId="13506" xr:uid="{00000000-0005-0000-0000-000098340000}"/>
    <cellStyle name="Normal 2 2 2 2 4 12 5 8" xfId="13507" xr:uid="{00000000-0005-0000-0000-000099340000}"/>
    <cellStyle name="Normal 2 2 2 2 4 12 5 9" xfId="13508" xr:uid="{00000000-0005-0000-0000-00009A340000}"/>
    <cellStyle name="Normal 2 2 2 2 4 12 6" xfId="13509" xr:uid="{00000000-0005-0000-0000-00009B340000}"/>
    <cellStyle name="Normal 2 2 2 2 4 12 7" xfId="13510" xr:uid="{00000000-0005-0000-0000-00009C340000}"/>
    <cellStyle name="Normal 2 2 2 2 4 12 8" xfId="13511" xr:uid="{00000000-0005-0000-0000-00009D340000}"/>
    <cellStyle name="Normal 2 2 2 2 4 12 9" xfId="13512" xr:uid="{00000000-0005-0000-0000-00009E340000}"/>
    <cellStyle name="Normal 2 2 2 2 4 13" xfId="13513" xr:uid="{00000000-0005-0000-0000-00009F340000}"/>
    <cellStyle name="Normal 2 2 2 2 4 13 10" xfId="13514" xr:uid="{00000000-0005-0000-0000-0000A0340000}"/>
    <cellStyle name="Normal 2 2 2 2 4 13 11" xfId="13515" xr:uid="{00000000-0005-0000-0000-0000A1340000}"/>
    <cellStyle name="Normal 2 2 2 2 4 13 12" xfId="13516" xr:uid="{00000000-0005-0000-0000-0000A2340000}"/>
    <cellStyle name="Normal 2 2 2 2 4 13 13" xfId="13517" xr:uid="{00000000-0005-0000-0000-0000A3340000}"/>
    <cellStyle name="Normal 2 2 2 2 4 13 14" xfId="13518" xr:uid="{00000000-0005-0000-0000-0000A4340000}"/>
    <cellStyle name="Normal 2 2 2 2 4 13 2" xfId="13519" xr:uid="{00000000-0005-0000-0000-0000A5340000}"/>
    <cellStyle name="Normal 2 2 2 2 4 13 2 10" xfId="13520" xr:uid="{00000000-0005-0000-0000-0000A6340000}"/>
    <cellStyle name="Normal 2 2 2 2 4 13 2 2" xfId="13521" xr:uid="{00000000-0005-0000-0000-0000A7340000}"/>
    <cellStyle name="Normal 2 2 2 2 4 13 2 3" xfId="13522" xr:uid="{00000000-0005-0000-0000-0000A8340000}"/>
    <cellStyle name="Normal 2 2 2 2 4 13 2 4" xfId="13523" xr:uid="{00000000-0005-0000-0000-0000A9340000}"/>
    <cellStyle name="Normal 2 2 2 2 4 13 2 5" xfId="13524" xr:uid="{00000000-0005-0000-0000-0000AA340000}"/>
    <cellStyle name="Normal 2 2 2 2 4 13 2 6" xfId="13525" xr:uid="{00000000-0005-0000-0000-0000AB340000}"/>
    <cellStyle name="Normal 2 2 2 2 4 13 2 7" xfId="13526" xr:uid="{00000000-0005-0000-0000-0000AC340000}"/>
    <cellStyle name="Normal 2 2 2 2 4 13 2 8" xfId="13527" xr:uid="{00000000-0005-0000-0000-0000AD340000}"/>
    <cellStyle name="Normal 2 2 2 2 4 13 2 9" xfId="13528" xr:uid="{00000000-0005-0000-0000-0000AE340000}"/>
    <cellStyle name="Normal 2 2 2 2 4 13 3" xfId="13529" xr:uid="{00000000-0005-0000-0000-0000AF340000}"/>
    <cellStyle name="Normal 2 2 2 2 4 13 3 10" xfId="13530" xr:uid="{00000000-0005-0000-0000-0000B0340000}"/>
    <cellStyle name="Normal 2 2 2 2 4 13 3 2" xfId="13531" xr:uid="{00000000-0005-0000-0000-0000B1340000}"/>
    <cellStyle name="Normal 2 2 2 2 4 13 3 3" xfId="13532" xr:uid="{00000000-0005-0000-0000-0000B2340000}"/>
    <cellStyle name="Normal 2 2 2 2 4 13 3 4" xfId="13533" xr:uid="{00000000-0005-0000-0000-0000B3340000}"/>
    <cellStyle name="Normal 2 2 2 2 4 13 3 5" xfId="13534" xr:uid="{00000000-0005-0000-0000-0000B4340000}"/>
    <cellStyle name="Normal 2 2 2 2 4 13 3 6" xfId="13535" xr:uid="{00000000-0005-0000-0000-0000B5340000}"/>
    <cellStyle name="Normal 2 2 2 2 4 13 3 7" xfId="13536" xr:uid="{00000000-0005-0000-0000-0000B6340000}"/>
    <cellStyle name="Normal 2 2 2 2 4 13 3 8" xfId="13537" xr:uid="{00000000-0005-0000-0000-0000B7340000}"/>
    <cellStyle name="Normal 2 2 2 2 4 13 3 9" xfId="13538" xr:uid="{00000000-0005-0000-0000-0000B8340000}"/>
    <cellStyle name="Normal 2 2 2 2 4 13 4" xfId="13539" xr:uid="{00000000-0005-0000-0000-0000B9340000}"/>
    <cellStyle name="Normal 2 2 2 2 4 13 4 10" xfId="13540" xr:uid="{00000000-0005-0000-0000-0000BA340000}"/>
    <cellStyle name="Normal 2 2 2 2 4 13 4 2" xfId="13541" xr:uid="{00000000-0005-0000-0000-0000BB340000}"/>
    <cellStyle name="Normal 2 2 2 2 4 13 4 3" xfId="13542" xr:uid="{00000000-0005-0000-0000-0000BC340000}"/>
    <cellStyle name="Normal 2 2 2 2 4 13 4 4" xfId="13543" xr:uid="{00000000-0005-0000-0000-0000BD340000}"/>
    <cellStyle name="Normal 2 2 2 2 4 13 4 5" xfId="13544" xr:uid="{00000000-0005-0000-0000-0000BE340000}"/>
    <cellStyle name="Normal 2 2 2 2 4 13 4 6" xfId="13545" xr:uid="{00000000-0005-0000-0000-0000BF340000}"/>
    <cellStyle name="Normal 2 2 2 2 4 13 4 7" xfId="13546" xr:uid="{00000000-0005-0000-0000-0000C0340000}"/>
    <cellStyle name="Normal 2 2 2 2 4 13 4 8" xfId="13547" xr:uid="{00000000-0005-0000-0000-0000C1340000}"/>
    <cellStyle name="Normal 2 2 2 2 4 13 4 9" xfId="13548" xr:uid="{00000000-0005-0000-0000-0000C2340000}"/>
    <cellStyle name="Normal 2 2 2 2 4 13 5" xfId="13549" xr:uid="{00000000-0005-0000-0000-0000C3340000}"/>
    <cellStyle name="Normal 2 2 2 2 4 13 5 10" xfId="13550" xr:uid="{00000000-0005-0000-0000-0000C4340000}"/>
    <cellStyle name="Normal 2 2 2 2 4 13 5 2" xfId="13551" xr:uid="{00000000-0005-0000-0000-0000C5340000}"/>
    <cellStyle name="Normal 2 2 2 2 4 13 5 3" xfId="13552" xr:uid="{00000000-0005-0000-0000-0000C6340000}"/>
    <cellStyle name="Normal 2 2 2 2 4 13 5 4" xfId="13553" xr:uid="{00000000-0005-0000-0000-0000C7340000}"/>
    <cellStyle name="Normal 2 2 2 2 4 13 5 5" xfId="13554" xr:uid="{00000000-0005-0000-0000-0000C8340000}"/>
    <cellStyle name="Normal 2 2 2 2 4 13 5 6" xfId="13555" xr:uid="{00000000-0005-0000-0000-0000C9340000}"/>
    <cellStyle name="Normal 2 2 2 2 4 13 5 7" xfId="13556" xr:uid="{00000000-0005-0000-0000-0000CA340000}"/>
    <cellStyle name="Normal 2 2 2 2 4 13 5 8" xfId="13557" xr:uid="{00000000-0005-0000-0000-0000CB340000}"/>
    <cellStyle name="Normal 2 2 2 2 4 13 5 9" xfId="13558" xr:uid="{00000000-0005-0000-0000-0000CC340000}"/>
    <cellStyle name="Normal 2 2 2 2 4 13 6" xfId="13559" xr:uid="{00000000-0005-0000-0000-0000CD340000}"/>
    <cellStyle name="Normal 2 2 2 2 4 13 7" xfId="13560" xr:uid="{00000000-0005-0000-0000-0000CE340000}"/>
    <cellStyle name="Normal 2 2 2 2 4 13 8" xfId="13561" xr:uid="{00000000-0005-0000-0000-0000CF340000}"/>
    <cellStyle name="Normal 2 2 2 2 4 13 9" xfId="13562" xr:uid="{00000000-0005-0000-0000-0000D0340000}"/>
    <cellStyle name="Normal 2 2 2 2 4 14" xfId="13563" xr:uid="{00000000-0005-0000-0000-0000D1340000}"/>
    <cellStyle name="Normal 2 2 2 2 4 14 10" xfId="13564" xr:uid="{00000000-0005-0000-0000-0000D2340000}"/>
    <cellStyle name="Normal 2 2 2 2 4 14 11" xfId="13565" xr:uid="{00000000-0005-0000-0000-0000D3340000}"/>
    <cellStyle name="Normal 2 2 2 2 4 14 12" xfId="13566" xr:uid="{00000000-0005-0000-0000-0000D4340000}"/>
    <cellStyle name="Normal 2 2 2 2 4 14 13" xfId="13567" xr:uid="{00000000-0005-0000-0000-0000D5340000}"/>
    <cellStyle name="Normal 2 2 2 2 4 14 14" xfId="13568" xr:uid="{00000000-0005-0000-0000-0000D6340000}"/>
    <cellStyle name="Normal 2 2 2 2 4 14 2" xfId="13569" xr:uid="{00000000-0005-0000-0000-0000D7340000}"/>
    <cellStyle name="Normal 2 2 2 2 4 14 2 10" xfId="13570" xr:uid="{00000000-0005-0000-0000-0000D8340000}"/>
    <cellStyle name="Normal 2 2 2 2 4 14 2 2" xfId="13571" xr:uid="{00000000-0005-0000-0000-0000D9340000}"/>
    <cellStyle name="Normal 2 2 2 2 4 14 2 3" xfId="13572" xr:uid="{00000000-0005-0000-0000-0000DA340000}"/>
    <cellStyle name="Normal 2 2 2 2 4 14 2 4" xfId="13573" xr:uid="{00000000-0005-0000-0000-0000DB340000}"/>
    <cellStyle name="Normal 2 2 2 2 4 14 2 5" xfId="13574" xr:uid="{00000000-0005-0000-0000-0000DC340000}"/>
    <cellStyle name="Normal 2 2 2 2 4 14 2 6" xfId="13575" xr:uid="{00000000-0005-0000-0000-0000DD340000}"/>
    <cellStyle name="Normal 2 2 2 2 4 14 2 7" xfId="13576" xr:uid="{00000000-0005-0000-0000-0000DE340000}"/>
    <cellStyle name="Normal 2 2 2 2 4 14 2 8" xfId="13577" xr:uid="{00000000-0005-0000-0000-0000DF340000}"/>
    <cellStyle name="Normal 2 2 2 2 4 14 2 9" xfId="13578" xr:uid="{00000000-0005-0000-0000-0000E0340000}"/>
    <cellStyle name="Normal 2 2 2 2 4 14 3" xfId="13579" xr:uid="{00000000-0005-0000-0000-0000E1340000}"/>
    <cellStyle name="Normal 2 2 2 2 4 14 3 10" xfId="13580" xr:uid="{00000000-0005-0000-0000-0000E2340000}"/>
    <cellStyle name="Normal 2 2 2 2 4 14 3 2" xfId="13581" xr:uid="{00000000-0005-0000-0000-0000E3340000}"/>
    <cellStyle name="Normal 2 2 2 2 4 14 3 3" xfId="13582" xr:uid="{00000000-0005-0000-0000-0000E4340000}"/>
    <cellStyle name="Normal 2 2 2 2 4 14 3 4" xfId="13583" xr:uid="{00000000-0005-0000-0000-0000E5340000}"/>
    <cellStyle name="Normal 2 2 2 2 4 14 3 5" xfId="13584" xr:uid="{00000000-0005-0000-0000-0000E6340000}"/>
    <cellStyle name="Normal 2 2 2 2 4 14 3 6" xfId="13585" xr:uid="{00000000-0005-0000-0000-0000E7340000}"/>
    <cellStyle name="Normal 2 2 2 2 4 14 3 7" xfId="13586" xr:uid="{00000000-0005-0000-0000-0000E8340000}"/>
    <cellStyle name="Normal 2 2 2 2 4 14 3 8" xfId="13587" xr:uid="{00000000-0005-0000-0000-0000E9340000}"/>
    <cellStyle name="Normal 2 2 2 2 4 14 3 9" xfId="13588" xr:uid="{00000000-0005-0000-0000-0000EA340000}"/>
    <cellStyle name="Normal 2 2 2 2 4 14 4" xfId="13589" xr:uid="{00000000-0005-0000-0000-0000EB340000}"/>
    <cellStyle name="Normal 2 2 2 2 4 14 4 10" xfId="13590" xr:uid="{00000000-0005-0000-0000-0000EC340000}"/>
    <cellStyle name="Normal 2 2 2 2 4 14 4 2" xfId="13591" xr:uid="{00000000-0005-0000-0000-0000ED340000}"/>
    <cellStyle name="Normal 2 2 2 2 4 14 4 3" xfId="13592" xr:uid="{00000000-0005-0000-0000-0000EE340000}"/>
    <cellStyle name="Normal 2 2 2 2 4 14 4 4" xfId="13593" xr:uid="{00000000-0005-0000-0000-0000EF340000}"/>
    <cellStyle name="Normal 2 2 2 2 4 14 4 5" xfId="13594" xr:uid="{00000000-0005-0000-0000-0000F0340000}"/>
    <cellStyle name="Normal 2 2 2 2 4 14 4 6" xfId="13595" xr:uid="{00000000-0005-0000-0000-0000F1340000}"/>
    <cellStyle name="Normal 2 2 2 2 4 14 4 7" xfId="13596" xr:uid="{00000000-0005-0000-0000-0000F2340000}"/>
    <cellStyle name="Normal 2 2 2 2 4 14 4 8" xfId="13597" xr:uid="{00000000-0005-0000-0000-0000F3340000}"/>
    <cellStyle name="Normal 2 2 2 2 4 14 4 9" xfId="13598" xr:uid="{00000000-0005-0000-0000-0000F4340000}"/>
    <cellStyle name="Normal 2 2 2 2 4 14 5" xfId="13599" xr:uid="{00000000-0005-0000-0000-0000F5340000}"/>
    <cellStyle name="Normal 2 2 2 2 4 14 5 10" xfId="13600" xr:uid="{00000000-0005-0000-0000-0000F6340000}"/>
    <cellStyle name="Normal 2 2 2 2 4 14 5 2" xfId="13601" xr:uid="{00000000-0005-0000-0000-0000F7340000}"/>
    <cellStyle name="Normal 2 2 2 2 4 14 5 3" xfId="13602" xr:uid="{00000000-0005-0000-0000-0000F8340000}"/>
    <cellStyle name="Normal 2 2 2 2 4 14 5 4" xfId="13603" xr:uid="{00000000-0005-0000-0000-0000F9340000}"/>
    <cellStyle name="Normal 2 2 2 2 4 14 5 5" xfId="13604" xr:uid="{00000000-0005-0000-0000-0000FA340000}"/>
    <cellStyle name="Normal 2 2 2 2 4 14 5 6" xfId="13605" xr:uid="{00000000-0005-0000-0000-0000FB340000}"/>
    <cellStyle name="Normal 2 2 2 2 4 14 5 7" xfId="13606" xr:uid="{00000000-0005-0000-0000-0000FC340000}"/>
    <cellStyle name="Normal 2 2 2 2 4 14 5 8" xfId="13607" xr:uid="{00000000-0005-0000-0000-0000FD340000}"/>
    <cellStyle name="Normal 2 2 2 2 4 14 5 9" xfId="13608" xr:uid="{00000000-0005-0000-0000-0000FE340000}"/>
    <cellStyle name="Normal 2 2 2 2 4 14 6" xfId="13609" xr:uid="{00000000-0005-0000-0000-0000FF340000}"/>
    <cellStyle name="Normal 2 2 2 2 4 14 7" xfId="13610" xr:uid="{00000000-0005-0000-0000-000000350000}"/>
    <cellStyle name="Normal 2 2 2 2 4 14 8" xfId="13611" xr:uid="{00000000-0005-0000-0000-000001350000}"/>
    <cellStyle name="Normal 2 2 2 2 4 14 9" xfId="13612" xr:uid="{00000000-0005-0000-0000-000002350000}"/>
    <cellStyle name="Normal 2 2 2 2 4 15" xfId="13613" xr:uid="{00000000-0005-0000-0000-000003350000}"/>
    <cellStyle name="Normal 2 2 2 2 4 15 10" xfId="13614" xr:uid="{00000000-0005-0000-0000-000004350000}"/>
    <cellStyle name="Normal 2 2 2 2 4 15 11" xfId="13615" xr:uid="{00000000-0005-0000-0000-000005350000}"/>
    <cellStyle name="Normal 2 2 2 2 4 15 12" xfId="13616" xr:uid="{00000000-0005-0000-0000-000006350000}"/>
    <cellStyle name="Normal 2 2 2 2 4 15 13" xfId="13617" xr:uid="{00000000-0005-0000-0000-000007350000}"/>
    <cellStyle name="Normal 2 2 2 2 4 15 14" xfId="13618" xr:uid="{00000000-0005-0000-0000-000008350000}"/>
    <cellStyle name="Normal 2 2 2 2 4 15 2" xfId="13619" xr:uid="{00000000-0005-0000-0000-000009350000}"/>
    <cellStyle name="Normal 2 2 2 2 4 15 2 10" xfId="13620" xr:uid="{00000000-0005-0000-0000-00000A350000}"/>
    <cellStyle name="Normal 2 2 2 2 4 15 2 2" xfId="13621" xr:uid="{00000000-0005-0000-0000-00000B350000}"/>
    <cellStyle name="Normal 2 2 2 2 4 15 2 3" xfId="13622" xr:uid="{00000000-0005-0000-0000-00000C350000}"/>
    <cellStyle name="Normal 2 2 2 2 4 15 2 4" xfId="13623" xr:uid="{00000000-0005-0000-0000-00000D350000}"/>
    <cellStyle name="Normal 2 2 2 2 4 15 2 5" xfId="13624" xr:uid="{00000000-0005-0000-0000-00000E350000}"/>
    <cellStyle name="Normal 2 2 2 2 4 15 2 6" xfId="13625" xr:uid="{00000000-0005-0000-0000-00000F350000}"/>
    <cellStyle name="Normal 2 2 2 2 4 15 2 7" xfId="13626" xr:uid="{00000000-0005-0000-0000-000010350000}"/>
    <cellStyle name="Normal 2 2 2 2 4 15 2 8" xfId="13627" xr:uid="{00000000-0005-0000-0000-000011350000}"/>
    <cellStyle name="Normal 2 2 2 2 4 15 2 9" xfId="13628" xr:uid="{00000000-0005-0000-0000-000012350000}"/>
    <cellStyle name="Normal 2 2 2 2 4 15 3" xfId="13629" xr:uid="{00000000-0005-0000-0000-000013350000}"/>
    <cellStyle name="Normal 2 2 2 2 4 15 3 10" xfId="13630" xr:uid="{00000000-0005-0000-0000-000014350000}"/>
    <cellStyle name="Normal 2 2 2 2 4 15 3 2" xfId="13631" xr:uid="{00000000-0005-0000-0000-000015350000}"/>
    <cellStyle name="Normal 2 2 2 2 4 15 3 3" xfId="13632" xr:uid="{00000000-0005-0000-0000-000016350000}"/>
    <cellStyle name="Normal 2 2 2 2 4 15 3 4" xfId="13633" xr:uid="{00000000-0005-0000-0000-000017350000}"/>
    <cellStyle name="Normal 2 2 2 2 4 15 3 5" xfId="13634" xr:uid="{00000000-0005-0000-0000-000018350000}"/>
    <cellStyle name="Normal 2 2 2 2 4 15 3 6" xfId="13635" xr:uid="{00000000-0005-0000-0000-000019350000}"/>
    <cellStyle name="Normal 2 2 2 2 4 15 3 7" xfId="13636" xr:uid="{00000000-0005-0000-0000-00001A350000}"/>
    <cellStyle name="Normal 2 2 2 2 4 15 3 8" xfId="13637" xr:uid="{00000000-0005-0000-0000-00001B350000}"/>
    <cellStyle name="Normal 2 2 2 2 4 15 3 9" xfId="13638" xr:uid="{00000000-0005-0000-0000-00001C350000}"/>
    <cellStyle name="Normal 2 2 2 2 4 15 4" xfId="13639" xr:uid="{00000000-0005-0000-0000-00001D350000}"/>
    <cellStyle name="Normal 2 2 2 2 4 15 4 10" xfId="13640" xr:uid="{00000000-0005-0000-0000-00001E350000}"/>
    <cellStyle name="Normal 2 2 2 2 4 15 4 2" xfId="13641" xr:uid="{00000000-0005-0000-0000-00001F350000}"/>
    <cellStyle name="Normal 2 2 2 2 4 15 4 3" xfId="13642" xr:uid="{00000000-0005-0000-0000-000020350000}"/>
    <cellStyle name="Normal 2 2 2 2 4 15 4 4" xfId="13643" xr:uid="{00000000-0005-0000-0000-000021350000}"/>
    <cellStyle name="Normal 2 2 2 2 4 15 4 5" xfId="13644" xr:uid="{00000000-0005-0000-0000-000022350000}"/>
    <cellStyle name="Normal 2 2 2 2 4 15 4 6" xfId="13645" xr:uid="{00000000-0005-0000-0000-000023350000}"/>
    <cellStyle name="Normal 2 2 2 2 4 15 4 7" xfId="13646" xr:uid="{00000000-0005-0000-0000-000024350000}"/>
    <cellStyle name="Normal 2 2 2 2 4 15 4 8" xfId="13647" xr:uid="{00000000-0005-0000-0000-000025350000}"/>
    <cellStyle name="Normal 2 2 2 2 4 15 4 9" xfId="13648" xr:uid="{00000000-0005-0000-0000-000026350000}"/>
    <cellStyle name="Normal 2 2 2 2 4 15 5" xfId="13649" xr:uid="{00000000-0005-0000-0000-000027350000}"/>
    <cellStyle name="Normal 2 2 2 2 4 15 5 10" xfId="13650" xr:uid="{00000000-0005-0000-0000-000028350000}"/>
    <cellStyle name="Normal 2 2 2 2 4 15 5 2" xfId="13651" xr:uid="{00000000-0005-0000-0000-000029350000}"/>
    <cellStyle name="Normal 2 2 2 2 4 15 5 3" xfId="13652" xr:uid="{00000000-0005-0000-0000-00002A350000}"/>
    <cellStyle name="Normal 2 2 2 2 4 15 5 4" xfId="13653" xr:uid="{00000000-0005-0000-0000-00002B350000}"/>
    <cellStyle name="Normal 2 2 2 2 4 15 5 5" xfId="13654" xr:uid="{00000000-0005-0000-0000-00002C350000}"/>
    <cellStyle name="Normal 2 2 2 2 4 15 5 6" xfId="13655" xr:uid="{00000000-0005-0000-0000-00002D350000}"/>
    <cellStyle name="Normal 2 2 2 2 4 15 5 7" xfId="13656" xr:uid="{00000000-0005-0000-0000-00002E350000}"/>
    <cellStyle name="Normal 2 2 2 2 4 15 5 8" xfId="13657" xr:uid="{00000000-0005-0000-0000-00002F350000}"/>
    <cellStyle name="Normal 2 2 2 2 4 15 5 9" xfId="13658" xr:uid="{00000000-0005-0000-0000-000030350000}"/>
    <cellStyle name="Normal 2 2 2 2 4 15 6" xfId="13659" xr:uid="{00000000-0005-0000-0000-000031350000}"/>
    <cellStyle name="Normal 2 2 2 2 4 15 7" xfId="13660" xr:uid="{00000000-0005-0000-0000-000032350000}"/>
    <cellStyle name="Normal 2 2 2 2 4 15 8" xfId="13661" xr:uid="{00000000-0005-0000-0000-000033350000}"/>
    <cellStyle name="Normal 2 2 2 2 4 15 9" xfId="13662" xr:uid="{00000000-0005-0000-0000-000034350000}"/>
    <cellStyle name="Normal 2 2 2 2 4 16" xfId="13663" xr:uid="{00000000-0005-0000-0000-000035350000}"/>
    <cellStyle name="Normal 2 2 2 2 4 16 10" xfId="13664" xr:uid="{00000000-0005-0000-0000-000036350000}"/>
    <cellStyle name="Normal 2 2 2 2 4 16 11" xfId="13665" xr:uid="{00000000-0005-0000-0000-000037350000}"/>
    <cellStyle name="Normal 2 2 2 2 4 16 12" xfId="13666" xr:uid="{00000000-0005-0000-0000-000038350000}"/>
    <cellStyle name="Normal 2 2 2 2 4 16 13" xfId="13667" xr:uid="{00000000-0005-0000-0000-000039350000}"/>
    <cellStyle name="Normal 2 2 2 2 4 16 14" xfId="13668" xr:uid="{00000000-0005-0000-0000-00003A350000}"/>
    <cellStyle name="Normal 2 2 2 2 4 16 2" xfId="13669" xr:uid="{00000000-0005-0000-0000-00003B350000}"/>
    <cellStyle name="Normal 2 2 2 2 4 16 2 10" xfId="13670" xr:uid="{00000000-0005-0000-0000-00003C350000}"/>
    <cellStyle name="Normal 2 2 2 2 4 16 2 2" xfId="13671" xr:uid="{00000000-0005-0000-0000-00003D350000}"/>
    <cellStyle name="Normal 2 2 2 2 4 16 2 3" xfId="13672" xr:uid="{00000000-0005-0000-0000-00003E350000}"/>
    <cellStyle name="Normal 2 2 2 2 4 16 2 4" xfId="13673" xr:uid="{00000000-0005-0000-0000-00003F350000}"/>
    <cellStyle name="Normal 2 2 2 2 4 16 2 5" xfId="13674" xr:uid="{00000000-0005-0000-0000-000040350000}"/>
    <cellStyle name="Normal 2 2 2 2 4 16 2 6" xfId="13675" xr:uid="{00000000-0005-0000-0000-000041350000}"/>
    <cellStyle name="Normal 2 2 2 2 4 16 2 7" xfId="13676" xr:uid="{00000000-0005-0000-0000-000042350000}"/>
    <cellStyle name="Normal 2 2 2 2 4 16 2 8" xfId="13677" xr:uid="{00000000-0005-0000-0000-000043350000}"/>
    <cellStyle name="Normal 2 2 2 2 4 16 2 9" xfId="13678" xr:uid="{00000000-0005-0000-0000-000044350000}"/>
    <cellStyle name="Normal 2 2 2 2 4 16 3" xfId="13679" xr:uid="{00000000-0005-0000-0000-000045350000}"/>
    <cellStyle name="Normal 2 2 2 2 4 16 3 10" xfId="13680" xr:uid="{00000000-0005-0000-0000-000046350000}"/>
    <cellStyle name="Normal 2 2 2 2 4 16 3 2" xfId="13681" xr:uid="{00000000-0005-0000-0000-000047350000}"/>
    <cellStyle name="Normal 2 2 2 2 4 16 3 3" xfId="13682" xr:uid="{00000000-0005-0000-0000-000048350000}"/>
    <cellStyle name="Normal 2 2 2 2 4 16 3 4" xfId="13683" xr:uid="{00000000-0005-0000-0000-000049350000}"/>
    <cellStyle name="Normal 2 2 2 2 4 16 3 5" xfId="13684" xr:uid="{00000000-0005-0000-0000-00004A350000}"/>
    <cellStyle name="Normal 2 2 2 2 4 16 3 6" xfId="13685" xr:uid="{00000000-0005-0000-0000-00004B350000}"/>
    <cellStyle name="Normal 2 2 2 2 4 16 3 7" xfId="13686" xr:uid="{00000000-0005-0000-0000-00004C350000}"/>
    <cellStyle name="Normal 2 2 2 2 4 16 3 8" xfId="13687" xr:uid="{00000000-0005-0000-0000-00004D350000}"/>
    <cellStyle name="Normal 2 2 2 2 4 16 3 9" xfId="13688" xr:uid="{00000000-0005-0000-0000-00004E350000}"/>
    <cellStyle name="Normal 2 2 2 2 4 16 4" xfId="13689" xr:uid="{00000000-0005-0000-0000-00004F350000}"/>
    <cellStyle name="Normal 2 2 2 2 4 16 4 10" xfId="13690" xr:uid="{00000000-0005-0000-0000-000050350000}"/>
    <cellStyle name="Normal 2 2 2 2 4 16 4 2" xfId="13691" xr:uid="{00000000-0005-0000-0000-000051350000}"/>
    <cellStyle name="Normal 2 2 2 2 4 16 4 3" xfId="13692" xr:uid="{00000000-0005-0000-0000-000052350000}"/>
    <cellStyle name="Normal 2 2 2 2 4 16 4 4" xfId="13693" xr:uid="{00000000-0005-0000-0000-000053350000}"/>
    <cellStyle name="Normal 2 2 2 2 4 16 4 5" xfId="13694" xr:uid="{00000000-0005-0000-0000-000054350000}"/>
    <cellStyle name="Normal 2 2 2 2 4 16 4 6" xfId="13695" xr:uid="{00000000-0005-0000-0000-000055350000}"/>
    <cellStyle name="Normal 2 2 2 2 4 16 4 7" xfId="13696" xr:uid="{00000000-0005-0000-0000-000056350000}"/>
    <cellStyle name="Normal 2 2 2 2 4 16 4 8" xfId="13697" xr:uid="{00000000-0005-0000-0000-000057350000}"/>
    <cellStyle name="Normal 2 2 2 2 4 16 4 9" xfId="13698" xr:uid="{00000000-0005-0000-0000-000058350000}"/>
    <cellStyle name="Normal 2 2 2 2 4 16 5" xfId="13699" xr:uid="{00000000-0005-0000-0000-000059350000}"/>
    <cellStyle name="Normal 2 2 2 2 4 16 5 10" xfId="13700" xr:uid="{00000000-0005-0000-0000-00005A350000}"/>
    <cellStyle name="Normal 2 2 2 2 4 16 5 2" xfId="13701" xr:uid="{00000000-0005-0000-0000-00005B350000}"/>
    <cellStyle name="Normal 2 2 2 2 4 16 5 3" xfId="13702" xr:uid="{00000000-0005-0000-0000-00005C350000}"/>
    <cellStyle name="Normal 2 2 2 2 4 16 5 4" xfId="13703" xr:uid="{00000000-0005-0000-0000-00005D350000}"/>
    <cellStyle name="Normal 2 2 2 2 4 16 5 5" xfId="13704" xr:uid="{00000000-0005-0000-0000-00005E350000}"/>
    <cellStyle name="Normal 2 2 2 2 4 16 5 6" xfId="13705" xr:uid="{00000000-0005-0000-0000-00005F350000}"/>
    <cellStyle name="Normal 2 2 2 2 4 16 5 7" xfId="13706" xr:uid="{00000000-0005-0000-0000-000060350000}"/>
    <cellStyle name="Normal 2 2 2 2 4 16 5 8" xfId="13707" xr:uid="{00000000-0005-0000-0000-000061350000}"/>
    <cellStyle name="Normal 2 2 2 2 4 16 5 9" xfId="13708" xr:uid="{00000000-0005-0000-0000-000062350000}"/>
    <cellStyle name="Normal 2 2 2 2 4 16 6" xfId="13709" xr:uid="{00000000-0005-0000-0000-000063350000}"/>
    <cellStyle name="Normal 2 2 2 2 4 16 7" xfId="13710" xr:uid="{00000000-0005-0000-0000-000064350000}"/>
    <cellStyle name="Normal 2 2 2 2 4 16 8" xfId="13711" xr:uid="{00000000-0005-0000-0000-000065350000}"/>
    <cellStyle name="Normal 2 2 2 2 4 16 9" xfId="13712" xr:uid="{00000000-0005-0000-0000-000066350000}"/>
    <cellStyle name="Normal 2 2 2 2 4 17" xfId="13713" xr:uid="{00000000-0005-0000-0000-000067350000}"/>
    <cellStyle name="Normal 2 2 2 2 4 17 10" xfId="13714" xr:uid="{00000000-0005-0000-0000-000068350000}"/>
    <cellStyle name="Normal 2 2 2 2 4 17 11" xfId="13715" xr:uid="{00000000-0005-0000-0000-000069350000}"/>
    <cellStyle name="Normal 2 2 2 2 4 17 12" xfId="13716" xr:uid="{00000000-0005-0000-0000-00006A350000}"/>
    <cellStyle name="Normal 2 2 2 2 4 17 13" xfId="13717" xr:uid="{00000000-0005-0000-0000-00006B350000}"/>
    <cellStyle name="Normal 2 2 2 2 4 17 14" xfId="13718" xr:uid="{00000000-0005-0000-0000-00006C350000}"/>
    <cellStyle name="Normal 2 2 2 2 4 17 2" xfId="13719" xr:uid="{00000000-0005-0000-0000-00006D350000}"/>
    <cellStyle name="Normal 2 2 2 2 4 17 2 10" xfId="13720" xr:uid="{00000000-0005-0000-0000-00006E350000}"/>
    <cellStyle name="Normal 2 2 2 2 4 17 2 2" xfId="13721" xr:uid="{00000000-0005-0000-0000-00006F350000}"/>
    <cellStyle name="Normal 2 2 2 2 4 17 2 3" xfId="13722" xr:uid="{00000000-0005-0000-0000-000070350000}"/>
    <cellStyle name="Normal 2 2 2 2 4 17 2 4" xfId="13723" xr:uid="{00000000-0005-0000-0000-000071350000}"/>
    <cellStyle name="Normal 2 2 2 2 4 17 2 5" xfId="13724" xr:uid="{00000000-0005-0000-0000-000072350000}"/>
    <cellStyle name="Normal 2 2 2 2 4 17 2 6" xfId="13725" xr:uid="{00000000-0005-0000-0000-000073350000}"/>
    <cellStyle name="Normal 2 2 2 2 4 17 2 7" xfId="13726" xr:uid="{00000000-0005-0000-0000-000074350000}"/>
    <cellStyle name="Normal 2 2 2 2 4 17 2 8" xfId="13727" xr:uid="{00000000-0005-0000-0000-000075350000}"/>
    <cellStyle name="Normal 2 2 2 2 4 17 2 9" xfId="13728" xr:uid="{00000000-0005-0000-0000-000076350000}"/>
    <cellStyle name="Normal 2 2 2 2 4 17 3" xfId="13729" xr:uid="{00000000-0005-0000-0000-000077350000}"/>
    <cellStyle name="Normal 2 2 2 2 4 17 3 10" xfId="13730" xr:uid="{00000000-0005-0000-0000-000078350000}"/>
    <cellStyle name="Normal 2 2 2 2 4 17 3 2" xfId="13731" xr:uid="{00000000-0005-0000-0000-000079350000}"/>
    <cellStyle name="Normal 2 2 2 2 4 17 3 3" xfId="13732" xr:uid="{00000000-0005-0000-0000-00007A350000}"/>
    <cellStyle name="Normal 2 2 2 2 4 17 3 4" xfId="13733" xr:uid="{00000000-0005-0000-0000-00007B350000}"/>
    <cellStyle name="Normal 2 2 2 2 4 17 3 5" xfId="13734" xr:uid="{00000000-0005-0000-0000-00007C350000}"/>
    <cellStyle name="Normal 2 2 2 2 4 17 3 6" xfId="13735" xr:uid="{00000000-0005-0000-0000-00007D350000}"/>
    <cellStyle name="Normal 2 2 2 2 4 17 3 7" xfId="13736" xr:uid="{00000000-0005-0000-0000-00007E350000}"/>
    <cellStyle name="Normal 2 2 2 2 4 17 3 8" xfId="13737" xr:uid="{00000000-0005-0000-0000-00007F350000}"/>
    <cellStyle name="Normal 2 2 2 2 4 17 3 9" xfId="13738" xr:uid="{00000000-0005-0000-0000-000080350000}"/>
    <cellStyle name="Normal 2 2 2 2 4 17 4" xfId="13739" xr:uid="{00000000-0005-0000-0000-000081350000}"/>
    <cellStyle name="Normal 2 2 2 2 4 17 4 10" xfId="13740" xr:uid="{00000000-0005-0000-0000-000082350000}"/>
    <cellStyle name="Normal 2 2 2 2 4 17 4 2" xfId="13741" xr:uid="{00000000-0005-0000-0000-000083350000}"/>
    <cellStyle name="Normal 2 2 2 2 4 17 4 3" xfId="13742" xr:uid="{00000000-0005-0000-0000-000084350000}"/>
    <cellStyle name="Normal 2 2 2 2 4 17 4 4" xfId="13743" xr:uid="{00000000-0005-0000-0000-000085350000}"/>
    <cellStyle name="Normal 2 2 2 2 4 17 4 5" xfId="13744" xr:uid="{00000000-0005-0000-0000-000086350000}"/>
    <cellStyle name="Normal 2 2 2 2 4 17 4 6" xfId="13745" xr:uid="{00000000-0005-0000-0000-000087350000}"/>
    <cellStyle name="Normal 2 2 2 2 4 17 4 7" xfId="13746" xr:uid="{00000000-0005-0000-0000-000088350000}"/>
    <cellStyle name="Normal 2 2 2 2 4 17 4 8" xfId="13747" xr:uid="{00000000-0005-0000-0000-000089350000}"/>
    <cellStyle name="Normal 2 2 2 2 4 17 4 9" xfId="13748" xr:uid="{00000000-0005-0000-0000-00008A350000}"/>
    <cellStyle name="Normal 2 2 2 2 4 17 5" xfId="13749" xr:uid="{00000000-0005-0000-0000-00008B350000}"/>
    <cellStyle name="Normal 2 2 2 2 4 17 5 10" xfId="13750" xr:uid="{00000000-0005-0000-0000-00008C350000}"/>
    <cellStyle name="Normal 2 2 2 2 4 17 5 2" xfId="13751" xr:uid="{00000000-0005-0000-0000-00008D350000}"/>
    <cellStyle name="Normal 2 2 2 2 4 17 5 3" xfId="13752" xr:uid="{00000000-0005-0000-0000-00008E350000}"/>
    <cellStyle name="Normal 2 2 2 2 4 17 5 4" xfId="13753" xr:uid="{00000000-0005-0000-0000-00008F350000}"/>
    <cellStyle name="Normal 2 2 2 2 4 17 5 5" xfId="13754" xr:uid="{00000000-0005-0000-0000-000090350000}"/>
    <cellStyle name="Normal 2 2 2 2 4 17 5 6" xfId="13755" xr:uid="{00000000-0005-0000-0000-000091350000}"/>
    <cellStyle name="Normal 2 2 2 2 4 17 5 7" xfId="13756" xr:uid="{00000000-0005-0000-0000-000092350000}"/>
    <cellStyle name="Normal 2 2 2 2 4 17 5 8" xfId="13757" xr:uid="{00000000-0005-0000-0000-000093350000}"/>
    <cellStyle name="Normal 2 2 2 2 4 17 5 9" xfId="13758" xr:uid="{00000000-0005-0000-0000-000094350000}"/>
    <cellStyle name="Normal 2 2 2 2 4 17 6" xfId="13759" xr:uid="{00000000-0005-0000-0000-000095350000}"/>
    <cellStyle name="Normal 2 2 2 2 4 17 7" xfId="13760" xr:uid="{00000000-0005-0000-0000-000096350000}"/>
    <cellStyle name="Normal 2 2 2 2 4 17 8" xfId="13761" xr:uid="{00000000-0005-0000-0000-000097350000}"/>
    <cellStyle name="Normal 2 2 2 2 4 17 9" xfId="13762" xr:uid="{00000000-0005-0000-0000-000098350000}"/>
    <cellStyle name="Normal 2 2 2 2 4 18" xfId="13763" xr:uid="{00000000-0005-0000-0000-000099350000}"/>
    <cellStyle name="Normal 2 2 2 2 4 18 10" xfId="13764" xr:uid="{00000000-0005-0000-0000-00009A350000}"/>
    <cellStyle name="Normal 2 2 2 2 4 18 11" xfId="13765" xr:uid="{00000000-0005-0000-0000-00009B350000}"/>
    <cellStyle name="Normal 2 2 2 2 4 18 12" xfId="13766" xr:uid="{00000000-0005-0000-0000-00009C350000}"/>
    <cellStyle name="Normal 2 2 2 2 4 18 13" xfId="13767" xr:uid="{00000000-0005-0000-0000-00009D350000}"/>
    <cellStyle name="Normal 2 2 2 2 4 18 14" xfId="13768" xr:uid="{00000000-0005-0000-0000-00009E350000}"/>
    <cellStyle name="Normal 2 2 2 2 4 18 2" xfId="13769" xr:uid="{00000000-0005-0000-0000-00009F350000}"/>
    <cellStyle name="Normal 2 2 2 2 4 18 2 10" xfId="13770" xr:uid="{00000000-0005-0000-0000-0000A0350000}"/>
    <cellStyle name="Normal 2 2 2 2 4 18 2 2" xfId="13771" xr:uid="{00000000-0005-0000-0000-0000A1350000}"/>
    <cellStyle name="Normal 2 2 2 2 4 18 2 3" xfId="13772" xr:uid="{00000000-0005-0000-0000-0000A2350000}"/>
    <cellStyle name="Normal 2 2 2 2 4 18 2 4" xfId="13773" xr:uid="{00000000-0005-0000-0000-0000A3350000}"/>
    <cellStyle name="Normal 2 2 2 2 4 18 2 5" xfId="13774" xr:uid="{00000000-0005-0000-0000-0000A4350000}"/>
    <cellStyle name="Normal 2 2 2 2 4 18 2 6" xfId="13775" xr:uid="{00000000-0005-0000-0000-0000A5350000}"/>
    <cellStyle name="Normal 2 2 2 2 4 18 2 7" xfId="13776" xr:uid="{00000000-0005-0000-0000-0000A6350000}"/>
    <cellStyle name="Normal 2 2 2 2 4 18 2 8" xfId="13777" xr:uid="{00000000-0005-0000-0000-0000A7350000}"/>
    <cellStyle name="Normal 2 2 2 2 4 18 2 9" xfId="13778" xr:uid="{00000000-0005-0000-0000-0000A8350000}"/>
    <cellStyle name="Normal 2 2 2 2 4 18 3" xfId="13779" xr:uid="{00000000-0005-0000-0000-0000A9350000}"/>
    <cellStyle name="Normal 2 2 2 2 4 18 3 10" xfId="13780" xr:uid="{00000000-0005-0000-0000-0000AA350000}"/>
    <cellStyle name="Normal 2 2 2 2 4 18 3 2" xfId="13781" xr:uid="{00000000-0005-0000-0000-0000AB350000}"/>
    <cellStyle name="Normal 2 2 2 2 4 18 3 3" xfId="13782" xr:uid="{00000000-0005-0000-0000-0000AC350000}"/>
    <cellStyle name="Normal 2 2 2 2 4 18 3 4" xfId="13783" xr:uid="{00000000-0005-0000-0000-0000AD350000}"/>
    <cellStyle name="Normal 2 2 2 2 4 18 3 5" xfId="13784" xr:uid="{00000000-0005-0000-0000-0000AE350000}"/>
    <cellStyle name="Normal 2 2 2 2 4 18 3 6" xfId="13785" xr:uid="{00000000-0005-0000-0000-0000AF350000}"/>
    <cellStyle name="Normal 2 2 2 2 4 18 3 7" xfId="13786" xr:uid="{00000000-0005-0000-0000-0000B0350000}"/>
    <cellStyle name="Normal 2 2 2 2 4 18 3 8" xfId="13787" xr:uid="{00000000-0005-0000-0000-0000B1350000}"/>
    <cellStyle name="Normal 2 2 2 2 4 18 3 9" xfId="13788" xr:uid="{00000000-0005-0000-0000-0000B2350000}"/>
    <cellStyle name="Normal 2 2 2 2 4 18 4" xfId="13789" xr:uid="{00000000-0005-0000-0000-0000B3350000}"/>
    <cellStyle name="Normal 2 2 2 2 4 18 4 10" xfId="13790" xr:uid="{00000000-0005-0000-0000-0000B4350000}"/>
    <cellStyle name="Normal 2 2 2 2 4 18 4 2" xfId="13791" xr:uid="{00000000-0005-0000-0000-0000B5350000}"/>
    <cellStyle name="Normal 2 2 2 2 4 18 4 3" xfId="13792" xr:uid="{00000000-0005-0000-0000-0000B6350000}"/>
    <cellStyle name="Normal 2 2 2 2 4 18 4 4" xfId="13793" xr:uid="{00000000-0005-0000-0000-0000B7350000}"/>
    <cellStyle name="Normal 2 2 2 2 4 18 4 5" xfId="13794" xr:uid="{00000000-0005-0000-0000-0000B8350000}"/>
    <cellStyle name="Normal 2 2 2 2 4 18 4 6" xfId="13795" xr:uid="{00000000-0005-0000-0000-0000B9350000}"/>
    <cellStyle name="Normal 2 2 2 2 4 18 4 7" xfId="13796" xr:uid="{00000000-0005-0000-0000-0000BA350000}"/>
    <cellStyle name="Normal 2 2 2 2 4 18 4 8" xfId="13797" xr:uid="{00000000-0005-0000-0000-0000BB350000}"/>
    <cellStyle name="Normal 2 2 2 2 4 18 4 9" xfId="13798" xr:uid="{00000000-0005-0000-0000-0000BC350000}"/>
    <cellStyle name="Normal 2 2 2 2 4 18 5" xfId="13799" xr:uid="{00000000-0005-0000-0000-0000BD350000}"/>
    <cellStyle name="Normal 2 2 2 2 4 18 5 10" xfId="13800" xr:uid="{00000000-0005-0000-0000-0000BE350000}"/>
    <cellStyle name="Normal 2 2 2 2 4 18 5 2" xfId="13801" xr:uid="{00000000-0005-0000-0000-0000BF350000}"/>
    <cellStyle name="Normal 2 2 2 2 4 18 5 3" xfId="13802" xr:uid="{00000000-0005-0000-0000-0000C0350000}"/>
    <cellStyle name="Normal 2 2 2 2 4 18 5 4" xfId="13803" xr:uid="{00000000-0005-0000-0000-0000C1350000}"/>
    <cellStyle name="Normal 2 2 2 2 4 18 5 5" xfId="13804" xr:uid="{00000000-0005-0000-0000-0000C2350000}"/>
    <cellStyle name="Normal 2 2 2 2 4 18 5 6" xfId="13805" xr:uid="{00000000-0005-0000-0000-0000C3350000}"/>
    <cellStyle name="Normal 2 2 2 2 4 18 5 7" xfId="13806" xr:uid="{00000000-0005-0000-0000-0000C4350000}"/>
    <cellStyle name="Normal 2 2 2 2 4 18 5 8" xfId="13807" xr:uid="{00000000-0005-0000-0000-0000C5350000}"/>
    <cellStyle name="Normal 2 2 2 2 4 18 5 9" xfId="13808" xr:uid="{00000000-0005-0000-0000-0000C6350000}"/>
    <cellStyle name="Normal 2 2 2 2 4 18 6" xfId="13809" xr:uid="{00000000-0005-0000-0000-0000C7350000}"/>
    <cellStyle name="Normal 2 2 2 2 4 18 7" xfId="13810" xr:uid="{00000000-0005-0000-0000-0000C8350000}"/>
    <cellStyle name="Normal 2 2 2 2 4 18 8" xfId="13811" xr:uid="{00000000-0005-0000-0000-0000C9350000}"/>
    <cellStyle name="Normal 2 2 2 2 4 18 9" xfId="13812" xr:uid="{00000000-0005-0000-0000-0000CA350000}"/>
    <cellStyle name="Normal 2 2 2 2 4 19" xfId="13813" xr:uid="{00000000-0005-0000-0000-0000CB350000}"/>
    <cellStyle name="Normal 2 2 2 2 4 19 10" xfId="13814" xr:uid="{00000000-0005-0000-0000-0000CC350000}"/>
    <cellStyle name="Normal 2 2 2 2 4 19 11" xfId="13815" xr:uid="{00000000-0005-0000-0000-0000CD350000}"/>
    <cellStyle name="Normal 2 2 2 2 4 19 12" xfId="13816" xr:uid="{00000000-0005-0000-0000-0000CE350000}"/>
    <cellStyle name="Normal 2 2 2 2 4 19 13" xfId="13817" xr:uid="{00000000-0005-0000-0000-0000CF350000}"/>
    <cellStyle name="Normal 2 2 2 2 4 19 14" xfId="13818" xr:uid="{00000000-0005-0000-0000-0000D0350000}"/>
    <cellStyle name="Normal 2 2 2 2 4 19 2" xfId="13819" xr:uid="{00000000-0005-0000-0000-0000D1350000}"/>
    <cellStyle name="Normal 2 2 2 2 4 19 2 10" xfId="13820" xr:uid="{00000000-0005-0000-0000-0000D2350000}"/>
    <cellStyle name="Normal 2 2 2 2 4 19 2 2" xfId="13821" xr:uid="{00000000-0005-0000-0000-0000D3350000}"/>
    <cellStyle name="Normal 2 2 2 2 4 19 2 3" xfId="13822" xr:uid="{00000000-0005-0000-0000-0000D4350000}"/>
    <cellStyle name="Normal 2 2 2 2 4 19 2 4" xfId="13823" xr:uid="{00000000-0005-0000-0000-0000D5350000}"/>
    <cellStyle name="Normal 2 2 2 2 4 19 2 5" xfId="13824" xr:uid="{00000000-0005-0000-0000-0000D6350000}"/>
    <cellStyle name="Normal 2 2 2 2 4 19 2 6" xfId="13825" xr:uid="{00000000-0005-0000-0000-0000D7350000}"/>
    <cellStyle name="Normal 2 2 2 2 4 19 2 7" xfId="13826" xr:uid="{00000000-0005-0000-0000-0000D8350000}"/>
    <cellStyle name="Normal 2 2 2 2 4 19 2 8" xfId="13827" xr:uid="{00000000-0005-0000-0000-0000D9350000}"/>
    <cellStyle name="Normal 2 2 2 2 4 19 2 9" xfId="13828" xr:uid="{00000000-0005-0000-0000-0000DA350000}"/>
    <cellStyle name="Normal 2 2 2 2 4 19 3" xfId="13829" xr:uid="{00000000-0005-0000-0000-0000DB350000}"/>
    <cellStyle name="Normal 2 2 2 2 4 19 3 10" xfId="13830" xr:uid="{00000000-0005-0000-0000-0000DC350000}"/>
    <cellStyle name="Normal 2 2 2 2 4 19 3 2" xfId="13831" xr:uid="{00000000-0005-0000-0000-0000DD350000}"/>
    <cellStyle name="Normal 2 2 2 2 4 19 3 3" xfId="13832" xr:uid="{00000000-0005-0000-0000-0000DE350000}"/>
    <cellStyle name="Normal 2 2 2 2 4 19 3 4" xfId="13833" xr:uid="{00000000-0005-0000-0000-0000DF350000}"/>
    <cellStyle name="Normal 2 2 2 2 4 19 3 5" xfId="13834" xr:uid="{00000000-0005-0000-0000-0000E0350000}"/>
    <cellStyle name="Normal 2 2 2 2 4 19 3 6" xfId="13835" xr:uid="{00000000-0005-0000-0000-0000E1350000}"/>
    <cellStyle name="Normal 2 2 2 2 4 19 3 7" xfId="13836" xr:uid="{00000000-0005-0000-0000-0000E2350000}"/>
    <cellStyle name="Normal 2 2 2 2 4 19 3 8" xfId="13837" xr:uid="{00000000-0005-0000-0000-0000E3350000}"/>
    <cellStyle name="Normal 2 2 2 2 4 19 3 9" xfId="13838" xr:uid="{00000000-0005-0000-0000-0000E4350000}"/>
    <cellStyle name="Normal 2 2 2 2 4 19 4" xfId="13839" xr:uid="{00000000-0005-0000-0000-0000E5350000}"/>
    <cellStyle name="Normal 2 2 2 2 4 19 4 10" xfId="13840" xr:uid="{00000000-0005-0000-0000-0000E6350000}"/>
    <cellStyle name="Normal 2 2 2 2 4 19 4 2" xfId="13841" xr:uid="{00000000-0005-0000-0000-0000E7350000}"/>
    <cellStyle name="Normal 2 2 2 2 4 19 4 3" xfId="13842" xr:uid="{00000000-0005-0000-0000-0000E8350000}"/>
    <cellStyle name="Normal 2 2 2 2 4 19 4 4" xfId="13843" xr:uid="{00000000-0005-0000-0000-0000E9350000}"/>
    <cellStyle name="Normal 2 2 2 2 4 19 4 5" xfId="13844" xr:uid="{00000000-0005-0000-0000-0000EA350000}"/>
    <cellStyle name="Normal 2 2 2 2 4 19 4 6" xfId="13845" xr:uid="{00000000-0005-0000-0000-0000EB350000}"/>
    <cellStyle name="Normal 2 2 2 2 4 19 4 7" xfId="13846" xr:uid="{00000000-0005-0000-0000-0000EC350000}"/>
    <cellStyle name="Normal 2 2 2 2 4 19 4 8" xfId="13847" xr:uid="{00000000-0005-0000-0000-0000ED350000}"/>
    <cellStyle name="Normal 2 2 2 2 4 19 4 9" xfId="13848" xr:uid="{00000000-0005-0000-0000-0000EE350000}"/>
    <cellStyle name="Normal 2 2 2 2 4 19 5" xfId="13849" xr:uid="{00000000-0005-0000-0000-0000EF350000}"/>
    <cellStyle name="Normal 2 2 2 2 4 19 5 10" xfId="13850" xr:uid="{00000000-0005-0000-0000-0000F0350000}"/>
    <cellStyle name="Normal 2 2 2 2 4 19 5 2" xfId="13851" xr:uid="{00000000-0005-0000-0000-0000F1350000}"/>
    <cellStyle name="Normal 2 2 2 2 4 19 5 3" xfId="13852" xr:uid="{00000000-0005-0000-0000-0000F2350000}"/>
    <cellStyle name="Normal 2 2 2 2 4 19 5 4" xfId="13853" xr:uid="{00000000-0005-0000-0000-0000F3350000}"/>
    <cellStyle name="Normal 2 2 2 2 4 19 5 5" xfId="13854" xr:uid="{00000000-0005-0000-0000-0000F4350000}"/>
    <cellStyle name="Normal 2 2 2 2 4 19 5 6" xfId="13855" xr:uid="{00000000-0005-0000-0000-0000F5350000}"/>
    <cellStyle name="Normal 2 2 2 2 4 19 5 7" xfId="13856" xr:uid="{00000000-0005-0000-0000-0000F6350000}"/>
    <cellStyle name="Normal 2 2 2 2 4 19 5 8" xfId="13857" xr:uid="{00000000-0005-0000-0000-0000F7350000}"/>
    <cellStyle name="Normal 2 2 2 2 4 19 5 9" xfId="13858" xr:uid="{00000000-0005-0000-0000-0000F8350000}"/>
    <cellStyle name="Normal 2 2 2 2 4 19 6" xfId="13859" xr:uid="{00000000-0005-0000-0000-0000F9350000}"/>
    <cellStyle name="Normal 2 2 2 2 4 19 7" xfId="13860" xr:uid="{00000000-0005-0000-0000-0000FA350000}"/>
    <cellStyle name="Normal 2 2 2 2 4 19 8" xfId="13861" xr:uid="{00000000-0005-0000-0000-0000FB350000}"/>
    <cellStyle name="Normal 2 2 2 2 4 19 9" xfId="13862" xr:uid="{00000000-0005-0000-0000-0000FC350000}"/>
    <cellStyle name="Normal 2 2 2 2 4 2" xfId="13863" xr:uid="{00000000-0005-0000-0000-0000FD350000}"/>
    <cellStyle name="Normal 2 2 2 2 4 2 10" xfId="13864" xr:uid="{00000000-0005-0000-0000-0000FE350000}"/>
    <cellStyle name="Normal 2 2 2 2 4 2 11" xfId="13865" xr:uid="{00000000-0005-0000-0000-0000FF350000}"/>
    <cellStyle name="Normal 2 2 2 2 4 2 12" xfId="13866" xr:uid="{00000000-0005-0000-0000-000000360000}"/>
    <cellStyle name="Normal 2 2 2 2 4 2 13" xfId="13867" xr:uid="{00000000-0005-0000-0000-000001360000}"/>
    <cellStyle name="Normal 2 2 2 2 4 2 14" xfId="13868" xr:uid="{00000000-0005-0000-0000-000002360000}"/>
    <cellStyle name="Normal 2 2 2 2 4 2 15" xfId="13869" xr:uid="{00000000-0005-0000-0000-000003360000}"/>
    <cellStyle name="Normal 2 2 2 2 4 2 16" xfId="13870" xr:uid="{00000000-0005-0000-0000-000004360000}"/>
    <cellStyle name="Normal 2 2 2 2 4 2 17" xfId="13871" xr:uid="{00000000-0005-0000-0000-000005360000}"/>
    <cellStyle name="Normal 2 2 2 2 4 2 18" xfId="13872" xr:uid="{00000000-0005-0000-0000-000006360000}"/>
    <cellStyle name="Normal 2 2 2 2 4 2 19" xfId="13873" xr:uid="{00000000-0005-0000-0000-000007360000}"/>
    <cellStyle name="Normal 2 2 2 2 4 2 2" xfId="13874" xr:uid="{00000000-0005-0000-0000-000008360000}"/>
    <cellStyle name="Normal 2 2 2 2 4 2 2 10" xfId="13875" xr:uid="{00000000-0005-0000-0000-000009360000}"/>
    <cellStyle name="Normal 2 2 2 2 4 2 2 10 10" xfId="13876" xr:uid="{00000000-0005-0000-0000-00000A360000}"/>
    <cellStyle name="Normal 2 2 2 2 4 2 2 10 11" xfId="13877" xr:uid="{00000000-0005-0000-0000-00000B360000}"/>
    <cellStyle name="Normal 2 2 2 2 4 2 2 10 12" xfId="13878" xr:uid="{00000000-0005-0000-0000-00000C360000}"/>
    <cellStyle name="Normal 2 2 2 2 4 2 2 10 13" xfId="13879" xr:uid="{00000000-0005-0000-0000-00000D360000}"/>
    <cellStyle name="Normal 2 2 2 2 4 2 2 10 14" xfId="13880" xr:uid="{00000000-0005-0000-0000-00000E360000}"/>
    <cellStyle name="Normal 2 2 2 2 4 2 2 10 2" xfId="13881" xr:uid="{00000000-0005-0000-0000-00000F360000}"/>
    <cellStyle name="Normal 2 2 2 2 4 2 2 10 2 10" xfId="13882" xr:uid="{00000000-0005-0000-0000-000010360000}"/>
    <cellStyle name="Normal 2 2 2 2 4 2 2 10 2 2" xfId="13883" xr:uid="{00000000-0005-0000-0000-000011360000}"/>
    <cellStyle name="Normal 2 2 2 2 4 2 2 10 2 3" xfId="13884" xr:uid="{00000000-0005-0000-0000-000012360000}"/>
    <cellStyle name="Normal 2 2 2 2 4 2 2 10 2 4" xfId="13885" xr:uid="{00000000-0005-0000-0000-000013360000}"/>
    <cellStyle name="Normal 2 2 2 2 4 2 2 10 2 5" xfId="13886" xr:uid="{00000000-0005-0000-0000-000014360000}"/>
    <cellStyle name="Normal 2 2 2 2 4 2 2 10 2 6" xfId="13887" xr:uid="{00000000-0005-0000-0000-000015360000}"/>
    <cellStyle name="Normal 2 2 2 2 4 2 2 10 2 7" xfId="13888" xr:uid="{00000000-0005-0000-0000-000016360000}"/>
    <cellStyle name="Normal 2 2 2 2 4 2 2 10 2 8" xfId="13889" xr:uid="{00000000-0005-0000-0000-000017360000}"/>
    <cellStyle name="Normal 2 2 2 2 4 2 2 10 2 9" xfId="13890" xr:uid="{00000000-0005-0000-0000-000018360000}"/>
    <cellStyle name="Normal 2 2 2 2 4 2 2 10 3" xfId="13891" xr:uid="{00000000-0005-0000-0000-000019360000}"/>
    <cellStyle name="Normal 2 2 2 2 4 2 2 10 3 10" xfId="13892" xr:uid="{00000000-0005-0000-0000-00001A360000}"/>
    <cellStyle name="Normal 2 2 2 2 4 2 2 10 3 2" xfId="13893" xr:uid="{00000000-0005-0000-0000-00001B360000}"/>
    <cellStyle name="Normal 2 2 2 2 4 2 2 10 3 3" xfId="13894" xr:uid="{00000000-0005-0000-0000-00001C360000}"/>
    <cellStyle name="Normal 2 2 2 2 4 2 2 10 3 4" xfId="13895" xr:uid="{00000000-0005-0000-0000-00001D360000}"/>
    <cellStyle name="Normal 2 2 2 2 4 2 2 10 3 5" xfId="13896" xr:uid="{00000000-0005-0000-0000-00001E360000}"/>
    <cellStyle name="Normal 2 2 2 2 4 2 2 10 3 6" xfId="13897" xr:uid="{00000000-0005-0000-0000-00001F360000}"/>
    <cellStyle name="Normal 2 2 2 2 4 2 2 10 3 7" xfId="13898" xr:uid="{00000000-0005-0000-0000-000020360000}"/>
    <cellStyle name="Normal 2 2 2 2 4 2 2 10 3 8" xfId="13899" xr:uid="{00000000-0005-0000-0000-000021360000}"/>
    <cellStyle name="Normal 2 2 2 2 4 2 2 10 3 9" xfId="13900" xr:uid="{00000000-0005-0000-0000-000022360000}"/>
    <cellStyle name="Normal 2 2 2 2 4 2 2 10 4" xfId="13901" xr:uid="{00000000-0005-0000-0000-000023360000}"/>
    <cellStyle name="Normal 2 2 2 2 4 2 2 10 4 10" xfId="13902" xr:uid="{00000000-0005-0000-0000-000024360000}"/>
    <cellStyle name="Normal 2 2 2 2 4 2 2 10 4 2" xfId="13903" xr:uid="{00000000-0005-0000-0000-000025360000}"/>
    <cellStyle name="Normal 2 2 2 2 4 2 2 10 4 3" xfId="13904" xr:uid="{00000000-0005-0000-0000-000026360000}"/>
    <cellStyle name="Normal 2 2 2 2 4 2 2 10 4 4" xfId="13905" xr:uid="{00000000-0005-0000-0000-000027360000}"/>
    <cellStyle name="Normal 2 2 2 2 4 2 2 10 4 5" xfId="13906" xr:uid="{00000000-0005-0000-0000-000028360000}"/>
    <cellStyle name="Normal 2 2 2 2 4 2 2 10 4 6" xfId="13907" xr:uid="{00000000-0005-0000-0000-000029360000}"/>
    <cellStyle name="Normal 2 2 2 2 4 2 2 10 4 7" xfId="13908" xr:uid="{00000000-0005-0000-0000-00002A360000}"/>
    <cellStyle name="Normal 2 2 2 2 4 2 2 10 4 8" xfId="13909" xr:uid="{00000000-0005-0000-0000-00002B360000}"/>
    <cellStyle name="Normal 2 2 2 2 4 2 2 10 4 9" xfId="13910" xr:uid="{00000000-0005-0000-0000-00002C360000}"/>
    <cellStyle name="Normal 2 2 2 2 4 2 2 10 5" xfId="13911" xr:uid="{00000000-0005-0000-0000-00002D360000}"/>
    <cellStyle name="Normal 2 2 2 2 4 2 2 10 5 10" xfId="13912" xr:uid="{00000000-0005-0000-0000-00002E360000}"/>
    <cellStyle name="Normal 2 2 2 2 4 2 2 10 5 2" xfId="13913" xr:uid="{00000000-0005-0000-0000-00002F360000}"/>
    <cellStyle name="Normal 2 2 2 2 4 2 2 10 5 3" xfId="13914" xr:uid="{00000000-0005-0000-0000-000030360000}"/>
    <cellStyle name="Normal 2 2 2 2 4 2 2 10 5 4" xfId="13915" xr:uid="{00000000-0005-0000-0000-000031360000}"/>
    <cellStyle name="Normal 2 2 2 2 4 2 2 10 5 5" xfId="13916" xr:uid="{00000000-0005-0000-0000-000032360000}"/>
    <cellStyle name="Normal 2 2 2 2 4 2 2 10 5 6" xfId="13917" xr:uid="{00000000-0005-0000-0000-000033360000}"/>
    <cellStyle name="Normal 2 2 2 2 4 2 2 10 5 7" xfId="13918" xr:uid="{00000000-0005-0000-0000-000034360000}"/>
    <cellStyle name="Normal 2 2 2 2 4 2 2 10 5 8" xfId="13919" xr:uid="{00000000-0005-0000-0000-000035360000}"/>
    <cellStyle name="Normal 2 2 2 2 4 2 2 10 5 9" xfId="13920" xr:uid="{00000000-0005-0000-0000-000036360000}"/>
    <cellStyle name="Normal 2 2 2 2 4 2 2 10 6" xfId="13921" xr:uid="{00000000-0005-0000-0000-000037360000}"/>
    <cellStyle name="Normal 2 2 2 2 4 2 2 10 7" xfId="13922" xr:uid="{00000000-0005-0000-0000-000038360000}"/>
    <cellStyle name="Normal 2 2 2 2 4 2 2 10 8" xfId="13923" xr:uid="{00000000-0005-0000-0000-000039360000}"/>
    <cellStyle name="Normal 2 2 2 2 4 2 2 10 9" xfId="13924" xr:uid="{00000000-0005-0000-0000-00003A360000}"/>
    <cellStyle name="Normal 2 2 2 2 4 2 2 11" xfId="13925" xr:uid="{00000000-0005-0000-0000-00003B360000}"/>
    <cellStyle name="Normal 2 2 2 2 4 2 2 11 10" xfId="13926" xr:uid="{00000000-0005-0000-0000-00003C360000}"/>
    <cellStyle name="Normal 2 2 2 2 4 2 2 11 11" xfId="13927" xr:uid="{00000000-0005-0000-0000-00003D360000}"/>
    <cellStyle name="Normal 2 2 2 2 4 2 2 11 12" xfId="13928" xr:uid="{00000000-0005-0000-0000-00003E360000}"/>
    <cellStyle name="Normal 2 2 2 2 4 2 2 11 13" xfId="13929" xr:uid="{00000000-0005-0000-0000-00003F360000}"/>
    <cellStyle name="Normal 2 2 2 2 4 2 2 11 14" xfId="13930" xr:uid="{00000000-0005-0000-0000-000040360000}"/>
    <cellStyle name="Normal 2 2 2 2 4 2 2 11 2" xfId="13931" xr:uid="{00000000-0005-0000-0000-000041360000}"/>
    <cellStyle name="Normal 2 2 2 2 4 2 2 11 2 10" xfId="13932" xr:uid="{00000000-0005-0000-0000-000042360000}"/>
    <cellStyle name="Normal 2 2 2 2 4 2 2 11 2 2" xfId="13933" xr:uid="{00000000-0005-0000-0000-000043360000}"/>
    <cellStyle name="Normal 2 2 2 2 4 2 2 11 2 3" xfId="13934" xr:uid="{00000000-0005-0000-0000-000044360000}"/>
    <cellStyle name="Normal 2 2 2 2 4 2 2 11 2 4" xfId="13935" xr:uid="{00000000-0005-0000-0000-000045360000}"/>
    <cellStyle name="Normal 2 2 2 2 4 2 2 11 2 5" xfId="13936" xr:uid="{00000000-0005-0000-0000-000046360000}"/>
    <cellStyle name="Normal 2 2 2 2 4 2 2 11 2 6" xfId="13937" xr:uid="{00000000-0005-0000-0000-000047360000}"/>
    <cellStyle name="Normal 2 2 2 2 4 2 2 11 2 7" xfId="13938" xr:uid="{00000000-0005-0000-0000-000048360000}"/>
    <cellStyle name="Normal 2 2 2 2 4 2 2 11 2 8" xfId="13939" xr:uid="{00000000-0005-0000-0000-000049360000}"/>
    <cellStyle name="Normal 2 2 2 2 4 2 2 11 2 9" xfId="13940" xr:uid="{00000000-0005-0000-0000-00004A360000}"/>
    <cellStyle name="Normal 2 2 2 2 4 2 2 11 3" xfId="13941" xr:uid="{00000000-0005-0000-0000-00004B360000}"/>
    <cellStyle name="Normal 2 2 2 2 4 2 2 11 3 10" xfId="13942" xr:uid="{00000000-0005-0000-0000-00004C360000}"/>
    <cellStyle name="Normal 2 2 2 2 4 2 2 11 3 2" xfId="13943" xr:uid="{00000000-0005-0000-0000-00004D360000}"/>
    <cellStyle name="Normal 2 2 2 2 4 2 2 11 3 3" xfId="13944" xr:uid="{00000000-0005-0000-0000-00004E360000}"/>
    <cellStyle name="Normal 2 2 2 2 4 2 2 11 3 4" xfId="13945" xr:uid="{00000000-0005-0000-0000-00004F360000}"/>
    <cellStyle name="Normal 2 2 2 2 4 2 2 11 3 5" xfId="13946" xr:uid="{00000000-0005-0000-0000-000050360000}"/>
    <cellStyle name="Normal 2 2 2 2 4 2 2 11 3 6" xfId="13947" xr:uid="{00000000-0005-0000-0000-000051360000}"/>
    <cellStyle name="Normal 2 2 2 2 4 2 2 11 3 7" xfId="13948" xr:uid="{00000000-0005-0000-0000-000052360000}"/>
    <cellStyle name="Normal 2 2 2 2 4 2 2 11 3 8" xfId="13949" xr:uid="{00000000-0005-0000-0000-000053360000}"/>
    <cellStyle name="Normal 2 2 2 2 4 2 2 11 3 9" xfId="13950" xr:uid="{00000000-0005-0000-0000-000054360000}"/>
    <cellStyle name="Normal 2 2 2 2 4 2 2 11 4" xfId="13951" xr:uid="{00000000-0005-0000-0000-000055360000}"/>
    <cellStyle name="Normal 2 2 2 2 4 2 2 11 4 10" xfId="13952" xr:uid="{00000000-0005-0000-0000-000056360000}"/>
    <cellStyle name="Normal 2 2 2 2 4 2 2 11 4 2" xfId="13953" xr:uid="{00000000-0005-0000-0000-000057360000}"/>
    <cellStyle name="Normal 2 2 2 2 4 2 2 11 4 3" xfId="13954" xr:uid="{00000000-0005-0000-0000-000058360000}"/>
    <cellStyle name="Normal 2 2 2 2 4 2 2 11 4 4" xfId="13955" xr:uid="{00000000-0005-0000-0000-000059360000}"/>
    <cellStyle name="Normal 2 2 2 2 4 2 2 11 4 5" xfId="13956" xr:uid="{00000000-0005-0000-0000-00005A360000}"/>
    <cellStyle name="Normal 2 2 2 2 4 2 2 11 4 6" xfId="13957" xr:uid="{00000000-0005-0000-0000-00005B360000}"/>
    <cellStyle name="Normal 2 2 2 2 4 2 2 11 4 7" xfId="13958" xr:uid="{00000000-0005-0000-0000-00005C360000}"/>
    <cellStyle name="Normal 2 2 2 2 4 2 2 11 4 8" xfId="13959" xr:uid="{00000000-0005-0000-0000-00005D360000}"/>
    <cellStyle name="Normal 2 2 2 2 4 2 2 11 4 9" xfId="13960" xr:uid="{00000000-0005-0000-0000-00005E360000}"/>
    <cellStyle name="Normal 2 2 2 2 4 2 2 11 5" xfId="13961" xr:uid="{00000000-0005-0000-0000-00005F360000}"/>
    <cellStyle name="Normal 2 2 2 2 4 2 2 11 5 10" xfId="13962" xr:uid="{00000000-0005-0000-0000-000060360000}"/>
    <cellStyle name="Normal 2 2 2 2 4 2 2 11 5 2" xfId="13963" xr:uid="{00000000-0005-0000-0000-000061360000}"/>
    <cellStyle name="Normal 2 2 2 2 4 2 2 11 5 3" xfId="13964" xr:uid="{00000000-0005-0000-0000-000062360000}"/>
    <cellStyle name="Normal 2 2 2 2 4 2 2 11 5 4" xfId="13965" xr:uid="{00000000-0005-0000-0000-000063360000}"/>
    <cellStyle name="Normal 2 2 2 2 4 2 2 11 5 5" xfId="13966" xr:uid="{00000000-0005-0000-0000-000064360000}"/>
    <cellStyle name="Normal 2 2 2 2 4 2 2 11 5 6" xfId="13967" xr:uid="{00000000-0005-0000-0000-000065360000}"/>
    <cellStyle name="Normal 2 2 2 2 4 2 2 11 5 7" xfId="13968" xr:uid="{00000000-0005-0000-0000-000066360000}"/>
    <cellStyle name="Normal 2 2 2 2 4 2 2 11 5 8" xfId="13969" xr:uid="{00000000-0005-0000-0000-000067360000}"/>
    <cellStyle name="Normal 2 2 2 2 4 2 2 11 5 9" xfId="13970" xr:uid="{00000000-0005-0000-0000-000068360000}"/>
    <cellStyle name="Normal 2 2 2 2 4 2 2 11 6" xfId="13971" xr:uid="{00000000-0005-0000-0000-000069360000}"/>
    <cellStyle name="Normal 2 2 2 2 4 2 2 11 7" xfId="13972" xr:uid="{00000000-0005-0000-0000-00006A360000}"/>
    <cellStyle name="Normal 2 2 2 2 4 2 2 11 8" xfId="13973" xr:uid="{00000000-0005-0000-0000-00006B360000}"/>
    <cellStyle name="Normal 2 2 2 2 4 2 2 11 9" xfId="13974" xr:uid="{00000000-0005-0000-0000-00006C360000}"/>
    <cellStyle name="Normal 2 2 2 2 4 2 2 12" xfId="13975" xr:uid="{00000000-0005-0000-0000-00006D360000}"/>
    <cellStyle name="Normal 2 2 2 2 4 2 2 12 10" xfId="13976" xr:uid="{00000000-0005-0000-0000-00006E360000}"/>
    <cellStyle name="Normal 2 2 2 2 4 2 2 12 11" xfId="13977" xr:uid="{00000000-0005-0000-0000-00006F360000}"/>
    <cellStyle name="Normal 2 2 2 2 4 2 2 12 12" xfId="13978" xr:uid="{00000000-0005-0000-0000-000070360000}"/>
    <cellStyle name="Normal 2 2 2 2 4 2 2 12 13" xfId="13979" xr:uid="{00000000-0005-0000-0000-000071360000}"/>
    <cellStyle name="Normal 2 2 2 2 4 2 2 12 14" xfId="13980" xr:uid="{00000000-0005-0000-0000-000072360000}"/>
    <cellStyle name="Normal 2 2 2 2 4 2 2 12 2" xfId="13981" xr:uid="{00000000-0005-0000-0000-000073360000}"/>
    <cellStyle name="Normal 2 2 2 2 4 2 2 12 2 10" xfId="13982" xr:uid="{00000000-0005-0000-0000-000074360000}"/>
    <cellStyle name="Normal 2 2 2 2 4 2 2 12 2 2" xfId="13983" xr:uid="{00000000-0005-0000-0000-000075360000}"/>
    <cellStyle name="Normal 2 2 2 2 4 2 2 12 2 3" xfId="13984" xr:uid="{00000000-0005-0000-0000-000076360000}"/>
    <cellStyle name="Normal 2 2 2 2 4 2 2 12 2 4" xfId="13985" xr:uid="{00000000-0005-0000-0000-000077360000}"/>
    <cellStyle name="Normal 2 2 2 2 4 2 2 12 2 5" xfId="13986" xr:uid="{00000000-0005-0000-0000-000078360000}"/>
    <cellStyle name="Normal 2 2 2 2 4 2 2 12 2 6" xfId="13987" xr:uid="{00000000-0005-0000-0000-000079360000}"/>
    <cellStyle name="Normal 2 2 2 2 4 2 2 12 2 7" xfId="13988" xr:uid="{00000000-0005-0000-0000-00007A360000}"/>
    <cellStyle name="Normal 2 2 2 2 4 2 2 12 2 8" xfId="13989" xr:uid="{00000000-0005-0000-0000-00007B360000}"/>
    <cellStyle name="Normal 2 2 2 2 4 2 2 12 2 9" xfId="13990" xr:uid="{00000000-0005-0000-0000-00007C360000}"/>
    <cellStyle name="Normal 2 2 2 2 4 2 2 12 3" xfId="13991" xr:uid="{00000000-0005-0000-0000-00007D360000}"/>
    <cellStyle name="Normal 2 2 2 2 4 2 2 12 3 10" xfId="13992" xr:uid="{00000000-0005-0000-0000-00007E360000}"/>
    <cellStyle name="Normal 2 2 2 2 4 2 2 12 3 2" xfId="13993" xr:uid="{00000000-0005-0000-0000-00007F360000}"/>
    <cellStyle name="Normal 2 2 2 2 4 2 2 12 3 3" xfId="13994" xr:uid="{00000000-0005-0000-0000-000080360000}"/>
    <cellStyle name="Normal 2 2 2 2 4 2 2 12 3 4" xfId="13995" xr:uid="{00000000-0005-0000-0000-000081360000}"/>
    <cellStyle name="Normal 2 2 2 2 4 2 2 12 3 5" xfId="13996" xr:uid="{00000000-0005-0000-0000-000082360000}"/>
    <cellStyle name="Normal 2 2 2 2 4 2 2 12 3 6" xfId="13997" xr:uid="{00000000-0005-0000-0000-000083360000}"/>
    <cellStyle name="Normal 2 2 2 2 4 2 2 12 3 7" xfId="13998" xr:uid="{00000000-0005-0000-0000-000084360000}"/>
    <cellStyle name="Normal 2 2 2 2 4 2 2 12 3 8" xfId="13999" xr:uid="{00000000-0005-0000-0000-000085360000}"/>
    <cellStyle name="Normal 2 2 2 2 4 2 2 12 3 9" xfId="14000" xr:uid="{00000000-0005-0000-0000-000086360000}"/>
    <cellStyle name="Normal 2 2 2 2 4 2 2 12 4" xfId="14001" xr:uid="{00000000-0005-0000-0000-000087360000}"/>
    <cellStyle name="Normal 2 2 2 2 4 2 2 12 4 10" xfId="14002" xr:uid="{00000000-0005-0000-0000-000088360000}"/>
    <cellStyle name="Normal 2 2 2 2 4 2 2 12 4 2" xfId="14003" xr:uid="{00000000-0005-0000-0000-000089360000}"/>
    <cellStyle name="Normal 2 2 2 2 4 2 2 12 4 3" xfId="14004" xr:uid="{00000000-0005-0000-0000-00008A360000}"/>
    <cellStyle name="Normal 2 2 2 2 4 2 2 12 4 4" xfId="14005" xr:uid="{00000000-0005-0000-0000-00008B360000}"/>
    <cellStyle name="Normal 2 2 2 2 4 2 2 12 4 5" xfId="14006" xr:uid="{00000000-0005-0000-0000-00008C360000}"/>
    <cellStyle name="Normal 2 2 2 2 4 2 2 12 4 6" xfId="14007" xr:uid="{00000000-0005-0000-0000-00008D360000}"/>
    <cellStyle name="Normal 2 2 2 2 4 2 2 12 4 7" xfId="14008" xr:uid="{00000000-0005-0000-0000-00008E360000}"/>
    <cellStyle name="Normal 2 2 2 2 4 2 2 12 4 8" xfId="14009" xr:uid="{00000000-0005-0000-0000-00008F360000}"/>
    <cellStyle name="Normal 2 2 2 2 4 2 2 12 4 9" xfId="14010" xr:uid="{00000000-0005-0000-0000-000090360000}"/>
    <cellStyle name="Normal 2 2 2 2 4 2 2 12 5" xfId="14011" xr:uid="{00000000-0005-0000-0000-000091360000}"/>
    <cellStyle name="Normal 2 2 2 2 4 2 2 12 5 10" xfId="14012" xr:uid="{00000000-0005-0000-0000-000092360000}"/>
    <cellStyle name="Normal 2 2 2 2 4 2 2 12 5 2" xfId="14013" xr:uid="{00000000-0005-0000-0000-000093360000}"/>
    <cellStyle name="Normal 2 2 2 2 4 2 2 12 5 3" xfId="14014" xr:uid="{00000000-0005-0000-0000-000094360000}"/>
    <cellStyle name="Normal 2 2 2 2 4 2 2 12 5 4" xfId="14015" xr:uid="{00000000-0005-0000-0000-000095360000}"/>
    <cellStyle name="Normal 2 2 2 2 4 2 2 12 5 5" xfId="14016" xr:uid="{00000000-0005-0000-0000-000096360000}"/>
    <cellStyle name="Normal 2 2 2 2 4 2 2 12 5 6" xfId="14017" xr:uid="{00000000-0005-0000-0000-000097360000}"/>
    <cellStyle name="Normal 2 2 2 2 4 2 2 12 5 7" xfId="14018" xr:uid="{00000000-0005-0000-0000-000098360000}"/>
    <cellStyle name="Normal 2 2 2 2 4 2 2 12 5 8" xfId="14019" xr:uid="{00000000-0005-0000-0000-000099360000}"/>
    <cellStyle name="Normal 2 2 2 2 4 2 2 12 5 9" xfId="14020" xr:uid="{00000000-0005-0000-0000-00009A360000}"/>
    <cellStyle name="Normal 2 2 2 2 4 2 2 12 6" xfId="14021" xr:uid="{00000000-0005-0000-0000-00009B360000}"/>
    <cellStyle name="Normal 2 2 2 2 4 2 2 12 7" xfId="14022" xr:uid="{00000000-0005-0000-0000-00009C360000}"/>
    <cellStyle name="Normal 2 2 2 2 4 2 2 12 8" xfId="14023" xr:uid="{00000000-0005-0000-0000-00009D360000}"/>
    <cellStyle name="Normal 2 2 2 2 4 2 2 12 9" xfId="14024" xr:uid="{00000000-0005-0000-0000-00009E360000}"/>
    <cellStyle name="Normal 2 2 2 2 4 2 2 13" xfId="14025" xr:uid="{00000000-0005-0000-0000-00009F360000}"/>
    <cellStyle name="Normal 2 2 2 2 4 2 2 13 10" xfId="14026" xr:uid="{00000000-0005-0000-0000-0000A0360000}"/>
    <cellStyle name="Normal 2 2 2 2 4 2 2 13 11" xfId="14027" xr:uid="{00000000-0005-0000-0000-0000A1360000}"/>
    <cellStyle name="Normal 2 2 2 2 4 2 2 13 12" xfId="14028" xr:uid="{00000000-0005-0000-0000-0000A2360000}"/>
    <cellStyle name="Normal 2 2 2 2 4 2 2 13 13" xfId="14029" xr:uid="{00000000-0005-0000-0000-0000A3360000}"/>
    <cellStyle name="Normal 2 2 2 2 4 2 2 13 14" xfId="14030" xr:uid="{00000000-0005-0000-0000-0000A4360000}"/>
    <cellStyle name="Normal 2 2 2 2 4 2 2 13 2" xfId="14031" xr:uid="{00000000-0005-0000-0000-0000A5360000}"/>
    <cellStyle name="Normal 2 2 2 2 4 2 2 13 2 10" xfId="14032" xr:uid="{00000000-0005-0000-0000-0000A6360000}"/>
    <cellStyle name="Normal 2 2 2 2 4 2 2 13 2 2" xfId="14033" xr:uid="{00000000-0005-0000-0000-0000A7360000}"/>
    <cellStyle name="Normal 2 2 2 2 4 2 2 13 2 3" xfId="14034" xr:uid="{00000000-0005-0000-0000-0000A8360000}"/>
    <cellStyle name="Normal 2 2 2 2 4 2 2 13 2 4" xfId="14035" xr:uid="{00000000-0005-0000-0000-0000A9360000}"/>
    <cellStyle name="Normal 2 2 2 2 4 2 2 13 2 5" xfId="14036" xr:uid="{00000000-0005-0000-0000-0000AA360000}"/>
    <cellStyle name="Normal 2 2 2 2 4 2 2 13 2 6" xfId="14037" xr:uid="{00000000-0005-0000-0000-0000AB360000}"/>
    <cellStyle name="Normal 2 2 2 2 4 2 2 13 2 7" xfId="14038" xr:uid="{00000000-0005-0000-0000-0000AC360000}"/>
    <cellStyle name="Normal 2 2 2 2 4 2 2 13 2 8" xfId="14039" xr:uid="{00000000-0005-0000-0000-0000AD360000}"/>
    <cellStyle name="Normal 2 2 2 2 4 2 2 13 2 9" xfId="14040" xr:uid="{00000000-0005-0000-0000-0000AE360000}"/>
    <cellStyle name="Normal 2 2 2 2 4 2 2 13 3" xfId="14041" xr:uid="{00000000-0005-0000-0000-0000AF360000}"/>
    <cellStyle name="Normal 2 2 2 2 4 2 2 13 3 10" xfId="14042" xr:uid="{00000000-0005-0000-0000-0000B0360000}"/>
    <cellStyle name="Normal 2 2 2 2 4 2 2 13 3 2" xfId="14043" xr:uid="{00000000-0005-0000-0000-0000B1360000}"/>
    <cellStyle name="Normal 2 2 2 2 4 2 2 13 3 3" xfId="14044" xr:uid="{00000000-0005-0000-0000-0000B2360000}"/>
    <cellStyle name="Normal 2 2 2 2 4 2 2 13 3 4" xfId="14045" xr:uid="{00000000-0005-0000-0000-0000B3360000}"/>
    <cellStyle name="Normal 2 2 2 2 4 2 2 13 3 5" xfId="14046" xr:uid="{00000000-0005-0000-0000-0000B4360000}"/>
    <cellStyle name="Normal 2 2 2 2 4 2 2 13 3 6" xfId="14047" xr:uid="{00000000-0005-0000-0000-0000B5360000}"/>
    <cellStyle name="Normal 2 2 2 2 4 2 2 13 3 7" xfId="14048" xr:uid="{00000000-0005-0000-0000-0000B6360000}"/>
    <cellStyle name="Normal 2 2 2 2 4 2 2 13 3 8" xfId="14049" xr:uid="{00000000-0005-0000-0000-0000B7360000}"/>
    <cellStyle name="Normal 2 2 2 2 4 2 2 13 3 9" xfId="14050" xr:uid="{00000000-0005-0000-0000-0000B8360000}"/>
    <cellStyle name="Normal 2 2 2 2 4 2 2 13 4" xfId="14051" xr:uid="{00000000-0005-0000-0000-0000B9360000}"/>
    <cellStyle name="Normal 2 2 2 2 4 2 2 13 4 10" xfId="14052" xr:uid="{00000000-0005-0000-0000-0000BA360000}"/>
    <cellStyle name="Normal 2 2 2 2 4 2 2 13 4 2" xfId="14053" xr:uid="{00000000-0005-0000-0000-0000BB360000}"/>
    <cellStyle name="Normal 2 2 2 2 4 2 2 13 4 3" xfId="14054" xr:uid="{00000000-0005-0000-0000-0000BC360000}"/>
    <cellStyle name="Normal 2 2 2 2 4 2 2 13 4 4" xfId="14055" xr:uid="{00000000-0005-0000-0000-0000BD360000}"/>
    <cellStyle name="Normal 2 2 2 2 4 2 2 13 4 5" xfId="14056" xr:uid="{00000000-0005-0000-0000-0000BE360000}"/>
    <cellStyle name="Normal 2 2 2 2 4 2 2 13 4 6" xfId="14057" xr:uid="{00000000-0005-0000-0000-0000BF360000}"/>
    <cellStyle name="Normal 2 2 2 2 4 2 2 13 4 7" xfId="14058" xr:uid="{00000000-0005-0000-0000-0000C0360000}"/>
    <cellStyle name="Normal 2 2 2 2 4 2 2 13 4 8" xfId="14059" xr:uid="{00000000-0005-0000-0000-0000C1360000}"/>
    <cellStyle name="Normal 2 2 2 2 4 2 2 13 4 9" xfId="14060" xr:uid="{00000000-0005-0000-0000-0000C2360000}"/>
    <cellStyle name="Normal 2 2 2 2 4 2 2 13 5" xfId="14061" xr:uid="{00000000-0005-0000-0000-0000C3360000}"/>
    <cellStyle name="Normal 2 2 2 2 4 2 2 13 5 10" xfId="14062" xr:uid="{00000000-0005-0000-0000-0000C4360000}"/>
    <cellStyle name="Normal 2 2 2 2 4 2 2 13 5 2" xfId="14063" xr:uid="{00000000-0005-0000-0000-0000C5360000}"/>
    <cellStyle name="Normal 2 2 2 2 4 2 2 13 5 3" xfId="14064" xr:uid="{00000000-0005-0000-0000-0000C6360000}"/>
    <cellStyle name="Normal 2 2 2 2 4 2 2 13 5 4" xfId="14065" xr:uid="{00000000-0005-0000-0000-0000C7360000}"/>
    <cellStyle name="Normal 2 2 2 2 4 2 2 13 5 5" xfId="14066" xr:uid="{00000000-0005-0000-0000-0000C8360000}"/>
    <cellStyle name="Normal 2 2 2 2 4 2 2 13 5 6" xfId="14067" xr:uid="{00000000-0005-0000-0000-0000C9360000}"/>
    <cellStyle name="Normal 2 2 2 2 4 2 2 13 5 7" xfId="14068" xr:uid="{00000000-0005-0000-0000-0000CA360000}"/>
    <cellStyle name="Normal 2 2 2 2 4 2 2 13 5 8" xfId="14069" xr:uid="{00000000-0005-0000-0000-0000CB360000}"/>
    <cellStyle name="Normal 2 2 2 2 4 2 2 13 5 9" xfId="14070" xr:uid="{00000000-0005-0000-0000-0000CC360000}"/>
    <cellStyle name="Normal 2 2 2 2 4 2 2 13 6" xfId="14071" xr:uid="{00000000-0005-0000-0000-0000CD360000}"/>
    <cellStyle name="Normal 2 2 2 2 4 2 2 13 7" xfId="14072" xr:uid="{00000000-0005-0000-0000-0000CE360000}"/>
    <cellStyle name="Normal 2 2 2 2 4 2 2 13 8" xfId="14073" xr:uid="{00000000-0005-0000-0000-0000CF360000}"/>
    <cellStyle name="Normal 2 2 2 2 4 2 2 13 9" xfId="14074" xr:uid="{00000000-0005-0000-0000-0000D0360000}"/>
    <cellStyle name="Normal 2 2 2 2 4 2 2 14" xfId="14075" xr:uid="{00000000-0005-0000-0000-0000D1360000}"/>
    <cellStyle name="Normal 2 2 2 2 4 2 2 14 10" xfId="14076" xr:uid="{00000000-0005-0000-0000-0000D2360000}"/>
    <cellStyle name="Normal 2 2 2 2 4 2 2 14 11" xfId="14077" xr:uid="{00000000-0005-0000-0000-0000D3360000}"/>
    <cellStyle name="Normal 2 2 2 2 4 2 2 14 12" xfId="14078" xr:uid="{00000000-0005-0000-0000-0000D4360000}"/>
    <cellStyle name="Normal 2 2 2 2 4 2 2 14 13" xfId="14079" xr:uid="{00000000-0005-0000-0000-0000D5360000}"/>
    <cellStyle name="Normal 2 2 2 2 4 2 2 14 14" xfId="14080" xr:uid="{00000000-0005-0000-0000-0000D6360000}"/>
    <cellStyle name="Normal 2 2 2 2 4 2 2 14 2" xfId="14081" xr:uid="{00000000-0005-0000-0000-0000D7360000}"/>
    <cellStyle name="Normal 2 2 2 2 4 2 2 14 2 10" xfId="14082" xr:uid="{00000000-0005-0000-0000-0000D8360000}"/>
    <cellStyle name="Normal 2 2 2 2 4 2 2 14 2 2" xfId="14083" xr:uid="{00000000-0005-0000-0000-0000D9360000}"/>
    <cellStyle name="Normal 2 2 2 2 4 2 2 14 2 3" xfId="14084" xr:uid="{00000000-0005-0000-0000-0000DA360000}"/>
    <cellStyle name="Normal 2 2 2 2 4 2 2 14 2 4" xfId="14085" xr:uid="{00000000-0005-0000-0000-0000DB360000}"/>
    <cellStyle name="Normal 2 2 2 2 4 2 2 14 2 5" xfId="14086" xr:uid="{00000000-0005-0000-0000-0000DC360000}"/>
    <cellStyle name="Normal 2 2 2 2 4 2 2 14 2 6" xfId="14087" xr:uid="{00000000-0005-0000-0000-0000DD360000}"/>
    <cellStyle name="Normal 2 2 2 2 4 2 2 14 2 7" xfId="14088" xr:uid="{00000000-0005-0000-0000-0000DE360000}"/>
    <cellStyle name="Normal 2 2 2 2 4 2 2 14 2 8" xfId="14089" xr:uid="{00000000-0005-0000-0000-0000DF360000}"/>
    <cellStyle name="Normal 2 2 2 2 4 2 2 14 2 9" xfId="14090" xr:uid="{00000000-0005-0000-0000-0000E0360000}"/>
    <cellStyle name="Normal 2 2 2 2 4 2 2 14 3" xfId="14091" xr:uid="{00000000-0005-0000-0000-0000E1360000}"/>
    <cellStyle name="Normal 2 2 2 2 4 2 2 14 3 10" xfId="14092" xr:uid="{00000000-0005-0000-0000-0000E2360000}"/>
    <cellStyle name="Normal 2 2 2 2 4 2 2 14 3 2" xfId="14093" xr:uid="{00000000-0005-0000-0000-0000E3360000}"/>
    <cellStyle name="Normal 2 2 2 2 4 2 2 14 3 3" xfId="14094" xr:uid="{00000000-0005-0000-0000-0000E4360000}"/>
    <cellStyle name="Normal 2 2 2 2 4 2 2 14 3 4" xfId="14095" xr:uid="{00000000-0005-0000-0000-0000E5360000}"/>
    <cellStyle name="Normal 2 2 2 2 4 2 2 14 3 5" xfId="14096" xr:uid="{00000000-0005-0000-0000-0000E6360000}"/>
    <cellStyle name="Normal 2 2 2 2 4 2 2 14 3 6" xfId="14097" xr:uid="{00000000-0005-0000-0000-0000E7360000}"/>
    <cellStyle name="Normal 2 2 2 2 4 2 2 14 3 7" xfId="14098" xr:uid="{00000000-0005-0000-0000-0000E8360000}"/>
    <cellStyle name="Normal 2 2 2 2 4 2 2 14 3 8" xfId="14099" xr:uid="{00000000-0005-0000-0000-0000E9360000}"/>
    <cellStyle name="Normal 2 2 2 2 4 2 2 14 3 9" xfId="14100" xr:uid="{00000000-0005-0000-0000-0000EA360000}"/>
    <cellStyle name="Normal 2 2 2 2 4 2 2 14 4" xfId="14101" xr:uid="{00000000-0005-0000-0000-0000EB360000}"/>
    <cellStyle name="Normal 2 2 2 2 4 2 2 14 4 10" xfId="14102" xr:uid="{00000000-0005-0000-0000-0000EC360000}"/>
    <cellStyle name="Normal 2 2 2 2 4 2 2 14 4 2" xfId="14103" xr:uid="{00000000-0005-0000-0000-0000ED360000}"/>
    <cellStyle name="Normal 2 2 2 2 4 2 2 14 4 3" xfId="14104" xr:uid="{00000000-0005-0000-0000-0000EE360000}"/>
    <cellStyle name="Normal 2 2 2 2 4 2 2 14 4 4" xfId="14105" xr:uid="{00000000-0005-0000-0000-0000EF360000}"/>
    <cellStyle name="Normal 2 2 2 2 4 2 2 14 4 5" xfId="14106" xr:uid="{00000000-0005-0000-0000-0000F0360000}"/>
    <cellStyle name="Normal 2 2 2 2 4 2 2 14 4 6" xfId="14107" xr:uid="{00000000-0005-0000-0000-0000F1360000}"/>
    <cellStyle name="Normal 2 2 2 2 4 2 2 14 4 7" xfId="14108" xr:uid="{00000000-0005-0000-0000-0000F2360000}"/>
    <cellStyle name="Normal 2 2 2 2 4 2 2 14 4 8" xfId="14109" xr:uid="{00000000-0005-0000-0000-0000F3360000}"/>
    <cellStyle name="Normal 2 2 2 2 4 2 2 14 4 9" xfId="14110" xr:uid="{00000000-0005-0000-0000-0000F4360000}"/>
    <cellStyle name="Normal 2 2 2 2 4 2 2 14 5" xfId="14111" xr:uid="{00000000-0005-0000-0000-0000F5360000}"/>
    <cellStyle name="Normal 2 2 2 2 4 2 2 14 5 10" xfId="14112" xr:uid="{00000000-0005-0000-0000-0000F6360000}"/>
    <cellStyle name="Normal 2 2 2 2 4 2 2 14 5 2" xfId="14113" xr:uid="{00000000-0005-0000-0000-0000F7360000}"/>
    <cellStyle name="Normal 2 2 2 2 4 2 2 14 5 3" xfId="14114" xr:uid="{00000000-0005-0000-0000-0000F8360000}"/>
    <cellStyle name="Normal 2 2 2 2 4 2 2 14 5 4" xfId="14115" xr:uid="{00000000-0005-0000-0000-0000F9360000}"/>
    <cellStyle name="Normal 2 2 2 2 4 2 2 14 5 5" xfId="14116" xr:uid="{00000000-0005-0000-0000-0000FA360000}"/>
    <cellStyle name="Normal 2 2 2 2 4 2 2 14 5 6" xfId="14117" xr:uid="{00000000-0005-0000-0000-0000FB360000}"/>
    <cellStyle name="Normal 2 2 2 2 4 2 2 14 5 7" xfId="14118" xr:uid="{00000000-0005-0000-0000-0000FC360000}"/>
    <cellStyle name="Normal 2 2 2 2 4 2 2 14 5 8" xfId="14119" xr:uid="{00000000-0005-0000-0000-0000FD360000}"/>
    <cellStyle name="Normal 2 2 2 2 4 2 2 14 5 9" xfId="14120" xr:uid="{00000000-0005-0000-0000-0000FE360000}"/>
    <cellStyle name="Normal 2 2 2 2 4 2 2 14 6" xfId="14121" xr:uid="{00000000-0005-0000-0000-0000FF360000}"/>
    <cellStyle name="Normal 2 2 2 2 4 2 2 14 7" xfId="14122" xr:uid="{00000000-0005-0000-0000-000000370000}"/>
    <cellStyle name="Normal 2 2 2 2 4 2 2 14 8" xfId="14123" xr:uid="{00000000-0005-0000-0000-000001370000}"/>
    <cellStyle name="Normal 2 2 2 2 4 2 2 14 9" xfId="14124" xr:uid="{00000000-0005-0000-0000-000002370000}"/>
    <cellStyle name="Normal 2 2 2 2 4 2 2 15" xfId="14125" xr:uid="{00000000-0005-0000-0000-000003370000}"/>
    <cellStyle name="Normal 2 2 2 2 4 2 2 15 10" xfId="14126" xr:uid="{00000000-0005-0000-0000-000004370000}"/>
    <cellStyle name="Normal 2 2 2 2 4 2 2 15 11" xfId="14127" xr:uid="{00000000-0005-0000-0000-000005370000}"/>
    <cellStyle name="Normal 2 2 2 2 4 2 2 15 12" xfId="14128" xr:uid="{00000000-0005-0000-0000-000006370000}"/>
    <cellStyle name="Normal 2 2 2 2 4 2 2 15 13" xfId="14129" xr:uid="{00000000-0005-0000-0000-000007370000}"/>
    <cellStyle name="Normal 2 2 2 2 4 2 2 15 14" xfId="14130" xr:uid="{00000000-0005-0000-0000-000008370000}"/>
    <cellStyle name="Normal 2 2 2 2 4 2 2 15 2" xfId="14131" xr:uid="{00000000-0005-0000-0000-000009370000}"/>
    <cellStyle name="Normal 2 2 2 2 4 2 2 15 2 10" xfId="14132" xr:uid="{00000000-0005-0000-0000-00000A370000}"/>
    <cellStyle name="Normal 2 2 2 2 4 2 2 15 2 2" xfId="14133" xr:uid="{00000000-0005-0000-0000-00000B370000}"/>
    <cellStyle name="Normal 2 2 2 2 4 2 2 15 2 3" xfId="14134" xr:uid="{00000000-0005-0000-0000-00000C370000}"/>
    <cellStyle name="Normal 2 2 2 2 4 2 2 15 2 4" xfId="14135" xr:uid="{00000000-0005-0000-0000-00000D370000}"/>
    <cellStyle name="Normal 2 2 2 2 4 2 2 15 2 5" xfId="14136" xr:uid="{00000000-0005-0000-0000-00000E370000}"/>
    <cellStyle name="Normal 2 2 2 2 4 2 2 15 2 6" xfId="14137" xr:uid="{00000000-0005-0000-0000-00000F370000}"/>
    <cellStyle name="Normal 2 2 2 2 4 2 2 15 2 7" xfId="14138" xr:uid="{00000000-0005-0000-0000-000010370000}"/>
    <cellStyle name="Normal 2 2 2 2 4 2 2 15 2 8" xfId="14139" xr:uid="{00000000-0005-0000-0000-000011370000}"/>
    <cellStyle name="Normal 2 2 2 2 4 2 2 15 2 9" xfId="14140" xr:uid="{00000000-0005-0000-0000-000012370000}"/>
    <cellStyle name="Normal 2 2 2 2 4 2 2 15 3" xfId="14141" xr:uid="{00000000-0005-0000-0000-000013370000}"/>
    <cellStyle name="Normal 2 2 2 2 4 2 2 15 3 10" xfId="14142" xr:uid="{00000000-0005-0000-0000-000014370000}"/>
    <cellStyle name="Normal 2 2 2 2 4 2 2 15 3 2" xfId="14143" xr:uid="{00000000-0005-0000-0000-000015370000}"/>
    <cellStyle name="Normal 2 2 2 2 4 2 2 15 3 3" xfId="14144" xr:uid="{00000000-0005-0000-0000-000016370000}"/>
    <cellStyle name="Normal 2 2 2 2 4 2 2 15 3 4" xfId="14145" xr:uid="{00000000-0005-0000-0000-000017370000}"/>
    <cellStyle name="Normal 2 2 2 2 4 2 2 15 3 5" xfId="14146" xr:uid="{00000000-0005-0000-0000-000018370000}"/>
    <cellStyle name="Normal 2 2 2 2 4 2 2 15 3 6" xfId="14147" xr:uid="{00000000-0005-0000-0000-000019370000}"/>
    <cellStyle name="Normal 2 2 2 2 4 2 2 15 3 7" xfId="14148" xr:uid="{00000000-0005-0000-0000-00001A370000}"/>
    <cellStyle name="Normal 2 2 2 2 4 2 2 15 3 8" xfId="14149" xr:uid="{00000000-0005-0000-0000-00001B370000}"/>
    <cellStyle name="Normal 2 2 2 2 4 2 2 15 3 9" xfId="14150" xr:uid="{00000000-0005-0000-0000-00001C370000}"/>
    <cellStyle name="Normal 2 2 2 2 4 2 2 15 4" xfId="14151" xr:uid="{00000000-0005-0000-0000-00001D370000}"/>
    <cellStyle name="Normal 2 2 2 2 4 2 2 15 4 10" xfId="14152" xr:uid="{00000000-0005-0000-0000-00001E370000}"/>
    <cellStyle name="Normal 2 2 2 2 4 2 2 15 4 2" xfId="14153" xr:uid="{00000000-0005-0000-0000-00001F370000}"/>
    <cellStyle name="Normal 2 2 2 2 4 2 2 15 4 3" xfId="14154" xr:uid="{00000000-0005-0000-0000-000020370000}"/>
    <cellStyle name="Normal 2 2 2 2 4 2 2 15 4 4" xfId="14155" xr:uid="{00000000-0005-0000-0000-000021370000}"/>
    <cellStyle name="Normal 2 2 2 2 4 2 2 15 4 5" xfId="14156" xr:uid="{00000000-0005-0000-0000-000022370000}"/>
    <cellStyle name="Normal 2 2 2 2 4 2 2 15 4 6" xfId="14157" xr:uid="{00000000-0005-0000-0000-000023370000}"/>
    <cellStyle name="Normal 2 2 2 2 4 2 2 15 4 7" xfId="14158" xr:uid="{00000000-0005-0000-0000-000024370000}"/>
    <cellStyle name="Normal 2 2 2 2 4 2 2 15 4 8" xfId="14159" xr:uid="{00000000-0005-0000-0000-000025370000}"/>
    <cellStyle name="Normal 2 2 2 2 4 2 2 15 4 9" xfId="14160" xr:uid="{00000000-0005-0000-0000-000026370000}"/>
    <cellStyle name="Normal 2 2 2 2 4 2 2 15 5" xfId="14161" xr:uid="{00000000-0005-0000-0000-000027370000}"/>
    <cellStyle name="Normal 2 2 2 2 4 2 2 15 5 10" xfId="14162" xr:uid="{00000000-0005-0000-0000-000028370000}"/>
    <cellStyle name="Normal 2 2 2 2 4 2 2 15 5 2" xfId="14163" xr:uid="{00000000-0005-0000-0000-000029370000}"/>
    <cellStyle name="Normal 2 2 2 2 4 2 2 15 5 3" xfId="14164" xr:uid="{00000000-0005-0000-0000-00002A370000}"/>
    <cellStyle name="Normal 2 2 2 2 4 2 2 15 5 4" xfId="14165" xr:uid="{00000000-0005-0000-0000-00002B370000}"/>
    <cellStyle name="Normal 2 2 2 2 4 2 2 15 5 5" xfId="14166" xr:uid="{00000000-0005-0000-0000-00002C370000}"/>
    <cellStyle name="Normal 2 2 2 2 4 2 2 15 5 6" xfId="14167" xr:uid="{00000000-0005-0000-0000-00002D370000}"/>
    <cellStyle name="Normal 2 2 2 2 4 2 2 15 5 7" xfId="14168" xr:uid="{00000000-0005-0000-0000-00002E370000}"/>
    <cellStyle name="Normal 2 2 2 2 4 2 2 15 5 8" xfId="14169" xr:uid="{00000000-0005-0000-0000-00002F370000}"/>
    <cellStyle name="Normal 2 2 2 2 4 2 2 15 5 9" xfId="14170" xr:uid="{00000000-0005-0000-0000-000030370000}"/>
    <cellStyle name="Normal 2 2 2 2 4 2 2 15 6" xfId="14171" xr:uid="{00000000-0005-0000-0000-000031370000}"/>
    <cellStyle name="Normal 2 2 2 2 4 2 2 15 7" xfId="14172" xr:uid="{00000000-0005-0000-0000-000032370000}"/>
    <cellStyle name="Normal 2 2 2 2 4 2 2 15 8" xfId="14173" xr:uid="{00000000-0005-0000-0000-000033370000}"/>
    <cellStyle name="Normal 2 2 2 2 4 2 2 15 9" xfId="14174" xr:uid="{00000000-0005-0000-0000-000034370000}"/>
    <cellStyle name="Normal 2 2 2 2 4 2 2 16" xfId="14175" xr:uid="{00000000-0005-0000-0000-000035370000}"/>
    <cellStyle name="Normal 2 2 2 2 4 2 2 16 10" xfId="14176" xr:uid="{00000000-0005-0000-0000-000036370000}"/>
    <cellStyle name="Normal 2 2 2 2 4 2 2 16 11" xfId="14177" xr:uid="{00000000-0005-0000-0000-000037370000}"/>
    <cellStyle name="Normal 2 2 2 2 4 2 2 16 12" xfId="14178" xr:uid="{00000000-0005-0000-0000-000038370000}"/>
    <cellStyle name="Normal 2 2 2 2 4 2 2 16 13" xfId="14179" xr:uid="{00000000-0005-0000-0000-000039370000}"/>
    <cellStyle name="Normal 2 2 2 2 4 2 2 16 14" xfId="14180" xr:uid="{00000000-0005-0000-0000-00003A370000}"/>
    <cellStyle name="Normal 2 2 2 2 4 2 2 16 2" xfId="14181" xr:uid="{00000000-0005-0000-0000-00003B370000}"/>
    <cellStyle name="Normal 2 2 2 2 4 2 2 16 2 10" xfId="14182" xr:uid="{00000000-0005-0000-0000-00003C370000}"/>
    <cellStyle name="Normal 2 2 2 2 4 2 2 16 2 2" xfId="14183" xr:uid="{00000000-0005-0000-0000-00003D370000}"/>
    <cellStyle name="Normal 2 2 2 2 4 2 2 16 2 3" xfId="14184" xr:uid="{00000000-0005-0000-0000-00003E370000}"/>
    <cellStyle name="Normal 2 2 2 2 4 2 2 16 2 4" xfId="14185" xr:uid="{00000000-0005-0000-0000-00003F370000}"/>
    <cellStyle name="Normal 2 2 2 2 4 2 2 16 2 5" xfId="14186" xr:uid="{00000000-0005-0000-0000-000040370000}"/>
    <cellStyle name="Normal 2 2 2 2 4 2 2 16 2 6" xfId="14187" xr:uid="{00000000-0005-0000-0000-000041370000}"/>
    <cellStyle name="Normal 2 2 2 2 4 2 2 16 2 7" xfId="14188" xr:uid="{00000000-0005-0000-0000-000042370000}"/>
    <cellStyle name="Normal 2 2 2 2 4 2 2 16 2 8" xfId="14189" xr:uid="{00000000-0005-0000-0000-000043370000}"/>
    <cellStyle name="Normal 2 2 2 2 4 2 2 16 2 9" xfId="14190" xr:uid="{00000000-0005-0000-0000-000044370000}"/>
    <cellStyle name="Normal 2 2 2 2 4 2 2 16 3" xfId="14191" xr:uid="{00000000-0005-0000-0000-000045370000}"/>
    <cellStyle name="Normal 2 2 2 2 4 2 2 16 3 10" xfId="14192" xr:uid="{00000000-0005-0000-0000-000046370000}"/>
    <cellStyle name="Normal 2 2 2 2 4 2 2 16 3 2" xfId="14193" xr:uid="{00000000-0005-0000-0000-000047370000}"/>
    <cellStyle name="Normal 2 2 2 2 4 2 2 16 3 3" xfId="14194" xr:uid="{00000000-0005-0000-0000-000048370000}"/>
    <cellStyle name="Normal 2 2 2 2 4 2 2 16 3 4" xfId="14195" xr:uid="{00000000-0005-0000-0000-000049370000}"/>
    <cellStyle name="Normal 2 2 2 2 4 2 2 16 3 5" xfId="14196" xr:uid="{00000000-0005-0000-0000-00004A370000}"/>
    <cellStyle name="Normal 2 2 2 2 4 2 2 16 3 6" xfId="14197" xr:uid="{00000000-0005-0000-0000-00004B370000}"/>
    <cellStyle name="Normal 2 2 2 2 4 2 2 16 3 7" xfId="14198" xr:uid="{00000000-0005-0000-0000-00004C370000}"/>
    <cellStyle name="Normal 2 2 2 2 4 2 2 16 3 8" xfId="14199" xr:uid="{00000000-0005-0000-0000-00004D370000}"/>
    <cellStyle name="Normal 2 2 2 2 4 2 2 16 3 9" xfId="14200" xr:uid="{00000000-0005-0000-0000-00004E370000}"/>
    <cellStyle name="Normal 2 2 2 2 4 2 2 16 4" xfId="14201" xr:uid="{00000000-0005-0000-0000-00004F370000}"/>
    <cellStyle name="Normal 2 2 2 2 4 2 2 16 4 10" xfId="14202" xr:uid="{00000000-0005-0000-0000-000050370000}"/>
    <cellStyle name="Normal 2 2 2 2 4 2 2 16 4 2" xfId="14203" xr:uid="{00000000-0005-0000-0000-000051370000}"/>
    <cellStyle name="Normal 2 2 2 2 4 2 2 16 4 3" xfId="14204" xr:uid="{00000000-0005-0000-0000-000052370000}"/>
    <cellStyle name="Normal 2 2 2 2 4 2 2 16 4 4" xfId="14205" xr:uid="{00000000-0005-0000-0000-000053370000}"/>
    <cellStyle name="Normal 2 2 2 2 4 2 2 16 4 5" xfId="14206" xr:uid="{00000000-0005-0000-0000-000054370000}"/>
    <cellStyle name="Normal 2 2 2 2 4 2 2 16 4 6" xfId="14207" xr:uid="{00000000-0005-0000-0000-000055370000}"/>
    <cellStyle name="Normal 2 2 2 2 4 2 2 16 4 7" xfId="14208" xr:uid="{00000000-0005-0000-0000-000056370000}"/>
    <cellStyle name="Normal 2 2 2 2 4 2 2 16 4 8" xfId="14209" xr:uid="{00000000-0005-0000-0000-000057370000}"/>
    <cellStyle name="Normal 2 2 2 2 4 2 2 16 4 9" xfId="14210" xr:uid="{00000000-0005-0000-0000-000058370000}"/>
    <cellStyle name="Normal 2 2 2 2 4 2 2 16 5" xfId="14211" xr:uid="{00000000-0005-0000-0000-000059370000}"/>
    <cellStyle name="Normal 2 2 2 2 4 2 2 16 5 10" xfId="14212" xr:uid="{00000000-0005-0000-0000-00005A370000}"/>
    <cellStyle name="Normal 2 2 2 2 4 2 2 16 5 2" xfId="14213" xr:uid="{00000000-0005-0000-0000-00005B370000}"/>
    <cellStyle name="Normal 2 2 2 2 4 2 2 16 5 3" xfId="14214" xr:uid="{00000000-0005-0000-0000-00005C370000}"/>
    <cellStyle name="Normal 2 2 2 2 4 2 2 16 5 4" xfId="14215" xr:uid="{00000000-0005-0000-0000-00005D370000}"/>
    <cellStyle name="Normal 2 2 2 2 4 2 2 16 5 5" xfId="14216" xr:uid="{00000000-0005-0000-0000-00005E370000}"/>
    <cellStyle name="Normal 2 2 2 2 4 2 2 16 5 6" xfId="14217" xr:uid="{00000000-0005-0000-0000-00005F370000}"/>
    <cellStyle name="Normal 2 2 2 2 4 2 2 16 5 7" xfId="14218" xr:uid="{00000000-0005-0000-0000-000060370000}"/>
    <cellStyle name="Normal 2 2 2 2 4 2 2 16 5 8" xfId="14219" xr:uid="{00000000-0005-0000-0000-000061370000}"/>
    <cellStyle name="Normal 2 2 2 2 4 2 2 16 5 9" xfId="14220" xr:uid="{00000000-0005-0000-0000-000062370000}"/>
    <cellStyle name="Normal 2 2 2 2 4 2 2 16 6" xfId="14221" xr:uid="{00000000-0005-0000-0000-000063370000}"/>
    <cellStyle name="Normal 2 2 2 2 4 2 2 16 7" xfId="14222" xr:uid="{00000000-0005-0000-0000-000064370000}"/>
    <cellStyle name="Normal 2 2 2 2 4 2 2 16 8" xfId="14223" xr:uid="{00000000-0005-0000-0000-000065370000}"/>
    <cellStyle name="Normal 2 2 2 2 4 2 2 16 9" xfId="14224" xr:uid="{00000000-0005-0000-0000-000066370000}"/>
    <cellStyle name="Normal 2 2 2 2 4 2 2 17" xfId="14225" xr:uid="{00000000-0005-0000-0000-000067370000}"/>
    <cellStyle name="Normal 2 2 2 2 4 2 2 17 10" xfId="14226" xr:uid="{00000000-0005-0000-0000-000068370000}"/>
    <cellStyle name="Normal 2 2 2 2 4 2 2 17 11" xfId="14227" xr:uid="{00000000-0005-0000-0000-000069370000}"/>
    <cellStyle name="Normal 2 2 2 2 4 2 2 17 12" xfId="14228" xr:uid="{00000000-0005-0000-0000-00006A370000}"/>
    <cellStyle name="Normal 2 2 2 2 4 2 2 17 13" xfId="14229" xr:uid="{00000000-0005-0000-0000-00006B370000}"/>
    <cellStyle name="Normal 2 2 2 2 4 2 2 17 14" xfId="14230" xr:uid="{00000000-0005-0000-0000-00006C370000}"/>
    <cellStyle name="Normal 2 2 2 2 4 2 2 17 2" xfId="14231" xr:uid="{00000000-0005-0000-0000-00006D370000}"/>
    <cellStyle name="Normal 2 2 2 2 4 2 2 17 2 10" xfId="14232" xr:uid="{00000000-0005-0000-0000-00006E370000}"/>
    <cellStyle name="Normal 2 2 2 2 4 2 2 17 2 2" xfId="14233" xr:uid="{00000000-0005-0000-0000-00006F370000}"/>
    <cellStyle name="Normal 2 2 2 2 4 2 2 17 2 3" xfId="14234" xr:uid="{00000000-0005-0000-0000-000070370000}"/>
    <cellStyle name="Normal 2 2 2 2 4 2 2 17 2 4" xfId="14235" xr:uid="{00000000-0005-0000-0000-000071370000}"/>
    <cellStyle name="Normal 2 2 2 2 4 2 2 17 2 5" xfId="14236" xr:uid="{00000000-0005-0000-0000-000072370000}"/>
    <cellStyle name="Normal 2 2 2 2 4 2 2 17 2 6" xfId="14237" xr:uid="{00000000-0005-0000-0000-000073370000}"/>
    <cellStyle name="Normal 2 2 2 2 4 2 2 17 2 7" xfId="14238" xr:uid="{00000000-0005-0000-0000-000074370000}"/>
    <cellStyle name="Normal 2 2 2 2 4 2 2 17 2 8" xfId="14239" xr:uid="{00000000-0005-0000-0000-000075370000}"/>
    <cellStyle name="Normal 2 2 2 2 4 2 2 17 2 9" xfId="14240" xr:uid="{00000000-0005-0000-0000-000076370000}"/>
    <cellStyle name="Normal 2 2 2 2 4 2 2 17 3" xfId="14241" xr:uid="{00000000-0005-0000-0000-000077370000}"/>
    <cellStyle name="Normal 2 2 2 2 4 2 2 17 3 10" xfId="14242" xr:uid="{00000000-0005-0000-0000-000078370000}"/>
    <cellStyle name="Normal 2 2 2 2 4 2 2 17 3 2" xfId="14243" xr:uid="{00000000-0005-0000-0000-000079370000}"/>
    <cellStyle name="Normal 2 2 2 2 4 2 2 17 3 3" xfId="14244" xr:uid="{00000000-0005-0000-0000-00007A370000}"/>
    <cellStyle name="Normal 2 2 2 2 4 2 2 17 3 4" xfId="14245" xr:uid="{00000000-0005-0000-0000-00007B370000}"/>
    <cellStyle name="Normal 2 2 2 2 4 2 2 17 3 5" xfId="14246" xr:uid="{00000000-0005-0000-0000-00007C370000}"/>
    <cellStyle name="Normal 2 2 2 2 4 2 2 17 3 6" xfId="14247" xr:uid="{00000000-0005-0000-0000-00007D370000}"/>
    <cellStyle name="Normal 2 2 2 2 4 2 2 17 3 7" xfId="14248" xr:uid="{00000000-0005-0000-0000-00007E370000}"/>
    <cellStyle name="Normal 2 2 2 2 4 2 2 17 3 8" xfId="14249" xr:uid="{00000000-0005-0000-0000-00007F370000}"/>
    <cellStyle name="Normal 2 2 2 2 4 2 2 17 3 9" xfId="14250" xr:uid="{00000000-0005-0000-0000-000080370000}"/>
    <cellStyle name="Normal 2 2 2 2 4 2 2 17 4" xfId="14251" xr:uid="{00000000-0005-0000-0000-000081370000}"/>
    <cellStyle name="Normal 2 2 2 2 4 2 2 17 4 10" xfId="14252" xr:uid="{00000000-0005-0000-0000-000082370000}"/>
    <cellStyle name="Normal 2 2 2 2 4 2 2 17 4 2" xfId="14253" xr:uid="{00000000-0005-0000-0000-000083370000}"/>
    <cellStyle name="Normal 2 2 2 2 4 2 2 17 4 3" xfId="14254" xr:uid="{00000000-0005-0000-0000-000084370000}"/>
    <cellStyle name="Normal 2 2 2 2 4 2 2 17 4 4" xfId="14255" xr:uid="{00000000-0005-0000-0000-000085370000}"/>
    <cellStyle name="Normal 2 2 2 2 4 2 2 17 4 5" xfId="14256" xr:uid="{00000000-0005-0000-0000-000086370000}"/>
    <cellStyle name="Normal 2 2 2 2 4 2 2 17 4 6" xfId="14257" xr:uid="{00000000-0005-0000-0000-000087370000}"/>
    <cellStyle name="Normal 2 2 2 2 4 2 2 17 4 7" xfId="14258" xr:uid="{00000000-0005-0000-0000-000088370000}"/>
    <cellStyle name="Normal 2 2 2 2 4 2 2 17 4 8" xfId="14259" xr:uid="{00000000-0005-0000-0000-000089370000}"/>
    <cellStyle name="Normal 2 2 2 2 4 2 2 17 4 9" xfId="14260" xr:uid="{00000000-0005-0000-0000-00008A370000}"/>
    <cellStyle name="Normal 2 2 2 2 4 2 2 17 5" xfId="14261" xr:uid="{00000000-0005-0000-0000-00008B370000}"/>
    <cellStyle name="Normal 2 2 2 2 4 2 2 17 5 10" xfId="14262" xr:uid="{00000000-0005-0000-0000-00008C370000}"/>
    <cellStyle name="Normal 2 2 2 2 4 2 2 17 5 2" xfId="14263" xr:uid="{00000000-0005-0000-0000-00008D370000}"/>
    <cellStyle name="Normal 2 2 2 2 4 2 2 17 5 3" xfId="14264" xr:uid="{00000000-0005-0000-0000-00008E370000}"/>
    <cellStyle name="Normal 2 2 2 2 4 2 2 17 5 4" xfId="14265" xr:uid="{00000000-0005-0000-0000-00008F370000}"/>
    <cellStyle name="Normal 2 2 2 2 4 2 2 17 5 5" xfId="14266" xr:uid="{00000000-0005-0000-0000-000090370000}"/>
    <cellStyle name="Normal 2 2 2 2 4 2 2 17 5 6" xfId="14267" xr:uid="{00000000-0005-0000-0000-000091370000}"/>
    <cellStyle name="Normal 2 2 2 2 4 2 2 17 5 7" xfId="14268" xr:uid="{00000000-0005-0000-0000-000092370000}"/>
    <cellStyle name="Normal 2 2 2 2 4 2 2 17 5 8" xfId="14269" xr:uid="{00000000-0005-0000-0000-000093370000}"/>
    <cellStyle name="Normal 2 2 2 2 4 2 2 17 5 9" xfId="14270" xr:uid="{00000000-0005-0000-0000-000094370000}"/>
    <cellStyle name="Normal 2 2 2 2 4 2 2 17 6" xfId="14271" xr:uid="{00000000-0005-0000-0000-000095370000}"/>
    <cellStyle name="Normal 2 2 2 2 4 2 2 17 7" xfId="14272" xr:uid="{00000000-0005-0000-0000-000096370000}"/>
    <cellStyle name="Normal 2 2 2 2 4 2 2 17 8" xfId="14273" xr:uid="{00000000-0005-0000-0000-000097370000}"/>
    <cellStyle name="Normal 2 2 2 2 4 2 2 17 9" xfId="14274" xr:uid="{00000000-0005-0000-0000-000098370000}"/>
    <cellStyle name="Normal 2 2 2 2 4 2 2 18" xfId="14275" xr:uid="{00000000-0005-0000-0000-000099370000}"/>
    <cellStyle name="Normal 2 2 2 2 4 2 2 18 10" xfId="14276" xr:uid="{00000000-0005-0000-0000-00009A370000}"/>
    <cellStyle name="Normal 2 2 2 2 4 2 2 18 11" xfId="14277" xr:uid="{00000000-0005-0000-0000-00009B370000}"/>
    <cellStyle name="Normal 2 2 2 2 4 2 2 18 12" xfId="14278" xr:uid="{00000000-0005-0000-0000-00009C370000}"/>
    <cellStyle name="Normal 2 2 2 2 4 2 2 18 13" xfId="14279" xr:uid="{00000000-0005-0000-0000-00009D370000}"/>
    <cellStyle name="Normal 2 2 2 2 4 2 2 18 14" xfId="14280" xr:uid="{00000000-0005-0000-0000-00009E370000}"/>
    <cellStyle name="Normal 2 2 2 2 4 2 2 18 2" xfId="14281" xr:uid="{00000000-0005-0000-0000-00009F370000}"/>
    <cellStyle name="Normal 2 2 2 2 4 2 2 18 2 10" xfId="14282" xr:uid="{00000000-0005-0000-0000-0000A0370000}"/>
    <cellStyle name="Normal 2 2 2 2 4 2 2 18 2 2" xfId="14283" xr:uid="{00000000-0005-0000-0000-0000A1370000}"/>
    <cellStyle name="Normal 2 2 2 2 4 2 2 18 2 3" xfId="14284" xr:uid="{00000000-0005-0000-0000-0000A2370000}"/>
    <cellStyle name="Normal 2 2 2 2 4 2 2 18 2 4" xfId="14285" xr:uid="{00000000-0005-0000-0000-0000A3370000}"/>
    <cellStyle name="Normal 2 2 2 2 4 2 2 18 2 5" xfId="14286" xr:uid="{00000000-0005-0000-0000-0000A4370000}"/>
    <cellStyle name="Normal 2 2 2 2 4 2 2 18 2 6" xfId="14287" xr:uid="{00000000-0005-0000-0000-0000A5370000}"/>
    <cellStyle name="Normal 2 2 2 2 4 2 2 18 2 7" xfId="14288" xr:uid="{00000000-0005-0000-0000-0000A6370000}"/>
    <cellStyle name="Normal 2 2 2 2 4 2 2 18 2 8" xfId="14289" xr:uid="{00000000-0005-0000-0000-0000A7370000}"/>
    <cellStyle name="Normal 2 2 2 2 4 2 2 18 2 9" xfId="14290" xr:uid="{00000000-0005-0000-0000-0000A8370000}"/>
    <cellStyle name="Normal 2 2 2 2 4 2 2 18 3" xfId="14291" xr:uid="{00000000-0005-0000-0000-0000A9370000}"/>
    <cellStyle name="Normal 2 2 2 2 4 2 2 18 3 10" xfId="14292" xr:uid="{00000000-0005-0000-0000-0000AA370000}"/>
    <cellStyle name="Normal 2 2 2 2 4 2 2 18 3 2" xfId="14293" xr:uid="{00000000-0005-0000-0000-0000AB370000}"/>
    <cellStyle name="Normal 2 2 2 2 4 2 2 18 3 3" xfId="14294" xr:uid="{00000000-0005-0000-0000-0000AC370000}"/>
    <cellStyle name="Normal 2 2 2 2 4 2 2 18 3 4" xfId="14295" xr:uid="{00000000-0005-0000-0000-0000AD370000}"/>
    <cellStyle name="Normal 2 2 2 2 4 2 2 18 3 5" xfId="14296" xr:uid="{00000000-0005-0000-0000-0000AE370000}"/>
    <cellStyle name="Normal 2 2 2 2 4 2 2 18 3 6" xfId="14297" xr:uid="{00000000-0005-0000-0000-0000AF370000}"/>
    <cellStyle name="Normal 2 2 2 2 4 2 2 18 3 7" xfId="14298" xr:uid="{00000000-0005-0000-0000-0000B0370000}"/>
    <cellStyle name="Normal 2 2 2 2 4 2 2 18 3 8" xfId="14299" xr:uid="{00000000-0005-0000-0000-0000B1370000}"/>
    <cellStyle name="Normal 2 2 2 2 4 2 2 18 3 9" xfId="14300" xr:uid="{00000000-0005-0000-0000-0000B2370000}"/>
    <cellStyle name="Normal 2 2 2 2 4 2 2 18 4" xfId="14301" xr:uid="{00000000-0005-0000-0000-0000B3370000}"/>
    <cellStyle name="Normal 2 2 2 2 4 2 2 18 4 10" xfId="14302" xr:uid="{00000000-0005-0000-0000-0000B4370000}"/>
    <cellStyle name="Normal 2 2 2 2 4 2 2 18 4 2" xfId="14303" xr:uid="{00000000-0005-0000-0000-0000B5370000}"/>
    <cellStyle name="Normal 2 2 2 2 4 2 2 18 4 3" xfId="14304" xr:uid="{00000000-0005-0000-0000-0000B6370000}"/>
    <cellStyle name="Normal 2 2 2 2 4 2 2 18 4 4" xfId="14305" xr:uid="{00000000-0005-0000-0000-0000B7370000}"/>
    <cellStyle name="Normal 2 2 2 2 4 2 2 18 4 5" xfId="14306" xr:uid="{00000000-0005-0000-0000-0000B8370000}"/>
    <cellStyle name="Normal 2 2 2 2 4 2 2 18 4 6" xfId="14307" xr:uid="{00000000-0005-0000-0000-0000B9370000}"/>
    <cellStyle name="Normal 2 2 2 2 4 2 2 18 4 7" xfId="14308" xr:uid="{00000000-0005-0000-0000-0000BA370000}"/>
    <cellStyle name="Normal 2 2 2 2 4 2 2 18 4 8" xfId="14309" xr:uid="{00000000-0005-0000-0000-0000BB370000}"/>
    <cellStyle name="Normal 2 2 2 2 4 2 2 18 4 9" xfId="14310" xr:uid="{00000000-0005-0000-0000-0000BC370000}"/>
    <cellStyle name="Normal 2 2 2 2 4 2 2 18 5" xfId="14311" xr:uid="{00000000-0005-0000-0000-0000BD370000}"/>
    <cellStyle name="Normal 2 2 2 2 4 2 2 18 5 10" xfId="14312" xr:uid="{00000000-0005-0000-0000-0000BE370000}"/>
    <cellStyle name="Normal 2 2 2 2 4 2 2 18 5 2" xfId="14313" xr:uid="{00000000-0005-0000-0000-0000BF370000}"/>
    <cellStyle name="Normal 2 2 2 2 4 2 2 18 5 3" xfId="14314" xr:uid="{00000000-0005-0000-0000-0000C0370000}"/>
    <cellStyle name="Normal 2 2 2 2 4 2 2 18 5 4" xfId="14315" xr:uid="{00000000-0005-0000-0000-0000C1370000}"/>
    <cellStyle name="Normal 2 2 2 2 4 2 2 18 5 5" xfId="14316" xr:uid="{00000000-0005-0000-0000-0000C2370000}"/>
    <cellStyle name="Normal 2 2 2 2 4 2 2 18 5 6" xfId="14317" xr:uid="{00000000-0005-0000-0000-0000C3370000}"/>
    <cellStyle name="Normal 2 2 2 2 4 2 2 18 5 7" xfId="14318" xr:uid="{00000000-0005-0000-0000-0000C4370000}"/>
    <cellStyle name="Normal 2 2 2 2 4 2 2 18 5 8" xfId="14319" xr:uid="{00000000-0005-0000-0000-0000C5370000}"/>
    <cellStyle name="Normal 2 2 2 2 4 2 2 18 5 9" xfId="14320" xr:uid="{00000000-0005-0000-0000-0000C6370000}"/>
    <cellStyle name="Normal 2 2 2 2 4 2 2 18 6" xfId="14321" xr:uid="{00000000-0005-0000-0000-0000C7370000}"/>
    <cellStyle name="Normal 2 2 2 2 4 2 2 18 7" xfId="14322" xr:uid="{00000000-0005-0000-0000-0000C8370000}"/>
    <cellStyle name="Normal 2 2 2 2 4 2 2 18 8" xfId="14323" xr:uid="{00000000-0005-0000-0000-0000C9370000}"/>
    <cellStyle name="Normal 2 2 2 2 4 2 2 18 9" xfId="14324" xr:uid="{00000000-0005-0000-0000-0000CA370000}"/>
    <cellStyle name="Normal 2 2 2 2 4 2 2 19" xfId="14325" xr:uid="{00000000-0005-0000-0000-0000CB370000}"/>
    <cellStyle name="Normal 2 2 2 2 4 2 2 19 10" xfId="14326" xr:uid="{00000000-0005-0000-0000-0000CC370000}"/>
    <cellStyle name="Normal 2 2 2 2 4 2 2 19 11" xfId="14327" xr:uid="{00000000-0005-0000-0000-0000CD370000}"/>
    <cellStyle name="Normal 2 2 2 2 4 2 2 19 12" xfId="14328" xr:uid="{00000000-0005-0000-0000-0000CE370000}"/>
    <cellStyle name="Normal 2 2 2 2 4 2 2 19 13" xfId="14329" xr:uid="{00000000-0005-0000-0000-0000CF370000}"/>
    <cellStyle name="Normal 2 2 2 2 4 2 2 19 14" xfId="14330" xr:uid="{00000000-0005-0000-0000-0000D0370000}"/>
    <cellStyle name="Normal 2 2 2 2 4 2 2 19 2" xfId="14331" xr:uid="{00000000-0005-0000-0000-0000D1370000}"/>
    <cellStyle name="Normal 2 2 2 2 4 2 2 19 2 10" xfId="14332" xr:uid="{00000000-0005-0000-0000-0000D2370000}"/>
    <cellStyle name="Normal 2 2 2 2 4 2 2 19 2 2" xfId="14333" xr:uid="{00000000-0005-0000-0000-0000D3370000}"/>
    <cellStyle name="Normal 2 2 2 2 4 2 2 19 2 3" xfId="14334" xr:uid="{00000000-0005-0000-0000-0000D4370000}"/>
    <cellStyle name="Normal 2 2 2 2 4 2 2 19 2 4" xfId="14335" xr:uid="{00000000-0005-0000-0000-0000D5370000}"/>
    <cellStyle name="Normal 2 2 2 2 4 2 2 19 2 5" xfId="14336" xr:uid="{00000000-0005-0000-0000-0000D6370000}"/>
    <cellStyle name="Normal 2 2 2 2 4 2 2 19 2 6" xfId="14337" xr:uid="{00000000-0005-0000-0000-0000D7370000}"/>
    <cellStyle name="Normal 2 2 2 2 4 2 2 19 2 7" xfId="14338" xr:uid="{00000000-0005-0000-0000-0000D8370000}"/>
    <cellStyle name="Normal 2 2 2 2 4 2 2 19 2 8" xfId="14339" xr:uid="{00000000-0005-0000-0000-0000D9370000}"/>
    <cellStyle name="Normal 2 2 2 2 4 2 2 19 2 9" xfId="14340" xr:uid="{00000000-0005-0000-0000-0000DA370000}"/>
    <cellStyle name="Normal 2 2 2 2 4 2 2 19 3" xfId="14341" xr:uid="{00000000-0005-0000-0000-0000DB370000}"/>
    <cellStyle name="Normal 2 2 2 2 4 2 2 19 3 10" xfId="14342" xr:uid="{00000000-0005-0000-0000-0000DC370000}"/>
    <cellStyle name="Normal 2 2 2 2 4 2 2 19 3 2" xfId="14343" xr:uid="{00000000-0005-0000-0000-0000DD370000}"/>
    <cellStyle name="Normal 2 2 2 2 4 2 2 19 3 3" xfId="14344" xr:uid="{00000000-0005-0000-0000-0000DE370000}"/>
    <cellStyle name="Normal 2 2 2 2 4 2 2 19 3 4" xfId="14345" xr:uid="{00000000-0005-0000-0000-0000DF370000}"/>
    <cellStyle name="Normal 2 2 2 2 4 2 2 19 3 5" xfId="14346" xr:uid="{00000000-0005-0000-0000-0000E0370000}"/>
    <cellStyle name="Normal 2 2 2 2 4 2 2 19 3 6" xfId="14347" xr:uid="{00000000-0005-0000-0000-0000E1370000}"/>
    <cellStyle name="Normal 2 2 2 2 4 2 2 19 3 7" xfId="14348" xr:uid="{00000000-0005-0000-0000-0000E2370000}"/>
    <cellStyle name="Normal 2 2 2 2 4 2 2 19 3 8" xfId="14349" xr:uid="{00000000-0005-0000-0000-0000E3370000}"/>
    <cellStyle name="Normal 2 2 2 2 4 2 2 19 3 9" xfId="14350" xr:uid="{00000000-0005-0000-0000-0000E4370000}"/>
    <cellStyle name="Normal 2 2 2 2 4 2 2 19 4" xfId="14351" xr:uid="{00000000-0005-0000-0000-0000E5370000}"/>
    <cellStyle name="Normal 2 2 2 2 4 2 2 19 4 10" xfId="14352" xr:uid="{00000000-0005-0000-0000-0000E6370000}"/>
    <cellStyle name="Normal 2 2 2 2 4 2 2 19 4 2" xfId="14353" xr:uid="{00000000-0005-0000-0000-0000E7370000}"/>
    <cellStyle name="Normal 2 2 2 2 4 2 2 19 4 3" xfId="14354" xr:uid="{00000000-0005-0000-0000-0000E8370000}"/>
    <cellStyle name="Normal 2 2 2 2 4 2 2 19 4 4" xfId="14355" xr:uid="{00000000-0005-0000-0000-0000E9370000}"/>
    <cellStyle name="Normal 2 2 2 2 4 2 2 19 4 5" xfId="14356" xr:uid="{00000000-0005-0000-0000-0000EA370000}"/>
    <cellStyle name="Normal 2 2 2 2 4 2 2 19 4 6" xfId="14357" xr:uid="{00000000-0005-0000-0000-0000EB370000}"/>
    <cellStyle name="Normal 2 2 2 2 4 2 2 19 4 7" xfId="14358" xr:uid="{00000000-0005-0000-0000-0000EC370000}"/>
    <cellStyle name="Normal 2 2 2 2 4 2 2 19 4 8" xfId="14359" xr:uid="{00000000-0005-0000-0000-0000ED370000}"/>
    <cellStyle name="Normal 2 2 2 2 4 2 2 19 4 9" xfId="14360" xr:uid="{00000000-0005-0000-0000-0000EE370000}"/>
    <cellStyle name="Normal 2 2 2 2 4 2 2 19 5" xfId="14361" xr:uid="{00000000-0005-0000-0000-0000EF370000}"/>
    <cellStyle name="Normal 2 2 2 2 4 2 2 19 5 10" xfId="14362" xr:uid="{00000000-0005-0000-0000-0000F0370000}"/>
    <cellStyle name="Normal 2 2 2 2 4 2 2 19 5 2" xfId="14363" xr:uid="{00000000-0005-0000-0000-0000F1370000}"/>
    <cellStyle name="Normal 2 2 2 2 4 2 2 19 5 3" xfId="14364" xr:uid="{00000000-0005-0000-0000-0000F2370000}"/>
    <cellStyle name="Normal 2 2 2 2 4 2 2 19 5 4" xfId="14365" xr:uid="{00000000-0005-0000-0000-0000F3370000}"/>
    <cellStyle name="Normal 2 2 2 2 4 2 2 19 5 5" xfId="14366" xr:uid="{00000000-0005-0000-0000-0000F4370000}"/>
    <cellStyle name="Normal 2 2 2 2 4 2 2 19 5 6" xfId="14367" xr:uid="{00000000-0005-0000-0000-0000F5370000}"/>
    <cellStyle name="Normal 2 2 2 2 4 2 2 19 5 7" xfId="14368" xr:uid="{00000000-0005-0000-0000-0000F6370000}"/>
    <cellStyle name="Normal 2 2 2 2 4 2 2 19 5 8" xfId="14369" xr:uid="{00000000-0005-0000-0000-0000F7370000}"/>
    <cellStyle name="Normal 2 2 2 2 4 2 2 19 5 9" xfId="14370" xr:uid="{00000000-0005-0000-0000-0000F8370000}"/>
    <cellStyle name="Normal 2 2 2 2 4 2 2 19 6" xfId="14371" xr:uid="{00000000-0005-0000-0000-0000F9370000}"/>
    <cellStyle name="Normal 2 2 2 2 4 2 2 19 7" xfId="14372" xr:uid="{00000000-0005-0000-0000-0000FA370000}"/>
    <cellStyle name="Normal 2 2 2 2 4 2 2 19 8" xfId="14373" xr:uid="{00000000-0005-0000-0000-0000FB370000}"/>
    <cellStyle name="Normal 2 2 2 2 4 2 2 19 9" xfId="14374" xr:uid="{00000000-0005-0000-0000-0000FC370000}"/>
    <cellStyle name="Normal 2 2 2 2 4 2 2 2" xfId="14375" xr:uid="{00000000-0005-0000-0000-0000FD370000}"/>
    <cellStyle name="Normal 2 2 2 2 4 2 2 2 10" xfId="14376" xr:uid="{00000000-0005-0000-0000-0000FE370000}"/>
    <cellStyle name="Normal 2 2 2 2 4 2 2 2 11" xfId="14377" xr:uid="{00000000-0005-0000-0000-0000FF370000}"/>
    <cellStyle name="Normal 2 2 2 2 4 2 2 2 12" xfId="14378" xr:uid="{00000000-0005-0000-0000-000000380000}"/>
    <cellStyle name="Normal 2 2 2 2 4 2 2 2 13" xfId="14379" xr:uid="{00000000-0005-0000-0000-000001380000}"/>
    <cellStyle name="Normal 2 2 2 2 4 2 2 2 14" xfId="14380" xr:uid="{00000000-0005-0000-0000-000002380000}"/>
    <cellStyle name="Normal 2 2 2 2 4 2 2 2 2" xfId="14381" xr:uid="{00000000-0005-0000-0000-000003380000}"/>
    <cellStyle name="Normal 2 2 2 2 4 2 2 2 2 10" xfId="14382" xr:uid="{00000000-0005-0000-0000-000004380000}"/>
    <cellStyle name="Normal 2 2 2 2 4 2 2 2 2 2" xfId="14383" xr:uid="{00000000-0005-0000-0000-000005380000}"/>
    <cellStyle name="Normal 2 2 2 2 4 2 2 2 2 3" xfId="14384" xr:uid="{00000000-0005-0000-0000-000006380000}"/>
    <cellStyle name="Normal 2 2 2 2 4 2 2 2 2 4" xfId="14385" xr:uid="{00000000-0005-0000-0000-000007380000}"/>
    <cellStyle name="Normal 2 2 2 2 4 2 2 2 2 5" xfId="14386" xr:uid="{00000000-0005-0000-0000-000008380000}"/>
    <cellStyle name="Normal 2 2 2 2 4 2 2 2 2 6" xfId="14387" xr:uid="{00000000-0005-0000-0000-000009380000}"/>
    <cellStyle name="Normal 2 2 2 2 4 2 2 2 2 7" xfId="14388" xr:uid="{00000000-0005-0000-0000-00000A380000}"/>
    <cellStyle name="Normal 2 2 2 2 4 2 2 2 2 8" xfId="14389" xr:uid="{00000000-0005-0000-0000-00000B380000}"/>
    <cellStyle name="Normal 2 2 2 2 4 2 2 2 2 9" xfId="14390" xr:uid="{00000000-0005-0000-0000-00000C380000}"/>
    <cellStyle name="Normal 2 2 2 2 4 2 2 2 3" xfId="14391" xr:uid="{00000000-0005-0000-0000-00000D380000}"/>
    <cellStyle name="Normal 2 2 2 2 4 2 2 2 3 10" xfId="14392" xr:uid="{00000000-0005-0000-0000-00000E380000}"/>
    <cellStyle name="Normal 2 2 2 2 4 2 2 2 3 2" xfId="14393" xr:uid="{00000000-0005-0000-0000-00000F380000}"/>
    <cellStyle name="Normal 2 2 2 2 4 2 2 2 3 3" xfId="14394" xr:uid="{00000000-0005-0000-0000-000010380000}"/>
    <cellStyle name="Normal 2 2 2 2 4 2 2 2 3 4" xfId="14395" xr:uid="{00000000-0005-0000-0000-000011380000}"/>
    <cellStyle name="Normal 2 2 2 2 4 2 2 2 3 5" xfId="14396" xr:uid="{00000000-0005-0000-0000-000012380000}"/>
    <cellStyle name="Normal 2 2 2 2 4 2 2 2 3 6" xfId="14397" xr:uid="{00000000-0005-0000-0000-000013380000}"/>
    <cellStyle name="Normal 2 2 2 2 4 2 2 2 3 7" xfId="14398" xr:uid="{00000000-0005-0000-0000-000014380000}"/>
    <cellStyle name="Normal 2 2 2 2 4 2 2 2 3 8" xfId="14399" xr:uid="{00000000-0005-0000-0000-000015380000}"/>
    <cellStyle name="Normal 2 2 2 2 4 2 2 2 3 9" xfId="14400" xr:uid="{00000000-0005-0000-0000-000016380000}"/>
    <cellStyle name="Normal 2 2 2 2 4 2 2 2 4" xfId="14401" xr:uid="{00000000-0005-0000-0000-000017380000}"/>
    <cellStyle name="Normal 2 2 2 2 4 2 2 2 4 10" xfId="14402" xr:uid="{00000000-0005-0000-0000-000018380000}"/>
    <cellStyle name="Normal 2 2 2 2 4 2 2 2 4 2" xfId="14403" xr:uid="{00000000-0005-0000-0000-000019380000}"/>
    <cellStyle name="Normal 2 2 2 2 4 2 2 2 4 3" xfId="14404" xr:uid="{00000000-0005-0000-0000-00001A380000}"/>
    <cellStyle name="Normal 2 2 2 2 4 2 2 2 4 4" xfId="14405" xr:uid="{00000000-0005-0000-0000-00001B380000}"/>
    <cellStyle name="Normal 2 2 2 2 4 2 2 2 4 5" xfId="14406" xr:uid="{00000000-0005-0000-0000-00001C380000}"/>
    <cellStyle name="Normal 2 2 2 2 4 2 2 2 4 6" xfId="14407" xr:uid="{00000000-0005-0000-0000-00001D380000}"/>
    <cellStyle name="Normal 2 2 2 2 4 2 2 2 4 7" xfId="14408" xr:uid="{00000000-0005-0000-0000-00001E380000}"/>
    <cellStyle name="Normal 2 2 2 2 4 2 2 2 4 8" xfId="14409" xr:uid="{00000000-0005-0000-0000-00001F380000}"/>
    <cellStyle name="Normal 2 2 2 2 4 2 2 2 4 9" xfId="14410" xr:uid="{00000000-0005-0000-0000-000020380000}"/>
    <cellStyle name="Normal 2 2 2 2 4 2 2 2 5" xfId="14411" xr:uid="{00000000-0005-0000-0000-000021380000}"/>
    <cellStyle name="Normal 2 2 2 2 4 2 2 2 5 10" xfId="14412" xr:uid="{00000000-0005-0000-0000-000022380000}"/>
    <cellStyle name="Normal 2 2 2 2 4 2 2 2 5 2" xfId="14413" xr:uid="{00000000-0005-0000-0000-000023380000}"/>
    <cellStyle name="Normal 2 2 2 2 4 2 2 2 5 3" xfId="14414" xr:uid="{00000000-0005-0000-0000-000024380000}"/>
    <cellStyle name="Normal 2 2 2 2 4 2 2 2 5 4" xfId="14415" xr:uid="{00000000-0005-0000-0000-000025380000}"/>
    <cellStyle name="Normal 2 2 2 2 4 2 2 2 5 5" xfId="14416" xr:uid="{00000000-0005-0000-0000-000026380000}"/>
    <cellStyle name="Normal 2 2 2 2 4 2 2 2 5 6" xfId="14417" xr:uid="{00000000-0005-0000-0000-000027380000}"/>
    <cellStyle name="Normal 2 2 2 2 4 2 2 2 5 7" xfId="14418" xr:uid="{00000000-0005-0000-0000-000028380000}"/>
    <cellStyle name="Normal 2 2 2 2 4 2 2 2 5 8" xfId="14419" xr:uid="{00000000-0005-0000-0000-000029380000}"/>
    <cellStyle name="Normal 2 2 2 2 4 2 2 2 5 9" xfId="14420" xr:uid="{00000000-0005-0000-0000-00002A380000}"/>
    <cellStyle name="Normal 2 2 2 2 4 2 2 2 6" xfId="14421" xr:uid="{00000000-0005-0000-0000-00002B380000}"/>
    <cellStyle name="Normal 2 2 2 2 4 2 2 2 7" xfId="14422" xr:uid="{00000000-0005-0000-0000-00002C380000}"/>
    <cellStyle name="Normal 2 2 2 2 4 2 2 2 8" xfId="14423" xr:uid="{00000000-0005-0000-0000-00002D380000}"/>
    <cellStyle name="Normal 2 2 2 2 4 2 2 2 9" xfId="14424" xr:uid="{00000000-0005-0000-0000-00002E380000}"/>
    <cellStyle name="Normal 2 2 2 2 4 2 2 20" xfId="14425" xr:uid="{00000000-0005-0000-0000-00002F380000}"/>
    <cellStyle name="Normal 2 2 2 2 4 2 2 20 10" xfId="14426" xr:uid="{00000000-0005-0000-0000-000030380000}"/>
    <cellStyle name="Normal 2 2 2 2 4 2 2 20 11" xfId="14427" xr:uid="{00000000-0005-0000-0000-000031380000}"/>
    <cellStyle name="Normal 2 2 2 2 4 2 2 20 12" xfId="14428" xr:uid="{00000000-0005-0000-0000-000032380000}"/>
    <cellStyle name="Normal 2 2 2 2 4 2 2 20 13" xfId="14429" xr:uid="{00000000-0005-0000-0000-000033380000}"/>
    <cellStyle name="Normal 2 2 2 2 4 2 2 20 14" xfId="14430" xr:uid="{00000000-0005-0000-0000-000034380000}"/>
    <cellStyle name="Normal 2 2 2 2 4 2 2 20 2" xfId="14431" xr:uid="{00000000-0005-0000-0000-000035380000}"/>
    <cellStyle name="Normal 2 2 2 2 4 2 2 20 2 10" xfId="14432" xr:uid="{00000000-0005-0000-0000-000036380000}"/>
    <cellStyle name="Normal 2 2 2 2 4 2 2 20 2 2" xfId="14433" xr:uid="{00000000-0005-0000-0000-000037380000}"/>
    <cellStyle name="Normal 2 2 2 2 4 2 2 20 2 3" xfId="14434" xr:uid="{00000000-0005-0000-0000-000038380000}"/>
    <cellStyle name="Normal 2 2 2 2 4 2 2 20 2 4" xfId="14435" xr:uid="{00000000-0005-0000-0000-000039380000}"/>
    <cellStyle name="Normal 2 2 2 2 4 2 2 20 2 5" xfId="14436" xr:uid="{00000000-0005-0000-0000-00003A380000}"/>
    <cellStyle name="Normal 2 2 2 2 4 2 2 20 2 6" xfId="14437" xr:uid="{00000000-0005-0000-0000-00003B380000}"/>
    <cellStyle name="Normal 2 2 2 2 4 2 2 20 2 7" xfId="14438" xr:uid="{00000000-0005-0000-0000-00003C380000}"/>
    <cellStyle name="Normal 2 2 2 2 4 2 2 20 2 8" xfId="14439" xr:uid="{00000000-0005-0000-0000-00003D380000}"/>
    <cellStyle name="Normal 2 2 2 2 4 2 2 20 2 9" xfId="14440" xr:uid="{00000000-0005-0000-0000-00003E380000}"/>
    <cellStyle name="Normal 2 2 2 2 4 2 2 20 3" xfId="14441" xr:uid="{00000000-0005-0000-0000-00003F380000}"/>
    <cellStyle name="Normal 2 2 2 2 4 2 2 20 3 10" xfId="14442" xr:uid="{00000000-0005-0000-0000-000040380000}"/>
    <cellStyle name="Normal 2 2 2 2 4 2 2 20 3 2" xfId="14443" xr:uid="{00000000-0005-0000-0000-000041380000}"/>
    <cellStyle name="Normal 2 2 2 2 4 2 2 20 3 3" xfId="14444" xr:uid="{00000000-0005-0000-0000-000042380000}"/>
    <cellStyle name="Normal 2 2 2 2 4 2 2 20 3 4" xfId="14445" xr:uid="{00000000-0005-0000-0000-000043380000}"/>
    <cellStyle name="Normal 2 2 2 2 4 2 2 20 3 5" xfId="14446" xr:uid="{00000000-0005-0000-0000-000044380000}"/>
    <cellStyle name="Normal 2 2 2 2 4 2 2 20 3 6" xfId="14447" xr:uid="{00000000-0005-0000-0000-000045380000}"/>
    <cellStyle name="Normal 2 2 2 2 4 2 2 20 3 7" xfId="14448" xr:uid="{00000000-0005-0000-0000-000046380000}"/>
    <cellStyle name="Normal 2 2 2 2 4 2 2 20 3 8" xfId="14449" xr:uid="{00000000-0005-0000-0000-000047380000}"/>
    <cellStyle name="Normal 2 2 2 2 4 2 2 20 3 9" xfId="14450" xr:uid="{00000000-0005-0000-0000-000048380000}"/>
    <cellStyle name="Normal 2 2 2 2 4 2 2 20 4" xfId="14451" xr:uid="{00000000-0005-0000-0000-000049380000}"/>
    <cellStyle name="Normal 2 2 2 2 4 2 2 20 4 10" xfId="14452" xr:uid="{00000000-0005-0000-0000-00004A380000}"/>
    <cellStyle name="Normal 2 2 2 2 4 2 2 20 4 2" xfId="14453" xr:uid="{00000000-0005-0000-0000-00004B380000}"/>
    <cellStyle name="Normal 2 2 2 2 4 2 2 20 4 3" xfId="14454" xr:uid="{00000000-0005-0000-0000-00004C380000}"/>
    <cellStyle name="Normal 2 2 2 2 4 2 2 20 4 4" xfId="14455" xr:uid="{00000000-0005-0000-0000-00004D380000}"/>
    <cellStyle name="Normal 2 2 2 2 4 2 2 20 4 5" xfId="14456" xr:uid="{00000000-0005-0000-0000-00004E380000}"/>
    <cellStyle name="Normal 2 2 2 2 4 2 2 20 4 6" xfId="14457" xr:uid="{00000000-0005-0000-0000-00004F380000}"/>
    <cellStyle name="Normal 2 2 2 2 4 2 2 20 4 7" xfId="14458" xr:uid="{00000000-0005-0000-0000-000050380000}"/>
    <cellStyle name="Normal 2 2 2 2 4 2 2 20 4 8" xfId="14459" xr:uid="{00000000-0005-0000-0000-000051380000}"/>
    <cellStyle name="Normal 2 2 2 2 4 2 2 20 4 9" xfId="14460" xr:uid="{00000000-0005-0000-0000-000052380000}"/>
    <cellStyle name="Normal 2 2 2 2 4 2 2 20 5" xfId="14461" xr:uid="{00000000-0005-0000-0000-000053380000}"/>
    <cellStyle name="Normal 2 2 2 2 4 2 2 20 5 10" xfId="14462" xr:uid="{00000000-0005-0000-0000-000054380000}"/>
    <cellStyle name="Normal 2 2 2 2 4 2 2 20 5 2" xfId="14463" xr:uid="{00000000-0005-0000-0000-000055380000}"/>
    <cellStyle name="Normal 2 2 2 2 4 2 2 20 5 3" xfId="14464" xr:uid="{00000000-0005-0000-0000-000056380000}"/>
    <cellStyle name="Normal 2 2 2 2 4 2 2 20 5 4" xfId="14465" xr:uid="{00000000-0005-0000-0000-000057380000}"/>
    <cellStyle name="Normal 2 2 2 2 4 2 2 20 5 5" xfId="14466" xr:uid="{00000000-0005-0000-0000-000058380000}"/>
    <cellStyle name="Normal 2 2 2 2 4 2 2 20 5 6" xfId="14467" xr:uid="{00000000-0005-0000-0000-000059380000}"/>
    <cellStyle name="Normal 2 2 2 2 4 2 2 20 5 7" xfId="14468" xr:uid="{00000000-0005-0000-0000-00005A380000}"/>
    <cellStyle name="Normal 2 2 2 2 4 2 2 20 5 8" xfId="14469" xr:uid="{00000000-0005-0000-0000-00005B380000}"/>
    <cellStyle name="Normal 2 2 2 2 4 2 2 20 5 9" xfId="14470" xr:uid="{00000000-0005-0000-0000-00005C380000}"/>
    <cellStyle name="Normal 2 2 2 2 4 2 2 20 6" xfId="14471" xr:uid="{00000000-0005-0000-0000-00005D380000}"/>
    <cellStyle name="Normal 2 2 2 2 4 2 2 20 7" xfId="14472" xr:uid="{00000000-0005-0000-0000-00005E380000}"/>
    <cellStyle name="Normal 2 2 2 2 4 2 2 20 8" xfId="14473" xr:uid="{00000000-0005-0000-0000-00005F380000}"/>
    <cellStyle name="Normal 2 2 2 2 4 2 2 20 9" xfId="14474" xr:uid="{00000000-0005-0000-0000-000060380000}"/>
    <cellStyle name="Normal 2 2 2 2 4 2 2 3" xfId="14475" xr:uid="{00000000-0005-0000-0000-000061380000}"/>
    <cellStyle name="Normal 2 2 2 2 4 2 2 3 10" xfId="14476" xr:uid="{00000000-0005-0000-0000-000062380000}"/>
    <cellStyle name="Normal 2 2 2 2 4 2 2 3 11" xfId="14477" xr:uid="{00000000-0005-0000-0000-000063380000}"/>
    <cellStyle name="Normal 2 2 2 2 4 2 2 3 12" xfId="14478" xr:uid="{00000000-0005-0000-0000-000064380000}"/>
    <cellStyle name="Normal 2 2 2 2 4 2 2 3 13" xfId="14479" xr:uid="{00000000-0005-0000-0000-000065380000}"/>
    <cellStyle name="Normal 2 2 2 2 4 2 2 3 14" xfId="14480" xr:uid="{00000000-0005-0000-0000-000066380000}"/>
    <cellStyle name="Normal 2 2 2 2 4 2 2 3 2" xfId="14481" xr:uid="{00000000-0005-0000-0000-000067380000}"/>
    <cellStyle name="Normal 2 2 2 2 4 2 2 3 2 10" xfId="14482" xr:uid="{00000000-0005-0000-0000-000068380000}"/>
    <cellStyle name="Normal 2 2 2 2 4 2 2 3 2 2" xfId="14483" xr:uid="{00000000-0005-0000-0000-000069380000}"/>
    <cellStyle name="Normal 2 2 2 2 4 2 2 3 2 3" xfId="14484" xr:uid="{00000000-0005-0000-0000-00006A380000}"/>
    <cellStyle name="Normal 2 2 2 2 4 2 2 3 2 4" xfId="14485" xr:uid="{00000000-0005-0000-0000-00006B380000}"/>
    <cellStyle name="Normal 2 2 2 2 4 2 2 3 2 5" xfId="14486" xr:uid="{00000000-0005-0000-0000-00006C380000}"/>
    <cellStyle name="Normal 2 2 2 2 4 2 2 3 2 6" xfId="14487" xr:uid="{00000000-0005-0000-0000-00006D380000}"/>
    <cellStyle name="Normal 2 2 2 2 4 2 2 3 2 7" xfId="14488" xr:uid="{00000000-0005-0000-0000-00006E380000}"/>
    <cellStyle name="Normal 2 2 2 2 4 2 2 3 2 8" xfId="14489" xr:uid="{00000000-0005-0000-0000-00006F380000}"/>
    <cellStyle name="Normal 2 2 2 2 4 2 2 3 2 9" xfId="14490" xr:uid="{00000000-0005-0000-0000-000070380000}"/>
    <cellStyle name="Normal 2 2 2 2 4 2 2 3 3" xfId="14491" xr:uid="{00000000-0005-0000-0000-000071380000}"/>
    <cellStyle name="Normal 2 2 2 2 4 2 2 3 3 10" xfId="14492" xr:uid="{00000000-0005-0000-0000-000072380000}"/>
    <cellStyle name="Normal 2 2 2 2 4 2 2 3 3 2" xfId="14493" xr:uid="{00000000-0005-0000-0000-000073380000}"/>
    <cellStyle name="Normal 2 2 2 2 4 2 2 3 3 3" xfId="14494" xr:uid="{00000000-0005-0000-0000-000074380000}"/>
    <cellStyle name="Normal 2 2 2 2 4 2 2 3 3 4" xfId="14495" xr:uid="{00000000-0005-0000-0000-000075380000}"/>
    <cellStyle name="Normal 2 2 2 2 4 2 2 3 3 5" xfId="14496" xr:uid="{00000000-0005-0000-0000-000076380000}"/>
    <cellStyle name="Normal 2 2 2 2 4 2 2 3 3 6" xfId="14497" xr:uid="{00000000-0005-0000-0000-000077380000}"/>
    <cellStyle name="Normal 2 2 2 2 4 2 2 3 3 7" xfId="14498" xr:uid="{00000000-0005-0000-0000-000078380000}"/>
    <cellStyle name="Normal 2 2 2 2 4 2 2 3 3 8" xfId="14499" xr:uid="{00000000-0005-0000-0000-000079380000}"/>
    <cellStyle name="Normal 2 2 2 2 4 2 2 3 3 9" xfId="14500" xr:uid="{00000000-0005-0000-0000-00007A380000}"/>
    <cellStyle name="Normal 2 2 2 2 4 2 2 3 4" xfId="14501" xr:uid="{00000000-0005-0000-0000-00007B380000}"/>
    <cellStyle name="Normal 2 2 2 2 4 2 2 3 4 10" xfId="14502" xr:uid="{00000000-0005-0000-0000-00007C380000}"/>
    <cellStyle name="Normal 2 2 2 2 4 2 2 3 4 2" xfId="14503" xr:uid="{00000000-0005-0000-0000-00007D380000}"/>
    <cellStyle name="Normal 2 2 2 2 4 2 2 3 4 3" xfId="14504" xr:uid="{00000000-0005-0000-0000-00007E380000}"/>
    <cellStyle name="Normal 2 2 2 2 4 2 2 3 4 4" xfId="14505" xr:uid="{00000000-0005-0000-0000-00007F380000}"/>
    <cellStyle name="Normal 2 2 2 2 4 2 2 3 4 5" xfId="14506" xr:uid="{00000000-0005-0000-0000-000080380000}"/>
    <cellStyle name="Normal 2 2 2 2 4 2 2 3 4 6" xfId="14507" xr:uid="{00000000-0005-0000-0000-000081380000}"/>
    <cellStyle name="Normal 2 2 2 2 4 2 2 3 4 7" xfId="14508" xr:uid="{00000000-0005-0000-0000-000082380000}"/>
    <cellStyle name="Normal 2 2 2 2 4 2 2 3 4 8" xfId="14509" xr:uid="{00000000-0005-0000-0000-000083380000}"/>
    <cellStyle name="Normal 2 2 2 2 4 2 2 3 4 9" xfId="14510" xr:uid="{00000000-0005-0000-0000-000084380000}"/>
    <cellStyle name="Normal 2 2 2 2 4 2 2 3 5" xfId="14511" xr:uid="{00000000-0005-0000-0000-000085380000}"/>
    <cellStyle name="Normal 2 2 2 2 4 2 2 3 5 10" xfId="14512" xr:uid="{00000000-0005-0000-0000-000086380000}"/>
    <cellStyle name="Normal 2 2 2 2 4 2 2 3 5 2" xfId="14513" xr:uid="{00000000-0005-0000-0000-000087380000}"/>
    <cellStyle name="Normal 2 2 2 2 4 2 2 3 5 3" xfId="14514" xr:uid="{00000000-0005-0000-0000-000088380000}"/>
    <cellStyle name="Normal 2 2 2 2 4 2 2 3 5 4" xfId="14515" xr:uid="{00000000-0005-0000-0000-000089380000}"/>
    <cellStyle name="Normal 2 2 2 2 4 2 2 3 5 5" xfId="14516" xr:uid="{00000000-0005-0000-0000-00008A380000}"/>
    <cellStyle name="Normal 2 2 2 2 4 2 2 3 5 6" xfId="14517" xr:uid="{00000000-0005-0000-0000-00008B380000}"/>
    <cellStyle name="Normal 2 2 2 2 4 2 2 3 5 7" xfId="14518" xr:uid="{00000000-0005-0000-0000-00008C380000}"/>
    <cellStyle name="Normal 2 2 2 2 4 2 2 3 5 8" xfId="14519" xr:uid="{00000000-0005-0000-0000-00008D380000}"/>
    <cellStyle name="Normal 2 2 2 2 4 2 2 3 5 9" xfId="14520" xr:uid="{00000000-0005-0000-0000-00008E380000}"/>
    <cellStyle name="Normal 2 2 2 2 4 2 2 3 6" xfId="14521" xr:uid="{00000000-0005-0000-0000-00008F380000}"/>
    <cellStyle name="Normal 2 2 2 2 4 2 2 3 7" xfId="14522" xr:uid="{00000000-0005-0000-0000-000090380000}"/>
    <cellStyle name="Normal 2 2 2 2 4 2 2 3 8" xfId="14523" xr:uid="{00000000-0005-0000-0000-000091380000}"/>
    <cellStyle name="Normal 2 2 2 2 4 2 2 3 9" xfId="14524" xr:uid="{00000000-0005-0000-0000-000092380000}"/>
    <cellStyle name="Normal 2 2 2 2 4 2 2 4" xfId="14525" xr:uid="{00000000-0005-0000-0000-000093380000}"/>
    <cellStyle name="Normal 2 2 2 2 4 2 2 4 10" xfId="14526" xr:uid="{00000000-0005-0000-0000-000094380000}"/>
    <cellStyle name="Normal 2 2 2 2 4 2 2 4 11" xfId="14527" xr:uid="{00000000-0005-0000-0000-000095380000}"/>
    <cellStyle name="Normal 2 2 2 2 4 2 2 4 12" xfId="14528" xr:uid="{00000000-0005-0000-0000-000096380000}"/>
    <cellStyle name="Normal 2 2 2 2 4 2 2 4 13" xfId="14529" xr:uid="{00000000-0005-0000-0000-000097380000}"/>
    <cellStyle name="Normal 2 2 2 2 4 2 2 4 14" xfId="14530" xr:uid="{00000000-0005-0000-0000-000098380000}"/>
    <cellStyle name="Normal 2 2 2 2 4 2 2 4 2" xfId="14531" xr:uid="{00000000-0005-0000-0000-000099380000}"/>
    <cellStyle name="Normal 2 2 2 2 4 2 2 4 2 10" xfId="14532" xr:uid="{00000000-0005-0000-0000-00009A380000}"/>
    <cellStyle name="Normal 2 2 2 2 4 2 2 4 2 2" xfId="14533" xr:uid="{00000000-0005-0000-0000-00009B380000}"/>
    <cellStyle name="Normal 2 2 2 2 4 2 2 4 2 3" xfId="14534" xr:uid="{00000000-0005-0000-0000-00009C380000}"/>
    <cellStyle name="Normal 2 2 2 2 4 2 2 4 2 4" xfId="14535" xr:uid="{00000000-0005-0000-0000-00009D380000}"/>
    <cellStyle name="Normal 2 2 2 2 4 2 2 4 2 5" xfId="14536" xr:uid="{00000000-0005-0000-0000-00009E380000}"/>
    <cellStyle name="Normal 2 2 2 2 4 2 2 4 2 6" xfId="14537" xr:uid="{00000000-0005-0000-0000-00009F380000}"/>
    <cellStyle name="Normal 2 2 2 2 4 2 2 4 2 7" xfId="14538" xr:uid="{00000000-0005-0000-0000-0000A0380000}"/>
    <cellStyle name="Normal 2 2 2 2 4 2 2 4 2 8" xfId="14539" xr:uid="{00000000-0005-0000-0000-0000A1380000}"/>
    <cellStyle name="Normal 2 2 2 2 4 2 2 4 2 9" xfId="14540" xr:uid="{00000000-0005-0000-0000-0000A2380000}"/>
    <cellStyle name="Normal 2 2 2 2 4 2 2 4 3" xfId="14541" xr:uid="{00000000-0005-0000-0000-0000A3380000}"/>
    <cellStyle name="Normal 2 2 2 2 4 2 2 4 3 10" xfId="14542" xr:uid="{00000000-0005-0000-0000-0000A4380000}"/>
    <cellStyle name="Normal 2 2 2 2 4 2 2 4 3 2" xfId="14543" xr:uid="{00000000-0005-0000-0000-0000A5380000}"/>
    <cellStyle name="Normal 2 2 2 2 4 2 2 4 3 3" xfId="14544" xr:uid="{00000000-0005-0000-0000-0000A6380000}"/>
    <cellStyle name="Normal 2 2 2 2 4 2 2 4 3 4" xfId="14545" xr:uid="{00000000-0005-0000-0000-0000A7380000}"/>
    <cellStyle name="Normal 2 2 2 2 4 2 2 4 3 5" xfId="14546" xr:uid="{00000000-0005-0000-0000-0000A8380000}"/>
    <cellStyle name="Normal 2 2 2 2 4 2 2 4 3 6" xfId="14547" xr:uid="{00000000-0005-0000-0000-0000A9380000}"/>
    <cellStyle name="Normal 2 2 2 2 4 2 2 4 3 7" xfId="14548" xr:uid="{00000000-0005-0000-0000-0000AA380000}"/>
    <cellStyle name="Normal 2 2 2 2 4 2 2 4 3 8" xfId="14549" xr:uid="{00000000-0005-0000-0000-0000AB380000}"/>
    <cellStyle name="Normal 2 2 2 2 4 2 2 4 3 9" xfId="14550" xr:uid="{00000000-0005-0000-0000-0000AC380000}"/>
    <cellStyle name="Normal 2 2 2 2 4 2 2 4 4" xfId="14551" xr:uid="{00000000-0005-0000-0000-0000AD380000}"/>
    <cellStyle name="Normal 2 2 2 2 4 2 2 4 4 10" xfId="14552" xr:uid="{00000000-0005-0000-0000-0000AE380000}"/>
    <cellStyle name="Normal 2 2 2 2 4 2 2 4 4 2" xfId="14553" xr:uid="{00000000-0005-0000-0000-0000AF380000}"/>
    <cellStyle name="Normal 2 2 2 2 4 2 2 4 4 3" xfId="14554" xr:uid="{00000000-0005-0000-0000-0000B0380000}"/>
    <cellStyle name="Normal 2 2 2 2 4 2 2 4 4 4" xfId="14555" xr:uid="{00000000-0005-0000-0000-0000B1380000}"/>
    <cellStyle name="Normal 2 2 2 2 4 2 2 4 4 5" xfId="14556" xr:uid="{00000000-0005-0000-0000-0000B2380000}"/>
    <cellStyle name="Normal 2 2 2 2 4 2 2 4 4 6" xfId="14557" xr:uid="{00000000-0005-0000-0000-0000B3380000}"/>
    <cellStyle name="Normal 2 2 2 2 4 2 2 4 4 7" xfId="14558" xr:uid="{00000000-0005-0000-0000-0000B4380000}"/>
    <cellStyle name="Normal 2 2 2 2 4 2 2 4 4 8" xfId="14559" xr:uid="{00000000-0005-0000-0000-0000B5380000}"/>
    <cellStyle name="Normal 2 2 2 2 4 2 2 4 4 9" xfId="14560" xr:uid="{00000000-0005-0000-0000-0000B6380000}"/>
    <cellStyle name="Normal 2 2 2 2 4 2 2 4 5" xfId="14561" xr:uid="{00000000-0005-0000-0000-0000B7380000}"/>
    <cellStyle name="Normal 2 2 2 2 4 2 2 4 5 10" xfId="14562" xr:uid="{00000000-0005-0000-0000-0000B8380000}"/>
    <cellStyle name="Normal 2 2 2 2 4 2 2 4 5 2" xfId="14563" xr:uid="{00000000-0005-0000-0000-0000B9380000}"/>
    <cellStyle name="Normal 2 2 2 2 4 2 2 4 5 3" xfId="14564" xr:uid="{00000000-0005-0000-0000-0000BA380000}"/>
    <cellStyle name="Normal 2 2 2 2 4 2 2 4 5 4" xfId="14565" xr:uid="{00000000-0005-0000-0000-0000BB380000}"/>
    <cellStyle name="Normal 2 2 2 2 4 2 2 4 5 5" xfId="14566" xr:uid="{00000000-0005-0000-0000-0000BC380000}"/>
    <cellStyle name="Normal 2 2 2 2 4 2 2 4 5 6" xfId="14567" xr:uid="{00000000-0005-0000-0000-0000BD380000}"/>
    <cellStyle name="Normal 2 2 2 2 4 2 2 4 5 7" xfId="14568" xr:uid="{00000000-0005-0000-0000-0000BE380000}"/>
    <cellStyle name="Normal 2 2 2 2 4 2 2 4 5 8" xfId="14569" xr:uid="{00000000-0005-0000-0000-0000BF380000}"/>
    <cellStyle name="Normal 2 2 2 2 4 2 2 4 5 9" xfId="14570" xr:uid="{00000000-0005-0000-0000-0000C0380000}"/>
    <cellStyle name="Normal 2 2 2 2 4 2 2 4 6" xfId="14571" xr:uid="{00000000-0005-0000-0000-0000C1380000}"/>
    <cellStyle name="Normal 2 2 2 2 4 2 2 4 7" xfId="14572" xr:uid="{00000000-0005-0000-0000-0000C2380000}"/>
    <cellStyle name="Normal 2 2 2 2 4 2 2 4 8" xfId="14573" xr:uid="{00000000-0005-0000-0000-0000C3380000}"/>
    <cellStyle name="Normal 2 2 2 2 4 2 2 4 9" xfId="14574" xr:uid="{00000000-0005-0000-0000-0000C4380000}"/>
    <cellStyle name="Normal 2 2 2 2 4 2 2 5" xfId="14575" xr:uid="{00000000-0005-0000-0000-0000C5380000}"/>
    <cellStyle name="Normal 2 2 2 2 4 2 2 5 10" xfId="14576" xr:uid="{00000000-0005-0000-0000-0000C6380000}"/>
    <cellStyle name="Normal 2 2 2 2 4 2 2 5 11" xfId="14577" xr:uid="{00000000-0005-0000-0000-0000C7380000}"/>
    <cellStyle name="Normal 2 2 2 2 4 2 2 5 12" xfId="14578" xr:uid="{00000000-0005-0000-0000-0000C8380000}"/>
    <cellStyle name="Normal 2 2 2 2 4 2 2 5 13" xfId="14579" xr:uid="{00000000-0005-0000-0000-0000C9380000}"/>
    <cellStyle name="Normal 2 2 2 2 4 2 2 5 14" xfId="14580" xr:uid="{00000000-0005-0000-0000-0000CA380000}"/>
    <cellStyle name="Normal 2 2 2 2 4 2 2 5 2" xfId="14581" xr:uid="{00000000-0005-0000-0000-0000CB380000}"/>
    <cellStyle name="Normal 2 2 2 2 4 2 2 5 2 10" xfId="14582" xr:uid="{00000000-0005-0000-0000-0000CC380000}"/>
    <cellStyle name="Normal 2 2 2 2 4 2 2 5 2 2" xfId="14583" xr:uid="{00000000-0005-0000-0000-0000CD380000}"/>
    <cellStyle name="Normal 2 2 2 2 4 2 2 5 2 3" xfId="14584" xr:uid="{00000000-0005-0000-0000-0000CE380000}"/>
    <cellStyle name="Normal 2 2 2 2 4 2 2 5 2 4" xfId="14585" xr:uid="{00000000-0005-0000-0000-0000CF380000}"/>
    <cellStyle name="Normal 2 2 2 2 4 2 2 5 2 5" xfId="14586" xr:uid="{00000000-0005-0000-0000-0000D0380000}"/>
    <cellStyle name="Normal 2 2 2 2 4 2 2 5 2 6" xfId="14587" xr:uid="{00000000-0005-0000-0000-0000D1380000}"/>
    <cellStyle name="Normal 2 2 2 2 4 2 2 5 2 7" xfId="14588" xr:uid="{00000000-0005-0000-0000-0000D2380000}"/>
    <cellStyle name="Normal 2 2 2 2 4 2 2 5 2 8" xfId="14589" xr:uid="{00000000-0005-0000-0000-0000D3380000}"/>
    <cellStyle name="Normal 2 2 2 2 4 2 2 5 2 9" xfId="14590" xr:uid="{00000000-0005-0000-0000-0000D4380000}"/>
    <cellStyle name="Normal 2 2 2 2 4 2 2 5 3" xfId="14591" xr:uid="{00000000-0005-0000-0000-0000D5380000}"/>
    <cellStyle name="Normal 2 2 2 2 4 2 2 5 3 10" xfId="14592" xr:uid="{00000000-0005-0000-0000-0000D6380000}"/>
    <cellStyle name="Normal 2 2 2 2 4 2 2 5 3 2" xfId="14593" xr:uid="{00000000-0005-0000-0000-0000D7380000}"/>
    <cellStyle name="Normal 2 2 2 2 4 2 2 5 3 3" xfId="14594" xr:uid="{00000000-0005-0000-0000-0000D8380000}"/>
    <cellStyle name="Normal 2 2 2 2 4 2 2 5 3 4" xfId="14595" xr:uid="{00000000-0005-0000-0000-0000D9380000}"/>
    <cellStyle name="Normal 2 2 2 2 4 2 2 5 3 5" xfId="14596" xr:uid="{00000000-0005-0000-0000-0000DA380000}"/>
    <cellStyle name="Normal 2 2 2 2 4 2 2 5 3 6" xfId="14597" xr:uid="{00000000-0005-0000-0000-0000DB380000}"/>
    <cellStyle name="Normal 2 2 2 2 4 2 2 5 3 7" xfId="14598" xr:uid="{00000000-0005-0000-0000-0000DC380000}"/>
    <cellStyle name="Normal 2 2 2 2 4 2 2 5 3 8" xfId="14599" xr:uid="{00000000-0005-0000-0000-0000DD380000}"/>
    <cellStyle name="Normal 2 2 2 2 4 2 2 5 3 9" xfId="14600" xr:uid="{00000000-0005-0000-0000-0000DE380000}"/>
    <cellStyle name="Normal 2 2 2 2 4 2 2 5 4" xfId="14601" xr:uid="{00000000-0005-0000-0000-0000DF380000}"/>
    <cellStyle name="Normal 2 2 2 2 4 2 2 5 4 10" xfId="14602" xr:uid="{00000000-0005-0000-0000-0000E0380000}"/>
    <cellStyle name="Normal 2 2 2 2 4 2 2 5 4 2" xfId="14603" xr:uid="{00000000-0005-0000-0000-0000E1380000}"/>
    <cellStyle name="Normal 2 2 2 2 4 2 2 5 4 3" xfId="14604" xr:uid="{00000000-0005-0000-0000-0000E2380000}"/>
    <cellStyle name="Normal 2 2 2 2 4 2 2 5 4 4" xfId="14605" xr:uid="{00000000-0005-0000-0000-0000E3380000}"/>
    <cellStyle name="Normal 2 2 2 2 4 2 2 5 4 5" xfId="14606" xr:uid="{00000000-0005-0000-0000-0000E4380000}"/>
    <cellStyle name="Normal 2 2 2 2 4 2 2 5 4 6" xfId="14607" xr:uid="{00000000-0005-0000-0000-0000E5380000}"/>
    <cellStyle name="Normal 2 2 2 2 4 2 2 5 4 7" xfId="14608" xr:uid="{00000000-0005-0000-0000-0000E6380000}"/>
    <cellStyle name="Normal 2 2 2 2 4 2 2 5 4 8" xfId="14609" xr:uid="{00000000-0005-0000-0000-0000E7380000}"/>
    <cellStyle name="Normal 2 2 2 2 4 2 2 5 4 9" xfId="14610" xr:uid="{00000000-0005-0000-0000-0000E8380000}"/>
    <cellStyle name="Normal 2 2 2 2 4 2 2 5 5" xfId="14611" xr:uid="{00000000-0005-0000-0000-0000E9380000}"/>
    <cellStyle name="Normal 2 2 2 2 4 2 2 5 5 10" xfId="14612" xr:uid="{00000000-0005-0000-0000-0000EA380000}"/>
    <cellStyle name="Normal 2 2 2 2 4 2 2 5 5 2" xfId="14613" xr:uid="{00000000-0005-0000-0000-0000EB380000}"/>
    <cellStyle name="Normal 2 2 2 2 4 2 2 5 5 3" xfId="14614" xr:uid="{00000000-0005-0000-0000-0000EC380000}"/>
    <cellStyle name="Normal 2 2 2 2 4 2 2 5 5 4" xfId="14615" xr:uid="{00000000-0005-0000-0000-0000ED380000}"/>
    <cellStyle name="Normal 2 2 2 2 4 2 2 5 5 5" xfId="14616" xr:uid="{00000000-0005-0000-0000-0000EE380000}"/>
    <cellStyle name="Normal 2 2 2 2 4 2 2 5 5 6" xfId="14617" xr:uid="{00000000-0005-0000-0000-0000EF380000}"/>
    <cellStyle name="Normal 2 2 2 2 4 2 2 5 5 7" xfId="14618" xr:uid="{00000000-0005-0000-0000-0000F0380000}"/>
    <cellStyle name="Normal 2 2 2 2 4 2 2 5 5 8" xfId="14619" xr:uid="{00000000-0005-0000-0000-0000F1380000}"/>
    <cellStyle name="Normal 2 2 2 2 4 2 2 5 5 9" xfId="14620" xr:uid="{00000000-0005-0000-0000-0000F2380000}"/>
    <cellStyle name="Normal 2 2 2 2 4 2 2 5 6" xfId="14621" xr:uid="{00000000-0005-0000-0000-0000F3380000}"/>
    <cellStyle name="Normal 2 2 2 2 4 2 2 5 7" xfId="14622" xr:uid="{00000000-0005-0000-0000-0000F4380000}"/>
    <cellStyle name="Normal 2 2 2 2 4 2 2 5 8" xfId="14623" xr:uid="{00000000-0005-0000-0000-0000F5380000}"/>
    <cellStyle name="Normal 2 2 2 2 4 2 2 5 9" xfId="14624" xr:uid="{00000000-0005-0000-0000-0000F6380000}"/>
    <cellStyle name="Normal 2 2 2 2 4 2 2 6" xfId="14625" xr:uid="{00000000-0005-0000-0000-0000F7380000}"/>
    <cellStyle name="Normal 2 2 2 2 4 2 2 6 10" xfId="14626" xr:uid="{00000000-0005-0000-0000-0000F8380000}"/>
    <cellStyle name="Normal 2 2 2 2 4 2 2 6 11" xfId="14627" xr:uid="{00000000-0005-0000-0000-0000F9380000}"/>
    <cellStyle name="Normal 2 2 2 2 4 2 2 6 12" xfId="14628" xr:uid="{00000000-0005-0000-0000-0000FA380000}"/>
    <cellStyle name="Normal 2 2 2 2 4 2 2 6 13" xfId="14629" xr:uid="{00000000-0005-0000-0000-0000FB380000}"/>
    <cellStyle name="Normal 2 2 2 2 4 2 2 6 14" xfId="14630" xr:uid="{00000000-0005-0000-0000-0000FC380000}"/>
    <cellStyle name="Normal 2 2 2 2 4 2 2 6 2" xfId="14631" xr:uid="{00000000-0005-0000-0000-0000FD380000}"/>
    <cellStyle name="Normal 2 2 2 2 4 2 2 6 2 10" xfId="14632" xr:uid="{00000000-0005-0000-0000-0000FE380000}"/>
    <cellStyle name="Normal 2 2 2 2 4 2 2 6 2 2" xfId="14633" xr:uid="{00000000-0005-0000-0000-0000FF380000}"/>
    <cellStyle name="Normal 2 2 2 2 4 2 2 6 2 3" xfId="14634" xr:uid="{00000000-0005-0000-0000-000000390000}"/>
    <cellStyle name="Normal 2 2 2 2 4 2 2 6 2 4" xfId="14635" xr:uid="{00000000-0005-0000-0000-000001390000}"/>
    <cellStyle name="Normal 2 2 2 2 4 2 2 6 2 5" xfId="14636" xr:uid="{00000000-0005-0000-0000-000002390000}"/>
    <cellStyle name="Normal 2 2 2 2 4 2 2 6 2 6" xfId="14637" xr:uid="{00000000-0005-0000-0000-000003390000}"/>
    <cellStyle name="Normal 2 2 2 2 4 2 2 6 2 7" xfId="14638" xr:uid="{00000000-0005-0000-0000-000004390000}"/>
    <cellStyle name="Normal 2 2 2 2 4 2 2 6 2 8" xfId="14639" xr:uid="{00000000-0005-0000-0000-000005390000}"/>
    <cellStyle name="Normal 2 2 2 2 4 2 2 6 2 9" xfId="14640" xr:uid="{00000000-0005-0000-0000-000006390000}"/>
    <cellStyle name="Normal 2 2 2 2 4 2 2 6 3" xfId="14641" xr:uid="{00000000-0005-0000-0000-000007390000}"/>
    <cellStyle name="Normal 2 2 2 2 4 2 2 6 3 10" xfId="14642" xr:uid="{00000000-0005-0000-0000-000008390000}"/>
    <cellStyle name="Normal 2 2 2 2 4 2 2 6 3 2" xfId="14643" xr:uid="{00000000-0005-0000-0000-000009390000}"/>
    <cellStyle name="Normal 2 2 2 2 4 2 2 6 3 3" xfId="14644" xr:uid="{00000000-0005-0000-0000-00000A390000}"/>
    <cellStyle name="Normal 2 2 2 2 4 2 2 6 3 4" xfId="14645" xr:uid="{00000000-0005-0000-0000-00000B390000}"/>
    <cellStyle name="Normal 2 2 2 2 4 2 2 6 3 5" xfId="14646" xr:uid="{00000000-0005-0000-0000-00000C390000}"/>
    <cellStyle name="Normal 2 2 2 2 4 2 2 6 3 6" xfId="14647" xr:uid="{00000000-0005-0000-0000-00000D390000}"/>
    <cellStyle name="Normal 2 2 2 2 4 2 2 6 3 7" xfId="14648" xr:uid="{00000000-0005-0000-0000-00000E390000}"/>
    <cellStyle name="Normal 2 2 2 2 4 2 2 6 3 8" xfId="14649" xr:uid="{00000000-0005-0000-0000-00000F390000}"/>
    <cellStyle name="Normal 2 2 2 2 4 2 2 6 3 9" xfId="14650" xr:uid="{00000000-0005-0000-0000-000010390000}"/>
    <cellStyle name="Normal 2 2 2 2 4 2 2 6 4" xfId="14651" xr:uid="{00000000-0005-0000-0000-000011390000}"/>
    <cellStyle name="Normal 2 2 2 2 4 2 2 6 4 10" xfId="14652" xr:uid="{00000000-0005-0000-0000-000012390000}"/>
    <cellStyle name="Normal 2 2 2 2 4 2 2 6 4 2" xfId="14653" xr:uid="{00000000-0005-0000-0000-000013390000}"/>
    <cellStyle name="Normal 2 2 2 2 4 2 2 6 4 3" xfId="14654" xr:uid="{00000000-0005-0000-0000-000014390000}"/>
    <cellStyle name="Normal 2 2 2 2 4 2 2 6 4 4" xfId="14655" xr:uid="{00000000-0005-0000-0000-000015390000}"/>
    <cellStyle name="Normal 2 2 2 2 4 2 2 6 4 5" xfId="14656" xr:uid="{00000000-0005-0000-0000-000016390000}"/>
    <cellStyle name="Normal 2 2 2 2 4 2 2 6 4 6" xfId="14657" xr:uid="{00000000-0005-0000-0000-000017390000}"/>
    <cellStyle name="Normal 2 2 2 2 4 2 2 6 4 7" xfId="14658" xr:uid="{00000000-0005-0000-0000-000018390000}"/>
    <cellStyle name="Normal 2 2 2 2 4 2 2 6 4 8" xfId="14659" xr:uid="{00000000-0005-0000-0000-000019390000}"/>
    <cellStyle name="Normal 2 2 2 2 4 2 2 6 4 9" xfId="14660" xr:uid="{00000000-0005-0000-0000-00001A390000}"/>
    <cellStyle name="Normal 2 2 2 2 4 2 2 6 5" xfId="14661" xr:uid="{00000000-0005-0000-0000-00001B390000}"/>
    <cellStyle name="Normal 2 2 2 2 4 2 2 6 5 10" xfId="14662" xr:uid="{00000000-0005-0000-0000-00001C390000}"/>
    <cellStyle name="Normal 2 2 2 2 4 2 2 6 5 2" xfId="14663" xr:uid="{00000000-0005-0000-0000-00001D390000}"/>
    <cellStyle name="Normal 2 2 2 2 4 2 2 6 5 3" xfId="14664" xr:uid="{00000000-0005-0000-0000-00001E390000}"/>
    <cellStyle name="Normal 2 2 2 2 4 2 2 6 5 4" xfId="14665" xr:uid="{00000000-0005-0000-0000-00001F390000}"/>
    <cellStyle name="Normal 2 2 2 2 4 2 2 6 5 5" xfId="14666" xr:uid="{00000000-0005-0000-0000-000020390000}"/>
    <cellStyle name="Normal 2 2 2 2 4 2 2 6 5 6" xfId="14667" xr:uid="{00000000-0005-0000-0000-000021390000}"/>
    <cellStyle name="Normal 2 2 2 2 4 2 2 6 5 7" xfId="14668" xr:uid="{00000000-0005-0000-0000-000022390000}"/>
    <cellStyle name="Normal 2 2 2 2 4 2 2 6 5 8" xfId="14669" xr:uid="{00000000-0005-0000-0000-000023390000}"/>
    <cellStyle name="Normal 2 2 2 2 4 2 2 6 5 9" xfId="14670" xr:uid="{00000000-0005-0000-0000-000024390000}"/>
    <cellStyle name="Normal 2 2 2 2 4 2 2 6 6" xfId="14671" xr:uid="{00000000-0005-0000-0000-000025390000}"/>
    <cellStyle name="Normal 2 2 2 2 4 2 2 6 7" xfId="14672" xr:uid="{00000000-0005-0000-0000-000026390000}"/>
    <cellStyle name="Normal 2 2 2 2 4 2 2 6 8" xfId="14673" xr:uid="{00000000-0005-0000-0000-000027390000}"/>
    <cellStyle name="Normal 2 2 2 2 4 2 2 6 9" xfId="14674" xr:uid="{00000000-0005-0000-0000-000028390000}"/>
    <cellStyle name="Normal 2 2 2 2 4 2 2 7" xfId="14675" xr:uid="{00000000-0005-0000-0000-000029390000}"/>
    <cellStyle name="Normal 2 2 2 2 4 2 2 7 10" xfId="14676" xr:uid="{00000000-0005-0000-0000-00002A390000}"/>
    <cellStyle name="Normal 2 2 2 2 4 2 2 7 11" xfId="14677" xr:uid="{00000000-0005-0000-0000-00002B390000}"/>
    <cellStyle name="Normal 2 2 2 2 4 2 2 7 12" xfId="14678" xr:uid="{00000000-0005-0000-0000-00002C390000}"/>
    <cellStyle name="Normal 2 2 2 2 4 2 2 7 13" xfId="14679" xr:uid="{00000000-0005-0000-0000-00002D390000}"/>
    <cellStyle name="Normal 2 2 2 2 4 2 2 7 14" xfId="14680" xr:uid="{00000000-0005-0000-0000-00002E390000}"/>
    <cellStyle name="Normal 2 2 2 2 4 2 2 7 2" xfId="14681" xr:uid="{00000000-0005-0000-0000-00002F390000}"/>
    <cellStyle name="Normal 2 2 2 2 4 2 2 7 2 10" xfId="14682" xr:uid="{00000000-0005-0000-0000-000030390000}"/>
    <cellStyle name="Normal 2 2 2 2 4 2 2 7 2 2" xfId="14683" xr:uid="{00000000-0005-0000-0000-000031390000}"/>
    <cellStyle name="Normal 2 2 2 2 4 2 2 7 2 3" xfId="14684" xr:uid="{00000000-0005-0000-0000-000032390000}"/>
    <cellStyle name="Normal 2 2 2 2 4 2 2 7 2 4" xfId="14685" xr:uid="{00000000-0005-0000-0000-000033390000}"/>
    <cellStyle name="Normal 2 2 2 2 4 2 2 7 2 5" xfId="14686" xr:uid="{00000000-0005-0000-0000-000034390000}"/>
    <cellStyle name="Normal 2 2 2 2 4 2 2 7 2 6" xfId="14687" xr:uid="{00000000-0005-0000-0000-000035390000}"/>
    <cellStyle name="Normal 2 2 2 2 4 2 2 7 2 7" xfId="14688" xr:uid="{00000000-0005-0000-0000-000036390000}"/>
    <cellStyle name="Normal 2 2 2 2 4 2 2 7 2 8" xfId="14689" xr:uid="{00000000-0005-0000-0000-000037390000}"/>
    <cellStyle name="Normal 2 2 2 2 4 2 2 7 2 9" xfId="14690" xr:uid="{00000000-0005-0000-0000-000038390000}"/>
    <cellStyle name="Normal 2 2 2 2 4 2 2 7 3" xfId="14691" xr:uid="{00000000-0005-0000-0000-000039390000}"/>
    <cellStyle name="Normal 2 2 2 2 4 2 2 7 3 10" xfId="14692" xr:uid="{00000000-0005-0000-0000-00003A390000}"/>
    <cellStyle name="Normal 2 2 2 2 4 2 2 7 3 2" xfId="14693" xr:uid="{00000000-0005-0000-0000-00003B390000}"/>
    <cellStyle name="Normal 2 2 2 2 4 2 2 7 3 3" xfId="14694" xr:uid="{00000000-0005-0000-0000-00003C390000}"/>
    <cellStyle name="Normal 2 2 2 2 4 2 2 7 3 4" xfId="14695" xr:uid="{00000000-0005-0000-0000-00003D390000}"/>
    <cellStyle name="Normal 2 2 2 2 4 2 2 7 3 5" xfId="14696" xr:uid="{00000000-0005-0000-0000-00003E390000}"/>
    <cellStyle name="Normal 2 2 2 2 4 2 2 7 3 6" xfId="14697" xr:uid="{00000000-0005-0000-0000-00003F390000}"/>
    <cellStyle name="Normal 2 2 2 2 4 2 2 7 3 7" xfId="14698" xr:uid="{00000000-0005-0000-0000-000040390000}"/>
    <cellStyle name="Normal 2 2 2 2 4 2 2 7 3 8" xfId="14699" xr:uid="{00000000-0005-0000-0000-000041390000}"/>
    <cellStyle name="Normal 2 2 2 2 4 2 2 7 3 9" xfId="14700" xr:uid="{00000000-0005-0000-0000-000042390000}"/>
    <cellStyle name="Normal 2 2 2 2 4 2 2 7 4" xfId="14701" xr:uid="{00000000-0005-0000-0000-000043390000}"/>
    <cellStyle name="Normal 2 2 2 2 4 2 2 7 4 10" xfId="14702" xr:uid="{00000000-0005-0000-0000-000044390000}"/>
    <cellStyle name="Normal 2 2 2 2 4 2 2 7 4 2" xfId="14703" xr:uid="{00000000-0005-0000-0000-000045390000}"/>
    <cellStyle name="Normal 2 2 2 2 4 2 2 7 4 3" xfId="14704" xr:uid="{00000000-0005-0000-0000-000046390000}"/>
    <cellStyle name="Normal 2 2 2 2 4 2 2 7 4 4" xfId="14705" xr:uid="{00000000-0005-0000-0000-000047390000}"/>
    <cellStyle name="Normal 2 2 2 2 4 2 2 7 4 5" xfId="14706" xr:uid="{00000000-0005-0000-0000-000048390000}"/>
    <cellStyle name="Normal 2 2 2 2 4 2 2 7 4 6" xfId="14707" xr:uid="{00000000-0005-0000-0000-000049390000}"/>
    <cellStyle name="Normal 2 2 2 2 4 2 2 7 4 7" xfId="14708" xr:uid="{00000000-0005-0000-0000-00004A390000}"/>
    <cellStyle name="Normal 2 2 2 2 4 2 2 7 4 8" xfId="14709" xr:uid="{00000000-0005-0000-0000-00004B390000}"/>
    <cellStyle name="Normal 2 2 2 2 4 2 2 7 4 9" xfId="14710" xr:uid="{00000000-0005-0000-0000-00004C390000}"/>
    <cellStyle name="Normal 2 2 2 2 4 2 2 7 5" xfId="14711" xr:uid="{00000000-0005-0000-0000-00004D390000}"/>
    <cellStyle name="Normal 2 2 2 2 4 2 2 7 5 10" xfId="14712" xr:uid="{00000000-0005-0000-0000-00004E390000}"/>
    <cellStyle name="Normal 2 2 2 2 4 2 2 7 5 2" xfId="14713" xr:uid="{00000000-0005-0000-0000-00004F390000}"/>
    <cellStyle name="Normal 2 2 2 2 4 2 2 7 5 3" xfId="14714" xr:uid="{00000000-0005-0000-0000-000050390000}"/>
    <cellStyle name="Normal 2 2 2 2 4 2 2 7 5 4" xfId="14715" xr:uid="{00000000-0005-0000-0000-000051390000}"/>
    <cellStyle name="Normal 2 2 2 2 4 2 2 7 5 5" xfId="14716" xr:uid="{00000000-0005-0000-0000-000052390000}"/>
    <cellStyle name="Normal 2 2 2 2 4 2 2 7 5 6" xfId="14717" xr:uid="{00000000-0005-0000-0000-000053390000}"/>
    <cellStyle name="Normal 2 2 2 2 4 2 2 7 5 7" xfId="14718" xr:uid="{00000000-0005-0000-0000-000054390000}"/>
    <cellStyle name="Normal 2 2 2 2 4 2 2 7 5 8" xfId="14719" xr:uid="{00000000-0005-0000-0000-000055390000}"/>
    <cellStyle name="Normal 2 2 2 2 4 2 2 7 5 9" xfId="14720" xr:uid="{00000000-0005-0000-0000-000056390000}"/>
    <cellStyle name="Normal 2 2 2 2 4 2 2 7 6" xfId="14721" xr:uid="{00000000-0005-0000-0000-000057390000}"/>
    <cellStyle name="Normal 2 2 2 2 4 2 2 7 7" xfId="14722" xr:uid="{00000000-0005-0000-0000-000058390000}"/>
    <cellStyle name="Normal 2 2 2 2 4 2 2 7 8" xfId="14723" xr:uid="{00000000-0005-0000-0000-000059390000}"/>
    <cellStyle name="Normal 2 2 2 2 4 2 2 7 9" xfId="14724" xr:uid="{00000000-0005-0000-0000-00005A390000}"/>
    <cellStyle name="Normal 2 2 2 2 4 2 2 8" xfId="14725" xr:uid="{00000000-0005-0000-0000-00005B390000}"/>
    <cellStyle name="Normal 2 2 2 2 4 2 2 8 10" xfId="14726" xr:uid="{00000000-0005-0000-0000-00005C390000}"/>
    <cellStyle name="Normal 2 2 2 2 4 2 2 8 11" xfId="14727" xr:uid="{00000000-0005-0000-0000-00005D390000}"/>
    <cellStyle name="Normal 2 2 2 2 4 2 2 8 12" xfId="14728" xr:uid="{00000000-0005-0000-0000-00005E390000}"/>
    <cellStyle name="Normal 2 2 2 2 4 2 2 8 13" xfId="14729" xr:uid="{00000000-0005-0000-0000-00005F390000}"/>
    <cellStyle name="Normal 2 2 2 2 4 2 2 8 14" xfId="14730" xr:uid="{00000000-0005-0000-0000-000060390000}"/>
    <cellStyle name="Normal 2 2 2 2 4 2 2 8 2" xfId="14731" xr:uid="{00000000-0005-0000-0000-000061390000}"/>
    <cellStyle name="Normal 2 2 2 2 4 2 2 8 2 10" xfId="14732" xr:uid="{00000000-0005-0000-0000-000062390000}"/>
    <cellStyle name="Normal 2 2 2 2 4 2 2 8 2 2" xfId="14733" xr:uid="{00000000-0005-0000-0000-000063390000}"/>
    <cellStyle name="Normal 2 2 2 2 4 2 2 8 2 3" xfId="14734" xr:uid="{00000000-0005-0000-0000-000064390000}"/>
    <cellStyle name="Normal 2 2 2 2 4 2 2 8 2 4" xfId="14735" xr:uid="{00000000-0005-0000-0000-000065390000}"/>
    <cellStyle name="Normal 2 2 2 2 4 2 2 8 2 5" xfId="14736" xr:uid="{00000000-0005-0000-0000-000066390000}"/>
    <cellStyle name="Normal 2 2 2 2 4 2 2 8 2 6" xfId="14737" xr:uid="{00000000-0005-0000-0000-000067390000}"/>
    <cellStyle name="Normal 2 2 2 2 4 2 2 8 2 7" xfId="14738" xr:uid="{00000000-0005-0000-0000-000068390000}"/>
    <cellStyle name="Normal 2 2 2 2 4 2 2 8 2 8" xfId="14739" xr:uid="{00000000-0005-0000-0000-000069390000}"/>
    <cellStyle name="Normal 2 2 2 2 4 2 2 8 2 9" xfId="14740" xr:uid="{00000000-0005-0000-0000-00006A390000}"/>
    <cellStyle name="Normal 2 2 2 2 4 2 2 8 3" xfId="14741" xr:uid="{00000000-0005-0000-0000-00006B390000}"/>
    <cellStyle name="Normal 2 2 2 2 4 2 2 8 3 10" xfId="14742" xr:uid="{00000000-0005-0000-0000-00006C390000}"/>
    <cellStyle name="Normal 2 2 2 2 4 2 2 8 3 2" xfId="14743" xr:uid="{00000000-0005-0000-0000-00006D390000}"/>
    <cellStyle name="Normal 2 2 2 2 4 2 2 8 3 3" xfId="14744" xr:uid="{00000000-0005-0000-0000-00006E390000}"/>
    <cellStyle name="Normal 2 2 2 2 4 2 2 8 3 4" xfId="14745" xr:uid="{00000000-0005-0000-0000-00006F390000}"/>
    <cellStyle name="Normal 2 2 2 2 4 2 2 8 3 5" xfId="14746" xr:uid="{00000000-0005-0000-0000-000070390000}"/>
    <cellStyle name="Normal 2 2 2 2 4 2 2 8 3 6" xfId="14747" xr:uid="{00000000-0005-0000-0000-000071390000}"/>
    <cellStyle name="Normal 2 2 2 2 4 2 2 8 3 7" xfId="14748" xr:uid="{00000000-0005-0000-0000-000072390000}"/>
    <cellStyle name="Normal 2 2 2 2 4 2 2 8 3 8" xfId="14749" xr:uid="{00000000-0005-0000-0000-000073390000}"/>
    <cellStyle name="Normal 2 2 2 2 4 2 2 8 3 9" xfId="14750" xr:uid="{00000000-0005-0000-0000-000074390000}"/>
    <cellStyle name="Normal 2 2 2 2 4 2 2 8 4" xfId="14751" xr:uid="{00000000-0005-0000-0000-000075390000}"/>
    <cellStyle name="Normal 2 2 2 2 4 2 2 8 4 10" xfId="14752" xr:uid="{00000000-0005-0000-0000-000076390000}"/>
    <cellStyle name="Normal 2 2 2 2 4 2 2 8 4 2" xfId="14753" xr:uid="{00000000-0005-0000-0000-000077390000}"/>
    <cellStyle name="Normal 2 2 2 2 4 2 2 8 4 3" xfId="14754" xr:uid="{00000000-0005-0000-0000-000078390000}"/>
    <cellStyle name="Normal 2 2 2 2 4 2 2 8 4 4" xfId="14755" xr:uid="{00000000-0005-0000-0000-000079390000}"/>
    <cellStyle name="Normal 2 2 2 2 4 2 2 8 4 5" xfId="14756" xr:uid="{00000000-0005-0000-0000-00007A390000}"/>
    <cellStyle name="Normal 2 2 2 2 4 2 2 8 4 6" xfId="14757" xr:uid="{00000000-0005-0000-0000-00007B390000}"/>
    <cellStyle name="Normal 2 2 2 2 4 2 2 8 4 7" xfId="14758" xr:uid="{00000000-0005-0000-0000-00007C390000}"/>
    <cellStyle name="Normal 2 2 2 2 4 2 2 8 4 8" xfId="14759" xr:uid="{00000000-0005-0000-0000-00007D390000}"/>
    <cellStyle name="Normal 2 2 2 2 4 2 2 8 4 9" xfId="14760" xr:uid="{00000000-0005-0000-0000-00007E390000}"/>
    <cellStyle name="Normal 2 2 2 2 4 2 2 8 5" xfId="14761" xr:uid="{00000000-0005-0000-0000-00007F390000}"/>
    <cellStyle name="Normal 2 2 2 2 4 2 2 8 5 10" xfId="14762" xr:uid="{00000000-0005-0000-0000-000080390000}"/>
    <cellStyle name="Normal 2 2 2 2 4 2 2 8 5 2" xfId="14763" xr:uid="{00000000-0005-0000-0000-000081390000}"/>
    <cellStyle name="Normal 2 2 2 2 4 2 2 8 5 3" xfId="14764" xr:uid="{00000000-0005-0000-0000-000082390000}"/>
    <cellStyle name="Normal 2 2 2 2 4 2 2 8 5 4" xfId="14765" xr:uid="{00000000-0005-0000-0000-000083390000}"/>
    <cellStyle name="Normal 2 2 2 2 4 2 2 8 5 5" xfId="14766" xr:uid="{00000000-0005-0000-0000-000084390000}"/>
    <cellStyle name="Normal 2 2 2 2 4 2 2 8 5 6" xfId="14767" xr:uid="{00000000-0005-0000-0000-000085390000}"/>
    <cellStyle name="Normal 2 2 2 2 4 2 2 8 5 7" xfId="14768" xr:uid="{00000000-0005-0000-0000-000086390000}"/>
    <cellStyle name="Normal 2 2 2 2 4 2 2 8 5 8" xfId="14769" xr:uid="{00000000-0005-0000-0000-000087390000}"/>
    <cellStyle name="Normal 2 2 2 2 4 2 2 8 5 9" xfId="14770" xr:uid="{00000000-0005-0000-0000-000088390000}"/>
    <cellStyle name="Normal 2 2 2 2 4 2 2 8 6" xfId="14771" xr:uid="{00000000-0005-0000-0000-000089390000}"/>
    <cellStyle name="Normal 2 2 2 2 4 2 2 8 7" xfId="14772" xr:uid="{00000000-0005-0000-0000-00008A390000}"/>
    <cellStyle name="Normal 2 2 2 2 4 2 2 8 8" xfId="14773" xr:uid="{00000000-0005-0000-0000-00008B390000}"/>
    <cellStyle name="Normal 2 2 2 2 4 2 2 8 9" xfId="14774" xr:uid="{00000000-0005-0000-0000-00008C390000}"/>
    <cellStyle name="Normal 2 2 2 2 4 2 2 9" xfId="14775" xr:uid="{00000000-0005-0000-0000-00008D390000}"/>
    <cellStyle name="Normal 2 2 2 2 4 2 2 9 10" xfId="14776" xr:uid="{00000000-0005-0000-0000-00008E390000}"/>
    <cellStyle name="Normal 2 2 2 2 4 2 2 9 11" xfId="14777" xr:uid="{00000000-0005-0000-0000-00008F390000}"/>
    <cellStyle name="Normal 2 2 2 2 4 2 2 9 12" xfId="14778" xr:uid="{00000000-0005-0000-0000-000090390000}"/>
    <cellStyle name="Normal 2 2 2 2 4 2 2 9 13" xfId="14779" xr:uid="{00000000-0005-0000-0000-000091390000}"/>
    <cellStyle name="Normal 2 2 2 2 4 2 2 9 14" xfId="14780" xr:uid="{00000000-0005-0000-0000-000092390000}"/>
    <cellStyle name="Normal 2 2 2 2 4 2 2 9 2" xfId="14781" xr:uid="{00000000-0005-0000-0000-000093390000}"/>
    <cellStyle name="Normal 2 2 2 2 4 2 2 9 2 10" xfId="14782" xr:uid="{00000000-0005-0000-0000-000094390000}"/>
    <cellStyle name="Normal 2 2 2 2 4 2 2 9 2 2" xfId="14783" xr:uid="{00000000-0005-0000-0000-000095390000}"/>
    <cellStyle name="Normal 2 2 2 2 4 2 2 9 2 3" xfId="14784" xr:uid="{00000000-0005-0000-0000-000096390000}"/>
    <cellStyle name="Normal 2 2 2 2 4 2 2 9 2 4" xfId="14785" xr:uid="{00000000-0005-0000-0000-000097390000}"/>
    <cellStyle name="Normal 2 2 2 2 4 2 2 9 2 5" xfId="14786" xr:uid="{00000000-0005-0000-0000-000098390000}"/>
    <cellStyle name="Normal 2 2 2 2 4 2 2 9 2 6" xfId="14787" xr:uid="{00000000-0005-0000-0000-000099390000}"/>
    <cellStyle name="Normal 2 2 2 2 4 2 2 9 2 7" xfId="14788" xr:uid="{00000000-0005-0000-0000-00009A390000}"/>
    <cellStyle name="Normal 2 2 2 2 4 2 2 9 2 8" xfId="14789" xr:uid="{00000000-0005-0000-0000-00009B390000}"/>
    <cellStyle name="Normal 2 2 2 2 4 2 2 9 2 9" xfId="14790" xr:uid="{00000000-0005-0000-0000-00009C390000}"/>
    <cellStyle name="Normal 2 2 2 2 4 2 2 9 3" xfId="14791" xr:uid="{00000000-0005-0000-0000-00009D390000}"/>
    <cellStyle name="Normal 2 2 2 2 4 2 2 9 3 10" xfId="14792" xr:uid="{00000000-0005-0000-0000-00009E390000}"/>
    <cellStyle name="Normal 2 2 2 2 4 2 2 9 3 2" xfId="14793" xr:uid="{00000000-0005-0000-0000-00009F390000}"/>
    <cellStyle name="Normal 2 2 2 2 4 2 2 9 3 3" xfId="14794" xr:uid="{00000000-0005-0000-0000-0000A0390000}"/>
    <cellStyle name="Normal 2 2 2 2 4 2 2 9 3 4" xfId="14795" xr:uid="{00000000-0005-0000-0000-0000A1390000}"/>
    <cellStyle name="Normal 2 2 2 2 4 2 2 9 3 5" xfId="14796" xr:uid="{00000000-0005-0000-0000-0000A2390000}"/>
    <cellStyle name="Normal 2 2 2 2 4 2 2 9 3 6" xfId="14797" xr:uid="{00000000-0005-0000-0000-0000A3390000}"/>
    <cellStyle name="Normal 2 2 2 2 4 2 2 9 3 7" xfId="14798" xr:uid="{00000000-0005-0000-0000-0000A4390000}"/>
    <cellStyle name="Normal 2 2 2 2 4 2 2 9 3 8" xfId="14799" xr:uid="{00000000-0005-0000-0000-0000A5390000}"/>
    <cellStyle name="Normal 2 2 2 2 4 2 2 9 3 9" xfId="14800" xr:uid="{00000000-0005-0000-0000-0000A6390000}"/>
    <cellStyle name="Normal 2 2 2 2 4 2 2 9 4" xfId="14801" xr:uid="{00000000-0005-0000-0000-0000A7390000}"/>
    <cellStyle name="Normal 2 2 2 2 4 2 2 9 4 10" xfId="14802" xr:uid="{00000000-0005-0000-0000-0000A8390000}"/>
    <cellStyle name="Normal 2 2 2 2 4 2 2 9 4 2" xfId="14803" xr:uid="{00000000-0005-0000-0000-0000A9390000}"/>
    <cellStyle name="Normal 2 2 2 2 4 2 2 9 4 3" xfId="14804" xr:uid="{00000000-0005-0000-0000-0000AA390000}"/>
    <cellStyle name="Normal 2 2 2 2 4 2 2 9 4 4" xfId="14805" xr:uid="{00000000-0005-0000-0000-0000AB390000}"/>
    <cellStyle name="Normal 2 2 2 2 4 2 2 9 4 5" xfId="14806" xr:uid="{00000000-0005-0000-0000-0000AC390000}"/>
    <cellStyle name="Normal 2 2 2 2 4 2 2 9 4 6" xfId="14807" xr:uid="{00000000-0005-0000-0000-0000AD390000}"/>
    <cellStyle name="Normal 2 2 2 2 4 2 2 9 4 7" xfId="14808" xr:uid="{00000000-0005-0000-0000-0000AE390000}"/>
    <cellStyle name="Normal 2 2 2 2 4 2 2 9 4 8" xfId="14809" xr:uid="{00000000-0005-0000-0000-0000AF390000}"/>
    <cellStyle name="Normal 2 2 2 2 4 2 2 9 4 9" xfId="14810" xr:uid="{00000000-0005-0000-0000-0000B0390000}"/>
    <cellStyle name="Normal 2 2 2 2 4 2 2 9 5" xfId="14811" xr:uid="{00000000-0005-0000-0000-0000B1390000}"/>
    <cellStyle name="Normal 2 2 2 2 4 2 2 9 5 10" xfId="14812" xr:uid="{00000000-0005-0000-0000-0000B2390000}"/>
    <cellStyle name="Normal 2 2 2 2 4 2 2 9 5 2" xfId="14813" xr:uid="{00000000-0005-0000-0000-0000B3390000}"/>
    <cellStyle name="Normal 2 2 2 2 4 2 2 9 5 3" xfId="14814" xr:uid="{00000000-0005-0000-0000-0000B4390000}"/>
    <cellStyle name="Normal 2 2 2 2 4 2 2 9 5 4" xfId="14815" xr:uid="{00000000-0005-0000-0000-0000B5390000}"/>
    <cellStyle name="Normal 2 2 2 2 4 2 2 9 5 5" xfId="14816" xr:uid="{00000000-0005-0000-0000-0000B6390000}"/>
    <cellStyle name="Normal 2 2 2 2 4 2 2 9 5 6" xfId="14817" xr:uid="{00000000-0005-0000-0000-0000B7390000}"/>
    <cellStyle name="Normal 2 2 2 2 4 2 2 9 5 7" xfId="14818" xr:uid="{00000000-0005-0000-0000-0000B8390000}"/>
    <cellStyle name="Normal 2 2 2 2 4 2 2 9 5 8" xfId="14819" xr:uid="{00000000-0005-0000-0000-0000B9390000}"/>
    <cellStyle name="Normal 2 2 2 2 4 2 2 9 5 9" xfId="14820" xr:uid="{00000000-0005-0000-0000-0000BA390000}"/>
    <cellStyle name="Normal 2 2 2 2 4 2 2 9 6" xfId="14821" xr:uid="{00000000-0005-0000-0000-0000BB390000}"/>
    <cellStyle name="Normal 2 2 2 2 4 2 2 9 7" xfId="14822" xr:uid="{00000000-0005-0000-0000-0000BC390000}"/>
    <cellStyle name="Normal 2 2 2 2 4 2 2 9 8" xfId="14823" xr:uid="{00000000-0005-0000-0000-0000BD390000}"/>
    <cellStyle name="Normal 2 2 2 2 4 2 2 9 9" xfId="14824" xr:uid="{00000000-0005-0000-0000-0000BE390000}"/>
    <cellStyle name="Normal 2 2 2 2 4 2 20" xfId="14825" xr:uid="{00000000-0005-0000-0000-0000BF390000}"/>
    <cellStyle name="Normal 2 2 2 2 4 2 21" xfId="14826" xr:uid="{00000000-0005-0000-0000-0000C0390000}"/>
    <cellStyle name="Normal 2 2 2 2 4 2 21 10" xfId="14827" xr:uid="{00000000-0005-0000-0000-0000C1390000}"/>
    <cellStyle name="Normal 2 2 2 2 4 2 21 2" xfId="14828" xr:uid="{00000000-0005-0000-0000-0000C2390000}"/>
    <cellStyle name="Normal 2 2 2 2 4 2 21 3" xfId="14829" xr:uid="{00000000-0005-0000-0000-0000C3390000}"/>
    <cellStyle name="Normal 2 2 2 2 4 2 21 4" xfId="14830" xr:uid="{00000000-0005-0000-0000-0000C4390000}"/>
    <cellStyle name="Normal 2 2 2 2 4 2 21 5" xfId="14831" xr:uid="{00000000-0005-0000-0000-0000C5390000}"/>
    <cellStyle name="Normal 2 2 2 2 4 2 21 6" xfId="14832" xr:uid="{00000000-0005-0000-0000-0000C6390000}"/>
    <cellStyle name="Normal 2 2 2 2 4 2 21 7" xfId="14833" xr:uid="{00000000-0005-0000-0000-0000C7390000}"/>
    <cellStyle name="Normal 2 2 2 2 4 2 21 8" xfId="14834" xr:uid="{00000000-0005-0000-0000-0000C8390000}"/>
    <cellStyle name="Normal 2 2 2 2 4 2 21 9" xfId="14835" xr:uid="{00000000-0005-0000-0000-0000C9390000}"/>
    <cellStyle name="Normal 2 2 2 2 4 2 22" xfId="14836" xr:uid="{00000000-0005-0000-0000-0000CA390000}"/>
    <cellStyle name="Normal 2 2 2 2 4 2 22 10" xfId="14837" xr:uid="{00000000-0005-0000-0000-0000CB390000}"/>
    <cellStyle name="Normal 2 2 2 2 4 2 22 2" xfId="14838" xr:uid="{00000000-0005-0000-0000-0000CC390000}"/>
    <cellStyle name="Normal 2 2 2 2 4 2 22 3" xfId="14839" xr:uid="{00000000-0005-0000-0000-0000CD390000}"/>
    <cellStyle name="Normal 2 2 2 2 4 2 22 4" xfId="14840" xr:uid="{00000000-0005-0000-0000-0000CE390000}"/>
    <cellStyle name="Normal 2 2 2 2 4 2 22 5" xfId="14841" xr:uid="{00000000-0005-0000-0000-0000CF390000}"/>
    <cellStyle name="Normal 2 2 2 2 4 2 22 6" xfId="14842" xr:uid="{00000000-0005-0000-0000-0000D0390000}"/>
    <cellStyle name="Normal 2 2 2 2 4 2 22 7" xfId="14843" xr:uid="{00000000-0005-0000-0000-0000D1390000}"/>
    <cellStyle name="Normal 2 2 2 2 4 2 22 8" xfId="14844" xr:uid="{00000000-0005-0000-0000-0000D2390000}"/>
    <cellStyle name="Normal 2 2 2 2 4 2 22 9" xfId="14845" xr:uid="{00000000-0005-0000-0000-0000D3390000}"/>
    <cellStyle name="Normal 2 2 2 2 4 2 23" xfId="14846" xr:uid="{00000000-0005-0000-0000-0000D4390000}"/>
    <cellStyle name="Normal 2 2 2 2 4 2 23 10" xfId="14847" xr:uid="{00000000-0005-0000-0000-0000D5390000}"/>
    <cellStyle name="Normal 2 2 2 2 4 2 23 2" xfId="14848" xr:uid="{00000000-0005-0000-0000-0000D6390000}"/>
    <cellStyle name="Normal 2 2 2 2 4 2 23 3" xfId="14849" xr:uid="{00000000-0005-0000-0000-0000D7390000}"/>
    <cellStyle name="Normal 2 2 2 2 4 2 23 4" xfId="14850" xr:uid="{00000000-0005-0000-0000-0000D8390000}"/>
    <cellStyle name="Normal 2 2 2 2 4 2 23 5" xfId="14851" xr:uid="{00000000-0005-0000-0000-0000D9390000}"/>
    <cellStyle name="Normal 2 2 2 2 4 2 23 6" xfId="14852" xr:uid="{00000000-0005-0000-0000-0000DA390000}"/>
    <cellStyle name="Normal 2 2 2 2 4 2 23 7" xfId="14853" xr:uid="{00000000-0005-0000-0000-0000DB390000}"/>
    <cellStyle name="Normal 2 2 2 2 4 2 23 8" xfId="14854" xr:uid="{00000000-0005-0000-0000-0000DC390000}"/>
    <cellStyle name="Normal 2 2 2 2 4 2 23 9" xfId="14855" xr:uid="{00000000-0005-0000-0000-0000DD390000}"/>
    <cellStyle name="Normal 2 2 2 2 4 2 24" xfId="14856" xr:uid="{00000000-0005-0000-0000-0000DE390000}"/>
    <cellStyle name="Normal 2 2 2 2 4 2 24 10" xfId="14857" xr:uid="{00000000-0005-0000-0000-0000DF390000}"/>
    <cellStyle name="Normal 2 2 2 2 4 2 24 2" xfId="14858" xr:uid="{00000000-0005-0000-0000-0000E0390000}"/>
    <cellStyle name="Normal 2 2 2 2 4 2 24 3" xfId="14859" xr:uid="{00000000-0005-0000-0000-0000E1390000}"/>
    <cellStyle name="Normal 2 2 2 2 4 2 24 4" xfId="14860" xr:uid="{00000000-0005-0000-0000-0000E2390000}"/>
    <cellStyle name="Normal 2 2 2 2 4 2 24 5" xfId="14861" xr:uid="{00000000-0005-0000-0000-0000E3390000}"/>
    <cellStyle name="Normal 2 2 2 2 4 2 24 6" xfId="14862" xr:uid="{00000000-0005-0000-0000-0000E4390000}"/>
    <cellStyle name="Normal 2 2 2 2 4 2 24 7" xfId="14863" xr:uid="{00000000-0005-0000-0000-0000E5390000}"/>
    <cellStyle name="Normal 2 2 2 2 4 2 24 8" xfId="14864" xr:uid="{00000000-0005-0000-0000-0000E6390000}"/>
    <cellStyle name="Normal 2 2 2 2 4 2 24 9" xfId="14865" xr:uid="{00000000-0005-0000-0000-0000E7390000}"/>
    <cellStyle name="Normal 2 2 2 2 4 2 25" xfId="14866" xr:uid="{00000000-0005-0000-0000-0000E8390000}"/>
    <cellStyle name="Normal 2 2 2 2 4 2 26" xfId="14867" xr:uid="{00000000-0005-0000-0000-0000E9390000}"/>
    <cellStyle name="Normal 2 2 2 2 4 2 27" xfId="14868" xr:uid="{00000000-0005-0000-0000-0000EA390000}"/>
    <cellStyle name="Normal 2 2 2 2 4 2 28" xfId="14869" xr:uid="{00000000-0005-0000-0000-0000EB390000}"/>
    <cellStyle name="Normal 2 2 2 2 4 2 29" xfId="14870" xr:uid="{00000000-0005-0000-0000-0000EC390000}"/>
    <cellStyle name="Normal 2 2 2 2 4 2 3" xfId="14871" xr:uid="{00000000-0005-0000-0000-0000ED390000}"/>
    <cellStyle name="Normal 2 2 2 2 4 2 30" xfId="14872" xr:uid="{00000000-0005-0000-0000-0000EE390000}"/>
    <cellStyle name="Normal 2 2 2 2 4 2 31" xfId="14873" xr:uid="{00000000-0005-0000-0000-0000EF390000}"/>
    <cellStyle name="Normal 2 2 2 2 4 2 32" xfId="14874" xr:uid="{00000000-0005-0000-0000-0000F0390000}"/>
    <cellStyle name="Normal 2 2 2 2 4 2 33" xfId="14875" xr:uid="{00000000-0005-0000-0000-0000F1390000}"/>
    <cellStyle name="Normal 2 2 2 2 4 2 34" xfId="14876" xr:uid="{00000000-0005-0000-0000-0000F2390000}"/>
    <cellStyle name="Normal 2 2 2 2 4 2 35" xfId="14877" xr:uid="{00000000-0005-0000-0000-0000F3390000}"/>
    <cellStyle name="Normal 2 2 2 2 4 2 4" xfId="14878" xr:uid="{00000000-0005-0000-0000-0000F4390000}"/>
    <cellStyle name="Normal 2 2 2 2 4 2 5" xfId="14879" xr:uid="{00000000-0005-0000-0000-0000F5390000}"/>
    <cellStyle name="Normal 2 2 2 2 4 2 6" xfId="14880" xr:uid="{00000000-0005-0000-0000-0000F6390000}"/>
    <cellStyle name="Normal 2 2 2 2 4 2 7" xfId="14881" xr:uid="{00000000-0005-0000-0000-0000F7390000}"/>
    <cellStyle name="Normal 2 2 2 2 4 2 8" xfId="14882" xr:uid="{00000000-0005-0000-0000-0000F8390000}"/>
    <cellStyle name="Normal 2 2 2 2 4 2 9" xfId="14883" xr:uid="{00000000-0005-0000-0000-0000F9390000}"/>
    <cellStyle name="Normal 2 2 2 2 4 20" xfId="14884" xr:uid="{00000000-0005-0000-0000-0000FA390000}"/>
    <cellStyle name="Normal 2 2 2 2 4 20 10" xfId="14885" xr:uid="{00000000-0005-0000-0000-0000FB390000}"/>
    <cellStyle name="Normal 2 2 2 2 4 20 11" xfId="14886" xr:uid="{00000000-0005-0000-0000-0000FC390000}"/>
    <cellStyle name="Normal 2 2 2 2 4 20 12" xfId="14887" xr:uid="{00000000-0005-0000-0000-0000FD390000}"/>
    <cellStyle name="Normal 2 2 2 2 4 20 13" xfId="14888" xr:uid="{00000000-0005-0000-0000-0000FE390000}"/>
    <cellStyle name="Normal 2 2 2 2 4 20 14" xfId="14889" xr:uid="{00000000-0005-0000-0000-0000FF390000}"/>
    <cellStyle name="Normal 2 2 2 2 4 20 2" xfId="14890" xr:uid="{00000000-0005-0000-0000-0000003A0000}"/>
    <cellStyle name="Normal 2 2 2 2 4 20 2 10" xfId="14891" xr:uid="{00000000-0005-0000-0000-0000013A0000}"/>
    <cellStyle name="Normal 2 2 2 2 4 20 2 2" xfId="14892" xr:uid="{00000000-0005-0000-0000-0000023A0000}"/>
    <cellStyle name="Normal 2 2 2 2 4 20 2 3" xfId="14893" xr:uid="{00000000-0005-0000-0000-0000033A0000}"/>
    <cellStyle name="Normal 2 2 2 2 4 20 2 4" xfId="14894" xr:uid="{00000000-0005-0000-0000-0000043A0000}"/>
    <cellStyle name="Normal 2 2 2 2 4 20 2 5" xfId="14895" xr:uid="{00000000-0005-0000-0000-0000053A0000}"/>
    <cellStyle name="Normal 2 2 2 2 4 20 2 6" xfId="14896" xr:uid="{00000000-0005-0000-0000-0000063A0000}"/>
    <cellStyle name="Normal 2 2 2 2 4 20 2 7" xfId="14897" xr:uid="{00000000-0005-0000-0000-0000073A0000}"/>
    <cellStyle name="Normal 2 2 2 2 4 20 2 8" xfId="14898" xr:uid="{00000000-0005-0000-0000-0000083A0000}"/>
    <cellStyle name="Normal 2 2 2 2 4 20 2 9" xfId="14899" xr:uid="{00000000-0005-0000-0000-0000093A0000}"/>
    <cellStyle name="Normal 2 2 2 2 4 20 3" xfId="14900" xr:uid="{00000000-0005-0000-0000-00000A3A0000}"/>
    <cellStyle name="Normal 2 2 2 2 4 20 3 10" xfId="14901" xr:uid="{00000000-0005-0000-0000-00000B3A0000}"/>
    <cellStyle name="Normal 2 2 2 2 4 20 3 2" xfId="14902" xr:uid="{00000000-0005-0000-0000-00000C3A0000}"/>
    <cellStyle name="Normal 2 2 2 2 4 20 3 3" xfId="14903" xr:uid="{00000000-0005-0000-0000-00000D3A0000}"/>
    <cellStyle name="Normal 2 2 2 2 4 20 3 4" xfId="14904" xr:uid="{00000000-0005-0000-0000-00000E3A0000}"/>
    <cellStyle name="Normal 2 2 2 2 4 20 3 5" xfId="14905" xr:uid="{00000000-0005-0000-0000-00000F3A0000}"/>
    <cellStyle name="Normal 2 2 2 2 4 20 3 6" xfId="14906" xr:uid="{00000000-0005-0000-0000-0000103A0000}"/>
    <cellStyle name="Normal 2 2 2 2 4 20 3 7" xfId="14907" xr:uid="{00000000-0005-0000-0000-0000113A0000}"/>
    <cellStyle name="Normal 2 2 2 2 4 20 3 8" xfId="14908" xr:uid="{00000000-0005-0000-0000-0000123A0000}"/>
    <cellStyle name="Normal 2 2 2 2 4 20 3 9" xfId="14909" xr:uid="{00000000-0005-0000-0000-0000133A0000}"/>
    <cellStyle name="Normal 2 2 2 2 4 20 4" xfId="14910" xr:uid="{00000000-0005-0000-0000-0000143A0000}"/>
    <cellStyle name="Normal 2 2 2 2 4 20 4 10" xfId="14911" xr:uid="{00000000-0005-0000-0000-0000153A0000}"/>
    <cellStyle name="Normal 2 2 2 2 4 20 4 2" xfId="14912" xr:uid="{00000000-0005-0000-0000-0000163A0000}"/>
    <cellStyle name="Normal 2 2 2 2 4 20 4 3" xfId="14913" xr:uid="{00000000-0005-0000-0000-0000173A0000}"/>
    <cellStyle name="Normal 2 2 2 2 4 20 4 4" xfId="14914" xr:uid="{00000000-0005-0000-0000-0000183A0000}"/>
    <cellStyle name="Normal 2 2 2 2 4 20 4 5" xfId="14915" xr:uid="{00000000-0005-0000-0000-0000193A0000}"/>
    <cellStyle name="Normal 2 2 2 2 4 20 4 6" xfId="14916" xr:uid="{00000000-0005-0000-0000-00001A3A0000}"/>
    <cellStyle name="Normal 2 2 2 2 4 20 4 7" xfId="14917" xr:uid="{00000000-0005-0000-0000-00001B3A0000}"/>
    <cellStyle name="Normal 2 2 2 2 4 20 4 8" xfId="14918" xr:uid="{00000000-0005-0000-0000-00001C3A0000}"/>
    <cellStyle name="Normal 2 2 2 2 4 20 4 9" xfId="14919" xr:uid="{00000000-0005-0000-0000-00001D3A0000}"/>
    <cellStyle name="Normal 2 2 2 2 4 20 5" xfId="14920" xr:uid="{00000000-0005-0000-0000-00001E3A0000}"/>
    <cellStyle name="Normal 2 2 2 2 4 20 5 10" xfId="14921" xr:uid="{00000000-0005-0000-0000-00001F3A0000}"/>
    <cellStyle name="Normal 2 2 2 2 4 20 5 2" xfId="14922" xr:uid="{00000000-0005-0000-0000-0000203A0000}"/>
    <cellStyle name="Normal 2 2 2 2 4 20 5 3" xfId="14923" xr:uid="{00000000-0005-0000-0000-0000213A0000}"/>
    <cellStyle name="Normal 2 2 2 2 4 20 5 4" xfId="14924" xr:uid="{00000000-0005-0000-0000-0000223A0000}"/>
    <cellStyle name="Normal 2 2 2 2 4 20 5 5" xfId="14925" xr:uid="{00000000-0005-0000-0000-0000233A0000}"/>
    <cellStyle name="Normal 2 2 2 2 4 20 5 6" xfId="14926" xr:uid="{00000000-0005-0000-0000-0000243A0000}"/>
    <cellStyle name="Normal 2 2 2 2 4 20 5 7" xfId="14927" xr:uid="{00000000-0005-0000-0000-0000253A0000}"/>
    <cellStyle name="Normal 2 2 2 2 4 20 5 8" xfId="14928" xr:uid="{00000000-0005-0000-0000-0000263A0000}"/>
    <cellStyle name="Normal 2 2 2 2 4 20 5 9" xfId="14929" xr:uid="{00000000-0005-0000-0000-0000273A0000}"/>
    <cellStyle name="Normal 2 2 2 2 4 20 6" xfId="14930" xr:uid="{00000000-0005-0000-0000-0000283A0000}"/>
    <cellStyle name="Normal 2 2 2 2 4 20 7" xfId="14931" xr:uid="{00000000-0005-0000-0000-0000293A0000}"/>
    <cellStyle name="Normal 2 2 2 2 4 20 8" xfId="14932" xr:uid="{00000000-0005-0000-0000-00002A3A0000}"/>
    <cellStyle name="Normal 2 2 2 2 4 20 9" xfId="14933" xr:uid="{00000000-0005-0000-0000-00002B3A0000}"/>
    <cellStyle name="Normal 2 2 2 2 4 21" xfId="14934" xr:uid="{00000000-0005-0000-0000-00002C3A0000}"/>
    <cellStyle name="Normal 2 2 2 2 4 21 10" xfId="14935" xr:uid="{00000000-0005-0000-0000-00002D3A0000}"/>
    <cellStyle name="Normal 2 2 2 2 4 21 11" xfId="14936" xr:uid="{00000000-0005-0000-0000-00002E3A0000}"/>
    <cellStyle name="Normal 2 2 2 2 4 21 12" xfId="14937" xr:uid="{00000000-0005-0000-0000-00002F3A0000}"/>
    <cellStyle name="Normal 2 2 2 2 4 21 13" xfId="14938" xr:uid="{00000000-0005-0000-0000-0000303A0000}"/>
    <cellStyle name="Normal 2 2 2 2 4 21 14" xfId="14939" xr:uid="{00000000-0005-0000-0000-0000313A0000}"/>
    <cellStyle name="Normal 2 2 2 2 4 21 2" xfId="14940" xr:uid="{00000000-0005-0000-0000-0000323A0000}"/>
    <cellStyle name="Normal 2 2 2 2 4 21 2 10" xfId="14941" xr:uid="{00000000-0005-0000-0000-0000333A0000}"/>
    <cellStyle name="Normal 2 2 2 2 4 21 2 2" xfId="14942" xr:uid="{00000000-0005-0000-0000-0000343A0000}"/>
    <cellStyle name="Normal 2 2 2 2 4 21 2 3" xfId="14943" xr:uid="{00000000-0005-0000-0000-0000353A0000}"/>
    <cellStyle name="Normal 2 2 2 2 4 21 2 4" xfId="14944" xr:uid="{00000000-0005-0000-0000-0000363A0000}"/>
    <cellStyle name="Normal 2 2 2 2 4 21 2 5" xfId="14945" xr:uid="{00000000-0005-0000-0000-0000373A0000}"/>
    <cellStyle name="Normal 2 2 2 2 4 21 2 6" xfId="14946" xr:uid="{00000000-0005-0000-0000-0000383A0000}"/>
    <cellStyle name="Normal 2 2 2 2 4 21 2 7" xfId="14947" xr:uid="{00000000-0005-0000-0000-0000393A0000}"/>
    <cellStyle name="Normal 2 2 2 2 4 21 2 8" xfId="14948" xr:uid="{00000000-0005-0000-0000-00003A3A0000}"/>
    <cellStyle name="Normal 2 2 2 2 4 21 2 9" xfId="14949" xr:uid="{00000000-0005-0000-0000-00003B3A0000}"/>
    <cellStyle name="Normal 2 2 2 2 4 21 3" xfId="14950" xr:uid="{00000000-0005-0000-0000-00003C3A0000}"/>
    <cellStyle name="Normal 2 2 2 2 4 21 3 10" xfId="14951" xr:uid="{00000000-0005-0000-0000-00003D3A0000}"/>
    <cellStyle name="Normal 2 2 2 2 4 21 3 2" xfId="14952" xr:uid="{00000000-0005-0000-0000-00003E3A0000}"/>
    <cellStyle name="Normal 2 2 2 2 4 21 3 3" xfId="14953" xr:uid="{00000000-0005-0000-0000-00003F3A0000}"/>
    <cellStyle name="Normal 2 2 2 2 4 21 3 4" xfId="14954" xr:uid="{00000000-0005-0000-0000-0000403A0000}"/>
    <cellStyle name="Normal 2 2 2 2 4 21 3 5" xfId="14955" xr:uid="{00000000-0005-0000-0000-0000413A0000}"/>
    <cellStyle name="Normal 2 2 2 2 4 21 3 6" xfId="14956" xr:uid="{00000000-0005-0000-0000-0000423A0000}"/>
    <cellStyle name="Normal 2 2 2 2 4 21 3 7" xfId="14957" xr:uid="{00000000-0005-0000-0000-0000433A0000}"/>
    <cellStyle name="Normal 2 2 2 2 4 21 3 8" xfId="14958" xr:uid="{00000000-0005-0000-0000-0000443A0000}"/>
    <cellStyle name="Normal 2 2 2 2 4 21 3 9" xfId="14959" xr:uid="{00000000-0005-0000-0000-0000453A0000}"/>
    <cellStyle name="Normal 2 2 2 2 4 21 4" xfId="14960" xr:uid="{00000000-0005-0000-0000-0000463A0000}"/>
    <cellStyle name="Normal 2 2 2 2 4 21 4 10" xfId="14961" xr:uid="{00000000-0005-0000-0000-0000473A0000}"/>
    <cellStyle name="Normal 2 2 2 2 4 21 4 2" xfId="14962" xr:uid="{00000000-0005-0000-0000-0000483A0000}"/>
    <cellStyle name="Normal 2 2 2 2 4 21 4 3" xfId="14963" xr:uid="{00000000-0005-0000-0000-0000493A0000}"/>
    <cellStyle name="Normal 2 2 2 2 4 21 4 4" xfId="14964" xr:uid="{00000000-0005-0000-0000-00004A3A0000}"/>
    <cellStyle name="Normal 2 2 2 2 4 21 4 5" xfId="14965" xr:uid="{00000000-0005-0000-0000-00004B3A0000}"/>
    <cellStyle name="Normal 2 2 2 2 4 21 4 6" xfId="14966" xr:uid="{00000000-0005-0000-0000-00004C3A0000}"/>
    <cellStyle name="Normal 2 2 2 2 4 21 4 7" xfId="14967" xr:uid="{00000000-0005-0000-0000-00004D3A0000}"/>
    <cellStyle name="Normal 2 2 2 2 4 21 4 8" xfId="14968" xr:uid="{00000000-0005-0000-0000-00004E3A0000}"/>
    <cellStyle name="Normal 2 2 2 2 4 21 4 9" xfId="14969" xr:uid="{00000000-0005-0000-0000-00004F3A0000}"/>
    <cellStyle name="Normal 2 2 2 2 4 21 5" xfId="14970" xr:uid="{00000000-0005-0000-0000-0000503A0000}"/>
    <cellStyle name="Normal 2 2 2 2 4 21 5 10" xfId="14971" xr:uid="{00000000-0005-0000-0000-0000513A0000}"/>
    <cellStyle name="Normal 2 2 2 2 4 21 5 2" xfId="14972" xr:uid="{00000000-0005-0000-0000-0000523A0000}"/>
    <cellStyle name="Normal 2 2 2 2 4 21 5 3" xfId="14973" xr:uid="{00000000-0005-0000-0000-0000533A0000}"/>
    <cellStyle name="Normal 2 2 2 2 4 21 5 4" xfId="14974" xr:uid="{00000000-0005-0000-0000-0000543A0000}"/>
    <cellStyle name="Normal 2 2 2 2 4 21 5 5" xfId="14975" xr:uid="{00000000-0005-0000-0000-0000553A0000}"/>
    <cellStyle name="Normal 2 2 2 2 4 21 5 6" xfId="14976" xr:uid="{00000000-0005-0000-0000-0000563A0000}"/>
    <cellStyle name="Normal 2 2 2 2 4 21 5 7" xfId="14977" xr:uid="{00000000-0005-0000-0000-0000573A0000}"/>
    <cellStyle name="Normal 2 2 2 2 4 21 5 8" xfId="14978" xr:uid="{00000000-0005-0000-0000-0000583A0000}"/>
    <cellStyle name="Normal 2 2 2 2 4 21 5 9" xfId="14979" xr:uid="{00000000-0005-0000-0000-0000593A0000}"/>
    <cellStyle name="Normal 2 2 2 2 4 21 6" xfId="14980" xr:uid="{00000000-0005-0000-0000-00005A3A0000}"/>
    <cellStyle name="Normal 2 2 2 2 4 21 7" xfId="14981" xr:uid="{00000000-0005-0000-0000-00005B3A0000}"/>
    <cellStyle name="Normal 2 2 2 2 4 21 8" xfId="14982" xr:uid="{00000000-0005-0000-0000-00005C3A0000}"/>
    <cellStyle name="Normal 2 2 2 2 4 21 9" xfId="14983" xr:uid="{00000000-0005-0000-0000-00005D3A0000}"/>
    <cellStyle name="Normal 2 2 2 2 4 22" xfId="14984" xr:uid="{00000000-0005-0000-0000-00005E3A0000}"/>
    <cellStyle name="Normal 2 2 2 2 4 22 10" xfId="14985" xr:uid="{00000000-0005-0000-0000-00005F3A0000}"/>
    <cellStyle name="Normal 2 2 2 2 4 22 11" xfId="14986" xr:uid="{00000000-0005-0000-0000-0000603A0000}"/>
    <cellStyle name="Normal 2 2 2 2 4 22 12" xfId="14987" xr:uid="{00000000-0005-0000-0000-0000613A0000}"/>
    <cellStyle name="Normal 2 2 2 2 4 22 13" xfId="14988" xr:uid="{00000000-0005-0000-0000-0000623A0000}"/>
    <cellStyle name="Normal 2 2 2 2 4 22 14" xfId="14989" xr:uid="{00000000-0005-0000-0000-0000633A0000}"/>
    <cellStyle name="Normal 2 2 2 2 4 22 2" xfId="14990" xr:uid="{00000000-0005-0000-0000-0000643A0000}"/>
    <cellStyle name="Normal 2 2 2 2 4 22 2 10" xfId="14991" xr:uid="{00000000-0005-0000-0000-0000653A0000}"/>
    <cellStyle name="Normal 2 2 2 2 4 22 2 2" xfId="14992" xr:uid="{00000000-0005-0000-0000-0000663A0000}"/>
    <cellStyle name="Normal 2 2 2 2 4 22 2 3" xfId="14993" xr:uid="{00000000-0005-0000-0000-0000673A0000}"/>
    <cellStyle name="Normal 2 2 2 2 4 22 2 4" xfId="14994" xr:uid="{00000000-0005-0000-0000-0000683A0000}"/>
    <cellStyle name="Normal 2 2 2 2 4 22 2 5" xfId="14995" xr:uid="{00000000-0005-0000-0000-0000693A0000}"/>
    <cellStyle name="Normal 2 2 2 2 4 22 2 6" xfId="14996" xr:uid="{00000000-0005-0000-0000-00006A3A0000}"/>
    <cellStyle name="Normal 2 2 2 2 4 22 2 7" xfId="14997" xr:uid="{00000000-0005-0000-0000-00006B3A0000}"/>
    <cellStyle name="Normal 2 2 2 2 4 22 2 8" xfId="14998" xr:uid="{00000000-0005-0000-0000-00006C3A0000}"/>
    <cellStyle name="Normal 2 2 2 2 4 22 2 9" xfId="14999" xr:uid="{00000000-0005-0000-0000-00006D3A0000}"/>
    <cellStyle name="Normal 2 2 2 2 4 22 3" xfId="15000" xr:uid="{00000000-0005-0000-0000-00006E3A0000}"/>
    <cellStyle name="Normal 2 2 2 2 4 22 3 10" xfId="15001" xr:uid="{00000000-0005-0000-0000-00006F3A0000}"/>
    <cellStyle name="Normal 2 2 2 2 4 22 3 2" xfId="15002" xr:uid="{00000000-0005-0000-0000-0000703A0000}"/>
    <cellStyle name="Normal 2 2 2 2 4 22 3 3" xfId="15003" xr:uid="{00000000-0005-0000-0000-0000713A0000}"/>
    <cellStyle name="Normal 2 2 2 2 4 22 3 4" xfId="15004" xr:uid="{00000000-0005-0000-0000-0000723A0000}"/>
    <cellStyle name="Normal 2 2 2 2 4 22 3 5" xfId="15005" xr:uid="{00000000-0005-0000-0000-0000733A0000}"/>
    <cellStyle name="Normal 2 2 2 2 4 22 3 6" xfId="15006" xr:uid="{00000000-0005-0000-0000-0000743A0000}"/>
    <cellStyle name="Normal 2 2 2 2 4 22 3 7" xfId="15007" xr:uid="{00000000-0005-0000-0000-0000753A0000}"/>
    <cellStyle name="Normal 2 2 2 2 4 22 3 8" xfId="15008" xr:uid="{00000000-0005-0000-0000-0000763A0000}"/>
    <cellStyle name="Normal 2 2 2 2 4 22 3 9" xfId="15009" xr:uid="{00000000-0005-0000-0000-0000773A0000}"/>
    <cellStyle name="Normal 2 2 2 2 4 22 4" xfId="15010" xr:uid="{00000000-0005-0000-0000-0000783A0000}"/>
    <cellStyle name="Normal 2 2 2 2 4 22 4 10" xfId="15011" xr:uid="{00000000-0005-0000-0000-0000793A0000}"/>
    <cellStyle name="Normal 2 2 2 2 4 22 4 2" xfId="15012" xr:uid="{00000000-0005-0000-0000-00007A3A0000}"/>
    <cellStyle name="Normal 2 2 2 2 4 22 4 3" xfId="15013" xr:uid="{00000000-0005-0000-0000-00007B3A0000}"/>
    <cellStyle name="Normal 2 2 2 2 4 22 4 4" xfId="15014" xr:uid="{00000000-0005-0000-0000-00007C3A0000}"/>
    <cellStyle name="Normal 2 2 2 2 4 22 4 5" xfId="15015" xr:uid="{00000000-0005-0000-0000-00007D3A0000}"/>
    <cellStyle name="Normal 2 2 2 2 4 22 4 6" xfId="15016" xr:uid="{00000000-0005-0000-0000-00007E3A0000}"/>
    <cellStyle name="Normal 2 2 2 2 4 22 4 7" xfId="15017" xr:uid="{00000000-0005-0000-0000-00007F3A0000}"/>
    <cellStyle name="Normal 2 2 2 2 4 22 4 8" xfId="15018" xr:uid="{00000000-0005-0000-0000-0000803A0000}"/>
    <cellStyle name="Normal 2 2 2 2 4 22 4 9" xfId="15019" xr:uid="{00000000-0005-0000-0000-0000813A0000}"/>
    <cellStyle name="Normal 2 2 2 2 4 22 5" xfId="15020" xr:uid="{00000000-0005-0000-0000-0000823A0000}"/>
    <cellStyle name="Normal 2 2 2 2 4 22 5 10" xfId="15021" xr:uid="{00000000-0005-0000-0000-0000833A0000}"/>
    <cellStyle name="Normal 2 2 2 2 4 22 5 2" xfId="15022" xr:uid="{00000000-0005-0000-0000-0000843A0000}"/>
    <cellStyle name="Normal 2 2 2 2 4 22 5 3" xfId="15023" xr:uid="{00000000-0005-0000-0000-0000853A0000}"/>
    <cellStyle name="Normal 2 2 2 2 4 22 5 4" xfId="15024" xr:uid="{00000000-0005-0000-0000-0000863A0000}"/>
    <cellStyle name="Normal 2 2 2 2 4 22 5 5" xfId="15025" xr:uid="{00000000-0005-0000-0000-0000873A0000}"/>
    <cellStyle name="Normal 2 2 2 2 4 22 5 6" xfId="15026" xr:uid="{00000000-0005-0000-0000-0000883A0000}"/>
    <cellStyle name="Normal 2 2 2 2 4 22 5 7" xfId="15027" xr:uid="{00000000-0005-0000-0000-0000893A0000}"/>
    <cellStyle name="Normal 2 2 2 2 4 22 5 8" xfId="15028" xr:uid="{00000000-0005-0000-0000-00008A3A0000}"/>
    <cellStyle name="Normal 2 2 2 2 4 22 5 9" xfId="15029" xr:uid="{00000000-0005-0000-0000-00008B3A0000}"/>
    <cellStyle name="Normal 2 2 2 2 4 22 6" xfId="15030" xr:uid="{00000000-0005-0000-0000-00008C3A0000}"/>
    <cellStyle name="Normal 2 2 2 2 4 22 7" xfId="15031" xr:uid="{00000000-0005-0000-0000-00008D3A0000}"/>
    <cellStyle name="Normal 2 2 2 2 4 22 8" xfId="15032" xr:uid="{00000000-0005-0000-0000-00008E3A0000}"/>
    <cellStyle name="Normal 2 2 2 2 4 22 9" xfId="15033" xr:uid="{00000000-0005-0000-0000-00008F3A0000}"/>
    <cellStyle name="Normal 2 2 2 2 4 23" xfId="15034" xr:uid="{00000000-0005-0000-0000-0000903A0000}"/>
    <cellStyle name="Normal 2 2 2 2 4 23 10" xfId="15035" xr:uid="{00000000-0005-0000-0000-0000913A0000}"/>
    <cellStyle name="Normal 2 2 2 2 4 23 11" xfId="15036" xr:uid="{00000000-0005-0000-0000-0000923A0000}"/>
    <cellStyle name="Normal 2 2 2 2 4 23 12" xfId="15037" xr:uid="{00000000-0005-0000-0000-0000933A0000}"/>
    <cellStyle name="Normal 2 2 2 2 4 23 13" xfId="15038" xr:uid="{00000000-0005-0000-0000-0000943A0000}"/>
    <cellStyle name="Normal 2 2 2 2 4 23 14" xfId="15039" xr:uid="{00000000-0005-0000-0000-0000953A0000}"/>
    <cellStyle name="Normal 2 2 2 2 4 23 2" xfId="15040" xr:uid="{00000000-0005-0000-0000-0000963A0000}"/>
    <cellStyle name="Normal 2 2 2 2 4 23 2 10" xfId="15041" xr:uid="{00000000-0005-0000-0000-0000973A0000}"/>
    <cellStyle name="Normal 2 2 2 2 4 23 2 2" xfId="15042" xr:uid="{00000000-0005-0000-0000-0000983A0000}"/>
    <cellStyle name="Normal 2 2 2 2 4 23 2 3" xfId="15043" xr:uid="{00000000-0005-0000-0000-0000993A0000}"/>
    <cellStyle name="Normal 2 2 2 2 4 23 2 4" xfId="15044" xr:uid="{00000000-0005-0000-0000-00009A3A0000}"/>
    <cellStyle name="Normal 2 2 2 2 4 23 2 5" xfId="15045" xr:uid="{00000000-0005-0000-0000-00009B3A0000}"/>
    <cellStyle name="Normal 2 2 2 2 4 23 2 6" xfId="15046" xr:uid="{00000000-0005-0000-0000-00009C3A0000}"/>
    <cellStyle name="Normal 2 2 2 2 4 23 2 7" xfId="15047" xr:uid="{00000000-0005-0000-0000-00009D3A0000}"/>
    <cellStyle name="Normal 2 2 2 2 4 23 2 8" xfId="15048" xr:uid="{00000000-0005-0000-0000-00009E3A0000}"/>
    <cellStyle name="Normal 2 2 2 2 4 23 2 9" xfId="15049" xr:uid="{00000000-0005-0000-0000-00009F3A0000}"/>
    <cellStyle name="Normal 2 2 2 2 4 23 3" xfId="15050" xr:uid="{00000000-0005-0000-0000-0000A03A0000}"/>
    <cellStyle name="Normal 2 2 2 2 4 23 3 10" xfId="15051" xr:uid="{00000000-0005-0000-0000-0000A13A0000}"/>
    <cellStyle name="Normal 2 2 2 2 4 23 3 2" xfId="15052" xr:uid="{00000000-0005-0000-0000-0000A23A0000}"/>
    <cellStyle name="Normal 2 2 2 2 4 23 3 3" xfId="15053" xr:uid="{00000000-0005-0000-0000-0000A33A0000}"/>
    <cellStyle name="Normal 2 2 2 2 4 23 3 4" xfId="15054" xr:uid="{00000000-0005-0000-0000-0000A43A0000}"/>
    <cellStyle name="Normal 2 2 2 2 4 23 3 5" xfId="15055" xr:uid="{00000000-0005-0000-0000-0000A53A0000}"/>
    <cellStyle name="Normal 2 2 2 2 4 23 3 6" xfId="15056" xr:uid="{00000000-0005-0000-0000-0000A63A0000}"/>
    <cellStyle name="Normal 2 2 2 2 4 23 3 7" xfId="15057" xr:uid="{00000000-0005-0000-0000-0000A73A0000}"/>
    <cellStyle name="Normal 2 2 2 2 4 23 3 8" xfId="15058" xr:uid="{00000000-0005-0000-0000-0000A83A0000}"/>
    <cellStyle name="Normal 2 2 2 2 4 23 3 9" xfId="15059" xr:uid="{00000000-0005-0000-0000-0000A93A0000}"/>
    <cellStyle name="Normal 2 2 2 2 4 23 4" xfId="15060" xr:uid="{00000000-0005-0000-0000-0000AA3A0000}"/>
    <cellStyle name="Normal 2 2 2 2 4 23 4 10" xfId="15061" xr:uid="{00000000-0005-0000-0000-0000AB3A0000}"/>
    <cellStyle name="Normal 2 2 2 2 4 23 4 2" xfId="15062" xr:uid="{00000000-0005-0000-0000-0000AC3A0000}"/>
    <cellStyle name="Normal 2 2 2 2 4 23 4 3" xfId="15063" xr:uid="{00000000-0005-0000-0000-0000AD3A0000}"/>
    <cellStyle name="Normal 2 2 2 2 4 23 4 4" xfId="15064" xr:uid="{00000000-0005-0000-0000-0000AE3A0000}"/>
    <cellStyle name="Normal 2 2 2 2 4 23 4 5" xfId="15065" xr:uid="{00000000-0005-0000-0000-0000AF3A0000}"/>
    <cellStyle name="Normal 2 2 2 2 4 23 4 6" xfId="15066" xr:uid="{00000000-0005-0000-0000-0000B03A0000}"/>
    <cellStyle name="Normal 2 2 2 2 4 23 4 7" xfId="15067" xr:uid="{00000000-0005-0000-0000-0000B13A0000}"/>
    <cellStyle name="Normal 2 2 2 2 4 23 4 8" xfId="15068" xr:uid="{00000000-0005-0000-0000-0000B23A0000}"/>
    <cellStyle name="Normal 2 2 2 2 4 23 4 9" xfId="15069" xr:uid="{00000000-0005-0000-0000-0000B33A0000}"/>
    <cellStyle name="Normal 2 2 2 2 4 23 5" xfId="15070" xr:uid="{00000000-0005-0000-0000-0000B43A0000}"/>
    <cellStyle name="Normal 2 2 2 2 4 23 5 10" xfId="15071" xr:uid="{00000000-0005-0000-0000-0000B53A0000}"/>
    <cellStyle name="Normal 2 2 2 2 4 23 5 2" xfId="15072" xr:uid="{00000000-0005-0000-0000-0000B63A0000}"/>
    <cellStyle name="Normal 2 2 2 2 4 23 5 3" xfId="15073" xr:uid="{00000000-0005-0000-0000-0000B73A0000}"/>
    <cellStyle name="Normal 2 2 2 2 4 23 5 4" xfId="15074" xr:uid="{00000000-0005-0000-0000-0000B83A0000}"/>
    <cellStyle name="Normal 2 2 2 2 4 23 5 5" xfId="15075" xr:uid="{00000000-0005-0000-0000-0000B93A0000}"/>
    <cellStyle name="Normal 2 2 2 2 4 23 5 6" xfId="15076" xr:uid="{00000000-0005-0000-0000-0000BA3A0000}"/>
    <cellStyle name="Normal 2 2 2 2 4 23 5 7" xfId="15077" xr:uid="{00000000-0005-0000-0000-0000BB3A0000}"/>
    <cellStyle name="Normal 2 2 2 2 4 23 5 8" xfId="15078" xr:uid="{00000000-0005-0000-0000-0000BC3A0000}"/>
    <cellStyle name="Normal 2 2 2 2 4 23 5 9" xfId="15079" xr:uid="{00000000-0005-0000-0000-0000BD3A0000}"/>
    <cellStyle name="Normal 2 2 2 2 4 23 6" xfId="15080" xr:uid="{00000000-0005-0000-0000-0000BE3A0000}"/>
    <cellStyle name="Normal 2 2 2 2 4 23 7" xfId="15081" xr:uid="{00000000-0005-0000-0000-0000BF3A0000}"/>
    <cellStyle name="Normal 2 2 2 2 4 23 8" xfId="15082" xr:uid="{00000000-0005-0000-0000-0000C03A0000}"/>
    <cellStyle name="Normal 2 2 2 2 4 23 9" xfId="15083" xr:uid="{00000000-0005-0000-0000-0000C13A0000}"/>
    <cellStyle name="Normal 2 2 2 2 4 24" xfId="15084" xr:uid="{00000000-0005-0000-0000-0000C23A0000}"/>
    <cellStyle name="Normal 2 2 2 2 4 24 10" xfId="15085" xr:uid="{00000000-0005-0000-0000-0000C33A0000}"/>
    <cellStyle name="Normal 2 2 2 2 4 24 11" xfId="15086" xr:uid="{00000000-0005-0000-0000-0000C43A0000}"/>
    <cellStyle name="Normal 2 2 2 2 4 24 12" xfId="15087" xr:uid="{00000000-0005-0000-0000-0000C53A0000}"/>
    <cellStyle name="Normal 2 2 2 2 4 24 13" xfId="15088" xr:uid="{00000000-0005-0000-0000-0000C63A0000}"/>
    <cellStyle name="Normal 2 2 2 2 4 24 14" xfId="15089" xr:uid="{00000000-0005-0000-0000-0000C73A0000}"/>
    <cellStyle name="Normal 2 2 2 2 4 24 2" xfId="15090" xr:uid="{00000000-0005-0000-0000-0000C83A0000}"/>
    <cellStyle name="Normal 2 2 2 2 4 24 2 10" xfId="15091" xr:uid="{00000000-0005-0000-0000-0000C93A0000}"/>
    <cellStyle name="Normal 2 2 2 2 4 24 2 2" xfId="15092" xr:uid="{00000000-0005-0000-0000-0000CA3A0000}"/>
    <cellStyle name="Normal 2 2 2 2 4 24 2 3" xfId="15093" xr:uid="{00000000-0005-0000-0000-0000CB3A0000}"/>
    <cellStyle name="Normal 2 2 2 2 4 24 2 4" xfId="15094" xr:uid="{00000000-0005-0000-0000-0000CC3A0000}"/>
    <cellStyle name="Normal 2 2 2 2 4 24 2 5" xfId="15095" xr:uid="{00000000-0005-0000-0000-0000CD3A0000}"/>
    <cellStyle name="Normal 2 2 2 2 4 24 2 6" xfId="15096" xr:uid="{00000000-0005-0000-0000-0000CE3A0000}"/>
    <cellStyle name="Normal 2 2 2 2 4 24 2 7" xfId="15097" xr:uid="{00000000-0005-0000-0000-0000CF3A0000}"/>
    <cellStyle name="Normal 2 2 2 2 4 24 2 8" xfId="15098" xr:uid="{00000000-0005-0000-0000-0000D03A0000}"/>
    <cellStyle name="Normal 2 2 2 2 4 24 2 9" xfId="15099" xr:uid="{00000000-0005-0000-0000-0000D13A0000}"/>
    <cellStyle name="Normal 2 2 2 2 4 24 3" xfId="15100" xr:uid="{00000000-0005-0000-0000-0000D23A0000}"/>
    <cellStyle name="Normal 2 2 2 2 4 24 3 10" xfId="15101" xr:uid="{00000000-0005-0000-0000-0000D33A0000}"/>
    <cellStyle name="Normal 2 2 2 2 4 24 3 2" xfId="15102" xr:uid="{00000000-0005-0000-0000-0000D43A0000}"/>
    <cellStyle name="Normal 2 2 2 2 4 24 3 3" xfId="15103" xr:uid="{00000000-0005-0000-0000-0000D53A0000}"/>
    <cellStyle name="Normal 2 2 2 2 4 24 3 4" xfId="15104" xr:uid="{00000000-0005-0000-0000-0000D63A0000}"/>
    <cellStyle name="Normal 2 2 2 2 4 24 3 5" xfId="15105" xr:uid="{00000000-0005-0000-0000-0000D73A0000}"/>
    <cellStyle name="Normal 2 2 2 2 4 24 3 6" xfId="15106" xr:uid="{00000000-0005-0000-0000-0000D83A0000}"/>
    <cellStyle name="Normal 2 2 2 2 4 24 3 7" xfId="15107" xr:uid="{00000000-0005-0000-0000-0000D93A0000}"/>
    <cellStyle name="Normal 2 2 2 2 4 24 3 8" xfId="15108" xr:uid="{00000000-0005-0000-0000-0000DA3A0000}"/>
    <cellStyle name="Normal 2 2 2 2 4 24 3 9" xfId="15109" xr:uid="{00000000-0005-0000-0000-0000DB3A0000}"/>
    <cellStyle name="Normal 2 2 2 2 4 24 4" xfId="15110" xr:uid="{00000000-0005-0000-0000-0000DC3A0000}"/>
    <cellStyle name="Normal 2 2 2 2 4 24 4 10" xfId="15111" xr:uid="{00000000-0005-0000-0000-0000DD3A0000}"/>
    <cellStyle name="Normal 2 2 2 2 4 24 4 2" xfId="15112" xr:uid="{00000000-0005-0000-0000-0000DE3A0000}"/>
    <cellStyle name="Normal 2 2 2 2 4 24 4 3" xfId="15113" xr:uid="{00000000-0005-0000-0000-0000DF3A0000}"/>
    <cellStyle name="Normal 2 2 2 2 4 24 4 4" xfId="15114" xr:uid="{00000000-0005-0000-0000-0000E03A0000}"/>
    <cellStyle name="Normal 2 2 2 2 4 24 4 5" xfId="15115" xr:uid="{00000000-0005-0000-0000-0000E13A0000}"/>
    <cellStyle name="Normal 2 2 2 2 4 24 4 6" xfId="15116" xr:uid="{00000000-0005-0000-0000-0000E23A0000}"/>
    <cellStyle name="Normal 2 2 2 2 4 24 4 7" xfId="15117" xr:uid="{00000000-0005-0000-0000-0000E33A0000}"/>
    <cellStyle name="Normal 2 2 2 2 4 24 4 8" xfId="15118" xr:uid="{00000000-0005-0000-0000-0000E43A0000}"/>
    <cellStyle name="Normal 2 2 2 2 4 24 4 9" xfId="15119" xr:uid="{00000000-0005-0000-0000-0000E53A0000}"/>
    <cellStyle name="Normal 2 2 2 2 4 24 5" xfId="15120" xr:uid="{00000000-0005-0000-0000-0000E63A0000}"/>
    <cellStyle name="Normal 2 2 2 2 4 24 5 10" xfId="15121" xr:uid="{00000000-0005-0000-0000-0000E73A0000}"/>
    <cellStyle name="Normal 2 2 2 2 4 24 5 2" xfId="15122" xr:uid="{00000000-0005-0000-0000-0000E83A0000}"/>
    <cellStyle name="Normal 2 2 2 2 4 24 5 3" xfId="15123" xr:uid="{00000000-0005-0000-0000-0000E93A0000}"/>
    <cellStyle name="Normal 2 2 2 2 4 24 5 4" xfId="15124" xr:uid="{00000000-0005-0000-0000-0000EA3A0000}"/>
    <cellStyle name="Normal 2 2 2 2 4 24 5 5" xfId="15125" xr:uid="{00000000-0005-0000-0000-0000EB3A0000}"/>
    <cellStyle name="Normal 2 2 2 2 4 24 5 6" xfId="15126" xr:uid="{00000000-0005-0000-0000-0000EC3A0000}"/>
    <cellStyle name="Normal 2 2 2 2 4 24 5 7" xfId="15127" xr:uid="{00000000-0005-0000-0000-0000ED3A0000}"/>
    <cellStyle name="Normal 2 2 2 2 4 24 5 8" xfId="15128" xr:uid="{00000000-0005-0000-0000-0000EE3A0000}"/>
    <cellStyle name="Normal 2 2 2 2 4 24 5 9" xfId="15129" xr:uid="{00000000-0005-0000-0000-0000EF3A0000}"/>
    <cellStyle name="Normal 2 2 2 2 4 24 6" xfId="15130" xr:uid="{00000000-0005-0000-0000-0000F03A0000}"/>
    <cellStyle name="Normal 2 2 2 2 4 24 7" xfId="15131" xr:uid="{00000000-0005-0000-0000-0000F13A0000}"/>
    <cellStyle name="Normal 2 2 2 2 4 24 8" xfId="15132" xr:uid="{00000000-0005-0000-0000-0000F23A0000}"/>
    <cellStyle name="Normal 2 2 2 2 4 24 9" xfId="15133" xr:uid="{00000000-0005-0000-0000-0000F33A0000}"/>
    <cellStyle name="Normal 2 2 2 2 4 25" xfId="15134" xr:uid="{00000000-0005-0000-0000-0000F43A0000}"/>
    <cellStyle name="Normal 2 2 2 2 4 25 10" xfId="15135" xr:uid="{00000000-0005-0000-0000-0000F53A0000}"/>
    <cellStyle name="Normal 2 2 2 2 4 25 11" xfId="15136" xr:uid="{00000000-0005-0000-0000-0000F63A0000}"/>
    <cellStyle name="Normal 2 2 2 2 4 25 12" xfId="15137" xr:uid="{00000000-0005-0000-0000-0000F73A0000}"/>
    <cellStyle name="Normal 2 2 2 2 4 25 13" xfId="15138" xr:uid="{00000000-0005-0000-0000-0000F83A0000}"/>
    <cellStyle name="Normal 2 2 2 2 4 25 14" xfId="15139" xr:uid="{00000000-0005-0000-0000-0000F93A0000}"/>
    <cellStyle name="Normal 2 2 2 2 4 25 2" xfId="15140" xr:uid="{00000000-0005-0000-0000-0000FA3A0000}"/>
    <cellStyle name="Normal 2 2 2 2 4 25 2 10" xfId="15141" xr:uid="{00000000-0005-0000-0000-0000FB3A0000}"/>
    <cellStyle name="Normal 2 2 2 2 4 25 2 2" xfId="15142" xr:uid="{00000000-0005-0000-0000-0000FC3A0000}"/>
    <cellStyle name="Normal 2 2 2 2 4 25 2 3" xfId="15143" xr:uid="{00000000-0005-0000-0000-0000FD3A0000}"/>
    <cellStyle name="Normal 2 2 2 2 4 25 2 4" xfId="15144" xr:uid="{00000000-0005-0000-0000-0000FE3A0000}"/>
    <cellStyle name="Normal 2 2 2 2 4 25 2 5" xfId="15145" xr:uid="{00000000-0005-0000-0000-0000FF3A0000}"/>
    <cellStyle name="Normal 2 2 2 2 4 25 2 6" xfId="15146" xr:uid="{00000000-0005-0000-0000-0000003B0000}"/>
    <cellStyle name="Normal 2 2 2 2 4 25 2 7" xfId="15147" xr:uid="{00000000-0005-0000-0000-0000013B0000}"/>
    <cellStyle name="Normal 2 2 2 2 4 25 2 8" xfId="15148" xr:uid="{00000000-0005-0000-0000-0000023B0000}"/>
    <cellStyle name="Normal 2 2 2 2 4 25 2 9" xfId="15149" xr:uid="{00000000-0005-0000-0000-0000033B0000}"/>
    <cellStyle name="Normal 2 2 2 2 4 25 3" xfId="15150" xr:uid="{00000000-0005-0000-0000-0000043B0000}"/>
    <cellStyle name="Normal 2 2 2 2 4 25 3 10" xfId="15151" xr:uid="{00000000-0005-0000-0000-0000053B0000}"/>
    <cellStyle name="Normal 2 2 2 2 4 25 3 2" xfId="15152" xr:uid="{00000000-0005-0000-0000-0000063B0000}"/>
    <cellStyle name="Normal 2 2 2 2 4 25 3 3" xfId="15153" xr:uid="{00000000-0005-0000-0000-0000073B0000}"/>
    <cellStyle name="Normal 2 2 2 2 4 25 3 4" xfId="15154" xr:uid="{00000000-0005-0000-0000-0000083B0000}"/>
    <cellStyle name="Normal 2 2 2 2 4 25 3 5" xfId="15155" xr:uid="{00000000-0005-0000-0000-0000093B0000}"/>
    <cellStyle name="Normal 2 2 2 2 4 25 3 6" xfId="15156" xr:uid="{00000000-0005-0000-0000-00000A3B0000}"/>
    <cellStyle name="Normal 2 2 2 2 4 25 3 7" xfId="15157" xr:uid="{00000000-0005-0000-0000-00000B3B0000}"/>
    <cellStyle name="Normal 2 2 2 2 4 25 3 8" xfId="15158" xr:uid="{00000000-0005-0000-0000-00000C3B0000}"/>
    <cellStyle name="Normal 2 2 2 2 4 25 3 9" xfId="15159" xr:uid="{00000000-0005-0000-0000-00000D3B0000}"/>
    <cellStyle name="Normal 2 2 2 2 4 25 4" xfId="15160" xr:uid="{00000000-0005-0000-0000-00000E3B0000}"/>
    <cellStyle name="Normal 2 2 2 2 4 25 4 10" xfId="15161" xr:uid="{00000000-0005-0000-0000-00000F3B0000}"/>
    <cellStyle name="Normal 2 2 2 2 4 25 4 2" xfId="15162" xr:uid="{00000000-0005-0000-0000-0000103B0000}"/>
    <cellStyle name="Normal 2 2 2 2 4 25 4 3" xfId="15163" xr:uid="{00000000-0005-0000-0000-0000113B0000}"/>
    <cellStyle name="Normal 2 2 2 2 4 25 4 4" xfId="15164" xr:uid="{00000000-0005-0000-0000-0000123B0000}"/>
    <cellStyle name="Normal 2 2 2 2 4 25 4 5" xfId="15165" xr:uid="{00000000-0005-0000-0000-0000133B0000}"/>
    <cellStyle name="Normal 2 2 2 2 4 25 4 6" xfId="15166" xr:uid="{00000000-0005-0000-0000-0000143B0000}"/>
    <cellStyle name="Normal 2 2 2 2 4 25 4 7" xfId="15167" xr:uid="{00000000-0005-0000-0000-0000153B0000}"/>
    <cellStyle name="Normal 2 2 2 2 4 25 4 8" xfId="15168" xr:uid="{00000000-0005-0000-0000-0000163B0000}"/>
    <cellStyle name="Normal 2 2 2 2 4 25 4 9" xfId="15169" xr:uid="{00000000-0005-0000-0000-0000173B0000}"/>
    <cellStyle name="Normal 2 2 2 2 4 25 5" xfId="15170" xr:uid="{00000000-0005-0000-0000-0000183B0000}"/>
    <cellStyle name="Normal 2 2 2 2 4 25 5 10" xfId="15171" xr:uid="{00000000-0005-0000-0000-0000193B0000}"/>
    <cellStyle name="Normal 2 2 2 2 4 25 5 2" xfId="15172" xr:uid="{00000000-0005-0000-0000-00001A3B0000}"/>
    <cellStyle name="Normal 2 2 2 2 4 25 5 3" xfId="15173" xr:uid="{00000000-0005-0000-0000-00001B3B0000}"/>
    <cellStyle name="Normal 2 2 2 2 4 25 5 4" xfId="15174" xr:uid="{00000000-0005-0000-0000-00001C3B0000}"/>
    <cellStyle name="Normal 2 2 2 2 4 25 5 5" xfId="15175" xr:uid="{00000000-0005-0000-0000-00001D3B0000}"/>
    <cellStyle name="Normal 2 2 2 2 4 25 5 6" xfId="15176" xr:uid="{00000000-0005-0000-0000-00001E3B0000}"/>
    <cellStyle name="Normal 2 2 2 2 4 25 5 7" xfId="15177" xr:uid="{00000000-0005-0000-0000-00001F3B0000}"/>
    <cellStyle name="Normal 2 2 2 2 4 25 5 8" xfId="15178" xr:uid="{00000000-0005-0000-0000-0000203B0000}"/>
    <cellStyle name="Normal 2 2 2 2 4 25 5 9" xfId="15179" xr:uid="{00000000-0005-0000-0000-0000213B0000}"/>
    <cellStyle name="Normal 2 2 2 2 4 25 6" xfId="15180" xr:uid="{00000000-0005-0000-0000-0000223B0000}"/>
    <cellStyle name="Normal 2 2 2 2 4 25 7" xfId="15181" xr:uid="{00000000-0005-0000-0000-0000233B0000}"/>
    <cellStyle name="Normal 2 2 2 2 4 25 8" xfId="15182" xr:uid="{00000000-0005-0000-0000-0000243B0000}"/>
    <cellStyle name="Normal 2 2 2 2 4 25 9" xfId="15183" xr:uid="{00000000-0005-0000-0000-0000253B0000}"/>
    <cellStyle name="Normal 2 2 2 2 4 26" xfId="15184" xr:uid="{00000000-0005-0000-0000-0000263B0000}"/>
    <cellStyle name="Normal 2 2 2 2 4 26 10" xfId="15185" xr:uid="{00000000-0005-0000-0000-0000273B0000}"/>
    <cellStyle name="Normal 2 2 2 2 4 26 11" xfId="15186" xr:uid="{00000000-0005-0000-0000-0000283B0000}"/>
    <cellStyle name="Normal 2 2 2 2 4 26 12" xfId="15187" xr:uid="{00000000-0005-0000-0000-0000293B0000}"/>
    <cellStyle name="Normal 2 2 2 2 4 26 13" xfId="15188" xr:uid="{00000000-0005-0000-0000-00002A3B0000}"/>
    <cellStyle name="Normal 2 2 2 2 4 26 14" xfId="15189" xr:uid="{00000000-0005-0000-0000-00002B3B0000}"/>
    <cellStyle name="Normal 2 2 2 2 4 26 2" xfId="15190" xr:uid="{00000000-0005-0000-0000-00002C3B0000}"/>
    <cellStyle name="Normal 2 2 2 2 4 26 2 10" xfId="15191" xr:uid="{00000000-0005-0000-0000-00002D3B0000}"/>
    <cellStyle name="Normal 2 2 2 2 4 26 2 2" xfId="15192" xr:uid="{00000000-0005-0000-0000-00002E3B0000}"/>
    <cellStyle name="Normal 2 2 2 2 4 26 2 3" xfId="15193" xr:uid="{00000000-0005-0000-0000-00002F3B0000}"/>
    <cellStyle name="Normal 2 2 2 2 4 26 2 4" xfId="15194" xr:uid="{00000000-0005-0000-0000-0000303B0000}"/>
    <cellStyle name="Normal 2 2 2 2 4 26 2 5" xfId="15195" xr:uid="{00000000-0005-0000-0000-0000313B0000}"/>
    <cellStyle name="Normal 2 2 2 2 4 26 2 6" xfId="15196" xr:uid="{00000000-0005-0000-0000-0000323B0000}"/>
    <cellStyle name="Normal 2 2 2 2 4 26 2 7" xfId="15197" xr:uid="{00000000-0005-0000-0000-0000333B0000}"/>
    <cellStyle name="Normal 2 2 2 2 4 26 2 8" xfId="15198" xr:uid="{00000000-0005-0000-0000-0000343B0000}"/>
    <cellStyle name="Normal 2 2 2 2 4 26 2 9" xfId="15199" xr:uid="{00000000-0005-0000-0000-0000353B0000}"/>
    <cellStyle name="Normal 2 2 2 2 4 26 3" xfId="15200" xr:uid="{00000000-0005-0000-0000-0000363B0000}"/>
    <cellStyle name="Normal 2 2 2 2 4 26 3 10" xfId="15201" xr:uid="{00000000-0005-0000-0000-0000373B0000}"/>
    <cellStyle name="Normal 2 2 2 2 4 26 3 2" xfId="15202" xr:uid="{00000000-0005-0000-0000-0000383B0000}"/>
    <cellStyle name="Normal 2 2 2 2 4 26 3 3" xfId="15203" xr:uid="{00000000-0005-0000-0000-0000393B0000}"/>
    <cellStyle name="Normal 2 2 2 2 4 26 3 4" xfId="15204" xr:uid="{00000000-0005-0000-0000-00003A3B0000}"/>
    <cellStyle name="Normal 2 2 2 2 4 26 3 5" xfId="15205" xr:uid="{00000000-0005-0000-0000-00003B3B0000}"/>
    <cellStyle name="Normal 2 2 2 2 4 26 3 6" xfId="15206" xr:uid="{00000000-0005-0000-0000-00003C3B0000}"/>
    <cellStyle name="Normal 2 2 2 2 4 26 3 7" xfId="15207" xr:uid="{00000000-0005-0000-0000-00003D3B0000}"/>
    <cellStyle name="Normal 2 2 2 2 4 26 3 8" xfId="15208" xr:uid="{00000000-0005-0000-0000-00003E3B0000}"/>
    <cellStyle name="Normal 2 2 2 2 4 26 3 9" xfId="15209" xr:uid="{00000000-0005-0000-0000-00003F3B0000}"/>
    <cellStyle name="Normal 2 2 2 2 4 26 4" xfId="15210" xr:uid="{00000000-0005-0000-0000-0000403B0000}"/>
    <cellStyle name="Normal 2 2 2 2 4 26 4 10" xfId="15211" xr:uid="{00000000-0005-0000-0000-0000413B0000}"/>
    <cellStyle name="Normal 2 2 2 2 4 26 4 2" xfId="15212" xr:uid="{00000000-0005-0000-0000-0000423B0000}"/>
    <cellStyle name="Normal 2 2 2 2 4 26 4 3" xfId="15213" xr:uid="{00000000-0005-0000-0000-0000433B0000}"/>
    <cellStyle name="Normal 2 2 2 2 4 26 4 4" xfId="15214" xr:uid="{00000000-0005-0000-0000-0000443B0000}"/>
    <cellStyle name="Normal 2 2 2 2 4 26 4 5" xfId="15215" xr:uid="{00000000-0005-0000-0000-0000453B0000}"/>
    <cellStyle name="Normal 2 2 2 2 4 26 4 6" xfId="15216" xr:uid="{00000000-0005-0000-0000-0000463B0000}"/>
    <cellStyle name="Normal 2 2 2 2 4 26 4 7" xfId="15217" xr:uid="{00000000-0005-0000-0000-0000473B0000}"/>
    <cellStyle name="Normal 2 2 2 2 4 26 4 8" xfId="15218" xr:uid="{00000000-0005-0000-0000-0000483B0000}"/>
    <cellStyle name="Normal 2 2 2 2 4 26 4 9" xfId="15219" xr:uid="{00000000-0005-0000-0000-0000493B0000}"/>
    <cellStyle name="Normal 2 2 2 2 4 26 5" xfId="15220" xr:uid="{00000000-0005-0000-0000-00004A3B0000}"/>
    <cellStyle name="Normal 2 2 2 2 4 26 5 10" xfId="15221" xr:uid="{00000000-0005-0000-0000-00004B3B0000}"/>
    <cellStyle name="Normal 2 2 2 2 4 26 5 2" xfId="15222" xr:uid="{00000000-0005-0000-0000-00004C3B0000}"/>
    <cellStyle name="Normal 2 2 2 2 4 26 5 3" xfId="15223" xr:uid="{00000000-0005-0000-0000-00004D3B0000}"/>
    <cellStyle name="Normal 2 2 2 2 4 26 5 4" xfId="15224" xr:uid="{00000000-0005-0000-0000-00004E3B0000}"/>
    <cellStyle name="Normal 2 2 2 2 4 26 5 5" xfId="15225" xr:uid="{00000000-0005-0000-0000-00004F3B0000}"/>
    <cellStyle name="Normal 2 2 2 2 4 26 5 6" xfId="15226" xr:uid="{00000000-0005-0000-0000-0000503B0000}"/>
    <cellStyle name="Normal 2 2 2 2 4 26 5 7" xfId="15227" xr:uid="{00000000-0005-0000-0000-0000513B0000}"/>
    <cellStyle name="Normal 2 2 2 2 4 26 5 8" xfId="15228" xr:uid="{00000000-0005-0000-0000-0000523B0000}"/>
    <cellStyle name="Normal 2 2 2 2 4 26 5 9" xfId="15229" xr:uid="{00000000-0005-0000-0000-0000533B0000}"/>
    <cellStyle name="Normal 2 2 2 2 4 26 6" xfId="15230" xr:uid="{00000000-0005-0000-0000-0000543B0000}"/>
    <cellStyle name="Normal 2 2 2 2 4 26 7" xfId="15231" xr:uid="{00000000-0005-0000-0000-0000553B0000}"/>
    <cellStyle name="Normal 2 2 2 2 4 26 8" xfId="15232" xr:uid="{00000000-0005-0000-0000-0000563B0000}"/>
    <cellStyle name="Normal 2 2 2 2 4 26 9" xfId="15233" xr:uid="{00000000-0005-0000-0000-0000573B0000}"/>
    <cellStyle name="Normal 2 2 2 2 4 27" xfId="15234" xr:uid="{00000000-0005-0000-0000-0000583B0000}"/>
    <cellStyle name="Normal 2 2 2 2 4 27 10" xfId="15235" xr:uid="{00000000-0005-0000-0000-0000593B0000}"/>
    <cellStyle name="Normal 2 2 2 2 4 27 11" xfId="15236" xr:uid="{00000000-0005-0000-0000-00005A3B0000}"/>
    <cellStyle name="Normal 2 2 2 2 4 27 12" xfId="15237" xr:uid="{00000000-0005-0000-0000-00005B3B0000}"/>
    <cellStyle name="Normal 2 2 2 2 4 27 13" xfId="15238" xr:uid="{00000000-0005-0000-0000-00005C3B0000}"/>
    <cellStyle name="Normal 2 2 2 2 4 27 14" xfId="15239" xr:uid="{00000000-0005-0000-0000-00005D3B0000}"/>
    <cellStyle name="Normal 2 2 2 2 4 27 2" xfId="15240" xr:uid="{00000000-0005-0000-0000-00005E3B0000}"/>
    <cellStyle name="Normal 2 2 2 2 4 27 2 10" xfId="15241" xr:uid="{00000000-0005-0000-0000-00005F3B0000}"/>
    <cellStyle name="Normal 2 2 2 2 4 27 2 2" xfId="15242" xr:uid="{00000000-0005-0000-0000-0000603B0000}"/>
    <cellStyle name="Normal 2 2 2 2 4 27 2 3" xfId="15243" xr:uid="{00000000-0005-0000-0000-0000613B0000}"/>
    <cellStyle name="Normal 2 2 2 2 4 27 2 4" xfId="15244" xr:uid="{00000000-0005-0000-0000-0000623B0000}"/>
    <cellStyle name="Normal 2 2 2 2 4 27 2 5" xfId="15245" xr:uid="{00000000-0005-0000-0000-0000633B0000}"/>
    <cellStyle name="Normal 2 2 2 2 4 27 2 6" xfId="15246" xr:uid="{00000000-0005-0000-0000-0000643B0000}"/>
    <cellStyle name="Normal 2 2 2 2 4 27 2 7" xfId="15247" xr:uid="{00000000-0005-0000-0000-0000653B0000}"/>
    <cellStyle name="Normal 2 2 2 2 4 27 2 8" xfId="15248" xr:uid="{00000000-0005-0000-0000-0000663B0000}"/>
    <cellStyle name="Normal 2 2 2 2 4 27 2 9" xfId="15249" xr:uid="{00000000-0005-0000-0000-0000673B0000}"/>
    <cellStyle name="Normal 2 2 2 2 4 27 3" xfId="15250" xr:uid="{00000000-0005-0000-0000-0000683B0000}"/>
    <cellStyle name="Normal 2 2 2 2 4 27 3 10" xfId="15251" xr:uid="{00000000-0005-0000-0000-0000693B0000}"/>
    <cellStyle name="Normal 2 2 2 2 4 27 3 2" xfId="15252" xr:uid="{00000000-0005-0000-0000-00006A3B0000}"/>
    <cellStyle name="Normal 2 2 2 2 4 27 3 3" xfId="15253" xr:uid="{00000000-0005-0000-0000-00006B3B0000}"/>
    <cellStyle name="Normal 2 2 2 2 4 27 3 4" xfId="15254" xr:uid="{00000000-0005-0000-0000-00006C3B0000}"/>
    <cellStyle name="Normal 2 2 2 2 4 27 3 5" xfId="15255" xr:uid="{00000000-0005-0000-0000-00006D3B0000}"/>
    <cellStyle name="Normal 2 2 2 2 4 27 3 6" xfId="15256" xr:uid="{00000000-0005-0000-0000-00006E3B0000}"/>
    <cellStyle name="Normal 2 2 2 2 4 27 3 7" xfId="15257" xr:uid="{00000000-0005-0000-0000-00006F3B0000}"/>
    <cellStyle name="Normal 2 2 2 2 4 27 3 8" xfId="15258" xr:uid="{00000000-0005-0000-0000-0000703B0000}"/>
    <cellStyle name="Normal 2 2 2 2 4 27 3 9" xfId="15259" xr:uid="{00000000-0005-0000-0000-0000713B0000}"/>
    <cellStyle name="Normal 2 2 2 2 4 27 4" xfId="15260" xr:uid="{00000000-0005-0000-0000-0000723B0000}"/>
    <cellStyle name="Normal 2 2 2 2 4 27 4 10" xfId="15261" xr:uid="{00000000-0005-0000-0000-0000733B0000}"/>
    <cellStyle name="Normal 2 2 2 2 4 27 4 2" xfId="15262" xr:uid="{00000000-0005-0000-0000-0000743B0000}"/>
    <cellStyle name="Normal 2 2 2 2 4 27 4 3" xfId="15263" xr:uid="{00000000-0005-0000-0000-0000753B0000}"/>
    <cellStyle name="Normal 2 2 2 2 4 27 4 4" xfId="15264" xr:uid="{00000000-0005-0000-0000-0000763B0000}"/>
    <cellStyle name="Normal 2 2 2 2 4 27 4 5" xfId="15265" xr:uid="{00000000-0005-0000-0000-0000773B0000}"/>
    <cellStyle name="Normal 2 2 2 2 4 27 4 6" xfId="15266" xr:uid="{00000000-0005-0000-0000-0000783B0000}"/>
    <cellStyle name="Normal 2 2 2 2 4 27 4 7" xfId="15267" xr:uid="{00000000-0005-0000-0000-0000793B0000}"/>
    <cellStyle name="Normal 2 2 2 2 4 27 4 8" xfId="15268" xr:uid="{00000000-0005-0000-0000-00007A3B0000}"/>
    <cellStyle name="Normal 2 2 2 2 4 27 4 9" xfId="15269" xr:uid="{00000000-0005-0000-0000-00007B3B0000}"/>
    <cellStyle name="Normal 2 2 2 2 4 27 5" xfId="15270" xr:uid="{00000000-0005-0000-0000-00007C3B0000}"/>
    <cellStyle name="Normal 2 2 2 2 4 27 5 10" xfId="15271" xr:uid="{00000000-0005-0000-0000-00007D3B0000}"/>
    <cellStyle name="Normal 2 2 2 2 4 27 5 2" xfId="15272" xr:uid="{00000000-0005-0000-0000-00007E3B0000}"/>
    <cellStyle name="Normal 2 2 2 2 4 27 5 3" xfId="15273" xr:uid="{00000000-0005-0000-0000-00007F3B0000}"/>
    <cellStyle name="Normal 2 2 2 2 4 27 5 4" xfId="15274" xr:uid="{00000000-0005-0000-0000-0000803B0000}"/>
    <cellStyle name="Normal 2 2 2 2 4 27 5 5" xfId="15275" xr:uid="{00000000-0005-0000-0000-0000813B0000}"/>
    <cellStyle name="Normal 2 2 2 2 4 27 5 6" xfId="15276" xr:uid="{00000000-0005-0000-0000-0000823B0000}"/>
    <cellStyle name="Normal 2 2 2 2 4 27 5 7" xfId="15277" xr:uid="{00000000-0005-0000-0000-0000833B0000}"/>
    <cellStyle name="Normal 2 2 2 2 4 27 5 8" xfId="15278" xr:uid="{00000000-0005-0000-0000-0000843B0000}"/>
    <cellStyle name="Normal 2 2 2 2 4 27 5 9" xfId="15279" xr:uid="{00000000-0005-0000-0000-0000853B0000}"/>
    <cellStyle name="Normal 2 2 2 2 4 27 6" xfId="15280" xr:uid="{00000000-0005-0000-0000-0000863B0000}"/>
    <cellStyle name="Normal 2 2 2 2 4 27 7" xfId="15281" xr:uid="{00000000-0005-0000-0000-0000873B0000}"/>
    <cellStyle name="Normal 2 2 2 2 4 27 8" xfId="15282" xr:uid="{00000000-0005-0000-0000-0000883B0000}"/>
    <cellStyle name="Normal 2 2 2 2 4 27 9" xfId="15283" xr:uid="{00000000-0005-0000-0000-0000893B0000}"/>
    <cellStyle name="Normal 2 2 2 2 4 28" xfId="15284" xr:uid="{00000000-0005-0000-0000-00008A3B0000}"/>
    <cellStyle name="Normal 2 2 2 2 4 28 10" xfId="15285" xr:uid="{00000000-0005-0000-0000-00008B3B0000}"/>
    <cellStyle name="Normal 2 2 2 2 4 28 11" xfId="15286" xr:uid="{00000000-0005-0000-0000-00008C3B0000}"/>
    <cellStyle name="Normal 2 2 2 2 4 28 12" xfId="15287" xr:uid="{00000000-0005-0000-0000-00008D3B0000}"/>
    <cellStyle name="Normal 2 2 2 2 4 28 13" xfId="15288" xr:uid="{00000000-0005-0000-0000-00008E3B0000}"/>
    <cellStyle name="Normal 2 2 2 2 4 28 14" xfId="15289" xr:uid="{00000000-0005-0000-0000-00008F3B0000}"/>
    <cellStyle name="Normal 2 2 2 2 4 28 2" xfId="15290" xr:uid="{00000000-0005-0000-0000-0000903B0000}"/>
    <cellStyle name="Normal 2 2 2 2 4 28 2 10" xfId="15291" xr:uid="{00000000-0005-0000-0000-0000913B0000}"/>
    <cellStyle name="Normal 2 2 2 2 4 28 2 2" xfId="15292" xr:uid="{00000000-0005-0000-0000-0000923B0000}"/>
    <cellStyle name="Normal 2 2 2 2 4 28 2 3" xfId="15293" xr:uid="{00000000-0005-0000-0000-0000933B0000}"/>
    <cellStyle name="Normal 2 2 2 2 4 28 2 4" xfId="15294" xr:uid="{00000000-0005-0000-0000-0000943B0000}"/>
    <cellStyle name="Normal 2 2 2 2 4 28 2 5" xfId="15295" xr:uid="{00000000-0005-0000-0000-0000953B0000}"/>
    <cellStyle name="Normal 2 2 2 2 4 28 2 6" xfId="15296" xr:uid="{00000000-0005-0000-0000-0000963B0000}"/>
    <cellStyle name="Normal 2 2 2 2 4 28 2 7" xfId="15297" xr:uid="{00000000-0005-0000-0000-0000973B0000}"/>
    <cellStyle name="Normal 2 2 2 2 4 28 2 8" xfId="15298" xr:uid="{00000000-0005-0000-0000-0000983B0000}"/>
    <cellStyle name="Normal 2 2 2 2 4 28 2 9" xfId="15299" xr:uid="{00000000-0005-0000-0000-0000993B0000}"/>
    <cellStyle name="Normal 2 2 2 2 4 28 3" xfId="15300" xr:uid="{00000000-0005-0000-0000-00009A3B0000}"/>
    <cellStyle name="Normal 2 2 2 2 4 28 3 10" xfId="15301" xr:uid="{00000000-0005-0000-0000-00009B3B0000}"/>
    <cellStyle name="Normal 2 2 2 2 4 28 3 2" xfId="15302" xr:uid="{00000000-0005-0000-0000-00009C3B0000}"/>
    <cellStyle name="Normal 2 2 2 2 4 28 3 3" xfId="15303" xr:uid="{00000000-0005-0000-0000-00009D3B0000}"/>
    <cellStyle name="Normal 2 2 2 2 4 28 3 4" xfId="15304" xr:uid="{00000000-0005-0000-0000-00009E3B0000}"/>
    <cellStyle name="Normal 2 2 2 2 4 28 3 5" xfId="15305" xr:uid="{00000000-0005-0000-0000-00009F3B0000}"/>
    <cellStyle name="Normal 2 2 2 2 4 28 3 6" xfId="15306" xr:uid="{00000000-0005-0000-0000-0000A03B0000}"/>
    <cellStyle name="Normal 2 2 2 2 4 28 3 7" xfId="15307" xr:uid="{00000000-0005-0000-0000-0000A13B0000}"/>
    <cellStyle name="Normal 2 2 2 2 4 28 3 8" xfId="15308" xr:uid="{00000000-0005-0000-0000-0000A23B0000}"/>
    <cellStyle name="Normal 2 2 2 2 4 28 3 9" xfId="15309" xr:uid="{00000000-0005-0000-0000-0000A33B0000}"/>
    <cellStyle name="Normal 2 2 2 2 4 28 4" xfId="15310" xr:uid="{00000000-0005-0000-0000-0000A43B0000}"/>
    <cellStyle name="Normal 2 2 2 2 4 28 4 10" xfId="15311" xr:uid="{00000000-0005-0000-0000-0000A53B0000}"/>
    <cellStyle name="Normal 2 2 2 2 4 28 4 2" xfId="15312" xr:uid="{00000000-0005-0000-0000-0000A63B0000}"/>
    <cellStyle name="Normal 2 2 2 2 4 28 4 3" xfId="15313" xr:uid="{00000000-0005-0000-0000-0000A73B0000}"/>
    <cellStyle name="Normal 2 2 2 2 4 28 4 4" xfId="15314" xr:uid="{00000000-0005-0000-0000-0000A83B0000}"/>
    <cellStyle name="Normal 2 2 2 2 4 28 4 5" xfId="15315" xr:uid="{00000000-0005-0000-0000-0000A93B0000}"/>
    <cellStyle name="Normal 2 2 2 2 4 28 4 6" xfId="15316" xr:uid="{00000000-0005-0000-0000-0000AA3B0000}"/>
    <cellStyle name="Normal 2 2 2 2 4 28 4 7" xfId="15317" xr:uid="{00000000-0005-0000-0000-0000AB3B0000}"/>
    <cellStyle name="Normal 2 2 2 2 4 28 4 8" xfId="15318" xr:uid="{00000000-0005-0000-0000-0000AC3B0000}"/>
    <cellStyle name="Normal 2 2 2 2 4 28 4 9" xfId="15319" xr:uid="{00000000-0005-0000-0000-0000AD3B0000}"/>
    <cellStyle name="Normal 2 2 2 2 4 28 5" xfId="15320" xr:uid="{00000000-0005-0000-0000-0000AE3B0000}"/>
    <cellStyle name="Normal 2 2 2 2 4 28 5 10" xfId="15321" xr:uid="{00000000-0005-0000-0000-0000AF3B0000}"/>
    <cellStyle name="Normal 2 2 2 2 4 28 5 2" xfId="15322" xr:uid="{00000000-0005-0000-0000-0000B03B0000}"/>
    <cellStyle name="Normal 2 2 2 2 4 28 5 3" xfId="15323" xr:uid="{00000000-0005-0000-0000-0000B13B0000}"/>
    <cellStyle name="Normal 2 2 2 2 4 28 5 4" xfId="15324" xr:uid="{00000000-0005-0000-0000-0000B23B0000}"/>
    <cellStyle name="Normal 2 2 2 2 4 28 5 5" xfId="15325" xr:uid="{00000000-0005-0000-0000-0000B33B0000}"/>
    <cellStyle name="Normal 2 2 2 2 4 28 5 6" xfId="15326" xr:uid="{00000000-0005-0000-0000-0000B43B0000}"/>
    <cellStyle name="Normal 2 2 2 2 4 28 5 7" xfId="15327" xr:uid="{00000000-0005-0000-0000-0000B53B0000}"/>
    <cellStyle name="Normal 2 2 2 2 4 28 5 8" xfId="15328" xr:uid="{00000000-0005-0000-0000-0000B63B0000}"/>
    <cellStyle name="Normal 2 2 2 2 4 28 5 9" xfId="15329" xr:uid="{00000000-0005-0000-0000-0000B73B0000}"/>
    <cellStyle name="Normal 2 2 2 2 4 28 6" xfId="15330" xr:uid="{00000000-0005-0000-0000-0000B83B0000}"/>
    <cellStyle name="Normal 2 2 2 2 4 28 7" xfId="15331" xr:uid="{00000000-0005-0000-0000-0000B93B0000}"/>
    <cellStyle name="Normal 2 2 2 2 4 28 8" xfId="15332" xr:uid="{00000000-0005-0000-0000-0000BA3B0000}"/>
    <cellStyle name="Normal 2 2 2 2 4 28 9" xfId="15333" xr:uid="{00000000-0005-0000-0000-0000BB3B0000}"/>
    <cellStyle name="Normal 2 2 2 2 4 29" xfId="15334" xr:uid="{00000000-0005-0000-0000-0000BC3B0000}"/>
    <cellStyle name="Normal 2 2 2 2 4 29 10" xfId="15335" xr:uid="{00000000-0005-0000-0000-0000BD3B0000}"/>
    <cellStyle name="Normal 2 2 2 2 4 29 11" xfId="15336" xr:uid="{00000000-0005-0000-0000-0000BE3B0000}"/>
    <cellStyle name="Normal 2 2 2 2 4 29 12" xfId="15337" xr:uid="{00000000-0005-0000-0000-0000BF3B0000}"/>
    <cellStyle name="Normal 2 2 2 2 4 29 13" xfId="15338" xr:uid="{00000000-0005-0000-0000-0000C03B0000}"/>
    <cellStyle name="Normal 2 2 2 2 4 29 14" xfId="15339" xr:uid="{00000000-0005-0000-0000-0000C13B0000}"/>
    <cellStyle name="Normal 2 2 2 2 4 29 2" xfId="15340" xr:uid="{00000000-0005-0000-0000-0000C23B0000}"/>
    <cellStyle name="Normal 2 2 2 2 4 29 2 10" xfId="15341" xr:uid="{00000000-0005-0000-0000-0000C33B0000}"/>
    <cellStyle name="Normal 2 2 2 2 4 29 2 2" xfId="15342" xr:uid="{00000000-0005-0000-0000-0000C43B0000}"/>
    <cellStyle name="Normal 2 2 2 2 4 29 2 3" xfId="15343" xr:uid="{00000000-0005-0000-0000-0000C53B0000}"/>
    <cellStyle name="Normal 2 2 2 2 4 29 2 4" xfId="15344" xr:uid="{00000000-0005-0000-0000-0000C63B0000}"/>
    <cellStyle name="Normal 2 2 2 2 4 29 2 5" xfId="15345" xr:uid="{00000000-0005-0000-0000-0000C73B0000}"/>
    <cellStyle name="Normal 2 2 2 2 4 29 2 6" xfId="15346" xr:uid="{00000000-0005-0000-0000-0000C83B0000}"/>
    <cellStyle name="Normal 2 2 2 2 4 29 2 7" xfId="15347" xr:uid="{00000000-0005-0000-0000-0000C93B0000}"/>
    <cellStyle name="Normal 2 2 2 2 4 29 2 8" xfId="15348" xr:uid="{00000000-0005-0000-0000-0000CA3B0000}"/>
    <cellStyle name="Normal 2 2 2 2 4 29 2 9" xfId="15349" xr:uid="{00000000-0005-0000-0000-0000CB3B0000}"/>
    <cellStyle name="Normal 2 2 2 2 4 29 3" xfId="15350" xr:uid="{00000000-0005-0000-0000-0000CC3B0000}"/>
    <cellStyle name="Normal 2 2 2 2 4 29 3 10" xfId="15351" xr:uid="{00000000-0005-0000-0000-0000CD3B0000}"/>
    <cellStyle name="Normal 2 2 2 2 4 29 3 2" xfId="15352" xr:uid="{00000000-0005-0000-0000-0000CE3B0000}"/>
    <cellStyle name="Normal 2 2 2 2 4 29 3 3" xfId="15353" xr:uid="{00000000-0005-0000-0000-0000CF3B0000}"/>
    <cellStyle name="Normal 2 2 2 2 4 29 3 4" xfId="15354" xr:uid="{00000000-0005-0000-0000-0000D03B0000}"/>
    <cellStyle name="Normal 2 2 2 2 4 29 3 5" xfId="15355" xr:uid="{00000000-0005-0000-0000-0000D13B0000}"/>
    <cellStyle name="Normal 2 2 2 2 4 29 3 6" xfId="15356" xr:uid="{00000000-0005-0000-0000-0000D23B0000}"/>
    <cellStyle name="Normal 2 2 2 2 4 29 3 7" xfId="15357" xr:uid="{00000000-0005-0000-0000-0000D33B0000}"/>
    <cellStyle name="Normal 2 2 2 2 4 29 3 8" xfId="15358" xr:uid="{00000000-0005-0000-0000-0000D43B0000}"/>
    <cellStyle name="Normal 2 2 2 2 4 29 3 9" xfId="15359" xr:uid="{00000000-0005-0000-0000-0000D53B0000}"/>
    <cellStyle name="Normal 2 2 2 2 4 29 4" xfId="15360" xr:uid="{00000000-0005-0000-0000-0000D63B0000}"/>
    <cellStyle name="Normal 2 2 2 2 4 29 4 10" xfId="15361" xr:uid="{00000000-0005-0000-0000-0000D73B0000}"/>
    <cellStyle name="Normal 2 2 2 2 4 29 4 2" xfId="15362" xr:uid="{00000000-0005-0000-0000-0000D83B0000}"/>
    <cellStyle name="Normal 2 2 2 2 4 29 4 3" xfId="15363" xr:uid="{00000000-0005-0000-0000-0000D93B0000}"/>
    <cellStyle name="Normal 2 2 2 2 4 29 4 4" xfId="15364" xr:uid="{00000000-0005-0000-0000-0000DA3B0000}"/>
    <cellStyle name="Normal 2 2 2 2 4 29 4 5" xfId="15365" xr:uid="{00000000-0005-0000-0000-0000DB3B0000}"/>
    <cellStyle name="Normal 2 2 2 2 4 29 4 6" xfId="15366" xr:uid="{00000000-0005-0000-0000-0000DC3B0000}"/>
    <cellStyle name="Normal 2 2 2 2 4 29 4 7" xfId="15367" xr:uid="{00000000-0005-0000-0000-0000DD3B0000}"/>
    <cellStyle name="Normal 2 2 2 2 4 29 4 8" xfId="15368" xr:uid="{00000000-0005-0000-0000-0000DE3B0000}"/>
    <cellStyle name="Normal 2 2 2 2 4 29 4 9" xfId="15369" xr:uid="{00000000-0005-0000-0000-0000DF3B0000}"/>
    <cellStyle name="Normal 2 2 2 2 4 29 5" xfId="15370" xr:uid="{00000000-0005-0000-0000-0000E03B0000}"/>
    <cellStyle name="Normal 2 2 2 2 4 29 5 10" xfId="15371" xr:uid="{00000000-0005-0000-0000-0000E13B0000}"/>
    <cellStyle name="Normal 2 2 2 2 4 29 5 2" xfId="15372" xr:uid="{00000000-0005-0000-0000-0000E23B0000}"/>
    <cellStyle name="Normal 2 2 2 2 4 29 5 3" xfId="15373" xr:uid="{00000000-0005-0000-0000-0000E33B0000}"/>
    <cellStyle name="Normal 2 2 2 2 4 29 5 4" xfId="15374" xr:uid="{00000000-0005-0000-0000-0000E43B0000}"/>
    <cellStyle name="Normal 2 2 2 2 4 29 5 5" xfId="15375" xr:uid="{00000000-0005-0000-0000-0000E53B0000}"/>
    <cellStyle name="Normal 2 2 2 2 4 29 5 6" xfId="15376" xr:uid="{00000000-0005-0000-0000-0000E63B0000}"/>
    <cellStyle name="Normal 2 2 2 2 4 29 5 7" xfId="15377" xr:uid="{00000000-0005-0000-0000-0000E73B0000}"/>
    <cellStyle name="Normal 2 2 2 2 4 29 5 8" xfId="15378" xr:uid="{00000000-0005-0000-0000-0000E83B0000}"/>
    <cellStyle name="Normal 2 2 2 2 4 29 5 9" xfId="15379" xr:uid="{00000000-0005-0000-0000-0000E93B0000}"/>
    <cellStyle name="Normal 2 2 2 2 4 29 6" xfId="15380" xr:uid="{00000000-0005-0000-0000-0000EA3B0000}"/>
    <cellStyle name="Normal 2 2 2 2 4 29 7" xfId="15381" xr:uid="{00000000-0005-0000-0000-0000EB3B0000}"/>
    <cellStyle name="Normal 2 2 2 2 4 29 8" xfId="15382" xr:uid="{00000000-0005-0000-0000-0000EC3B0000}"/>
    <cellStyle name="Normal 2 2 2 2 4 29 9" xfId="15383" xr:uid="{00000000-0005-0000-0000-0000ED3B0000}"/>
    <cellStyle name="Normal 2 2 2 2 4 3" xfId="15384" xr:uid="{00000000-0005-0000-0000-0000EE3B0000}"/>
    <cellStyle name="Normal 2 2 2 2 4 3 10" xfId="15385" xr:uid="{00000000-0005-0000-0000-0000EF3B0000}"/>
    <cellStyle name="Normal 2 2 2 2 4 3 11" xfId="15386" xr:uid="{00000000-0005-0000-0000-0000F03B0000}"/>
    <cellStyle name="Normal 2 2 2 2 4 3 12" xfId="15387" xr:uid="{00000000-0005-0000-0000-0000F13B0000}"/>
    <cellStyle name="Normal 2 2 2 2 4 3 13" xfId="15388" xr:uid="{00000000-0005-0000-0000-0000F23B0000}"/>
    <cellStyle name="Normal 2 2 2 2 4 3 14" xfId="15389" xr:uid="{00000000-0005-0000-0000-0000F33B0000}"/>
    <cellStyle name="Normal 2 2 2 2 4 3 2" xfId="15390" xr:uid="{00000000-0005-0000-0000-0000F43B0000}"/>
    <cellStyle name="Normal 2 2 2 2 4 3 2 10" xfId="15391" xr:uid="{00000000-0005-0000-0000-0000F53B0000}"/>
    <cellStyle name="Normal 2 2 2 2 4 3 2 2" xfId="15392" xr:uid="{00000000-0005-0000-0000-0000F63B0000}"/>
    <cellStyle name="Normal 2 2 2 2 4 3 2 3" xfId="15393" xr:uid="{00000000-0005-0000-0000-0000F73B0000}"/>
    <cellStyle name="Normal 2 2 2 2 4 3 2 4" xfId="15394" xr:uid="{00000000-0005-0000-0000-0000F83B0000}"/>
    <cellStyle name="Normal 2 2 2 2 4 3 2 5" xfId="15395" xr:uid="{00000000-0005-0000-0000-0000F93B0000}"/>
    <cellStyle name="Normal 2 2 2 2 4 3 2 6" xfId="15396" xr:uid="{00000000-0005-0000-0000-0000FA3B0000}"/>
    <cellStyle name="Normal 2 2 2 2 4 3 2 7" xfId="15397" xr:uid="{00000000-0005-0000-0000-0000FB3B0000}"/>
    <cellStyle name="Normal 2 2 2 2 4 3 2 8" xfId="15398" xr:uid="{00000000-0005-0000-0000-0000FC3B0000}"/>
    <cellStyle name="Normal 2 2 2 2 4 3 2 9" xfId="15399" xr:uid="{00000000-0005-0000-0000-0000FD3B0000}"/>
    <cellStyle name="Normal 2 2 2 2 4 3 3" xfId="15400" xr:uid="{00000000-0005-0000-0000-0000FE3B0000}"/>
    <cellStyle name="Normal 2 2 2 2 4 3 3 10" xfId="15401" xr:uid="{00000000-0005-0000-0000-0000FF3B0000}"/>
    <cellStyle name="Normal 2 2 2 2 4 3 3 2" xfId="15402" xr:uid="{00000000-0005-0000-0000-0000003C0000}"/>
    <cellStyle name="Normal 2 2 2 2 4 3 3 3" xfId="15403" xr:uid="{00000000-0005-0000-0000-0000013C0000}"/>
    <cellStyle name="Normal 2 2 2 2 4 3 3 4" xfId="15404" xr:uid="{00000000-0005-0000-0000-0000023C0000}"/>
    <cellStyle name="Normal 2 2 2 2 4 3 3 5" xfId="15405" xr:uid="{00000000-0005-0000-0000-0000033C0000}"/>
    <cellStyle name="Normal 2 2 2 2 4 3 3 6" xfId="15406" xr:uid="{00000000-0005-0000-0000-0000043C0000}"/>
    <cellStyle name="Normal 2 2 2 2 4 3 3 7" xfId="15407" xr:uid="{00000000-0005-0000-0000-0000053C0000}"/>
    <cellStyle name="Normal 2 2 2 2 4 3 3 8" xfId="15408" xr:uid="{00000000-0005-0000-0000-0000063C0000}"/>
    <cellStyle name="Normal 2 2 2 2 4 3 3 9" xfId="15409" xr:uid="{00000000-0005-0000-0000-0000073C0000}"/>
    <cellStyle name="Normal 2 2 2 2 4 3 4" xfId="15410" xr:uid="{00000000-0005-0000-0000-0000083C0000}"/>
    <cellStyle name="Normal 2 2 2 2 4 3 4 10" xfId="15411" xr:uid="{00000000-0005-0000-0000-0000093C0000}"/>
    <cellStyle name="Normal 2 2 2 2 4 3 4 2" xfId="15412" xr:uid="{00000000-0005-0000-0000-00000A3C0000}"/>
    <cellStyle name="Normal 2 2 2 2 4 3 4 3" xfId="15413" xr:uid="{00000000-0005-0000-0000-00000B3C0000}"/>
    <cellStyle name="Normal 2 2 2 2 4 3 4 4" xfId="15414" xr:uid="{00000000-0005-0000-0000-00000C3C0000}"/>
    <cellStyle name="Normal 2 2 2 2 4 3 4 5" xfId="15415" xr:uid="{00000000-0005-0000-0000-00000D3C0000}"/>
    <cellStyle name="Normal 2 2 2 2 4 3 4 6" xfId="15416" xr:uid="{00000000-0005-0000-0000-00000E3C0000}"/>
    <cellStyle name="Normal 2 2 2 2 4 3 4 7" xfId="15417" xr:uid="{00000000-0005-0000-0000-00000F3C0000}"/>
    <cellStyle name="Normal 2 2 2 2 4 3 4 8" xfId="15418" xr:uid="{00000000-0005-0000-0000-0000103C0000}"/>
    <cellStyle name="Normal 2 2 2 2 4 3 4 9" xfId="15419" xr:uid="{00000000-0005-0000-0000-0000113C0000}"/>
    <cellStyle name="Normal 2 2 2 2 4 3 5" xfId="15420" xr:uid="{00000000-0005-0000-0000-0000123C0000}"/>
    <cellStyle name="Normal 2 2 2 2 4 3 5 10" xfId="15421" xr:uid="{00000000-0005-0000-0000-0000133C0000}"/>
    <cellStyle name="Normal 2 2 2 2 4 3 5 2" xfId="15422" xr:uid="{00000000-0005-0000-0000-0000143C0000}"/>
    <cellStyle name="Normal 2 2 2 2 4 3 5 3" xfId="15423" xr:uid="{00000000-0005-0000-0000-0000153C0000}"/>
    <cellStyle name="Normal 2 2 2 2 4 3 5 4" xfId="15424" xr:uid="{00000000-0005-0000-0000-0000163C0000}"/>
    <cellStyle name="Normal 2 2 2 2 4 3 5 5" xfId="15425" xr:uid="{00000000-0005-0000-0000-0000173C0000}"/>
    <cellStyle name="Normal 2 2 2 2 4 3 5 6" xfId="15426" xr:uid="{00000000-0005-0000-0000-0000183C0000}"/>
    <cellStyle name="Normal 2 2 2 2 4 3 5 7" xfId="15427" xr:uid="{00000000-0005-0000-0000-0000193C0000}"/>
    <cellStyle name="Normal 2 2 2 2 4 3 5 8" xfId="15428" xr:uid="{00000000-0005-0000-0000-00001A3C0000}"/>
    <cellStyle name="Normal 2 2 2 2 4 3 5 9" xfId="15429" xr:uid="{00000000-0005-0000-0000-00001B3C0000}"/>
    <cellStyle name="Normal 2 2 2 2 4 3 6" xfId="15430" xr:uid="{00000000-0005-0000-0000-00001C3C0000}"/>
    <cellStyle name="Normal 2 2 2 2 4 3 7" xfId="15431" xr:uid="{00000000-0005-0000-0000-00001D3C0000}"/>
    <cellStyle name="Normal 2 2 2 2 4 3 8" xfId="15432" xr:uid="{00000000-0005-0000-0000-00001E3C0000}"/>
    <cellStyle name="Normal 2 2 2 2 4 3 9" xfId="15433" xr:uid="{00000000-0005-0000-0000-00001F3C0000}"/>
    <cellStyle name="Normal 2 2 2 2 4 30" xfId="15434" xr:uid="{00000000-0005-0000-0000-0000203C0000}"/>
    <cellStyle name="Normal 2 2 2 2 4 30 10" xfId="15435" xr:uid="{00000000-0005-0000-0000-0000213C0000}"/>
    <cellStyle name="Normal 2 2 2 2 4 30 11" xfId="15436" xr:uid="{00000000-0005-0000-0000-0000223C0000}"/>
    <cellStyle name="Normal 2 2 2 2 4 30 12" xfId="15437" xr:uid="{00000000-0005-0000-0000-0000233C0000}"/>
    <cellStyle name="Normal 2 2 2 2 4 30 13" xfId="15438" xr:uid="{00000000-0005-0000-0000-0000243C0000}"/>
    <cellStyle name="Normal 2 2 2 2 4 30 14" xfId="15439" xr:uid="{00000000-0005-0000-0000-0000253C0000}"/>
    <cellStyle name="Normal 2 2 2 2 4 30 2" xfId="15440" xr:uid="{00000000-0005-0000-0000-0000263C0000}"/>
    <cellStyle name="Normal 2 2 2 2 4 30 2 10" xfId="15441" xr:uid="{00000000-0005-0000-0000-0000273C0000}"/>
    <cellStyle name="Normal 2 2 2 2 4 30 2 2" xfId="15442" xr:uid="{00000000-0005-0000-0000-0000283C0000}"/>
    <cellStyle name="Normal 2 2 2 2 4 30 2 3" xfId="15443" xr:uid="{00000000-0005-0000-0000-0000293C0000}"/>
    <cellStyle name="Normal 2 2 2 2 4 30 2 4" xfId="15444" xr:uid="{00000000-0005-0000-0000-00002A3C0000}"/>
    <cellStyle name="Normal 2 2 2 2 4 30 2 5" xfId="15445" xr:uid="{00000000-0005-0000-0000-00002B3C0000}"/>
    <cellStyle name="Normal 2 2 2 2 4 30 2 6" xfId="15446" xr:uid="{00000000-0005-0000-0000-00002C3C0000}"/>
    <cellStyle name="Normal 2 2 2 2 4 30 2 7" xfId="15447" xr:uid="{00000000-0005-0000-0000-00002D3C0000}"/>
    <cellStyle name="Normal 2 2 2 2 4 30 2 8" xfId="15448" xr:uid="{00000000-0005-0000-0000-00002E3C0000}"/>
    <cellStyle name="Normal 2 2 2 2 4 30 2 9" xfId="15449" xr:uid="{00000000-0005-0000-0000-00002F3C0000}"/>
    <cellStyle name="Normal 2 2 2 2 4 30 3" xfId="15450" xr:uid="{00000000-0005-0000-0000-0000303C0000}"/>
    <cellStyle name="Normal 2 2 2 2 4 30 3 10" xfId="15451" xr:uid="{00000000-0005-0000-0000-0000313C0000}"/>
    <cellStyle name="Normal 2 2 2 2 4 30 3 2" xfId="15452" xr:uid="{00000000-0005-0000-0000-0000323C0000}"/>
    <cellStyle name="Normal 2 2 2 2 4 30 3 3" xfId="15453" xr:uid="{00000000-0005-0000-0000-0000333C0000}"/>
    <cellStyle name="Normal 2 2 2 2 4 30 3 4" xfId="15454" xr:uid="{00000000-0005-0000-0000-0000343C0000}"/>
    <cellStyle name="Normal 2 2 2 2 4 30 3 5" xfId="15455" xr:uid="{00000000-0005-0000-0000-0000353C0000}"/>
    <cellStyle name="Normal 2 2 2 2 4 30 3 6" xfId="15456" xr:uid="{00000000-0005-0000-0000-0000363C0000}"/>
    <cellStyle name="Normal 2 2 2 2 4 30 3 7" xfId="15457" xr:uid="{00000000-0005-0000-0000-0000373C0000}"/>
    <cellStyle name="Normal 2 2 2 2 4 30 3 8" xfId="15458" xr:uid="{00000000-0005-0000-0000-0000383C0000}"/>
    <cellStyle name="Normal 2 2 2 2 4 30 3 9" xfId="15459" xr:uid="{00000000-0005-0000-0000-0000393C0000}"/>
    <cellStyle name="Normal 2 2 2 2 4 30 4" xfId="15460" xr:uid="{00000000-0005-0000-0000-00003A3C0000}"/>
    <cellStyle name="Normal 2 2 2 2 4 30 4 10" xfId="15461" xr:uid="{00000000-0005-0000-0000-00003B3C0000}"/>
    <cellStyle name="Normal 2 2 2 2 4 30 4 2" xfId="15462" xr:uid="{00000000-0005-0000-0000-00003C3C0000}"/>
    <cellStyle name="Normal 2 2 2 2 4 30 4 3" xfId="15463" xr:uid="{00000000-0005-0000-0000-00003D3C0000}"/>
    <cellStyle name="Normal 2 2 2 2 4 30 4 4" xfId="15464" xr:uid="{00000000-0005-0000-0000-00003E3C0000}"/>
    <cellStyle name="Normal 2 2 2 2 4 30 4 5" xfId="15465" xr:uid="{00000000-0005-0000-0000-00003F3C0000}"/>
    <cellStyle name="Normal 2 2 2 2 4 30 4 6" xfId="15466" xr:uid="{00000000-0005-0000-0000-0000403C0000}"/>
    <cellStyle name="Normal 2 2 2 2 4 30 4 7" xfId="15467" xr:uid="{00000000-0005-0000-0000-0000413C0000}"/>
    <cellStyle name="Normal 2 2 2 2 4 30 4 8" xfId="15468" xr:uid="{00000000-0005-0000-0000-0000423C0000}"/>
    <cellStyle name="Normal 2 2 2 2 4 30 4 9" xfId="15469" xr:uid="{00000000-0005-0000-0000-0000433C0000}"/>
    <cellStyle name="Normal 2 2 2 2 4 30 5" xfId="15470" xr:uid="{00000000-0005-0000-0000-0000443C0000}"/>
    <cellStyle name="Normal 2 2 2 2 4 30 5 10" xfId="15471" xr:uid="{00000000-0005-0000-0000-0000453C0000}"/>
    <cellStyle name="Normal 2 2 2 2 4 30 5 2" xfId="15472" xr:uid="{00000000-0005-0000-0000-0000463C0000}"/>
    <cellStyle name="Normal 2 2 2 2 4 30 5 3" xfId="15473" xr:uid="{00000000-0005-0000-0000-0000473C0000}"/>
    <cellStyle name="Normal 2 2 2 2 4 30 5 4" xfId="15474" xr:uid="{00000000-0005-0000-0000-0000483C0000}"/>
    <cellStyle name="Normal 2 2 2 2 4 30 5 5" xfId="15475" xr:uid="{00000000-0005-0000-0000-0000493C0000}"/>
    <cellStyle name="Normal 2 2 2 2 4 30 5 6" xfId="15476" xr:uid="{00000000-0005-0000-0000-00004A3C0000}"/>
    <cellStyle name="Normal 2 2 2 2 4 30 5 7" xfId="15477" xr:uid="{00000000-0005-0000-0000-00004B3C0000}"/>
    <cellStyle name="Normal 2 2 2 2 4 30 5 8" xfId="15478" xr:uid="{00000000-0005-0000-0000-00004C3C0000}"/>
    <cellStyle name="Normal 2 2 2 2 4 30 5 9" xfId="15479" xr:uid="{00000000-0005-0000-0000-00004D3C0000}"/>
    <cellStyle name="Normal 2 2 2 2 4 30 6" xfId="15480" xr:uid="{00000000-0005-0000-0000-00004E3C0000}"/>
    <cellStyle name="Normal 2 2 2 2 4 30 7" xfId="15481" xr:uid="{00000000-0005-0000-0000-00004F3C0000}"/>
    <cellStyle name="Normal 2 2 2 2 4 30 8" xfId="15482" xr:uid="{00000000-0005-0000-0000-0000503C0000}"/>
    <cellStyle name="Normal 2 2 2 2 4 30 9" xfId="15483" xr:uid="{00000000-0005-0000-0000-0000513C0000}"/>
    <cellStyle name="Normal 2 2 2 2 4 31" xfId="15484" xr:uid="{00000000-0005-0000-0000-0000523C0000}"/>
    <cellStyle name="Normal 2 2 2 2 4 31 10" xfId="15485" xr:uid="{00000000-0005-0000-0000-0000533C0000}"/>
    <cellStyle name="Normal 2 2 2 2 4 31 11" xfId="15486" xr:uid="{00000000-0005-0000-0000-0000543C0000}"/>
    <cellStyle name="Normal 2 2 2 2 4 31 12" xfId="15487" xr:uid="{00000000-0005-0000-0000-0000553C0000}"/>
    <cellStyle name="Normal 2 2 2 2 4 31 13" xfId="15488" xr:uid="{00000000-0005-0000-0000-0000563C0000}"/>
    <cellStyle name="Normal 2 2 2 2 4 31 14" xfId="15489" xr:uid="{00000000-0005-0000-0000-0000573C0000}"/>
    <cellStyle name="Normal 2 2 2 2 4 31 2" xfId="15490" xr:uid="{00000000-0005-0000-0000-0000583C0000}"/>
    <cellStyle name="Normal 2 2 2 2 4 31 2 10" xfId="15491" xr:uid="{00000000-0005-0000-0000-0000593C0000}"/>
    <cellStyle name="Normal 2 2 2 2 4 31 2 2" xfId="15492" xr:uid="{00000000-0005-0000-0000-00005A3C0000}"/>
    <cellStyle name="Normal 2 2 2 2 4 31 2 3" xfId="15493" xr:uid="{00000000-0005-0000-0000-00005B3C0000}"/>
    <cellStyle name="Normal 2 2 2 2 4 31 2 4" xfId="15494" xr:uid="{00000000-0005-0000-0000-00005C3C0000}"/>
    <cellStyle name="Normal 2 2 2 2 4 31 2 5" xfId="15495" xr:uid="{00000000-0005-0000-0000-00005D3C0000}"/>
    <cellStyle name="Normal 2 2 2 2 4 31 2 6" xfId="15496" xr:uid="{00000000-0005-0000-0000-00005E3C0000}"/>
    <cellStyle name="Normal 2 2 2 2 4 31 2 7" xfId="15497" xr:uid="{00000000-0005-0000-0000-00005F3C0000}"/>
    <cellStyle name="Normal 2 2 2 2 4 31 2 8" xfId="15498" xr:uid="{00000000-0005-0000-0000-0000603C0000}"/>
    <cellStyle name="Normal 2 2 2 2 4 31 2 9" xfId="15499" xr:uid="{00000000-0005-0000-0000-0000613C0000}"/>
    <cellStyle name="Normal 2 2 2 2 4 31 3" xfId="15500" xr:uid="{00000000-0005-0000-0000-0000623C0000}"/>
    <cellStyle name="Normal 2 2 2 2 4 31 3 10" xfId="15501" xr:uid="{00000000-0005-0000-0000-0000633C0000}"/>
    <cellStyle name="Normal 2 2 2 2 4 31 3 2" xfId="15502" xr:uid="{00000000-0005-0000-0000-0000643C0000}"/>
    <cellStyle name="Normal 2 2 2 2 4 31 3 3" xfId="15503" xr:uid="{00000000-0005-0000-0000-0000653C0000}"/>
    <cellStyle name="Normal 2 2 2 2 4 31 3 4" xfId="15504" xr:uid="{00000000-0005-0000-0000-0000663C0000}"/>
    <cellStyle name="Normal 2 2 2 2 4 31 3 5" xfId="15505" xr:uid="{00000000-0005-0000-0000-0000673C0000}"/>
    <cellStyle name="Normal 2 2 2 2 4 31 3 6" xfId="15506" xr:uid="{00000000-0005-0000-0000-0000683C0000}"/>
    <cellStyle name="Normal 2 2 2 2 4 31 3 7" xfId="15507" xr:uid="{00000000-0005-0000-0000-0000693C0000}"/>
    <cellStyle name="Normal 2 2 2 2 4 31 3 8" xfId="15508" xr:uid="{00000000-0005-0000-0000-00006A3C0000}"/>
    <cellStyle name="Normal 2 2 2 2 4 31 3 9" xfId="15509" xr:uid="{00000000-0005-0000-0000-00006B3C0000}"/>
    <cellStyle name="Normal 2 2 2 2 4 31 4" xfId="15510" xr:uid="{00000000-0005-0000-0000-00006C3C0000}"/>
    <cellStyle name="Normal 2 2 2 2 4 31 4 10" xfId="15511" xr:uid="{00000000-0005-0000-0000-00006D3C0000}"/>
    <cellStyle name="Normal 2 2 2 2 4 31 4 2" xfId="15512" xr:uid="{00000000-0005-0000-0000-00006E3C0000}"/>
    <cellStyle name="Normal 2 2 2 2 4 31 4 3" xfId="15513" xr:uid="{00000000-0005-0000-0000-00006F3C0000}"/>
    <cellStyle name="Normal 2 2 2 2 4 31 4 4" xfId="15514" xr:uid="{00000000-0005-0000-0000-0000703C0000}"/>
    <cellStyle name="Normal 2 2 2 2 4 31 4 5" xfId="15515" xr:uid="{00000000-0005-0000-0000-0000713C0000}"/>
    <cellStyle name="Normal 2 2 2 2 4 31 4 6" xfId="15516" xr:uid="{00000000-0005-0000-0000-0000723C0000}"/>
    <cellStyle name="Normal 2 2 2 2 4 31 4 7" xfId="15517" xr:uid="{00000000-0005-0000-0000-0000733C0000}"/>
    <cellStyle name="Normal 2 2 2 2 4 31 4 8" xfId="15518" xr:uid="{00000000-0005-0000-0000-0000743C0000}"/>
    <cellStyle name="Normal 2 2 2 2 4 31 4 9" xfId="15519" xr:uid="{00000000-0005-0000-0000-0000753C0000}"/>
    <cellStyle name="Normal 2 2 2 2 4 31 5" xfId="15520" xr:uid="{00000000-0005-0000-0000-0000763C0000}"/>
    <cellStyle name="Normal 2 2 2 2 4 31 5 10" xfId="15521" xr:uid="{00000000-0005-0000-0000-0000773C0000}"/>
    <cellStyle name="Normal 2 2 2 2 4 31 5 2" xfId="15522" xr:uid="{00000000-0005-0000-0000-0000783C0000}"/>
    <cellStyle name="Normal 2 2 2 2 4 31 5 3" xfId="15523" xr:uid="{00000000-0005-0000-0000-0000793C0000}"/>
    <cellStyle name="Normal 2 2 2 2 4 31 5 4" xfId="15524" xr:uid="{00000000-0005-0000-0000-00007A3C0000}"/>
    <cellStyle name="Normal 2 2 2 2 4 31 5 5" xfId="15525" xr:uid="{00000000-0005-0000-0000-00007B3C0000}"/>
    <cellStyle name="Normal 2 2 2 2 4 31 5 6" xfId="15526" xr:uid="{00000000-0005-0000-0000-00007C3C0000}"/>
    <cellStyle name="Normal 2 2 2 2 4 31 5 7" xfId="15527" xr:uid="{00000000-0005-0000-0000-00007D3C0000}"/>
    <cellStyle name="Normal 2 2 2 2 4 31 5 8" xfId="15528" xr:uid="{00000000-0005-0000-0000-00007E3C0000}"/>
    <cellStyle name="Normal 2 2 2 2 4 31 5 9" xfId="15529" xr:uid="{00000000-0005-0000-0000-00007F3C0000}"/>
    <cellStyle name="Normal 2 2 2 2 4 31 6" xfId="15530" xr:uid="{00000000-0005-0000-0000-0000803C0000}"/>
    <cellStyle name="Normal 2 2 2 2 4 31 7" xfId="15531" xr:uid="{00000000-0005-0000-0000-0000813C0000}"/>
    <cellStyle name="Normal 2 2 2 2 4 31 8" xfId="15532" xr:uid="{00000000-0005-0000-0000-0000823C0000}"/>
    <cellStyle name="Normal 2 2 2 2 4 31 9" xfId="15533" xr:uid="{00000000-0005-0000-0000-0000833C0000}"/>
    <cellStyle name="Normal 2 2 2 2 4 32" xfId="15534" xr:uid="{00000000-0005-0000-0000-0000843C0000}"/>
    <cellStyle name="Normal 2 2 2 2 4 32 10" xfId="15535" xr:uid="{00000000-0005-0000-0000-0000853C0000}"/>
    <cellStyle name="Normal 2 2 2 2 4 32 11" xfId="15536" xr:uid="{00000000-0005-0000-0000-0000863C0000}"/>
    <cellStyle name="Normal 2 2 2 2 4 32 12" xfId="15537" xr:uid="{00000000-0005-0000-0000-0000873C0000}"/>
    <cellStyle name="Normal 2 2 2 2 4 32 13" xfId="15538" xr:uid="{00000000-0005-0000-0000-0000883C0000}"/>
    <cellStyle name="Normal 2 2 2 2 4 32 14" xfId="15539" xr:uid="{00000000-0005-0000-0000-0000893C0000}"/>
    <cellStyle name="Normal 2 2 2 2 4 32 2" xfId="15540" xr:uid="{00000000-0005-0000-0000-00008A3C0000}"/>
    <cellStyle name="Normal 2 2 2 2 4 32 2 10" xfId="15541" xr:uid="{00000000-0005-0000-0000-00008B3C0000}"/>
    <cellStyle name="Normal 2 2 2 2 4 32 2 2" xfId="15542" xr:uid="{00000000-0005-0000-0000-00008C3C0000}"/>
    <cellStyle name="Normal 2 2 2 2 4 32 2 3" xfId="15543" xr:uid="{00000000-0005-0000-0000-00008D3C0000}"/>
    <cellStyle name="Normal 2 2 2 2 4 32 2 4" xfId="15544" xr:uid="{00000000-0005-0000-0000-00008E3C0000}"/>
    <cellStyle name="Normal 2 2 2 2 4 32 2 5" xfId="15545" xr:uid="{00000000-0005-0000-0000-00008F3C0000}"/>
    <cellStyle name="Normal 2 2 2 2 4 32 2 6" xfId="15546" xr:uid="{00000000-0005-0000-0000-0000903C0000}"/>
    <cellStyle name="Normal 2 2 2 2 4 32 2 7" xfId="15547" xr:uid="{00000000-0005-0000-0000-0000913C0000}"/>
    <cellStyle name="Normal 2 2 2 2 4 32 2 8" xfId="15548" xr:uid="{00000000-0005-0000-0000-0000923C0000}"/>
    <cellStyle name="Normal 2 2 2 2 4 32 2 9" xfId="15549" xr:uid="{00000000-0005-0000-0000-0000933C0000}"/>
    <cellStyle name="Normal 2 2 2 2 4 32 3" xfId="15550" xr:uid="{00000000-0005-0000-0000-0000943C0000}"/>
    <cellStyle name="Normal 2 2 2 2 4 32 3 10" xfId="15551" xr:uid="{00000000-0005-0000-0000-0000953C0000}"/>
    <cellStyle name="Normal 2 2 2 2 4 32 3 2" xfId="15552" xr:uid="{00000000-0005-0000-0000-0000963C0000}"/>
    <cellStyle name="Normal 2 2 2 2 4 32 3 3" xfId="15553" xr:uid="{00000000-0005-0000-0000-0000973C0000}"/>
    <cellStyle name="Normal 2 2 2 2 4 32 3 4" xfId="15554" xr:uid="{00000000-0005-0000-0000-0000983C0000}"/>
    <cellStyle name="Normal 2 2 2 2 4 32 3 5" xfId="15555" xr:uid="{00000000-0005-0000-0000-0000993C0000}"/>
    <cellStyle name="Normal 2 2 2 2 4 32 3 6" xfId="15556" xr:uid="{00000000-0005-0000-0000-00009A3C0000}"/>
    <cellStyle name="Normal 2 2 2 2 4 32 3 7" xfId="15557" xr:uid="{00000000-0005-0000-0000-00009B3C0000}"/>
    <cellStyle name="Normal 2 2 2 2 4 32 3 8" xfId="15558" xr:uid="{00000000-0005-0000-0000-00009C3C0000}"/>
    <cellStyle name="Normal 2 2 2 2 4 32 3 9" xfId="15559" xr:uid="{00000000-0005-0000-0000-00009D3C0000}"/>
    <cellStyle name="Normal 2 2 2 2 4 32 4" xfId="15560" xr:uid="{00000000-0005-0000-0000-00009E3C0000}"/>
    <cellStyle name="Normal 2 2 2 2 4 32 4 10" xfId="15561" xr:uid="{00000000-0005-0000-0000-00009F3C0000}"/>
    <cellStyle name="Normal 2 2 2 2 4 32 4 2" xfId="15562" xr:uid="{00000000-0005-0000-0000-0000A03C0000}"/>
    <cellStyle name="Normal 2 2 2 2 4 32 4 3" xfId="15563" xr:uid="{00000000-0005-0000-0000-0000A13C0000}"/>
    <cellStyle name="Normal 2 2 2 2 4 32 4 4" xfId="15564" xr:uid="{00000000-0005-0000-0000-0000A23C0000}"/>
    <cellStyle name="Normal 2 2 2 2 4 32 4 5" xfId="15565" xr:uid="{00000000-0005-0000-0000-0000A33C0000}"/>
    <cellStyle name="Normal 2 2 2 2 4 32 4 6" xfId="15566" xr:uid="{00000000-0005-0000-0000-0000A43C0000}"/>
    <cellStyle name="Normal 2 2 2 2 4 32 4 7" xfId="15567" xr:uid="{00000000-0005-0000-0000-0000A53C0000}"/>
    <cellStyle name="Normal 2 2 2 2 4 32 4 8" xfId="15568" xr:uid="{00000000-0005-0000-0000-0000A63C0000}"/>
    <cellStyle name="Normal 2 2 2 2 4 32 4 9" xfId="15569" xr:uid="{00000000-0005-0000-0000-0000A73C0000}"/>
    <cellStyle name="Normal 2 2 2 2 4 32 5" xfId="15570" xr:uid="{00000000-0005-0000-0000-0000A83C0000}"/>
    <cellStyle name="Normal 2 2 2 2 4 32 5 10" xfId="15571" xr:uid="{00000000-0005-0000-0000-0000A93C0000}"/>
    <cellStyle name="Normal 2 2 2 2 4 32 5 2" xfId="15572" xr:uid="{00000000-0005-0000-0000-0000AA3C0000}"/>
    <cellStyle name="Normal 2 2 2 2 4 32 5 3" xfId="15573" xr:uid="{00000000-0005-0000-0000-0000AB3C0000}"/>
    <cellStyle name="Normal 2 2 2 2 4 32 5 4" xfId="15574" xr:uid="{00000000-0005-0000-0000-0000AC3C0000}"/>
    <cellStyle name="Normal 2 2 2 2 4 32 5 5" xfId="15575" xr:uid="{00000000-0005-0000-0000-0000AD3C0000}"/>
    <cellStyle name="Normal 2 2 2 2 4 32 5 6" xfId="15576" xr:uid="{00000000-0005-0000-0000-0000AE3C0000}"/>
    <cellStyle name="Normal 2 2 2 2 4 32 5 7" xfId="15577" xr:uid="{00000000-0005-0000-0000-0000AF3C0000}"/>
    <cellStyle name="Normal 2 2 2 2 4 32 5 8" xfId="15578" xr:uid="{00000000-0005-0000-0000-0000B03C0000}"/>
    <cellStyle name="Normal 2 2 2 2 4 32 5 9" xfId="15579" xr:uid="{00000000-0005-0000-0000-0000B13C0000}"/>
    <cellStyle name="Normal 2 2 2 2 4 32 6" xfId="15580" xr:uid="{00000000-0005-0000-0000-0000B23C0000}"/>
    <cellStyle name="Normal 2 2 2 2 4 32 7" xfId="15581" xr:uid="{00000000-0005-0000-0000-0000B33C0000}"/>
    <cellStyle name="Normal 2 2 2 2 4 32 8" xfId="15582" xr:uid="{00000000-0005-0000-0000-0000B43C0000}"/>
    <cellStyle name="Normal 2 2 2 2 4 32 9" xfId="15583" xr:uid="{00000000-0005-0000-0000-0000B53C0000}"/>
    <cellStyle name="Normal 2 2 2 2 4 33" xfId="15584" xr:uid="{00000000-0005-0000-0000-0000B63C0000}"/>
    <cellStyle name="Normal 2 2 2 2 4 33 10" xfId="15585" xr:uid="{00000000-0005-0000-0000-0000B73C0000}"/>
    <cellStyle name="Normal 2 2 2 2 4 33 11" xfId="15586" xr:uid="{00000000-0005-0000-0000-0000B83C0000}"/>
    <cellStyle name="Normal 2 2 2 2 4 33 12" xfId="15587" xr:uid="{00000000-0005-0000-0000-0000B93C0000}"/>
    <cellStyle name="Normal 2 2 2 2 4 33 13" xfId="15588" xr:uid="{00000000-0005-0000-0000-0000BA3C0000}"/>
    <cellStyle name="Normal 2 2 2 2 4 33 14" xfId="15589" xr:uid="{00000000-0005-0000-0000-0000BB3C0000}"/>
    <cellStyle name="Normal 2 2 2 2 4 33 2" xfId="15590" xr:uid="{00000000-0005-0000-0000-0000BC3C0000}"/>
    <cellStyle name="Normal 2 2 2 2 4 33 2 10" xfId="15591" xr:uid="{00000000-0005-0000-0000-0000BD3C0000}"/>
    <cellStyle name="Normal 2 2 2 2 4 33 2 2" xfId="15592" xr:uid="{00000000-0005-0000-0000-0000BE3C0000}"/>
    <cellStyle name="Normal 2 2 2 2 4 33 2 3" xfId="15593" xr:uid="{00000000-0005-0000-0000-0000BF3C0000}"/>
    <cellStyle name="Normal 2 2 2 2 4 33 2 4" xfId="15594" xr:uid="{00000000-0005-0000-0000-0000C03C0000}"/>
    <cellStyle name="Normal 2 2 2 2 4 33 2 5" xfId="15595" xr:uid="{00000000-0005-0000-0000-0000C13C0000}"/>
    <cellStyle name="Normal 2 2 2 2 4 33 2 6" xfId="15596" xr:uid="{00000000-0005-0000-0000-0000C23C0000}"/>
    <cellStyle name="Normal 2 2 2 2 4 33 2 7" xfId="15597" xr:uid="{00000000-0005-0000-0000-0000C33C0000}"/>
    <cellStyle name="Normal 2 2 2 2 4 33 2 8" xfId="15598" xr:uid="{00000000-0005-0000-0000-0000C43C0000}"/>
    <cellStyle name="Normal 2 2 2 2 4 33 2 9" xfId="15599" xr:uid="{00000000-0005-0000-0000-0000C53C0000}"/>
    <cellStyle name="Normal 2 2 2 2 4 33 3" xfId="15600" xr:uid="{00000000-0005-0000-0000-0000C63C0000}"/>
    <cellStyle name="Normal 2 2 2 2 4 33 3 10" xfId="15601" xr:uid="{00000000-0005-0000-0000-0000C73C0000}"/>
    <cellStyle name="Normal 2 2 2 2 4 33 3 2" xfId="15602" xr:uid="{00000000-0005-0000-0000-0000C83C0000}"/>
    <cellStyle name="Normal 2 2 2 2 4 33 3 3" xfId="15603" xr:uid="{00000000-0005-0000-0000-0000C93C0000}"/>
    <cellStyle name="Normal 2 2 2 2 4 33 3 4" xfId="15604" xr:uid="{00000000-0005-0000-0000-0000CA3C0000}"/>
    <cellStyle name="Normal 2 2 2 2 4 33 3 5" xfId="15605" xr:uid="{00000000-0005-0000-0000-0000CB3C0000}"/>
    <cellStyle name="Normal 2 2 2 2 4 33 3 6" xfId="15606" xr:uid="{00000000-0005-0000-0000-0000CC3C0000}"/>
    <cellStyle name="Normal 2 2 2 2 4 33 3 7" xfId="15607" xr:uid="{00000000-0005-0000-0000-0000CD3C0000}"/>
    <cellStyle name="Normal 2 2 2 2 4 33 3 8" xfId="15608" xr:uid="{00000000-0005-0000-0000-0000CE3C0000}"/>
    <cellStyle name="Normal 2 2 2 2 4 33 3 9" xfId="15609" xr:uid="{00000000-0005-0000-0000-0000CF3C0000}"/>
    <cellStyle name="Normal 2 2 2 2 4 33 4" xfId="15610" xr:uid="{00000000-0005-0000-0000-0000D03C0000}"/>
    <cellStyle name="Normal 2 2 2 2 4 33 4 10" xfId="15611" xr:uid="{00000000-0005-0000-0000-0000D13C0000}"/>
    <cellStyle name="Normal 2 2 2 2 4 33 4 2" xfId="15612" xr:uid="{00000000-0005-0000-0000-0000D23C0000}"/>
    <cellStyle name="Normal 2 2 2 2 4 33 4 3" xfId="15613" xr:uid="{00000000-0005-0000-0000-0000D33C0000}"/>
    <cellStyle name="Normal 2 2 2 2 4 33 4 4" xfId="15614" xr:uid="{00000000-0005-0000-0000-0000D43C0000}"/>
    <cellStyle name="Normal 2 2 2 2 4 33 4 5" xfId="15615" xr:uid="{00000000-0005-0000-0000-0000D53C0000}"/>
    <cellStyle name="Normal 2 2 2 2 4 33 4 6" xfId="15616" xr:uid="{00000000-0005-0000-0000-0000D63C0000}"/>
    <cellStyle name="Normal 2 2 2 2 4 33 4 7" xfId="15617" xr:uid="{00000000-0005-0000-0000-0000D73C0000}"/>
    <cellStyle name="Normal 2 2 2 2 4 33 4 8" xfId="15618" xr:uid="{00000000-0005-0000-0000-0000D83C0000}"/>
    <cellStyle name="Normal 2 2 2 2 4 33 4 9" xfId="15619" xr:uid="{00000000-0005-0000-0000-0000D93C0000}"/>
    <cellStyle name="Normal 2 2 2 2 4 33 5" xfId="15620" xr:uid="{00000000-0005-0000-0000-0000DA3C0000}"/>
    <cellStyle name="Normal 2 2 2 2 4 33 5 10" xfId="15621" xr:uid="{00000000-0005-0000-0000-0000DB3C0000}"/>
    <cellStyle name="Normal 2 2 2 2 4 33 5 2" xfId="15622" xr:uid="{00000000-0005-0000-0000-0000DC3C0000}"/>
    <cellStyle name="Normal 2 2 2 2 4 33 5 3" xfId="15623" xr:uid="{00000000-0005-0000-0000-0000DD3C0000}"/>
    <cellStyle name="Normal 2 2 2 2 4 33 5 4" xfId="15624" xr:uid="{00000000-0005-0000-0000-0000DE3C0000}"/>
    <cellStyle name="Normal 2 2 2 2 4 33 5 5" xfId="15625" xr:uid="{00000000-0005-0000-0000-0000DF3C0000}"/>
    <cellStyle name="Normal 2 2 2 2 4 33 5 6" xfId="15626" xr:uid="{00000000-0005-0000-0000-0000E03C0000}"/>
    <cellStyle name="Normal 2 2 2 2 4 33 5 7" xfId="15627" xr:uid="{00000000-0005-0000-0000-0000E13C0000}"/>
    <cellStyle name="Normal 2 2 2 2 4 33 5 8" xfId="15628" xr:uid="{00000000-0005-0000-0000-0000E23C0000}"/>
    <cellStyle name="Normal 2 2 2 2 4 33 5 9" xfId="15629" xr:uid="{00000000-0005-0000-0000-0000E33C0000}"/>
    <cellStyle name="Normal 2 2 2 2 4 33 6" xfId="15630" xr:uid="{00000000-0005-0000-0000-0000E43C0000}"/>
    <cellStyle name="Normal 2 2 2 2 4 33 7" xfId="15631" xr:uid="{00000000-0005-0000-0000-0000E53C0000}"/>
    <cellStyle name="Normal 2 2 2 2 4 33 8" xfId="15632" xr:uid="{00000000-0005-0000-0000-0000E63C0000}"/>
    <cellStyle name="Normal 2 2 2 2 4 33 9" xfId="15633" xr:uid="{00000000-0005-0000-0000-0000E73C0000}"/>
    <cellStyle name="Normal 2 2 2 2 4 34" xfId="15634" xr:uid="{00000000-0005-0000-0000-0000E83C0000}"/>
    <cellStyle name="Normal 2 2 2 2 4 35" xfId="15635" xr:uid="{00000000-0005-0000-0000-0000E93C0000}"/>
    <cellStyle name="Normal 2 2 2 2 4 4" xfId="15636" xr:uid="{00000000-0005-0000-0000-0000EA3C0000}"/>
    <cellStyle name="Normal 2 2 2 2 4 4 10" xfId="15637" xr:uid="{00000000-0005-0000-0000-0000EB3C0000}"/>
    <cellStyle name="Normal 2 2 2 2 4 4 11" xfId="15638" xr:uid="{00000000-0005-0000-0000-0000EC3C0000}"/>
    <cellStyle name="Normal 2 2 2 2 4 4 12" xfId="15639" xr:uid="{00000000-0005-0000-0000-0000ED3C0000}"/>
    <cellStyle name="Normal 2 2 2 2 4 4 13" xfId="15640" xr:uid="{00000000-0005-0000-0000-0000EE3C0000}"/>
    <cellStyle name="Normal 2 2 2 2 4 4 14" xfId="15641" xr:uid="{00000000-0005-0000-0000-0000EF3C0000}"/>
    <cellStyle name="Normal 2 2 2 2 4 4 2" xfId="15642" xr:uid="{00000000-0005-0000-0000-0000F03C0000}"/>
    <cellStyle name="Normal 2 2 2 2 4 4 2 10" xfId="15643" xr:uid="{00000000-0005-0000-0000-0000F13C0000}"/>
    <cellStyle name="Normal 2 2 2 2 4 4 2 2" xfId="15644" xr:uid="{00000000-0005-0000-0000-0000F23C0000}"/>
    <cellStyle name="Normal 2 2 2 2 4 4 2 3" xfId="15645" xr:uid="{00000000-0005-0000-0000-0000F33C0000}"/>
    <cellStyle name="Normal 2 2 2 2 4 4 2 4" xfId="15646" xr:uid="{00000000-0005-0000-0000-0000F43C0000}"/>
    <cellStyle name="Normal 2 2 2 2 4 4 2 5" xfId="15647" xr:uid="{00000000-0005-0000-0000-0000F53C0000}"/>
    <cellStyle name="Normal 2 2 2 2 4 4 2 6" xfId="15648" xr:uid="{00000000-0005-0000-0000-0000F63C0000}"/>
    <cellStyle name="Normal 2 2 2 2 4 4 2 7" xfId="15649" xr:uid="{00000000-0005-0000-0000-0000F73C0000}"/>
    <cellStyle name="Normal 2 2 2 2 4 4 2 8" xfId="15650" xr:uid="{00000000-0005-0000-0000-0000F83C0000}"/>
    <cellStyle name="Normal 2 2 2 2 4 4 2 9" xfId="15651" xr:uid="{00000000-0005-0000-0000-0000F93C0000}"/>
    <cellStyle name="Normal 2 2 2 2 4 4 3" xfId="15652" xr:uid="{00000000-0005-0000-0000-0000FA3C0000}"/>
    <cellStyle name="Normal 2 2 2 2 4 4 3 10" xfId="15653" xr:uid="{00000000-0005-0000-0000-0000FB3C0000}"/>
    <cellStyle name="Normal 2 2 2 2 4 4 3 2" xfId="15654" xr:uid="{00000000-0005-0000-0000-0000FC3C0000}"/>
    <cellStyle name="Normal 2 2 2 2 4 4 3 3" xfId="15655" xr:uid="{00000000-0005-0000-0000-0000FD3C0000}"/>
    <cellStyle name="Normal 2 2 2 2 4 4 3 4" xfId="15656" xr:uid="{00000000-0005-0000-0000-0000FE3C0000}"/>
    <cellStyle name="Normal 2 2 2 2 4 4 3 5" xfId="15657" xr:uid="{00000000-0005-0000-0000-0000FF3C0000}"/>
    <cellStyle name="Normal 2 2 2 2 4 4 3 6" xfId="15658" xr:uid="{00000000-0005-0000-0000-0000003D0000}"/>
    <cellStyle name="Normal 2 2 2 2 4 4 3 7" xfId="15659" xr:uid="{00000000-0005-0000-0000-0000013D0000}"/>
    <cellStyle name="Normal 2 2 2 2 4 4 3 8" xfId="15660" xr:uid="{00000000-0005-0000-0000-0000023D0000}"/>
    <cellStyle name="Normal 2 2 2 2 4 4 3 9" xfId="15661" xr:uid="{00000000-0005-0000-0000-0000033D0000}"/>
    <cellStyle name="Normal 2 2 2 2 4 4 4" xfId="15662" xr:uid="{00000000-0005-0000-0000-0000043D0000}"/>
    <cellStyle name="Normal 2 2 2 2 4 4 4 10" xfId="15663" xr:uid="{00000000-0005-0000-0000-0000053D0000}"/>
    <cellStyle name="Normal 2 2 2 2 4 4 4 2" xfId="15664" xr:uid="{00000000-0005-0000-0000-0000063D0000}"/>
    <cellStyle name="Normal 2 2 2 2 4 4 4 3" xfId="15665" xr:uid="{00000000-0005-0000-0000-0000073D0000}"/>
    <cellStyle name="Normal 2 2 2 2 4 4 4 4" xfId="15666" xr:uid="{00000000-0005-0000-0000-0000083D0000}"/>
    <cellStyle name="Normal 2 2 2 2 4 4 4 5" xfId="15667" xr:uid="{00000000-0005-0000-0000-0000093D0000}"/>
    <cellStyle name="Normal 2 2 2 2 4 4 4 6" xfId="15668" xr:uid="{00000000-0005-0000-0000-00000A3D0000}"/>
    <cellStyle name="Normal 2 2 2 2 4 4 4 7" xfId="15669" xr:uid="{00000000-0005-0000-0000-00000B3D0000}"/>
    <cellStyle name="Normal 2 2 2 2 4 4 4 8" xfId="15670" xr:uid="{00000000-0005-0000-0000-00000C3D0000}"/>
    <cellStyle name="Normal 2 2 2 2 4 4 4 9" xfId="15671" xr:uid="{00000000-0005-0000-0000-00000D3D0000}"/>
    <cellStyle name="Normal 2 2 2 2 4 4 5" xfId="15672" xr:uid="{00000000-0005-0000-0000-00000E3D0000}"/>
    <cellStyle name="Normal 2 2 2 2 4 4 5 10" xfId="15673" xr:uid="{00000000-0005-0000-0000-00000F3D0000}"/>
    <cellStyle name="Normal 2 2 2 2 4 4 5 2" xfId="15674" xr:uid="{00000000-0005-0000-0000-0000103D0000}"/>
    <cellStyle name="Normal 2 2 2 2 4 4 5 3" xfId="15675" xr:uid="{00000000-0005-0000-0000-0000113D0000}"/>
    <cellStyle name="Normal 2 2 2 2 4 4 5 4" xfId="15676" xr:uid="{00000000-0005-0000-0000-0000123D0000}"/>
    <cellStyle name="Normal 2 2 2 2 4 4 5 5" xfId="15677" xr:uid="{00000000-0005-0000-0000-0000133D0000}"/>
    <cellStyle name="Normal 2 2 2 2 4 4 5 6" xfId="15678" xr:uid="{00000000-0005-0000-0000-0000143D0000}"/>
    <cellStyle name="Normal 2 2 2 2 4 4 5 7" xfId="15679" xr:uid="{00000000-0005-0000-0000-0000153D0000}"/>
    <cellStyle name="Normal 2 2 2 2 4 4 5 8" xfId="15680" xr:uid="{00000000-0005-0000-0000-0000163D0000}"/>
    <cellStyle name="Normal 2 2 2 2 4 4 5 9" xfId="15681" xr:uid="{00000000-0005-0000-0000-0000173D0000}"/>
    <cellStyle name="Normal 2 2 2 2 4 4 6" xfId="15682" xr:uid="{00000000-0005-0000-0000-0000183D0000}"/>
    <cellStyle name="Normal 2 2 2 2 4 4 7" xfId="15683" xr:uid="{00000000-0005-0000-0000-0000193D0000}"/>
    <cellStyle name="Normal 2 2 2 2 4 4 8" xfId="15684" xr:uid="{00000000-0005-0000-0000-00001A3D0000}"/>
    <cellStyle name="Normal 2 2 2 2 4 4 9" xfId="15685" xr:uid="{00000000-0005-0000-0000-00001B3D0000}"/>
    <cellStyle name="Normal 2 2 2 2 4 5" xfId="15686" xr:uid="{00000000-0005-0000-0000-00001C3D0000}"/>
    <cellStyle name="Normal 2 2 2 2 4 5 10" xfId="15687" xr:uid="{00000000-0005-0000-0000-00001D3D0000}"/>
    <cellStyle name="Normal 2 2 2 2 4 5 11" xfId="15688" xr:uid="{00000000-0005-0000-0000-00001E3D0000}"/>
    <cellStyle name="Normal 2 2 2 2 4 5 12" xfId="15689" xr:uid="{00000000-0005-0000-0000-00001F3D0000}"/>
    <cellStyle name="Normal 2 2 2 2 4 5 13" xfId="15690" xr:uid="{00000000-0005-0000-0000-0000203D0000}"/>
    <cellStyle name="Normal 2 2 2 2 4 5 14" xfId="15691" xr:uid="{00000000-0005-0000-0000-0000213D0000}"/>
    <cellStyle name="Normal 2 2 2 2 4 5 2" xfId="15692" xr:uid="{00000000-0005-0000-0000-0000223D0000}"/>
    <cellStyle name="Normal 2 2 2 2 4 5 2 10" xfId="15693" xr:uid="{00000000-0005-0000-0000-0000233D0000}"/>
    <cellStyle name="Normal 2 2 2 2 4 5 2 2" xfId="15694" xr:uid="{00000000-0005-0000-0000-0000243D0000}"/>
    <cellStyle name="Normal 2 2 2 2 4 5 2 3" xfId="15695" xr:uid="{00000000-0005-0000-0000-0000253D0000}"/>
    <cellStyle name="Normal 2 2 2 2 4 5 2 4" xfId="15696" xr:uid="{00000000-0005-0000-0000-0000263D0000}"/>
    <cellStyle name="Normal 2 2 2 2 4 5 2 5" xfId="15697" xr:uid="{00000000-0005-0000-0000-0000273D0000}"/>
    <cellStyle name="Normal 2 2 2 2 4 5 2 6" xfId="15698" xr:uid="{00000000-0005-0000-0000-0000283D0000}"/>
    <cellStyle name="Normal 2 2 2 2 4 5 2 7" xfId="15699" xr:uid="{00000000-0005-0000-0000-0000293D0000}"/>
    <cellStyle name="Normal 2 2 2 2 4 5 2 8" xfId="15700" xr:uid="{00000000-0005-0000-0000-00002A3D0000}"/>
    <cellStyle name="Normal 2 2 2 2 4 5 2 9" xfId="15701" xr:uid="{00000000-0005-0000-0000-00002B3D0000}"/>
    <cellStyle name="Normal 2 2 2 2 4 5 3" xfId="15702" xr:uid="{00000000-0005-0000-0000-00002C3D0000}"/>
    <cellStyle name="Normal 2 2 2 2 4 5 3 10" xfId="15703" xr:uid="{00000000-0005-0000-0000-00002D3D0000}"/>
    <cellStyle name="Normal 2 2 2 2 4 5 3 2" xfId="15704" xr:uid="{00000000-0005-0000-0000-00002E3D0000}"/>
    <cellStyle name="Normal 2 2 2 2 4 5 3 3" xfId="15705" xr:uid="{00000000-0005-0000-0000-00002F3D0000}"/>
    <cellStyle name="Normal 2 2 2 2 4 5 3 4" xfId="15706" xr:uid="{00000000-0005-0000-0000-0000303D0000}"/>
    <cellStyle name="Normal 2 2 2 2 4 5 3 5" xfId="15707" xr:uid="{00000000-0005-0000-0000-0000313D0000}"/>
    <cellStyle name="Normal 2 2 2 2 4 5 3 6" xfId="15708" xr:uid="{00000000-0005-0000-0000-0000323D0000}"/>
    <cellStyle name="Normal 2 2 2 2 4 5 3 7" xfId="15709" xr:uid="{00000000-0005-0000-0000-0000333D0000}"/>
    <cellStyle name="Normal 2 2 2 2 4 5 3 8" xfId="15710" xr:uid="{00000000-0005-0000-0000-0000343D0000}"/>
    <cellStyle name="Normal 2 2 2 2 4 5 3 9" xfId="15711" xr:uid="{00000000-0005-0000-0000-0000353D0000}"/>
    <cellStyle name="Normal 2 2 2 2 4 5 4" xfId="15712" xr:uid="{00000000-0005-0000-0000-0000363D0000}"/>
    <cellStyle name="Normal 2 2 2 2 4 5 4 10" xfId="15713" xr:uid="{00000000-0005-0000-0000-0000373D0000}"/>
    <cellStyle name="Normal 2 2 2 2 4 5 4 2" xfId="15714" xr:uid="{00000000-0005-0000-0000-0000383D0000}"/>
    <cellStyle name="Normal 2 2 2 2 4 5 4 3" xfId="15715" xr:uid="{00000000-0005-0000-0000-0000393D0000}"/>
    <cellStyle name="Normal 2 2 2 2 4 5 4 4" xfId="15716" xr:uid="{00000000-0005-0000-0000-00003A3D0000}"/>
    <cellStyle name="Normal 2 2 2 2 4 5 4 5" xfId="15717" xr:uid="{00000000-0005-0000-0000-00003B3D0000}"/>
    <cellStyle name="Normal 2 2 2 2 4 5 4 6" xfId="15718" xr:uid="{00000000-0005-0000-0000-00003C3D0000}"/>
    <cellStyle name="Normal 2 2 2 2 4 5 4 7" xfId="15719" xr:uid="{00000000-0005-0000-0000-00003D3D0000}"/>
    <cellStyle name="Normal 2 2 2 2 4 5 4 8" xfId="15720" xr:uid="{00000000-0005-0000-0000-00003E3D0000}"/>
    <cellStyle name="Normal 2 2 2 2 4 5 4 9" xfId="15721" xr:uid="{00000000-0005-0000-0000-00003F3D0000}"/>
    <cellStyle name="Normal 2 2 2 2 4 5 5" xfId="15722" xr:uid="{00000000-0005-0000-0000-0000403D0000}"/>
    <cellStyle name="Normal 2 2 2 2 4 5 5 10" xfId="15723" xr:uid="{00000000-0005-0000-0000-0000413D0000}"/>
    <cellStyle name="Normal 2 2 2 2 4 5 5 2" xfId="15724" xr:uid="{00000000-0005-0000-0000-0000423D0000}"/>
    <cellStyle name="Normal 2 2 2 2 4 5 5 3" xfId="15725" xr:uid="{00000000-0005-0000-0000-0000433D0000}"/>
    <cellStyle name="Normal 2 2 2 2 4 5 5 4" xfId="15726" xr:uid="{00000000-0005-0000-0000-0000443D0000}"/>
    <cellStyle name="Normal 2 2 2 2 4 5 5 5" xfId="15727" xr:uid="{00000000-0005-0000-0000-0000453D0000}"/>
    <cellStyle name="Normal 2 2 2 2 4 5 5 6" xfId="15728" xr:uid="{00000000-0005-0000-0000-0000463D0000}"/>
    <cellStyle name="Normal 2 2 2 2 4 5 5 7" xfId="15729" xr:uid="{00000000-0005-0000-0000-0000473D0000}"/>
    <cellStyle name="Normal 2 2 2 2 4 5 5 8" xfId="15730" xr:uid="{00000000-0005-0000-0000-0000483D0000}"/>
    <cellStyle name="Normal 2 2 2 2 4 5 5 9" xfId="15731" xr:uid="{00000000-0005-0000-0000-0000493D0000}"/>
    <cellStyle name="Normal 2 2 2 2 4 5 6" xfId="15732" xr:uid="{00000000-0005-0000-0000-00004A3D0000}"/>
    <cellStyle name="Normal 2 2 2 2 4 5 7" xfId="15733" xr:uid="{00000000-0005-0000-0000-00004B3D0000}"/>
    <cellStyle name="Normal 2 2 2 2 4 5 8" xfId="15734" xr:uid="{00000000-0005-0000-0000-00004C3D0000}"/>
    <cellStyle name="Normal 2 2 2 2 4 5 9" xfId="15735" xr:uid="{00000000-0005-0000-0000-00004D3D0000}"/>
    <cellStyle name="Normal 2 2 2 2 4 6" xfId="15736" xr:uid="{00000000-0005-0000-0000-00004E3D0000}"/>
    <cellStyle name="Normal 2 2 2 2 4 6 10" xfId="15737" xr:uid="{00000000-0005-0000-0000-00004F3D0000}"/>
    <cellStyle name="Normal 2 2 2 2 4 6 11" xfId="15738" xr:uid="{00000000-0005-0000-0000-0000503D0000}"/>
    <cellStyle name="Normal 2 2 2 2 4 6 12" xfId="15739" xr:uid="{00000000-0005-0000-0000-0000513D0000}"/>
    <cellStyle name="Normal 2 2 2 2 4 6 13" xfId="15740" xr:uid="{00000000-0005-0000-0000-0000523D0000}"/>
    <cellStyle name="Normal 2 2 2 2 4 6 14" xfId="15741" xr:uid="{00000000-0005-0000-0000-0000533D0000}"/>
    <cellStyle name="Normal 2 2 2 2 4 6 2" xfId="15742" xr:uid="{00000000-0005-0000-0000-0000543D0000}"/>
    <cellStyle name="Normal 2 2 2 2 4 6 2 10" xfId="15743" xr:uid="{00000000-0005-0000-0000-0000553D0000}"/>
    <cellStyle name="Normal 2 2 2 2 4 6 2 2" xfId="15744" xr:uid="{00000000-0005-0000-0000-0000563D0000}"/>
    <cellStyle name="Normal 2 2 2 2 4 6 2 3" xfId="15745" xr:uid="{00000000-0005-0000-0000-0000573D0000}"/>
    <cellStyle name="Normal 2 2 2 2 4 6 2 4" xfId="15746" xr:uid="{00000000-0005-0000-0000-0000583D0000}"/>
    <cellStyle name="Normal 2 2 2 2 4 6 2 5" xfId="15747" xr:uid="{00000000-0005-0000-0000-0000593D0000}"/>
    <cellStyle name="Normal 2 2 2 2 4 6 2 6" xfId="15748" xr:uid="{00000000-0005-0000-0000-00005A3D0000}"/>
    <cellStyle name="Normal 2 2 2 2 4 6 2 7" xfId="15749" xr:uid="{00000000-0005-0000-0000-00005B3D0000}"/>
    <cellStyle name="Normal 2 2 2 2 4 6 2 8" xfId="15750" xr:uid="{00000000-0005-0000-0000-00005C3D0000}"/>
    <cellStyle name="Normal 2 2 2 2 4 6 2 9" xfId="15751" xr:uid="{00000000-0005-0000-0000-00005D3D0000}"/>
    <cellStyle name="Normal 2 2 2 2 4 6 3" xfId="15752" xr:uid="{00000000-0005-0000-0000-00005E3D0000}"/>
    <cellStyle name="Normal 2 2 2 2 4 6 3 10" xfId="15753" xr:uid="{00000000-0005-0000-0000-00005F3D0000}"/>
    <cellStyle name="Normal 2 2 2 2 4 6 3 2" xfId="15754" xr:uid="{00000000-0005-0000-0000-0000603D0000}"/>
    <cellStyle name="Normal 2 2 2 2 4 6 3 3" xfId="15755" xr:uid="{00000000-0005-0000-0000-0000613D0000}"/>
    <cellStyle name="Normal 2 2 2 2 4 6 3 4" xfId="15756" xr:uid="{00000000-0005-0000-0000-0000623D0000}"/>
    <cellStyle name="Normal 2 2 2 2 4 6 3 5" xfId="15757" xr:uid="{00000000-0005-0000-0000-0000633D0000}"/>
    <cellStyle name="Normal 2 2 2 2 4 6 3 6" xfId="15758" xr:uid="{00000000-0005-0000-0000-0000643D0000}"/>
    <cellStyle name="Normal 2 2 2 2 4 6 3 7" xfId="15759" xr:uid="{00000000-0005-0000-0000-0000653D0000}"/>
    <cellStyle name="Normal 2 2 2 2 4 6 3 8" xfId="15760" xr:uid="{00000000-0005-0000-0000-0000663D0000}"/>
    <cellStyle name="Normal 2 2 2 2 4 6 3 9" xfId="15761" xr:uid="{00000000-0005-0000-0000-0000673D0000}"/>
    <cellStyle name="Normal 2 2 2 2 4 6 4" xfId="15762" xr:uid="{00000000-0005-0000-0000-0000683D0000}"/>
    <cellStyle name="Normal 2 2 2 2 4 6 4 10" xfId="15763" xr:uid="{00000000-0005-0000-0000-0000693D0000}"/>
    <cellStyle name="Normal 2 2 2 2 4 6 4 2" xfId="15764" xr:uid="{00000000-0005-0000-0000-00006A3D0000}"/>
    <cellStyle name="Normal 2 2 2 2 4 6 4 3" xfId="15765" xr:uid="{00000000-0005-0000-0000-00006B3D0000}"/>
    <cellStyle name="Normal 2 2 2 2 4 6 4 4" xfId="15766" xr:uid="{00000000-0005-0000-0000-00006C3D0000}"/>
    <cellStyle name="Normal 2 2 2 2 4 6 4 5" xfId="15767" xr:uid="{00000000-0005-0000-0000-00006D3D0000}"/>
    <cellStyle name="Normal 2 2 2 2 4 6 4 6" xfId="15768" xr:uid="{00000000-0005-0000-0000-00006E3D0000}"/>
    <cellStyle name="Normal 2 2 2 2 4 6 4 7" xfId="15769" xr:uid="{00000000-0005-0000-0000-00006F3D0000}"/>
    <cellStyle name="Normal 2 2 2 2 4 6 4 8" xfId="15770" xr:uid="{00000000-0005-0000-0000-0000703D0000}"/>
    <cellStyle name="Normal 2 2 2 2 4 6 4 9" xfId="15771" xr:uid="{00000000-0005-0000-0000-0000713D0000}"/>
    <cellStyle name="Normal 2 2 2 2 4 6 5" xfId="15772" xr:uid="{00000000-0005-0000-0000-0000723D0000}"/>
    <cellStyle name="Normal 2 2 2 2 4 6 5 10" xfId="15773" xr:uid="{00000000-0005-0000-0000-0000733D0000}"/>
    <cellStyle name="Normal 2 2 2 2 4 6 5 2" xfId="15774" xr:uid="{00000000-0005-0000-0000-0000743D0000}"/>
    <cellStyle name="Normal 2 2 2 2 4 6 5 3" xfId="15775" xr:uid="{00000000-0005-0000-0000-0000753D0000}"/>
    <cellStyle name="Normal 2 2 2 2 4 6 5 4" xfId="15776" xr:uid="{00000000-0005-0000-0000-0000763D0000}"/>
    <cellStyle name="Normal 2 2 2 2 4 6 5 5" xfId="15777" xr:uid="{00000000-0005-0000-0000-0000773D0000}"/>
    <cellStyle name="Normal 2 2 2 2 4 6 5 6" xfId="15778" xr:uid="{00000000-0005-0000-0000-0000783D0000}"/>
    <cellStyle name="Normal 2 2 2 2 4 6 5 7" xfId="15779" xr:uid="{00000000-0005-0000-0000-0000793D0000}"/>
    <cellStyle name="Normal 2 2 2 2 4 6 5 8" xfId="15780" xr:uid="{00000000-0005-0000-0000-00007A3D0000}"/>
    <cellStyle name="Normal 2 2 2 2 4 6 5 9" xfId="15781" xr:uid="{00000000-0005-0000-0000-00007B3D0000}"/>
    <cellStyle name="Normal 2 2 2 2 4 6 6" xfId="15782" xr:uid="{00000000-0005-0000-0000-00007C3D0000}"/>
    <cellStyle name="Normal 2 2 2 2 4 6 7" xfId="15783" xr:uid="{00000000-0005-0000-0000-00007D3D0000}"/>
    <cellStyle name="Normal 2 2 2 2 4 6 8" xfId="15784" xr:uid="{00000000-0005-0000-0000-00007E3D0000}"/>
    <cellStyle name="Normal 2 2 2 2 4 6 9" xfId="15785" xr:uid="{00000000-0005-0000-0000-00007F3D0000}"/>
    <cellStyle name="Normal 2 2 2 2 4 7" xfId="15786" xr:uid="{00000000-0005-0000-0000-0000803D0000}"/>
    <cellStyle name="Normal 2 2 2 2 4 7 10" xfId="15787" xr:uid="{00000000-0005-0000-0000-0000813D0000}"/>
    <cellStyle name="Normal 2 2 2 2 4 7 11" xfId="15788" xr:uid="{00000000-0005-0000-0000-0000823D0000}"/>
    <cellStyle name="Normal 2 2 2 2 4 7 12" xfId="15789" xr:uid="{00000000-0005-0000-0000-0000833D0000}"/>
    <cellStyle name="Normal 2 2 2 2 4 7 13" xfId="15790" xr:uid="{00000000-0005-0000-0000-0000843D0000}"/>
    <cellStyle name="Normal 2 2 2 2 4 7 14" xfId="15791" xr:uid="{00000000-0005-0000-0000-0000853D0000}"/>
    <cellStyle name="Normal 2 2 2 2 4 7 2" xfId="15792" xr:uid="{00000000-0005-0000-0000-0000863D0000}"/>
    <cellStyle name="Normal 2 2 2 2 4 7 2 10" xfId="15793" xr:uid="{00000000-0005-0000-0000-0000873D0000}"/>
    <cellStyle name="Normal 2 2 2 2 4 7 2 2" xfId="15794" xr:uid="{00000000-0005-0000-0000-0000883D0000}"/>
    <cellStyle name="Normal 2 2 2 2 4 7 2 3" xfId="15795" xr:uid="{00000000-0005-0000-0000-0000893D0000}"/>
    <cellStyle name="Normal 2 2 2 2 4 7 2 4" xfId="15796" xr:uid="{00000000-0005-0000-0000-00008A3D0000}"/>
    <cellStyle name="Normal 2 2 2 2 4 7 2 5" xfId="15797" xr:uid="{00000000-0005-0000-0000-00008B3D0000}"/>
    <cellStyle name="Normal 2 2 2 2 4 7 2 6" xfId="15798" xr:uid="{00000000-0005-0000-0000-00008C3D0000}"/>
    <cellStyle name="Normal 2 2 2 2 4 7 2 7" xfId="15799" xr:uid="{00000000-0005-0000-0000-00008D3D0000}"/>
    <cellStyle name="Normal 2 2 2 2 4 7 2 8" xfId="15800" xr:uid="{00000000-0005-0000-0000-00008E3D0000}"/>
    <cellStyle name="Normal 2 2 2 2 4 7 2 9" xfId="15801" xr:uid="{00000000-0005-0000-0000-00008F3D0000}"/>
    <cellStyle name="Normal 2 2 2 2 4 7 3" xfId="15802" xr:uid="{00000000-0005-0000-0000-0000903D0000}"/>
    <cellStyle name="Normal 2 2 2 2 4 7 3 10" xfId="15803" xr:uid="{00000000-0005-0000-0000-0000913D0000}"/>
    <cellStyle name="Normal 2 2 2 2 4 7 3 2" xfId="15804" xr:uid="{00000000-0005-0000-0000-0000923D0000}"/>
    <cellStyle name="Normal 2 2 2 2 4 7 3 3" xfId="15805" xr:uid="{00000000-0005-0000-0000-0000933D0000}"/>
    <cellStyle name="Normal 2 2 2 2 4 7 3 4" xfId="15806" xr:uid="{00000000-0005-0000-0000-0000943D0000}"/>
    <cellStyle name="Normal 2 2 2 2 4 7 3 5" xfId="15807" xr:uid="{00000000-0005-0000-0000-0000953D0000}"/>
    <cellStyle name="Normal 2 2 2 2 4 7 3 6" xfId="15808" xr:uid="{00000000-0005-0000-0000-0000963D0000}"/>
    <cellStyle name="Normal 2 2 2 2 4 7 3 7" xfId="15809" xr:uid="{00000000-0005-0000-0000-0000973D0000}"/>
    <cellStyle name="Normal 2 2 2 2 4 7 3 8" xfId="15810" xr:uid="{00000000-0005-0000-0000-0000983D0000}"/>
    <cellStyle name="Normal 2 2 2 2 4 7 3 9" xfId="15811" xr:uid="{00000000-0005-0000-0000-0000993D0000}"/>
    <cellStyle name="Normal 2 2 2 2 4 7 4" xfId="15812" xr:uid="{00000000-0005-0000-0000-00009A3D0000}"/>
    <cellStyle name="Normal 2 2 2 2 4 7 4 10" xfId="15813" xr:uid="{00000000-0005-0000-0000-00009B3D0000}"/>
    <cellStyle name="Normal 2 2 2 2 4 7 4 2" xfId="15814" xr:uid="{00000000-0005-0000-0000-00009C3D0000}"/>
    <cellStyle name="Normal 2 2 2 2 4 7 4 3" xfId="15815" xr:uid="{00000000-0005-0000-0000-00009D3D0000}"/>
    <cellStyle name="Normal 2 2 2 2 4 7 4 4" xfId="15816" xr:uid="{00000000-0005-0000-0000-00009E3D0000}"/>
    <cellStyle name="Normal 2 2 2 2 4 7 4 5" xfId="15817" xr:uid="{00000000-0005-0000-0000-00009F3D0000}"/>
    <cellStyle name="Normal 2 2 2 2 4 7 4 6" xfId="15818" xr:uid="{00000000-0005-0000-0000-0000A03D0000}"/>
    <cellStyle name="Normal 2 2 2 2 4 7 4 7" xfId="15819" xr:uid="{00000000-0005-0000-0000-0000A13D0000}"/>
    <cellStyle name="Normal 2 2 2 2 4 7 4 8" xfId="15820" xr:uid="{00000000-0005-0000-0000-0000A23D0000}"/>
    <cellStyle name="Normal 2 2 2 2 4 7 4 9" xfId="15821" xr:uid="{00000000-0005-0000-0000-0000A33D0000}"/>
    <cellStyle name="Normal 2 2 2 2 4 7 5" xfId="15822" xr:uid="{00000000-0005-0000-0000-0000A43D0000}"/>
    <cellStyle name="Normal 2 2 2 2 4 7 5 10" xfId="15823" xr:uid="{00000000-0005-0000-0000-0000A53D0000}"/>
    <cellStyle name="Normal 2 2 2 2 4 7 5 2" xfId="15824" xr:uid="{00000000-0005-0000-0000-0000A63D0000}"/>
    <cellStyle name="Normal 2 2 2 2 4 7 5 3" xfId="15825" xr:uid="{00000000-0005-0000-0000-0000A73D0000}"/>
    <cellStyle name="Normal 2 2 2 2 4 7 5 4" xfId="15826" xr:uid="{00000000-0005-0000-0000-0000A83D0000}"/>
    <cellStyle name="Normal 2 2 2 2 4 7 5 5" xfId="15827" xr:uid="{00000000-0005-0000-0000-0000A93D0000}"/>
    <cellStyle name="Normal 2 2 2 2 4 7 5 6" xfId="15828" xr:uid="{00000000-0005-0000-0000-0000AA3D0000}"/>
    <cellStyle name="Normal 2 2 2 2 4 7 5 7" xfId="15829" xr:uid="{00000000-0005-0000-0000-0000AB3D0000}"/>
    <cellStyle name="Normal 2 2 2 2 4 7 5 8" xfId="15830" xr:uid="{00000000-0005-0000-0000-0000AC3D0000}"/>
    <cellStyle name="Normal 2 2 2 2 4 7 5 9" xfId="15831" xr:uid="{00000000-0005-0000-0000-0000AD3D0000}"/>
    <cellStyle name="Normal 2 2 2 2 4 7 6" xfId="15832" xr:uid="{00000000-0005-0000-0000-0000AE3D0000}"/>
    <cellStyle name="Normal 2 2 2 2 4 7 7" xfId="15833" xr:uid="{00000000-0005-0000-0000-0000AF3D0000}"/>
    <cellStyle name="Normal 2 2 2 2 4 7 8" xfId="15834" xr:uid="{00000000-0005-0000-0000-0000B03D0000}"/>
    <cellStyle name="Normal 2 2 2 2 4 7 9" xfId="15835" xr:uid="{00000000-0005-0000-0000-0000B13D0000}"/>
    <cellStyle name="Normal 2 2 2 2 4 8" xfId="15836" xr:uid="{00000000-0005-0000-0000-0000B23D0000}"/>
    <cellStyle name="Normal 2 2 2 2 4 8 10" xfId="15837" xr:uid="{00000000-0005-0000-0000-0000B33D0000}"/>
    <cellStyle name="Normal 2 2 2 2 4 8 11" xfId="15838" xr:uid="{00000000-0005-0000-0000-0000B43D0000}"/>
    <cellStyle name="Normal 2 2 2 2 4 8 12" xfId="15839" xr:uid="{00000000-0005-0000-0000-0000B53D0000}"/>
    <cellStyle name="Normal 2 2 2 2 4 8 13" xfId="15840" xr:uid="{00000000-0005-0000-0000-0000B63D0000}"/>
    <cellStyle name="Normal 2 2 2 2 4 8 14" xfId="15841" xr:uid="{00000000-0005-0000-0000-0000B73D0000}"/>
    <cellStyle name="Normal 2 2 2 2 4 8 2" xfId="15842" xr:uid="{00000000-0005-0000-0000-0000B83D0000}"/>
    <cellStyle name="Normal 2 2 2 2 4 8 2 10" xfId="15843" xr:uid="{00000000-0005-0000-0000-0000B93D0000}"/>
    <cellStyle name="Normal 2 2 2 2 4 8 2 2" xfId="15844" xr:uid="{00000000-0005-0000-0000-0000BA3D0000}"/>
    <cellStyle name="Normal 2 2 2 2 4 8 2 3" xfId="15845" xr:uid="{00000000-0005-0000-0000-0000BB3D0000}"/>
    <cellStyle name="Normal 2 2 2 2 4 8 2 4" xfId="15846" xr:uid="{00000000-0005-0000-0000-0000BC3D0000}"/>
    <cellStyle name="Normal 2 2 2 2 4 8 2 5" xfId="15847" xr:uid="{00000000-0005-0000-0000-0000BD3D0000}"/>
    <cellStyle name="Normal 2 2 2 2 4 8 2 6" xfId="15848" xr:uid="{00000000-0005-0000-0000-0000BE3D0000}"/>
    <cellStyle name="Normal 2 2 2 2 4 8 2 7" xfId="15849" xr:uid="{00000000-0005-0000-0000-0000BF3D0000}"/>
    <cellStyle name="Normal 2 2 2 2 4 8 2 8" xfId="15850" xr:uid="{00000000-0005-0000-0000-0000C03D0000}"/>
    <cellStyle name="Normal 2 2 2 2 4 8 2 9" xfId="15851" xr:uid="{00000000-0005-0000-0000-0000C13D0000}"/>
    <cellStyle name="Normal 2 2 2 2 4 8 3" xfId="15852" xr:uid="{00000000-0005-0000-0000-0000C23D0000}"/>
    <cellStyle name="Normal 2 2 2 2 4 8 3 10" xfId="15853" xr:uid="{00000000-0005-0000-0000-0000C33D0000}"/>
    <cellStyle name="Normal 2 2 2 2 4 8 3 2" xfId="15854" xr:uid="{00000000-0005-0000-0000-0000C43D0000}"/>
    <cellStyle name="Normal 2 2 2 2 4 8 3 3" xfId="15855" xr:uid="{00000000-0005-0000-0000-0000C53D0000}"/>
    <cellStyle name="Normal 2 2 2 2 4 8 3 4" xfId="15856" xr:uid="{00000000-0005-0000-0000-0000C63D0000}"/>
    <cellStyle name="Normal 2 2 2 2 4 8 3 5" xfId="15857" xr:uid="{00000000-0005-0000-0000-0000C73D0000}"/>
    <cellStyle name="Normal 2 2 2 2 4 8 3 6" xfId="15858" xr:uid="{00000000-0005-0000-0000-0000C83D0000}"/>
    <cellStyle name="Normal 2 2 2 2 4 8 3 7" xfId="15859" xr:uid="{00000000-0005-0000-0000-0000C93D0000}"/>
    <cellStyle name="Normal 2 2 2 2 4 8 3 8" xfId="15860" xr:uid="{00000000-0005-0000-0000-0000CA3D0000}"/>
    <cellStyle name="Normal 2 2 2 2 4 8 3 9" xfId="15861" xr:uid="{00000000-0005-0000-0000-0000CB3D0000}"/>
    <cellStyle name="Normal 2 2 2 2 4 8 4" xfId="15862" xr:uid="{00000000-0005-0000-0000-0000CC3D0000}"/>
    <cellStyle name="Normal 2 2 2 2 4 8 4 10" xfId="15863" xr:uid="{00000000-0005-0000-0000-0000CD3D0000}"/>
    <cellStyle name="Normal 2 2 2 2 4 8 4 2" xfId="15864" xr:uid="{00000000-0005-0000-0000-0000CE3D0000}"/>
    <cellStyle name="Normal 2 2 2 2 4 8 4 3" xfId="15865" xr:uid="{00000000-0005-0000-0000-0000CF3D0000}"/>
    <cellStyle name="Normal 2 2 2 2 4 8 4 4" xfId="15866" xr:uid="{00000000-0005-0000-0000-0000D03D0000}"/>
    <cellStyle name="Normal 2 2 2 2 4 8 4 5" xfId="15867" xr:uid="{00000000-0005-0000-0000-0000D13D0000}"/>
    <cellStyle name="Normal 2 2 2 2 4 8 4 6" xfId="15868" xr:uid="{00000000-0005-0000-0000-0000D23D0000}"/>
    <cellStyle name="Normal 2 2 2 2 4 8 4 7" xfId="15869" xr:uid="{00000000-0005-0000-0000-0000D33D0000}"/>
    <cellStyle name="Normal 2 2 2 2 4 8 4 8" xfId="15870" xr:uid="{00000000-0005-0000-0000-0000D43D0000}"/>
    <cellStyle name="Normal 2 2 2 2 4 8 4 9" xfId="15871" xr:uid="{00000000-0005-0000-0000-0000D53D0000}"/>
    <cellStyle name="Normal 2 2 2 2 4 8 5" xfId="15872" xr:uid="{00000000-0005-0000-0000-0000D63D0000}"/>
    <cellStyle name="Normal 2 2 2 2 4 8 5 10" xfId="15873" xr:uid="{00000000-0005-0000-0000-0000D73D0000}"/>
    <cellStyle name="Normal 2 2 2 2 4 8 5 2" xfId="15874" xr:uid="{00000000-0005-0000-0000-0000D83D0000}"/>
    <cellStyle name="Normal 2 2 2 2 4 8 5 3" xfId="15875" xr:uid="{00000000-0005-0000-0000-0000D93D0000}"/>
    <cellStyle name="Normal 2 2 2 2 4 8 5 4" xfId="15876" xr:uid="{00000000-0005-0000-0000-0000DA3D0000}"/>
    <cellStyle name="Normal 2 2 2 2 4 8 5 5" xfId="15877" xr:uid="{00000000-0005-0000-0000-0000DB3D0000}"/>
    <cellStyle name="Normal 2 2 2 2 4 8 5 6" xfId="15878" xr:uid="{00000000-0005-0000-0000-0000DC3D0000}"/>
    <cellStyle name="Normal 2 2 2 2 4 8 5 7" xfId="15879" xr:uid="{00000000-0005-0000-0000-0000DD3D0000}"/>
    <cellStyle name="Normal 2 2 2 2 4 8 5 8" xfId="15880" xr:uid="{00000000-0005-0000-0000-0000DE3D0000}"/>
    <cellStyle name="Normal 2 2 2 2 4 8 5 9" xfId="15881" xr:uid="{00000000-0005-0000-0000-0000DF3D0000}"/>
    <cellStyle name="Normal 2 2 2 2 4 8 6" xfId="15882" xr:uid="{00000000-0005-0000-0000-0000E03D0000}"/>
    <cellStyle name="Normal 2 2 2 2 4 8 7" xfId="15883" xr:uid="{00000000-0005-0000-0000-0000E13D0000}"/>
    <cellStyle name="Normal 2 2 2 2 4 8 8" xfId="15884" xr:uid="{00000000-0005-0000-0000-0000E23D0000}"/>
    <cellStyle name="Normal 2 2 2 2 4 8 9" xfId="15885" xr:uid="{00000000-0005-0000-0000-0000E33D0000}"/>
    <cellStyle name="Normal 2 2 2 2 4 9" xfId="15886" xr:uid="{00000000-0005-0000-0000-0000E43D0000}"/>
    <cellStyle name="Normal 2 2 2 2 4 9 10" xfId="15887" xr:uid="{00000000-0005-0000-0000-0000E53D0000}"/>
    <cellStyle name="Normal 2 2 2 2 4 9 11" xfId="15888" xr:uid="{00000000-0005-0000-0000-0000E63D0000}"/>
    <cellStyle name="Normal 2 2 2 2 4 9 12" xfId="15889" xr:uid="{00000000-0005-0000-0000-0000E73D0000}"/>
    <cellStyle name="Normal 2 2 2 2 4 9 13" xfId="15890" xr:uid="{00000000-0005-0000-0000-0000E83D0000}"/>
    <cellStyle name="Normal 2 2 2 2 4 9 14" xfId="15891" xr:uid="{00000000-0005-0000-0000-0000E93D0000}"/>
    <cellStyle name="Normal 2 2 2 2 4 9 2" xfId="15892" xr:uid="{00000000-0005-0000-0000-0000EA3D0000}"/>
    <cellStyle name="Normal 2 2 2 2 4 9 2 10" xfId="15893" xr:uid="{00000000-0005-0000-0000-0000EB3D0000}"/>
    <cellStyle name="Normal 2 2 2 2 4 9 2 2" xfId="15894" xr:uid="{00000000-0005-0000-0000-0000EC3D0000}"/>
    <cellStyle name="Normal 2 2 2 2 4 9 2 3" xfId="15895" xr:uid="{00000000-0005-0000-0000-0000ED3D0000}"/>
    <cellStyle name="Normal 2 2 2 2 4 9 2 4" xfId="15896" xr:uid="{00000000-0005-0000-0000-0000EE3D0000}"/>
    <cellStyle name="Normal 2 2 2 2 4 9 2 5" xfId="15897" xr:uid="{00000000-0005-0000-0000-0000EF3D0000}"/>
    <cellStyle name="Normal 2 2 2 2 4 9 2 6" xfId="15898" xr:uid="{00000000-0005-0000-0000-0000F03D0000}"/>
    <cellStyle name="Normal 2 2 2 2 4 9 2 7" xfId="15899" xr:uid="{00000000-0005-0000-0000-0000F13D0000}"/>
    <cellStyle name="Normal 2 2 2 2 4 9 2 8" xfId="15900" xr:uid="{00000000-0005-0000-0000-0000F23D0000}"/>
    <cellStyle name="Normal 2 2 2 2 4 9 2 9" xfId="15901" xr:uid="{00000000-0005-0000-0000-0000F33D0000}"/>
    <cellStyle name="Normal 2 2 2 2 4 9 3" xfId="15902" xr:uid="{00000000-0005-0000-0000-0000F43D0000}"/>
    <cellStyle name="Normal 2 2 2 2 4 9 3 10" xfId="15903" xr:uid="{00000000-0005-0000-0000-0000F53D0000}"/>
    <cellStyle name="Normal 2 2 2 2 4 9 3 2" xfId="15904" xr:uid="{00000000-0005-0000-0000-0000F63D0000}"/>
    <cellStyle name="Normal 2 2 2 2 4 9 3 3" xfId="15905" xr:uid="{00000000-0005-0000-0000-0000F73D0000}"/>
    <cellStyle name="Normal 2 2 2 2 4 9 3 4" xfId="15906" xr:uid="{00000000-0005-0000-0000-0000F83D0000}"/>
    <cellStyle name="Normal 2 2 2 2 4 9 3 5" xfId="15907" xr:uid="{00000000-0005-0000-0000-0000F93D0000}"/>
    <cellStyle name="Normal 2 2 2 2 4 9 3 6" xfId="15908" xr:uid="{00000000-0005-0000-0000-0000FA3D0000}"/>
    <cellStyle name="Normal 2 2 2 2 4 9 3 7" xfId="15909" xr:uid="{00000000-0005-0000-0000-0000FB3D0000}"/>
    <cellStyle name="Normal 2 2 2 2 4 9 3 8" xfId="15910" xr:uid="{00000000-0005-0000-0000-0000FC3D0000}"/>
    <cellStyle name="Normal 2 2 2 2 4 9 3 9" xfId="15911" xr:uid="{00000000-0005-0000-0000-0000FD3D0000}"/>
    <cellStyle name="Normal 2 2 2 2 4 9 4" xfId="15912" xr:uid="{00000000-0005-0000-0000-0000FE3D0000}"/>
    <cellStyle name="Normal 2 2 2 2 4 9 4 10" xfId="15913" xr:uid="{00000000-0005-0000-0000-0000FF3D0000}"/>
    <cellStyle name="Normal 2 2 2 2 4 9 4 2" xfId="15914" xr:uid="{00000000-0005-0000-0000-0000003E0000}"/>
    <cellStyle name="Normal 2 2 2 2 4 9 4 3" xfId="15915" xr:uid="{00000000-0005-0000-0000-0000013E0000}"/>
    <cellStyle name="Normal 2 2 2 2 4 9 4 4" xfId="15916" xr:uid="{00000000-0005-0000-0000-0000023E0000}"/>
    <cellStyle name="Normal 2 2 2 2 4 9 4 5" xfId="15917" xr:uid="{00000000-0005-0000-0000-0000033E0000}"/>
    <cellStyle name="Normal 2 2 2 2 4 9 4 6" xfId="15918" xr:uid="{00000000-0005-0000-0000-0000043E0000}"/>
    <cellStyle name="Normal 2 2 2 2 4 9 4 7" xfId="15919" xr:uid="{00000000-0005-0000-0000-0000053E0000}"/>
    <cellStyle name="Normal 2 2 2 2 4 9 4 8" xfId="15920" xr:uid="{00000000-0005-0000-0000-0000063E0000}"/>
    <cellStyle name="Normal 2 2 2 2 4 9 4 9" xfId="15921" xr:uid="{00000000-0005-0000-0000-0000073E0000}"/>
    <cellStyle name="Normal 2 2 2 2 4 9 5" xfId="15922" xr:uid="{00000000-0005-0000-0000-0000083E0000}"/>
    <cellStyle name="Normal 2 2 2 2 4 9 5 10" xfId="15923" xr:uid="{00000000-0005-0000-0000-0000093E0000}"/>
    <cellStyle name="Normal 2 2 2 2 4 9 5 2" xfId="15924" xr:uid="{00000000-0005-0000-0000-00000A3E0000}"/>
    <cellStyle name="Normal 2 2 2 2 4 9 5 3" xfId="15925" xr:uid="{00000000-0005-0000-0000-00000B3E0000}"/>
    <cellStyle name="Normal 2 2 2 2 4 9 5 4" xfId="15926" xr:uid="{00000000-0005-0000-0000-00000C3E0000}"/>
    <cellStyle name="Normal 2 2 2 2 4 9 5 5" xfId="15927" xr:uid="{00000000-0005-0000-0000-00000D3E0000}"/>
    <cellStyle name="Normal 2 2 2 2 4 9 5 6" xfId="15928" xr:uid="{00000000-0005-0000-0000-00000E3E0000}"/>
    <cellStyle name="Normal 2 2 2 2 4 9 5 7" xfId="15929" xr:uid="{00000000-0005-0000-0000-00000F3E0000}"/>
    <cellStyle name="Normal 2 2 2 2 4 9 5 8" xfId="15930" xr:uid="{00000000-0005-0000-0000-0000103E0000}"/>
    <cellStyle name="Normal 2 2 2 2 4 9 5 9" xfId="15931" xr:uid="{00000000-0005-0000-0000-0000113E0000}"/>
    <cellStyle name="Normal 2 2 2 2 4 9 6" xfId="15932" xr:uid="{00000000-0005-0000-0000-0000123E0000}"/>
    <cellStyle name="Normal 2 2 2 2 4 9 7" xfId="15933" xr:uid="{00000000-0005-0000-0000-0000133E0000}"/>
    <cellStyle name="Normal 2 2 2 2 4 9 8" xfId="15934" xr:uid="{00000000-0005-0000-0000-0000143E0000}"/>
    <cellStyle name="Normal 2 2 2 2 4 9 9" xfId="15935" xr:uid="{00000000-0005-0000-0000-0000153E0000}"/>
    <cellStyle name="Normal 2 2 2 2 40" xfId="15936" xr:uid="{00000000-0005-0000-0000-0000163E0000}"/>
    <cellStyle name="Normal 2 2 2 2 40 10" xfId="15937" xr:uid="{00000000-0005-0000-0000-0000173E0000}"/>
    <cellStyle name="Normal 2 2 2 2 40 2" xfId="15938" xr:uid="{00000000-0005-0000-0000-0000183E0000}"/>
    <cellStyle name="Normal 2 2 2 2 40 3" xfId="15939" xr:uid="{00000000-0005-0000-0000-0000193E0000}"/>
    <cellStyle name="Normal 2 2 2 2 40 4" xfId="15940" xr:uid="{00000000-0005-0000-0000-00001A3E0000}"/>
    <cellStyle name="Normal 2 2 2 2 40 5" xfId="15941" xr:uid="{00000000-0005-0000-0000-00001B3E0000}"/>
    <cellStyle name="Normal 2 2 2 2 40 6" xfId="15942" xr:uid="{00000000-0005-0000-0000-00001C3E0000}"/>
    <cellStyle name="Normal 2 2 2 2 40 7" xfId="15943" xr:uid="{00000000-0005-0000-0000-00001D3E0000}"/>
    <cellStyle name="Normal 2 2 2 2 40 8" xfId="15944" xr:uid="{00000000-0005-0000-0000-00001E3E0000}"/>
    <cellStyle name="Normal 2 2 2 2 40 9" xfId="15945" xr:uid="{00000000-0005-0000-0000-00001F3E0000}"/>
    <cellStyle name="Normal 2 2 2 2 41" xfId="15946" xr:uid="{00000000-0005-0000-0000-0000203E0000}"/>
    <cellStyle name="Normal 2 2 2 2 42" xfId="15947" xr:uid="{00000000-0005-0000-0000-0000213E0000}"/>
    <cellStyle name="Normal 2 2 2 2 43" xfId="15948" xr:uid="{00000000-0005-0000-0000-0000223E0000}"/>
    <cellStyle name="Normal 2 2 2 2 44" xfId="15949" xr:uid="{00000000-0005-0000-0000-0000233E0000}"/>
    <cellStyle name="Normal 2 2 2 2 45" xfId="15950" xr:uid="{00000000-0005-0000-0000-0000243E0000}"/>
    <cellStyle name="Normal 2 2 2 2 46" xfId="15951" xr:uid="{00000000-0005-0000-0000-0000253E0000}"/>
    <cellStyle name="Normal 2 2 2 2 47" xfId="15952" xr:uid="{00000000-0005-0000-0000-0000263E0000}"/>
    <cellStyle name="Normal 2 2 2 2 48" xfId="15953" xr:uid="{00000000-0005-0000-0000-0000273E0000}"/>
    <cellStyle name="Normal 2 2 2 2 49" xfId="15954" xr:uid="{00000000-0005-0000-0000-0000283E0000}"/>
    <cellStyle name="Normal 2 2 2 2 5" xfId="15955" xr:uid="{00000000-0005-0000-0000-0000293E0000}"/>
    <cellStyle name="Normal 2 2 2 2 5 10" xfId="15956" xr:uid="{00000000-0005-0000-0000-00002A3E0000}"/>
    <cellStyle name="Normal 2 2 2 2 5 10 10" xfId="15957" xr:uid="{00000000-0005-0000-0000-00002B3E0000}"/>
    <cellStyle name="Normal 2 2 2 2 5 10 11" xfId="15958" xr:uid="{00000000-0005-0000-0000-00002C3E0000}"/>
    <cellStyle name="Normal 2 2 2 2 5 10 12" xfId="15959" xr:uid="{00000000-0005-0000-0000-00002D3E0000}"/>
    <cellStyle name="Normal 2 2 2 2 5 10 13" xfId="15960" xr:uid="{00000000-0005-0000-0000-00002E3E0000}"/>
    <cellStyle name="Normal 2 2 2 2 5 10 14" xfId="15961" xr:uid="{00000000-0005-0000-0000-00002F3E0000}"/>
    <cellStyle name="Normal 2 2 2 2 5 10 2" xfId="15962" xr:uid="{00000000-0005-0000-0000-0000303E0000}"/>
    <cellStyle name="Normal 2 2 2 2 5 10 2 10" xfId="15963" xr:uid="{00000000-0005-0000-0000-0000313E0000}"/>
    <cellStyle name="Normal 2 2 2 2 5 10 2 2" xfId="15964" xr:uid="{00000000-0005-0000-0000-0000323E0000}"/>
    <cellStyle name="Normal 2 2 2 2 5 10 2 3" xfId="15965" xr:uid="{00000000-0005-0000-0000-0000333E0000}"/>
    <cellStyle name="Normal 2 2 2 2 5 10 2 4" xfId="15966" xr:uid="{00000000-0005-0000-0000-0000343E0000}"/>
    <cellStyle name="Normal 2 2 2 2 5 10 2 5" xfId="15967" xr:uid="{00000000-0005-0000-0000-0000353E0000}"/>
    <cellStyle name="Normal 2 2 2 2 5 10 2 6" xfId="15968" xr:uid="{00000000-0005-0000-0000-0000363E0000}"/>
    <cellStyle name="Normal 2 2 2 2 5 10 2 7" xfId="15969" xr:uid="{00000000-0005-0000-0000-0000373E0000}"/>
    <cellStyle name="Normal 2 2 2 2 5 10 2 8" xfId="15970" xr:uid="{00000000-0005-0000-0000-0000383E0000}"/>
    <cellStyle name="Normal 2 2 2 2 5 10 2 9" xfId="15971" xr:uid="{00000000-0005-0000-0000-0000393E0000}"/>
    <cellStyle name="Normal 2 2 2 2 5 10 3" xfId="15972" xr:uid="{00000000-0005-0000-0000-00003A3E0000}"/>
    <cellStyle name="Normal 2 2 2 2 5 10 3 10" xfId="15973" xr:uid="{00000000-0005-0000-0000-00003B3E0000}"/>
    <cellStyle name="Normal 2 2 2 2 5 10 3 2" xfId="15974" xr:uid="{00000000-0005-0000-0000-00003C3E0000}"/>
    <cellStyle name="Normal 2 2 2 2 5 10 3 3" xfId="15975" xr:uid="{00000000-0005-0000-0000-00003D3E0000}"/>
    <cellStyle name="Normal 2 2 2 2 5 10 3 4" xfId="15976" xr:uid="{00000000-0005-0000-0000-00003E3E0000}"/>
    <cellStyle name="Normal 2 2 2 2 5 10 3 5" xfId="15977" xr:uid="{00000000-0005-0000-0000-00003F3E0000}"/>
    <cellStyle name="Normal 2 2 2 2 5 10 3 6" xfId="15978" xr:uid="{00000000-0005-0000-0000-0000403E0000}"/>
    <cellStyle name="Normal 2 2 2 2 5 10 3 7" xfId="15979" xr:uid="{00000000-0005-0000-0000-0000413E0000}"/>
    <cellStyle name="Normal 2 2 2 2 5 10 3 8" xfId="15980" xr:uid="{00000000-0005-0000-0000-0000423E0000}"/>
    <cellStyle name="Normal 2 2 2 2 5 10 3 9" xfId="15981" xr:uid="{00000000-0005-0000-0000-0000433E0000}"/>
    <cellStyle name="Normal 2 2 2 2 5 10 4" xfId="15982" xr:uid="{00000000-0005-0000-0000-0000443E0000}"/>
    <cellStyle name="Normal 2 2 2 2 5 10 4 10" xfId="15983" xr:uid="{00000000-0005-0000-0000-0000453E0000}"/>
    <cellStyle name="Normal 2 2 2 2 5 10 4 2" xfId="15984" xr:uid="{00000000-0005-0000-0000-0000463E0000}"/>
    <cellStyle name="Normal 2 2 2 2 5 10 4 3" xfId="15985" xr:uid="{00000000-0005-0000-0000-0000473E0000}"/>
    <cellStyle name="Normal 2 2 2 2 5 10 4 4" xfId="15986" xr:uid="{00000000-0005-0000-0000-0000483E0000}"/>
    <cellStyle name="Normal 2 2 2 2 5 10 4 5" xfId="15987" xr:uid="{00000000-0005-0000-0000-0000493E0000}"/>
    <cellStyle name="Normal 2 2 2 2 5 10 4 6" xfId="15988" xr:uid="{00000000-0005-0000-0000-00004A3E0000}"/>
    <cellStyle name="Normal 2 2 2 2 5 10 4 7" xfId="15989" xr:uid="{00000000-0005-0000-0000-00004B3E0000}"/>
    <cellStyle name="Normal 2 2 2 2 5 10 4 8" xfId="15990" xr:uid="{00000000-0005-0000-0000-00004C3E0000}"/>
    <cellStyle name="Normal 2 2 2 2 5 10 4 9" xfId="15991" xr:uid="{00000000-0005-0000-0000-00004D3E0000}"/>
    <cellStyle name="Normal 2 2 2 2 5 10 5" xfId="15992" xr:uid="{00000000-0005-0000-0000-00004E3E0000}"/>
    <cellStyle name="Normal 2 2 2 2 5 10 5 10" xfId="15993" xr:uid="{00000000-0005-0000-0000-00004F3E0000}"/>
    <cellStyle name="Normal 2 2 2 2 5 10 5 2" xfId="15994" xr:uid="{00000000-0005-0000-0000-0000503E0000}"/>
    <cellStyle name="Normal 2 2 2 2 5 10 5 3" xfId="15995" xr:uid="{00000000-0005-0000-0000-0000513E0000}"/>
    <cellStyle name="Normal 2 2 2 2 5 10 5 4" xfId="15996" xr:uid="{00000000-0005-0000-0000-0000523E0000}"/>
    <cellStyle name="Normal 2 2 2 2 5 10 5 5" xfId="15997" xr:uid="{00000000-0005-0000-0000-0000533E0000}"/>
    <cellStyle name="Normal 2 2 2 2 5 10 5 6" xfId="15998" xr:uid="{00000000-0005-0000-0000-0000543E0000}"/>
    <cellStyle name="Normal 2 2 2 2 5 10 5 7" xfId="15999" xr:uid="{00000000-0005-0000-0000-0000553E0000}"/>
    <cellStyle name="Normal 2 2 2 2 5 10 5 8" xfId="16000" xr:uid="{00000000-0005-0000-0000-0000563E0000}"/>
    <cellStyle name="Normal 2 2 2 2 5 10 5 9" xfId="16001" xr:uid="{00000000-0005-0000-0000-0000573E0000}"/>
    <cellStyle name="Normal 2 2 2 2 5 10 6" xfId="16002" xr:uid="{00000000-0005-0000-0000-0000583E0000}"/>
    <cellStyle name="Normal 2 2 2 2 5 10 7" xfId="16003" xr:uid="{00000000-0005-0000-0000-0000593E0000}"/>
    <cellStyle name="Normal 2 2 2 2 5 10 8" xfId="16004" xr:uid="{00000000-0005-0000-0000-00005A3E0000}"/>
    <cellStyle name="Normal 2 2 2 2 5 10 9" xfId="16005" xr:uid="{00000000-0005-0000-0000-00005B3E0000}"/>
    <cellStyle name="Normal 2 2 2 2 5 11" xfId="16006" xr:uid="{00000000-0005-0000-0000-00005C3E0000}"/>
    <cellStyle name="Normal 2 2 2 2 5 11 10" xfId="16007" xr:uid="{00000000-0005-0000-0000-00005D3E0000}"/>
    <cellStyle name="Normal 2 2 2 2 5 11 11" xfId="16008" xr:uid="{00000000-0005-0000-0000-00005E3E0000}"/>
    <cellStyle name="Normal 2 2 2 2 5 11 12" xfId="16009" xr:uid="{00000000-0005-0000-0000-00005F3E0000}"/>
    <cellStyle name="Normal 2 2 2 2 5 11 13" xfId="16010" xr:uid="{00000000-0005-0000-0000-0000603E0000}"/>
    <cellStyle name="Normal 2 2 2 2 5 11 14" xfId="16011" xr:uid="{00000000-0005-0000-0000-0000613E0000}"/>
    <cellStyle name="Normal 2 2 2 2 5 11 2" xfId="16012" xr:uid="{00000000-0005-0000-0000-0000623E0000}"/>
    <cellStyle name="Normal 2 2 2 2 5 11 2 10" xfId="16013" xr:uid="{00000000-0005-0000-0000-0000633E0000}"/>
    <cellStyle name="Normal 2 2 2 2 5 11 2 2" xfId="16014" xr:uid="{00000000-0005-0000-0000-0000643E0000}"/>
    <cellStyle name="Normal 2 2 2 2 5 11 2 3" xfId="16015" xr:uid="{00000000-0005-0000-0000-0000653E0000}"/>
    <cellStyle name="Normal 2 2 2 2 5 11 2 4" xfId="16016" xr:uid="{00000000-0005-0000-0000-0000663E0000}"/>
    <cellStyle name="Normal 2 2 2 2 5 11 2 5" xfId="16017" xr:uid="{00000000-0005-0000-0000-0000673E0000}"/>
    <cellStyle name="Normal 2 2 2 2 5 11 2 6" xfId="16018" xr:uid="{00000000-0005-0000-0000-0000683E0000}"/>
    <cellStyle name="Normal 2 2 2 2 5 11 2 7" xfId="16019" xr:uid="{00000000-0005-0000-0000-0000693E0000}"/>
    <cellStyle name="Normal 2 2 2 2 5 11 2 8" xfId="16020" xr:uid="{00000000-0005-0000-0000-00006A3E0000}"/>
    <cellStyle name="Normal 2 2 2 2 5 11 2 9" xfId="16021" xr:uid="{00000000-0005-0000-0000-00006B3E0000}"/>
    <cellStyle name="Normal 2 2 2 2 5 11 3" xfId="16022" xr:uid="{00000000-0005-0000-0000-00006C3E0000}"/>
    <cellStyle name="Normal 2 2 2 2 5 11 3 10" xfId="16023" xr:uid="{00000000-0005-0000-0000-00006D3E0000}"/>
    <cellStyle name="Normal 2 2 2 2 5 11 3 2" xfId="16024" xr:uid="{00000000-0005-0000-0000-00006E3E0000}"/>
    <cellStyle name="Normal 2 2 2 2 5 11 3 3" xfId="16025" xr:uid="{00000000-0005-0000-0000-00006F3E0000}"/>
    <cellStyle name="Normal 2 2 2 2 5 11 3 4" xfId="16026" xr:uid="{00000000-0005-0000-0000-0000703E0000}"/>
    <cellStyle name="Normal 2 2 2 2 5 11 3 5" xfId="16027" xr:uid="{00000000-0005-0000-0000-0000713E0000}"/>
    <cellStyle name="Normal 2 2 2 2 5 11 3 6" xfId="16028" xr:uid="{00000000-0005-0000-0000-0000723E0000}"/>
    <cellStyle name="Normal 2 2 2 2 5 11 3 7" xfId="16029" xr:uid="{00000000-0005-0000-0000-0000733E0000}"/>
    <cellStyle name="Normal 2 2 2 2 5 11 3 8" xfId="16030" xr:uid="{00000000-0005-0000-0000-0000743E0000}"/>
    <cellStyle name="Normal 2 2 2 2 5 11 3 9" xfId="16031" xr:uid="{00000000-0005-0000-0000-0000753E0000}"/>
    <cellStyle name="Normal 2 2 2 2 5 11 4" xfId="16032" xr:uid="{00000000-0005-0000-0000-0000763E0000}"/>
    <cellStyle name="Normal 2 2 2 2 5 11 4 10" xfId="16033" xr:uid="{00000000-0005-0000-0000-0000773E0000}"/>
    <cellStyle name="Normal 2 2 2 2 5 11 4 2" xfId="16034" xr:uid="{00000000-0005-0000-0000-0000783E0000}"/>
    <cellStyle name="Normal 2 2 2 2 5 11 4 3" xfId="16035" xr:uid="{00000000-0005-0000-0000-0000793E0000}"/>
    <cellStyle name="Normal 2 2 2 2 5 11 4 4" xfId="16036" xr:uid="{00000000-0005-0000-0000-00007A3E0000}"/>
    <cellStyle name="Normal 2 2 2 2 5 11 4 5" xfId="16037" xr:uid="{00000000-0005-0000-0000-00007B3E0000}"/>
    <cellStyle name="Normal 2 2 2 2 5 11 4 6" xfId="16038" xr:uid="{00000000-0005-0000-0000-00007C3E0000}"/>
    <cellStyle name="Normal 2 2 2 2 5 11 4 7" xfId="16039" xr:uid="{00000000-0005-0000-0000-00007D3E0000}"/>
    <cellStyle name="Normal 2 2 2 2 5 11 4 8" xfId="16040" xr:uid="{00000000-0005-0000-0000-00007E3E0000}"/>
    <cellStyle name="Normal 2 2 2 2 5 11 4 9" xfId="16041" xr:uid="{00000000-0005-0000-0000-00007F3E0000}"/>
    <cellStyle name="Normal 2 2 2 2 5 11 5" xfId="16042" xr:uid="{00000000-0005-0000-0000-0000803E0000}"/>
    <cellStyle name="Normal 2 2 2 2 5 11 5 10" xfId="16043" xr:uid="{00000000-0005-0000-0000-0000813E0000}"/>
    <cellStyle name="Normal 2 2 2 2 5 11 5 2" xfId="16044" xr:uid="{00000000-0005-0000-0000-0000823E0000}"/>
    <cellStyle name="Normal 2 2 2 2 5 11 5 3" xfId="16045" xr:uid="{00000000-0005-0000-0000-0000833E0000}"/>
    <cellStyle name="Normal 2 2 2 2 5 11 5 4" xfId="16046" xr:uid="{00000000-0005-0000-0000-0000843E0000}"/>
    <cellStyle name="Normal 2 2 2 2 5 11 5 5" xfId="16047" xr:uid="{00000000-0005-0000-0000-0000853E0000}"/>
    <cellStyle name="Normal 2 2 2 2 5 11 5 6" xfId="16048" xr:uid="{00000000-0005-0000-0000-0000863E0000}"/>
    <cellStyle name="Normal 2 2 2 2 5 11 5 7" xfId="16049" xr:uid="{00000000-0005-0000-0000-0000873E0000}"/>
    <cellStyle name="Normal 2 2 2 2 5 11 5 8" xfId="16050" xr:uid="{00000000-0005-0000-0000-0000883E0000}"/>
    <cellStyle name="Normal 2 2 2 2 5 11 5 9" xfId="16051" xr:uid="{00000000-0005-0000-0000-0000893E0000}"/>
    <cellStyle name="Normal 2 2 2 2 5 11 6" xfId="16052" xr:uid="{00000000-0005-0000-0000-00008A3E0000}"/>
    <cellStyle name="Normal 2 2 2 2 5 11 7" xfId="16053" xr:uid="{00000000-0005-0000-0000-00008B3E0000}"/>
    <cellStyle name="Normal 2 2 2 2 5 11 8" xfId="16054" xr:uid="{00000000-0005-0000-0000-00008C3E0000}"/>
    <cellStyle name="Normal 2 2 2 2 5 11 9" xfId="16055" xr:uid="{00000000-0005-0000-0000-00008D3E0000}"/>
    <cellStyle name="Normal 2 2 2 2 5 12" xfId="16056" xr:uid="{00000000-0005-0000-0000-00008E3E0000}"/>
    <cellStyle name="Normal 2 2 2 2 5 12 10" xfId="16057" xr:uid="{00000000-0005-0000-0000-00008F3E0000}"/>
    <cellStyle name="Normal 2 2 2 2 5 12 11" xfId="16058" xr:uid="{00000000-0005-0000-0000-0000903E0000}"/>
    <cellStyle name="Normal 2 2 2 2 5 12 12" xfId="16059" xr:uid="{00000000-0005-0000-0000-0000913E0000}"/>
    <cellStyle name="Normal 2 2 2 2 5 12 13" xfId="16060" xr:uid="{00000000-0005-0000-0000-0000923E0000}"/>
    <cellStyle name="Normal 2 2 2 2 5 12 14" xfId="16061" xr:uid="{00000000-0005-0000-0000-0000933E0000}"/>
    <cellStyle name="Normal 2 2 2 2 5 12 2" xfId="16062" xr:uid="{00000000-0005-0000-0000-0000943E0000}"/>
    <cellStyle name="Normal 2 2 2 2 5 12 2 10" xfId="16063" xr:uid="{00000000-0005-0000-0000-0000953E0000}"/>
    <cellStyle name="Normal 2 2 2 2 5 12 2 2" xfId="16064" xr:uid="{00000000-0005-0000-0000-0000963E0000}"/>
    <cellStyle name="Normal 2 2 2 2 5 12 2 3" xfId="16065" xr:uid="{00000000-0005-0000-0000-0000973E0000}"/>
    <cellStyle name="Normal 2 2 2 2 5 12 2 4" xfId="16066" xr:uid="{00000000-0005-0000-0000-0000983E0000}"/>
    <cellStyle name="Normal 2 2 2 2 5 12 2 5" xfId="16067" xr:uid="{00000000-0005-0000-0000-0000993E0000}"/>
    <cellStyle name="Normal 2 2 2 2 5 12 2 6" xfId="16068" xr:uid="{00000000-0005-0000-0000-00009A3E0000}"/>
    <cellStyle name="Normal 2 2 2 2 5 12 2 7" xfId="16069" xr:uid="{00000000-0005-0000-0000-00009B3E0000}"/>
    <cellStyle name="Normal 2 2 2 2 5 12 2 8" xfId="16070" xr:uid="{00000000-0005-0000-0000-00009C3E0000}"/>
    <cellStyle name="Normal 2 2 2 2 5 12 2 9" xfId="16071" xr:uid="{00000000-0005-0000-0000-00009D3E0000}"/>
    <cellStyle name="Normal 2 2 2 2 5 12 3" xfId="16072" xr:uid="{00000000-0005-0000-0000-00009E3E0000}"/>
    <cellStyle name="Normal 2 2 2 2 5 12 3 10" xfId="16073" xr:uid="{00000000-0005-0000-0000-00009F3E0000}"/>
    <cellStyle name="Normal 2 2 2 2 5 12 3 2" xfId="16074" xr:uid="{00000000-0005-0000-0000-0000A03E0000}"/>
    <cellStyle name="Normal 2 2 2 2 5 12 3 3" xfId="16075" xr:uid="{00000000-0005-0000-0000-0000A13E0000}"/>
    <cellStyle name="Normal 2 2 2 2 5 12 3 4" xfId="16076" xr:uid="{00000000-0005-0000-0000-0000A23E0000}"/>
    <cellStyle name="Normal 2 2 2 2 5 12 3 5" xfId="16077" xr:uid="{00000000-0005-0000-0000-0000A33E0000}"/>
    <cellStyle name="Normal 2 2 2 2 5 12 3 6" xfId="16078" xr:uid="{00000000-0005-0000-0000-0000A43E0000}"/>
    <cellStyle name="Normal 2 2 2 2 5 12 3 7" xfId="16079" xr:uid="{00000000-0005-0000-0000-0000A53E0000}"/>
    <cellStyle name="Normal 2 2 2 2 5 12 3 8" xfId="16080" xr:uid="{00000000-0005-0000-0000-0000A63E0000}"/>
    <cellStyle name="Normal 2 2 2 2 5 12 3 9" xfId="16081" xr:uid="{00000000-0005-0000-0000-0000A73E0000}"/>
    <cellStyle name="Normal 2 2 2 2 5 12 4" xfId="16082" xr:uid="{00000000-0005-0000-0000-0000A83E0000}"/>
    <cellStyle name="Normal 2 2 2 2 5 12 4 10" xfId="16083" xr:uid="{00000000-0005-0000-0000-0000A93E0000}"/>
    <cellStyle name="Normal 2 2 2 2 5 12 4 2" xfId="16084" xr:uid="{00000000-0005-0000-0000-0000AA3E0000}"/>
    <cellStyle name="Normal 2 2 2 2 5 12 4 3" xfId="16085" xr:uid="{00000000-0005-0000-0000-0000AB3E0000}"/>
    <cellStyle name="Normal 2 2 2 2 5 12 4 4" xfId="16086" xr:uid="{00000000-0005-0000-0000-0000AC3E0000}"/>
    <cellStyle name="Normal 2 2 2 2 5 12 4 5" xfId="16087" xr:uid="{00000000-0005-0000-0000-0000AD3E0000}"/>
    <cellStyle name="Normal 2 2 2 2 5 12 4 6" xfId="16088" xr:uid="{00000000-0005-0000-0000-0000AE3E0000}"/>
    <cellStyle name="Normal 2 2 2 2 5 12 4 7" xfId="16089" xr:uid="{00000000-0005-0000-0000-0000AF3E0000}"/>
    <cellStyle name="Normal 2 2 2 2 5 12 4 8" xfId="16090" xr:uid="{00000000-0005-0000-0000-0000B03E0000}"/>
    <cellStyle name="Normal 2 2 2 2 5 12 4 9" xfId="16091" xr:uid="{00000000-0005-0000-0000-0000B13E0000}"/>
    <cellStyle name="Normal 2 2 2 2 5 12 5" xfId="16092" xr:uid="{00000000-0005-0000-0000-0000B23E0000}"/>
    <cellStyle name="Normal 2 2 2 2 5 12 5 10" xfId="16093" xr:uid="{00000000-0005-0000-0000-0000B33E0000}"/>
    <cellStyle name="Normal 2 2 2 2 5 12 5 2" xfId="16094" xr:uid="{00000000-0005-0000-0000-0000B43E0000}"/>
    <cellStyle name="Normal 2 2 2 2 5 12 5 3" xfId="16095" xr:uid="{00000000-0005-0000-0000-0000B53E0000}"/>
    <cellStyle name="Normal 2 2 2 2 5 12 5 4" xfId="16096" xr:uid="{00000000-0005-0000-0000-0000B63E0000}"/>
    <cellStyle name="Normal 2 2 2 2 5 12 5 5" xfId="16097" xr:uid="{00000000-0005-0000-0000-0000B73E0000}"/>
    <cellStyle name="Normal 2 2 2 2 5 12 5 6" xfId="16098" xr:uid="{00000000-0005-0000-0000-0000B83E0000}"/>
    <cellStyle name="Normal 2 2 2 2 5 12 5 7" xfId="16099" xr:uid="{00000000-0005-0000-0000-0000B93E0000}"/>
    <cellStyle name="Normal 2 2 2 2 5 12 5 8" xfId="16100" xr:uid="{00000000-0005-0000-0000-0000BA3E0000}"/>
    <cellStyle name="Normal 2 2 2 2 5 12 5 9" xfId="16101" xr:uid="{00000000-0005-0000-0000-0000BB3E0000}"/>
    <cellStyle name="Normal 2 2 2 2 5 12 6" xfId="16102" xr:uid="{00000000-0005-0000-0000-0000BC3E0000}"/>
    <cellStyle name="Normal 2 2 2 2 5 12 7" xfId="16103" xr:uid="{00000000-0005-0000-0000-0000BD3E0000}"/>
    <cellStyle name="Normal 2 2 2 2 5 12 8" xfId="16104" xr:uid="{00000000-0005-0000-0000-0000BE3E0000}"/>
    <cellStyle name="Normal 2 2 2 2 5 12 9" xfId="16105" xr:uid="{00000000-0005-0000-0000-0000BF3E0000}"/>
    <cellStyle name="Normal 2 2 2 2 5 13" xfId="16106" xr:uid="{00000000-0005-0000-0000-0000C03E0000}"/>
    <cellStyle name="Normal 2 2 2 2 5 13 10" xfId="16107" xr:uid="{00000000-0005-0000-0000-0000C13E0000}"/>
    <cellStyle name="Normal 2 2 2 2 5 13 11" xfId="16108" xr:uid="{00000000-0005-0000-0000-0000C23E0000}"/>
    <cellStyle name="Normal 2 2 2 2 5 13 12" xfId="16109" xr:uid="{00000000-0005-0000-0000-0000C33E0000}"/>
    <cellStyle name="Normal 2 2 2 2 5 13 13" xfId="16110" xr:uid="{00000000-0005-0000-0000-0000C43E0000}"/>
    <cellStyle name="Normal 2 2 2 2 5 13 14" xfId="16111" xr:uid="{00000000-0005-0000-0000-0000C53E0000}"/>
    <cellStyle name="Normal 2 2 2 2 5 13 2" xfId="16112" xr:uid="{00000000-0005-0000-0000-0000C63E0000}"/>
    <cellStyle name="Normal 2 2 2 2 5 13 2 10" xfId="16113" xr:uid="{00000000-0005-0000-0000-0000C73E0000}"/>
    <cellStyle name="Normal 2 2 2 2 5 13 2 2" xfId="16114" xr:uid="{00000000-0005-0000-0000-0000C83E0000}"/>
    <cellStyle name="Normal 2 2 2 2 5 13 2 3" xfId="16115" xr:uid="{00000000-0005-0000-0000-0000C93E0000}"/>
    <cellStyle name="Normal 2 2 2 2 5 13 2 4" xfId="16116" xr:uid="{00000000-0005-0000-0000-0000CA3E0000}"/>
    <cellStyle name="Normal 2 2 2 2 5 13 2 5" xfId="16117" xr:uid="{00000000-0005-0000-0000-0000CB3E0000}"/>
    <cellStyle name="Normal 2 2 2 2 5 13 2 6" xfId="16118" xr:uid="{00000000-0005-0000-0000-0000CC3E0000}"/>
    <cellStyle name="Normal 2 2 2 2 5 13 2 7" xfId="16119" xr:uid="{00000000-0005-0000-0000-0000CD3E0000}"/>
    <cellStyle name="Normal 2 2 2 2 5 13 2 8" xfId="16120" xr:uid="{00000000-0005-0000-0000-0000CE3E0000}"/>
    <cellStyle name="Normal 2 2 2 2 5 13 2 9" xfId="16121" xr:uid="{00000000-0005-0000-0000-0000CF3E0000}"/>
    <cellStyle name="Normal 2 2 2 2 5 13 3" xfId="16122" xr:uid="{00000000-0005-0000-0000-0000D03E0000}"/>
    <cellStyle name="Normal 2 2 2 2 5 13 3 10" xfId="16123" xr:uid="{00000000-0005-0000-0000-0000D13E0000}"/>
    <cellStyle name="Normal 2 2 2 2 5 13 3 2" xfId="16124" xr:uid="{00000000-0005-0000-0000-0000D23E0000}"/>
    <cellStyle name="Normal 2 2 2 2 5 13 3 3" xfId="16125" xr:uid="{00000000-0005-0000-0000-0000D33E0000}"/>
    <cellStyle name="Normal 2 2 2 2 5 13 3 4" xfId="16126" xr:uid="{00000000-0005-0000-0000-0000D43E0000}"/>
    <cellStyle name="Normal 2 2 2 2 5 13 3 5" xfId="16127" xr:uid="{00000000-0005-0000-0000-0000D53E0000}"/>
    <cellStyle name="Normal 2 2 2 2 5 13 3 6" xfId="16128" xr:uid="{00000000-0005-0000-0000-0000D63E0000}"/>
    <cellStyle name="Normal 2 2 2 2 5 13 3 7" xfId="16129" xr:uid="{00000000-0005-0000-0000-0000D73E0000}"/>
    <cellStyle name="Normal 2 2 2 2 5 13 3 8" xfId="16130" xr:uid="{00000000-0005-0000-0000-0000D83E0000}"/>
    <cellStyle name="Normal 2 2 2 2 5 13 3 9" xfId="16131" xr:uid="{00000000-0005-0000-0000-0000D93E0000}"/>
    <cellStyle name="Normal 2 2 2 2 5 13 4" xfId="16132" xr:uid="{00000000-0005-0000-0000-0000DA3E0000}"/>
    <cellStyle name="Normal 2 2 2 2 5 13 4 10" xfId="16133" xr:uid="{00000000-0005-0000-0000-0000DB3E0000}"/>
    <cellStyle name="Normal 2 2 2 2 5 13 4 2" xfId="16134" xr:uid="{00000000-0005-0000-0000-0000DC3E0000}"/>
    <cellStyle name="Normal 2 2 2 2 5 13 4 3" xfId="16135" xr:uid="{00000000-0005-0000-0000-0000DD3E0000}"/>
    <cellStyle name="Normal 2 2 2 2 5 13 4 4" xfId="16136" xr:uid="{00000000-0005-0000-0000-0000DE3E0000}"/>
    <cellStyle name="Normal 2 2 2 2 5 13 4 5" xfId="16137" xr:uid="{00000000-0005-0000-0000-0000DF3E0000}"/>
    <cellStyle name="Normal 2 2 2 2 5 13 4 6" xfId="16138" xr:uid="{00000000-0005-0000-0000-0000E03E0000}"/>
    <cellStyle name="Normal 2 2 2 2 5 13 4 7" xfId="16139" xr:uid="{00000000-0005-0000-0000-0000E13E0000}"/>
    <cellStyle name="Normal 2 2 2 2 5 13 4 8" xfId="16140" xr:uid="{00000000-0005-0000-0000-0000E23E0000}"/>
    <cellStyle name="Normal 2 2 2 2 5 13 4 9" xfId="16141" xr:uid="{00000000-0005-0000-0000-0000E33E0000}"/>
    <cellStyle name="Normal 2 2 2 2 5 13 5" xfId="16142" xr:uid="{00000000-0005-0000-0000-0000E43E0000}"/>
    <cellStyle name="Normal 2 2 2 2 5 13 5 10" xfId="16143" xr:uid="{00000000-0005-0000-0000-0000E53E0000}"/>
    <cellStyle name="Normal 2 2 2 2 5 13 5 2" xfId="16144" xr:uid="{00000000-0005-0000-0000-0000E63E0000}"/>
    <cellStyle name="Normal 2 2 2 2 5 13 5 3" xfId="16145" xr:uid="{00000000-0005-0000-0000-0000E73E0000}"/>
    <cellStyle name="Normal 2 2 2 2 5 13 5 4" xfId="16146" xr:uid="{00000000-0005-0000-0000-0000E83E0000}"/>
    <cellStyle name="Normal 2 2 2 2 5 13 5 5" xfId="16147" xr:uid="{00000000-0005-0000-0000-0000E93E0000}"/>
    <cellStyle name="Normal 2 2 2 2 5 13 5 6" xfId="16148" xr:uid="{00000000-0005-0000-0000-0000EA3E0000}"/>
    <cellStyle name="Normal 2 2 2 2 5 13 5 7" xfId="16149" xr:uid="{00000000-0005-0000-0000-0000EB3E0000}"/>
    <cellStyle name="Normal 2 2 2 2 5 13 5 8" xfId="16150" xr:uid="{00000000-0005-0000-0000-0000EC3E0000}"/>
    <cellStyle name="Normal 2 2 2 2 5 13 5 9" xfId="16151" xr:uid="{00000000-0005-0000-0000-0000ED3E0000}"/>
    <cellStyle name="Normal 2 2 2 2 5 13 6" xfId="16152" xr:uid="{00000000-0005-0000-0000-0000EE3E0000}"/>
    <cellStyle name="Normal 2 2 2 2 5 13 7" xfId="16153" xr:uid="{00000000-0005-0000-0000-0000EF3E0000}"/>
    <cellStyle name="Normal 2 2 2 2 5 13 8" xfId="16154" xr:uid="{00000000-0005-0000-0000-0000F03E0000}"/>
    <cellStyle name="Normal 2 2 2 2 5 13 9" xfId="16155" xr:uid="{00000000-0005-0000-0000-0000F13E0000}"/>
    <cellStyle name="Normal 2 2 2 2 5 14" xfId="16156" xr:uid="{00000000-0005-0000-0000-0000F23E0000}"/>
    <cellStyle name="Normal 2 2 2 2 5 14 10" xfId="16157" xr:uid="{00000000-0005-0000-0000-0000F33E0000}"/>
    <cellStyle name="Normal 2 2 2 2 5 14 11" xfId="16158" xr:uid="{00000000-0005-0000-0000-0000F43E0000}"/>
    <cellStyle name="Normal 2 2 2 2 5 14 12" xfId="16159" xr:uid="{00000000-0005-0000-0000-0000F53E0000}"/>
    <cellStyle name="Normal 2 2 2 2 5 14 13" xfId="16160" xr:uid="{00000000-0005-0000-0000-0000F63E0000}"/>
    <cellStyle name="Normal 2 2 2 2 5 14 14" xfId="16161" xr:uid="{00000000-0005-0000-0000-0000F73E0000}"/>
    <cellStyle name="Normal 2 2 2 2 5 14 2" xfId="16162" xr:uid="{00000000-0005-0000-0000-0000F83E0000}"/>
    <cellStyle name="Normal 2 2 2 2 5 14 2 10" xfId="16163" xr:uid="{00000000-0005-0000-0000-0000F93E0000}"/>
    <cellStyle name="Normal 2 2 2 2 5 14 2 2" xfId="16164" xr:uid="{00000000-0005-0000-0000-0000FA3E0000}"/>
    <cellStyle name="Normal 2 2 2 2 5 14 2 3" xfId="16165" xr:uid="{00000000-0005-0000-0000-0000FB3E0000}"/>
    <cellStyle name="Normal 2 2 2 2 5 14 2 4" xfId="16166" xr:uid="{00000000-0005-0000-0000-0000FC3E0000}"/>
    <cellStyle name="Normal 2 2 2 2 5 14 2 5" xfId="16167" xr:uid="{00000000-0005-0000-0000-0000FD3E0000}"/>
    <cellStyle name="Normal 2 2 2 2 5 14 2 6" xfId="16168" xr:uid="{00000000-0005-0000-0000-0000FE3E0000}"/>
    <cellStyle name="Normal 2 2 2 2 5 14 2 7" xfId="16169" xr:uid="{00000000-0005-0000-0000-0000FF3E0000}"/>
    <cellStyle name="Normal 2 2 2 2 5 14 2 8" xfId="16170" xr:uid="{00000000-0005-0000-0000-0000003F0000}"/>
    <cellStyle name="Normal 2 2 2 2 5 14 2 9" xfId="16171" xr:uid="{00000000-0005-0000-0000-0000013F0000}"/>
    <cellStyle name="Normal 2 2 2 2 5 14 3" xfId="16172" xr:uid="{00000000-0005-0000-0000-0000023F0000}"/>
    <cellStyle name="Normal 2 2 2 2 5 14 3 10" xfId="16173" xr:uid="{00000000-0005-0000-0000-0000033F0000}"/>
    <cellStyle name="Normal 2 2 2 2 5 14 3 2" xfId="16174" xr:uid="{00000000-0005-0000-0000-0000043F0000}"/>
    <cellStyle name="Normal 2 2 2 2 5 14 3 3" xfId="16175" xr:uid="{00000000-0005-0000-0000-0000053F0000}"/>
    <cellStyle name="Normal 2 2 2 2 5 14 3 4" xfId="16176" xr:uid="{00000000-0005-0000-0000-0000063F0000}"/>
    <cellStyle name="Normal 2 2 2 2 5 14 3 5" xfId="16177" xr:uid="{00000000-0005-0000-0000-0000073F0000}"/>
    <cellStyle name="Normal 2 2 2 2 5 14 3 6" xfId="16178" xr:uid="{00000000-0005-0000-0000-0000083F0000}"/>
    <cellStyle name="Normal 2 2 2 2 5 14 3 7" xfId="16179" xr:uid="{00000000-0005-0000-0000-0000093F0000}"/>
    <cellStyle name="Normal 2 2 2 2 5 14 3 8" xfId="16180" xr:uid="{00000000-0005-0000-0000-00000A3F0000}"/>
    <cellStyle name="Normal 2 2 2 2 5 14 3 9" xfId="16181" xr:uid="{00000000-0005-0000-0000-00000B3F0000}"/>
    <cellStyle name="Normal 2 2 2 2 5 14 4" xfId="16182" xr:uid="{00000000-0005-0000-0000-00000C3F0000}"/>
    <cellStyle name="Normal 2 2 2 2 5 14 4 10" xfId="16183" xr:uid="{00000000-0005-0000-0000-00000D3F0000}"/>
    <cellStyle name="Normal 2 2 2 2 5 14 4 2" xfId="16184" xr:uid="{00000000-0005-0000-0000-00000E3F0000}"/>
    <cellStyle name="Normal 2 2 2 2 5 14 4 3" xfId="16185" xr:uid="{00000000-0005-0000-0000-00000F3F0000}"/>
    <cellStyle name="Normal 2 2 2 2 5 14 4 4" xfId="16186" xr:uid="{00000000-0005-0000-0000-0000103F0000}"/>
    <cellStyle name="Normal 2 2 2 2 5 14 4 5" xfId="16187" xr:uid="{00000000-0005-0000-0000-0000113F0000}"/>
    <cellStyle name="Normal 2 2 2 2 5 14 4 6" xfId="16188" xr:uid="{00000000-0005-0000-0000-0000123F0000}"/>
    <cellStyle name="Normal 2 2 2 2 5 14 4 7" xfId="16189" xr:uid="{00000000-0005-0000-0000-0000133F0000}"/>
    <cellStyle name="Normal 2 2 2 2 5 14 4 8" xfId="16190" xr:uid="{00000000-0005-0000-0000-0000143F0000}"/>
    <cellStyle name="Normal 2 2 2 2 5 14 4 9" xfId="16191" xr:uid="{00000000-0005-0000-0000-0000153F0000}"/>
    <cellStyle name="Normal 2 2 2 2 5 14 5" xfId="16192" xr:uid="{00000000-0005-0000-0000-0000163F0000}"/>
    <cellStyle name="Normal 2 2 2 2 5 14 5 10" xfId="16193" xr:uid="{00000000-0005-0000-0000-0000173F0000}"/>
    <cellStyle name="Normal 2 2 2 2 5 14 5 2" xfId="16194" xr:uid="{00000000-0005-0000-0000-0000183F0000}"/>
    <cellStyle name="Normal 2 2 2 2 5 14 5 3" xfId="16195" xr:uid="{00000000-0005-0000-0000-0000193F0000}"/>
    <cellStyle name="Normal 2 2 2 2 5 14 5 4" xfId="16196" xr:uid="{00000000-0005-0000-0000-00001A3F0000}"/>
    <cellStyle name="Normal 2 2 2 2 5 14 5 5" xfId="16197" xr:uid="{00000000-0005-0000-0000-00001B3F0000}"/>
    <cellStyle name="Normal 2 2 2 2 5 14 5 6" xfId="16198" xr:uid="{00000000-0005-0000-0000-00001C3F0000}"/>
    <cellStyle name="Normal 2 2 2 2 5 14 5 7" xfId="16199" xr:uid="{00000000-0005-0000-0000-00001D3F0000}"/>
    <cellStyle name="Normal 2 2 2 2 5 14 5 8" xfId="16200" xr:uid="{00000000-0005-0000-0000-00001E3F0000}"/>
    <cellStyle name="Normal 2 2 2 2 5 14 5 9" xfId="16201" xr:uid="{00000000-0005-0000-0000-00001F3F0000}"/>
    <cellStyle name="Normal 2 2 2 2 5 14 6" xfId="16202" xr:uid="{00000000-0005-0000-0000-0000203F0000}"/>
    <cellStyle name="Normal 2 2 2 2 5 14 7" xfId="16203" xr:uid="{00000000-0005-0000-0000-0000213F0000}"/>
    <cellStyle name="Normal 2 2 2 2 5 14 8" xfId="16204" xr:uid="{00000000-0005-0000-0000-0000223F0000}"/>
    <cellStyle name="Normal 2 2 2 2 5 14 9" xfId="16205" xr:uid="{00000000-0005-0000-0000-0000233F0000}"/>
    <cellStyle name="Normal 2 2 2 2 5 15" xfId="16206" xr:uid="{00000000-0005-0000-0000-0000243F0000}"/>
    <cellStyle name="Normal 2 2 2 2 5 15 10" xfId="16207" xr:uid="{00000000-0005-0000-0000-0000253F0000}"/>
    <cellStyle name="Normal 2 2 2 2 5 15 11" xfId="16208" xr:uid="{00000000-0005-0000-0000-0000263F0000}"/>
    <cellStyle name="Normal 2 2 2 2 5 15 12" xfId="16209" xr:uid="{00000000-0005-0000-0000-0000273F0000}"/>
    <cellStyle name="Normal 2 2 2 2 5 15 13" xfId="16210" xr:uid="{00000000-0005-0000-0000-0000283F0000}"/>
    <cellStyle name="Normal 2 2 2 2 5 15 14" xfId="16211" xr:uid="{00000000-0005-0000-0000-0000293F0000}"/>
    <cellStyle name="Normal 2 2 2 2 5 15 2" xfId="16212" xr:uid="{00000000-0005-0000-0000-00002A3F0000}"/>
    <cellStyle name="Normal 2 2 2 2 5 15 2 10" xfId="16213" xr:uid="{00000000-0005-0000-0000-00002B3F0000}"/>
    <cellStyle name="Normal 2 2 2 2 5 15 2 2" xfId="16214" xr:uid="{00000000-0005-0000-0000-00002C3F0000}"/>
    <cellStyle name="Normal 2 2 2 2 5 15 2 3" xfId="16215" xr:uid="{00000000-0005-0000-0000-00002D3F0000}"/>
    <cellStyle name="Normal 2 2 2 2 5 15 2 4" xfId="16216" xr:uid="{00000000-0005-0000-0000-00002E3F0000}"/>
    <cellStyle name="Normal 2 2 2 2 5 15 2 5" xfId="16217" xr:uid="{00000000-0005-0000-0000-00002F3F0000}"/>
    <cellStyle name="Normal 2 2 2 2 5 15 2 6" xfId="16218" xr:uid="{00000000-0005-0000-0000-0000303F0000}"/>
    <cellStyle name="Normal 2 2 2 2 5 15 2 7" xfId="16219" xr:uid="{00000000-0005-0000-0000-0000313F0000}"/>
    <cellStyle name="Normal 2 2 2 2 5 15 2 8" xfId="16220" xr:uid="{00000000-0005-0000-0000-0000323F0000}"/>
    <cellStyle name="Normal 2 2 2 2 5 15 2 9" xfId="16221" xr:uid="{00000000-0005-0000-0000-0000333F0000}"/>
    <cellStyle name="Normal 2 2 2 2 5 15 3" xfId="16222" xr:uid="{00000000-0005-0000-0000-0000343F0000}"/>
    <cellStyle name="Normal 2 2 2 2 5 15 3 10" xfId="16223" xr:uid="{00000000-0005-0000-0000-0000353F0000}"/>
    <cellStyle name="Normal 2 2 2 2 5 15 3 2" xfId="16224" xr:uid="{00000000-0005-0000-0000-0000363F0000}"/>
    <cellStyle name="Normal 2 2 2 2 5 15 3 3" xfId="16225" xr:uid="{00000000-0005-0000-0000-0000373F0000}"/>
    <cellStyle name="Normal 2 2 2 2 5 15 3 4" xfId="16226" xr:uid="{00000000-0005-0000-0000-0000383F0000}"/>
    <cellStyle name="Normal 2 2 2 2 5 15 3 5" xfId="16227" xr:uid="{00000000-0005-0000-0000-0000393F0000}"/>
    <cellStyle name="Normal 2 2 2 2 5 15 3 6" xfId="16228" xr:uid="{00000000-0005-0000-0000-00003A3F0000}"/>
    <cellStyle name="Normal 2 2 2 2 5 15 3 7" xfId="16229" xr:uid="{00000000-0005-0000-0000-00003B3F0000}"/>
    <cellStyle name="Normal 2 2 2 2 5 15 3 8" xfId="16230" xr:uid="{00000000-0005-0000-0000-00003C3F0000}"/>
    <cellStyle name="Normal 2 2 2 2 5 15 3 9" xfId="16231" xr:uid="{00000000-0005-0000-0000-00003D3F0000}"/>
    <cellStyle name="Normal 2 2 2 2 5 15 4" xfId="16232" xr:uid="{00000000-0005-0000-0000-00003E3F0000}"/>
    <cellStyle name="Normal 2 2 2 2 5 15 4 10" xfId="16233" xr:uid="{00000000-0005-0000-0000-00003F3F0000}"/>
    <cellStyle name="Normal 2 2 2 2 5 15 4 2" xfId="16234" xr:uid="{00000000-0005-0000-0000-0000403F0000}"/>
    <cellStyle name="Normal 2 2 2 2 5 15 4 3" xfId="16235" xr:uid="{00000000-0005-0000-0000-0000413F0000}"/>
    <cellStyle name="Normal 2 2 2 2 5 15 4 4" xfId="16236" xr:uid="{00000000-0005-0000-0000-0000423F0000}"/>
    <cellStyle name="Normal 2 2 2 2 5 15 4 5" xfId="16237" xr:uid="{00000000-0005-0000-0000-0000433F0000}"/>
    <cellStyle name="Normal 2 2 2 2 5 15 4 6" xfId="16238" xr:uid="{00000000-0005-0000-0000-0000443F0000}"/>
    <cellStyle name="Normal 2 2 2 2 5 15 4 7" xfId="16239" xr:uid="{00000000-0005-0000-0000-0000453F0000}"/>
    <cellStyle name="Normal 2 2 2 2 5 15 4 8" xfId="16240" xr:uid="{00000000-0005-0000-0000-0000463F0000}"/>
    <cellStyle name="Normal 2 2 2 2 5 15 4 9" xfId="16241" xr:uid="{00000000-0005-0000-0000-0000473F0000}"/>
    <cellStyle name="Normal 2 2 2 2 5 15 5" xfId="16242" xr:uid="{00000000-0005-0000-0000-0000483F0000}"/>
    <cellStyle name="Normal 2 2 2 2 5 15 5 10" xfId="16243" xr:uid="{00000000-0005-0000-0000-0000493F0000}"/>
    <cellStyle name="Normal 2 2 2 2 5 15 5 2" xfId="16244" xr:uid="{00000000-0005-0000-0000-00004A3F0000}"/>
    <cellStyle name="Normal 2 2 2 2 5 15 5 3" xfId="16245" xr:uid="{00000000-0005-0000-0000-00004B3F0000}"/>
    <cellStyle name="Normal 2 2 2 2 5 15 5 4" xfId="16246" xr:uid="{00000000-0005-0000-0000-00004C3F0000}"/>
    <cellStyle name="Normal 2 2 2 2 5 15 5 5" xfId="16247" xr:uid="{00000000-0005-0000-0000-00004D3F0000}"/>
    <cellStyle name="Normal 2 2 2 2 5 15 5 6" xfId="16248" xr:uid="{00000000-0005-0000-0000-00004E3F0000}"/>
    <cellStyle name="Normal 2 2 2 2 5 15 5 7" xfId="16249" xr:uid="{00000000-0005-0000-0000-00004F3F0000}"/>
    <cellStyle name="Normal 2 2 2 2 5 15 5 8" xfId="16250" xr:uid="{00000000-0005-0000-0000-0000503F0000}"/>
    <cellStyle name="Normal 2 2 2 2 5 15 5 9" xfId="16251" xr:uid="{00000000-0005-0000-0000-0000513F0000}"/>
    <cellStyle name="Normal 2 2 2 2 5 15 6" xfId="16252" xr:uid="{00000000-0005-0000-0000-0000523F0000}"/>
    <cellStyle name="Normal 2 2 2 2 5 15 7" xfId="16253" xr:uid="{00000000-0005-0000-0000-0000533F0000}"/>
    <cellStyle name="Normal 2 2 2 2 5 15 8" xfId="16254" xr:uid="{00000000-0005-0000-0000-0000543F0000}"/>
    <cellStyle name="Normal 2 2 2 2 5 15 9" xfId="16255" xr:uid="{00000000-0005-0000-0000-0000553F0000}"/>
    <cellStyle name="Normal 2 2 2 2 5 16" xfId="16256" xr:uid="{00000000-0005-0000-0000-0000563F0000}"/>
    <cellStyle name="Normal 2 2 2 2 5 16 10" xfId="16257" xr:uid="{00000000-0005-0000-0000-0000573F0000}"/>
    <cellStyle name="Normal 2 2 2 2 5 16 11" xfId="16258" xr:uid="{00000000-0005-0000-0000-0000583F0000}"/>
    <cellStyle name="Normal 2 2 2 2 5 16 12" xfId="16259" xr:uid="{00000000-0005-0000-0000-0000593F0000}"/>
    <cellStyle name="Normal 2 2 2 2 5 16 13" xfId="16260" xr:uid="{00000000-0005-0000-0000-00005A3F0000}"/>
    <cellStyle name="Normal 2 2 2 2 5 16 14" xfId="16261" xr:uid="{00000000-0005-0000-0000-00005B3F0000}"/>
    <cellStyle name="Normal 2 2 2 2 5 16 2" xfId="16262" xr:uid="{00000000-0005-0000-0000-00005C3F0000}"/>
    <cellStyle name="Normal 2 2 2 2 5 16 2 10" xfId="16263" xr:uid="{00000000-0005-0000-0000-00005D3F0000}"/>
    <cellStyle name="Normal 2 2 2 2 5 16 2 2" xfId="16264" xr:uid="{00000000-0005-0000-0000-00005E3F0000}"/>
    <cellStyle name="Normal 2 2 2 2 5 16 2 3" xfId="16265" xr:uid="{00000000-0005-0000-0000-00005F3F0000}"/>
    <cellStyle name="Normal 2 2 2 2 5 16 2 4" xfId="16266" xr:uid="{00000000-0005-0000-0000-0000603F0000}"/>
    <cellStyle name="Normal 2 2 2 2 5 16 2 5" xfId="16267" xr:uid="{00000000-0005-0000-0000-0000613F0000}"/>
    <cellStyle name="Normal 2 2 2 2 5 16 2 6" xfId="16268" xr:uid="{00000000-0005-0000-0000-0000623F0000}"/>
    <cellStyle name="Normal 2 2 2 2 5 16 2 7" xfId="16269" xr:uid="{00000000-0005-0000-0000-0000633F0000}"/>
    <cellStyle name="Normal 2 2 2 2 5 16 2 8" xfId="16270" xr:uid="{00000000-0005-0000-0000-0000643F0000}"/>
    <cellStyle name="Normal 2 2 2 2 5 16 2 9" xfId="16271" xr:uid="{00000000-0005-0000-0000-0000653F0000}"/>
    <cellStyle name="Normal 2 2 2 2 5 16 3" xfId="16272" xr:uid="{00000000-0005-0000-0000-0000663F0000}"/>
    <cellStyle name="Normal 2 2 2 2 5 16 3 10" xfId="16273" xr:uid="{00000000-0005-0000-0000-0000673F0000}"/>
    <cellStyle name="Normal 2 2 2 2 5 16 3 2" xfId="16274" xr:uid="{00000000-0005-0000-0000-0000683F0000}"/>
    <cellStyle name="Normal 2 2 2 2 5 16 3 3" xfId="16275" xr:uid="{00000000-0005-0000-0000-0000693F0000}"/>
    <cellStyle name="Normal 2 2 2 2 5 16 3 4" xfId="16276" xr:uid="{00000000-0005-0000-0000-00006A3F0000}"/>
    <cellStyle name="Normal 2 2 2 2 5 16 3 5" xfId="16277" xr:uid="{00000000-0005-0000-0000-00006B3F0000}"/>
    <cellStyle name="Normal 2 2 2 2 5 16 3 6" xfId="16278" xr:uid="{00000000-0005-0000-0000-00006C3F0000}"/>
    <cellStyle name="Normal 2 2 2 2 5 16 3 7" xfId="16279" xr:uid="{00000000-0005-0000-0000-00006D3F0000}"/>
    <cellStyle name="Normal 2 2 2 2 5 16 3 8" xfId="16280" xr:uid="{00000000-0005-0000-0000-00006E3F0000}"/>
    <cellStyle name="Normal 2 2 2 2 5 16 3 9" xfId="16281" xr:uid="{00000000-0005-0000-0000-00006F3F0000}"/>
    <cellStyle name="Normal 2 2 2 2 5 16 4" xfId="16282" xr:uid="{00000000-0005-0000-0000-0000703F0000}"/>
    <cellStyle name="Normal 2 2 2 2 5 16 4 10" xfId="16283" xr:uid="{00000000-0005-0000-0000-0000713F0000}"/>
    <cellStyle name="Normal 2 2 2 2 5 16 4 2" xfId="16284" xr:uid="{00000000-0005-0000-0000-0000723F0000}"/>
    <cellStyle name="Normal 2 2 2 2 5 16 4 3" xfId="16285" xr:uid="{00000000-0005-0000-0000-0000733F0000}"/>
    <cellStyle name="Normal 2 2 2 2 5 16 4 4" xfId="16286" xr:uid="{00000000-0005-0000-0000-0000743F0000}"/>
    <cellStyle name="Normal 2 2 2 2 5 16 4 5" xfId="16287" xr:uid="{00000000-0005-0000-0000-0000753F0000}"/>
    <cellStyle name="Normal 2 2 2 2 5 16 4 6" xfId="16288" xr:uid="{00000000-0005-0000-0000-0000763F0000}"/>
    <cellStyle name="Normal 2 2 2 2 5 16 4 7" xfId="16289" xr:uid="{00000000-0005-0000-0000-0000773F0000}"/>
    <cellStyle name="Normal 2 2 2 2 5 16 4 8" xfId="16290" xr:uid="{00000000-0005-0000-0000-0000783F0000}"/>
    <cellStyle name="Normal 2 2 2 2 5 16 4 9" xfId="16291" xr:uid="{00000000-0005-0000-0000-0000793F0000}"/>
    <cellStyle name="Normal 2 2 2 2 5 16 5" xfId="16292" xr:uid="{00000000-0005-0000-0000-00007A3F0000}"/>
    <cellStyle name="Normal 2 2 2 2 5 16 5 10" xfId="16293" xr:uid="{00000000-0005-0000-0000-00007B3F0000}"/>
    <cellStyle name="Normal 2 2 2 2 5 16 5 2" xfId="16294" xr:uid="{00000000-0005-0000-0000-00007C3F0000}"/>
    <cellStyle name="Normal 2 2 2 2 5 16 5 3" xfId="16295" xr:uid="{00000000-0005-0000-0000-00007D3F0000}"/>
    <cellStyle name="Normal 2 2 2 2 5 16 5 4" xfId="16296" xr:uid="{00000000-0005-0000-0000-00007E3F0000}"/>
    <cellStyle name="Normal 2 2 2 2 5 16 5 5" xfId="16297" xr:uid="{00000000-0005-0000-0000-00007F3F0000}"/>
    <cellStyle name="Normal 2 2 2 2 5 16 5 6" xfId="16298" xr:uid="{00000000-0005-0000-0000-0000803F0000}"/>
    <cellStyle name="Normal 2 2 2 2 5 16 5 7" xfId="16299" xr:uid="{00000000-0005-0000-0000-0000813F0000}"/>
    <cellStyle name="Normal 2 2 2 2 5 16 5 8" xfId="16300" xr:uid="{00000000-0005-0000-0000-0000823F0000}"/>
    <cellStyle name="Normal 2 2 2 2 5 16 5 9" xfId="16301" xr:uid="{00000000-0005-0000-0000-0000833F0000}"/>
    <cellStyle name="Normal 2 2 2 2 5 16 6" xfId="16302" xr:uid="{00000000-0005-0000-0000-0000843F0000}"/>
    <cellStyle name="Normal 2 2 2 2 5 16 7" xfId="16303" xr:uid="{00000000-0005-0000-0000-0000853F0000}"/>
    <cellStyle name="Normal 2 2 2 2 5 16 8" xfId="16304" xr:uid="{00000000-0005-0000-0000-0000863F0000}"/>
    <cellStyle name="Normal 2 2 2 2 5 16 9" xfId="16305" xr:uid="{00000000-0005-0000-0000-0000873F0000}"/>
    <cellStyle name="Normal 2 2 2 2 5 17" xfId="16306" xr:uid="{00000000-0005-0000-0000-0000883F0000}"/>
    <cellStyle name="Normal 2 2 2 2 5 17 10" xfId="16307" xr:uid="{00000000-0005-0000-0000-0000893F0000}"/>
    <cellStyle name="Normal 2 2 2 2 5 17 11" xfId="16308" xr:uid="{00000000-0005-0000-0000-00008A3F0000}"/>
    <cellStyle name="Normal 2 2 2 2 5 17 12" xfId="16309" xr:uid="{00000000-0005-0000-0000-00008B3F0000}"/>
    <cellStyle name="Normal 2 2 2 2 5 17 13" xfId="16310" xr:uid="{00000000-0005-0000-0000-00008C3F0000}"/>
    <cellStyle name="Normal 2 2 2 2 5 17 14" xfId="16311" xr:uid="{00000000-0005-0000-0000-00008D3F0000}"/>
    <cellStyle name="Normal 2 2 2 2 5 17 2" xfId="16312" xr:uid="{00000000-0005-0000-0000-00008E3F0000}"/>
    <cellStyle name="Normal 2 2 2 2 5 17 2 10" xfId="16313" xr:uid="{00000000-0005-0000-0000-00008F3F0000}"/>
    <cellStyle name="Normal 2 2 2 2 5 17 2 2" xfId="16314" xr:uid="{00000000-0005-0000-0000-0000903F0000}"/>
    <cellStyle name="Normal 2 2 2 2 5 17 2 3" xfId="16315" xr:uid="{00000000-0005-0000-0000-0000913F0000}"/>
    <cellStyle name="Normal 2 2 2 2 5 17 2 4" xfId="16316" xr:uid="{00000000-0005-0000-0000-0000923F0000}"/>
    <cellStyle name="Normal 2 2 2 2 5 17 2 5" xfId="16317" xr:uid="{00000000-0005-0000-0000-0000933F0000}"/>
    <cellStyle name="Normal 2 2 2 2 5 17 2 6" xfId="16318" xr:uid="{00000000-0005-0000-0000-0000943F0000}"/>
    <cellStyle name="Normal 2 2 2 2 5 17 2 7" xfId="16319" xr:uid="{00000000-0005-0000-0000-0000953F0000}"/>
    <cellStyle name="Normal 2 2 2 2 5 17 2 8" xfId="16320" xr:uid="{00000000-0005-0000-0000-0000963F0000}"/>
    <cellStyle name="Normal 2 2 2 2 5 17 2 9" xfId="16321" xr:uid="{00000000-0005-0000-0000-0000973F0000}"/>
    <cellStyle name="Normal 2 2 2 2 5 17 3" xfId="16322" xr:uid="{00000000-0005-0000-0000-0000983F0000}"/>
    <cellStyle name="Normal 2 2 2 2 5 17 3 10" xfId="16323" xr:uid="{00000000-0005-0000-0000-0000993F0000}"/>
    <cellStyle name="Normal 2 2 2 2 5 17 3 2" xfId="16324" xr:uid="{00000000-0005-0000-0000-00009A3F0000}"/>
    <cellStyle name="Normal 2 2 2 2 5 17 3 3" xfId="16325" xr:uid="{00000000-0005-0000-0000-00009B3F0000}"/>
    <cellStyle name="Normal 2 2 2 2 5 17 3 4" xfId="16326" xr:uid="{00000000-0005-0000-0000-00009C3F0000}"/>
    <cellStyle name="Normal 2 2 2 2 5 17 3 5" xfId="16327" xr:uid="{00000000-0005-0000-0000-00009D3F0000}"/>
    <cellStyle name="Normal 2 2 2 2 5 17 3 6" xfId="16328" xr:uid="{00000000-0005-0000-0000-00009E3F0000}"/>
    <cellStyle name="Normal 2 2 2 2 5 17 3 7" xfId="16329" xr:uid="{00000000-0005-0000-0000-00009F3F0000}"/>
    <cellStyle name="Normal 2 2 2 2 5 17 3 8" xfId="16330" xr:uid="{00000000-0005-0000-0000-0000A03F0000}"/>
    <cellStyle name="Normal 2 2 2 2 5 17 3 9" xfId="16331" xr:uid="{00000000-0005-0000-0000-0000A13F0000}"/>
    <cellStyle name="Normal 2 2 2 2 5 17 4" xfId="16332" xr:uid="{00000000-0005-0000-0000-0000A23F0000}"/>
    <cellStyle name="Normal 2 2 2 2 5 17 4 10" xfId="16333" xr:uid="{00000000-0005-0000-0000-0000A33F0000}"/>
    <cellStyle name="Normal 2 2 2 2 5 17 4 2" xfId="16334" xr:uid="{00000000-0005-0000-0000-0000A43F0000}"/>
    <cellStyle name="Normal 2 2 2 2 5 17 4 3" xfId="16335" xr:uid="{00000000-0005-0000-0000-0000A53F0000}"/>
    <cellStyle name="Normal 2 2 2 2 5 17 4 4" xfId="16336" xr:uid="{00000000-0005-0000-0000-0000A63F0000}"/>
    <cellStyle name="Normal 2 2 2 2 5 17 4 5" xfId="16337" xr:uid="{00000000-0005-0000-0000-0000A73F0000}"/>
    <cellStyle name="Normal 2 2 2 2 5 17 4 6" xfId="16338" xr:uid="{00000000-0005-0000-0000-0000A83F0000}"/>
    <cellStyle name="Normal 2 2 2 2 5 17 4 7" xfId="16339" xr:uid="{00000000-0005-0000-0000-0000A93F0000}"/>
    <cellStyle name="Normal 2 2 2 2 5 17 4 8" xfId="16340" xr:uid="{00000000-0005-0000-0000-0000AA3F0000}"/>
    <cellStyle name="Normal 2 2 2 2 5 17 4 9" xfId="16341" xr:uid="{00000000-0005-0000-0000-0000AB3F0000}"/>
    <cellStyle name="Normal 2 2 2 2 5 17 5" xfId="16342" xr:uid="{00000000-0005-0000-0000-0000AC3F0000}"/>
    <cellStyle name="Normal 2 2 2 2 5 17 5 10" xfId="16343" xr:uid="{00000000-0005-0000-0000-0000AD3F0000}"/>
    <cellStyle name="Normal 2 2 2 2 5 17 5 2" xfId="16344" xr:uid="{00000000-0005-0000-0000-0000AE3F0000}"/>
    <cellStyle name="Normal 2 2 2 2 5 17 5 3" xfId="16345" xr:uid="{00000000-0005-0000-0000-0000AF3F0000}"/>
    <cellStyle name="Normal 2 2 2 2 5 17 5 4" xfId="16346" xr:uid="{00000000-0005-0000-0000-0000B03F0000}"/>
    <cellStyle name="Normal 2 2 2 2 5 17 5 5" xfId="16347" xr:uid="{00000000-0005-0000-0000-0000B13F0000}"/>
    <cellStyle name="Normal 2 2 2 2 5 17 5 6" xfId="16348" xr:uid="{00000000-0005-0000-0000-0000B23F0000}"/>
    <cellStyle name="Normal 2 2 2 2 5 17 5 7" xfId="16349" xr:uid="{00000000-0005-0000-0000-0000B33F0000}"/>
    <cellStyle name="Normal 2 2 2 2 5 17 5 8" xfId="16350" xr:uid="{00000000-0005-0000-0000-0000B43F0000}"/>
    <cellStyle name="Normal 2 2 2 2 5 17 5 9" xfId="16351" xr:uid="{00000000-0005-0000-0000-0000B53F0000}"/>
    <cellStyle name="Normal 2 2 2 2 5 17 6" xfId="16352" xr:uid="{00000000-0005-0000-0000-0000B63F0000}"/>
    <cellStyle name="Normal 2 2 2 2 5 17 7" xfId="16353" xr:uid="{00000000-0005-0000-0000-0000B73F0000}"/>
    <cellStyle name="Normal 2 2 2 2 5 17 8" xfId="16354" xr:uid="{00000000-0005-0000-0000-0000B83F0000}"/>
    <cellStyle name="Normal 2 2 2 2 5 17 9" xfId="16355" xr:uid="{00000000-0005-0000-0000-0000B93F0000}"/>
    <cellStyle name="Normal 2 2 2 2 5 18" xfId="16356" xr:uid="{00000000-0005-0000-0000-0000BA3F0000}"/>
    <cellStyle name="Normal 2 2 2 2 5 18 10" xfId="16357" xr:uid="{00000000-0005-0000-0000-0000BB3F0000}"/>
    <cellStyle name="Normal 2 2 2 2 5 18 11" xfId="16358" xr:uid="{00000000-0005-0000-0000-0000BC3F0000}"/>
    <cellStyle name="Normal 2 2 2 2 5 18 12" xfId="16359" xr:uid="{00000000-0005-0000-0000-0000BD3F0000}"/>
    <cellStyle name="Normal 2 2 2 2 5 18 13" xfId="16360" xr:uid="{00000000-0005-0000-0000-0000BE3F0000}"/>
    <cellStyle name="Normal 2 2 2 2 5 18 14" xfId="16361" xr:uid="{00000000-0005-0000-0000-0000BF3F0000}"/>
    <cellStyle name="Normal 2 2 2 2 5 18 2" xfId="16362" xr:uid="{00000000-0005-0000-0000-0000C03F0000}"/>
    <cellStyle name="Normal 2 2 2 2 5 18 2 10" xfId="16363" xr:uid="{00000000-0005-0000-0000-0000C13F0000}"/>
    <cellStyle name="Normal 2 2 2 2 5 18 2 2" xfId="16364" xr:uid="{00000000-0005-0000-0000-0000C23F0000}"/>
    <cellStyle name="Normal 2 2 2 2 5 18 2 3" xfId="16365" xr:uid="{00000000-0005-0000-0000-0000C33F0000}"/>
    <cellStyle name="Normal 2 2 2 2 5 18 2 4" xfId="16366" xr:uid="{00000000-0005-0000-0000-0000C43F0000}"/>
    <cellStyle name="Normal 2 2 2 2 5 18 2 5" xfId="16367" xr:uid="{00000000-0005-0000-0000-0000C53F0000}"/>
    <cellStyle name="Normal 2 2 2 2 5 18 2 6" xfId="16368" xr:uid="{00000000-0005-0000-0000-0000C63F0000}"/>
    <cellStyle name="Normal 2 2 2 2 5 18 2 7" xfId="16369" xr:uid="{00000000-0005-0000-0000-0000C73F0000}"/>
    <cellStyle name="Normal 2 2 2 2 5 18 2 8" xfId="16370" xr:uid="{00000000-0005-0000-0000-0000C83F0000}"/>
    <cellStyle name="Normal 2 2 2 2 5 18 2 9" xfId="16371" xr:uid="{00000000-0005-0000-0000-0000C93F0000}"/>
    <cellStyle name="Normal 2 2 2 2 5 18 3" xfId="16372" xr:uid="{00000000-0005-0000-0000-0000CA3F0000}"/>
    <cellStyle name="Normal 2 2 2 2 5 18 3 10" xfId="16373" xr:uid="{00000000-0005-0000-0000-0000CB3F0000}"/>
    <cellStyle name="Normal 2 2 2 2 5 18 3 2" xfId="16374" xr:uid="{00000000-0005-0000-0000-0000CC3F0000}"/>
    <cellStyle name="Normal 2 2 2 2 5 18 3 3" xfId="16375" xr:uid="{00000000-0005-0000-0000-0000CD3F0000}"/>
    <cellStyle name="Normal 2 2 2 2 5 18 3 4" xfId="16376" xr:uid="{00000000-0005-0000-0000-0000CE3F0000}"/>
    <cellStyle name="Normal 2 2 2 2 5 18 3 5" xfId="16377" xr:uid="{00000000-0005-0000-0000-0000CF3F0000}"/>
    <cellStyle name="Normal 2 2 2 2 5 18 3 6" xfId="16378" xr:uid="{00000000-0005-0000-0000-0000D03F0000}"/>
    <cellStyle name="Normal 2 2 2 2 5 18 3 7" xfId="16379" xr:uid="{00000000-0005-0000-0000-0000D13F0000}"/>
    <cellStyle name="Normal 2 2 2 2 5 18 3 8" xfId="16380" xr:uid="{00000000-0005-0000-0000-0000D23F0000}"/>
    <cellStyle name="Normal 2 2 2 2 5 18 3 9" xfId="16381" xr:uid="{00000000-0005-0000-0000-0000D33F0000}"/>
    <cellStyle name="Normal 2 2 2 2 5 18 4" xfId="16382" xr:uid="{00000000-0005-0000-0000-0000D43F0000}"/>
    <cellStyle name="Normal 2 2 2 2 5 18 4 10" xfId="16383" xr:uid="{00000000-0005-0000-0000-0000D53F0000}"/>
    <cellStyle name="Normal 2 2 2 2 5 18 4 2" xfId="16384" xr:uid="{00000000-0005-0000-0000-0000D63F0000}"/>
    <cellStyle name="Normal 2 2 2 2 5 18 4 3" xfId="16385" xr:uid="{00000000-0005-0000-0000-0000D73F0000}"/>
    <cellStyle name="Normal 2 2 2 2 5 18 4 4" xfId="16386" xr:uid="{00000000-0005-0000-0000-0000D83F0000}"/>
    <cellStyle name="Normal 2 2 2 2 5 18 4 5" xfId="16387" xr:uid="{00000000-0005-0000-0000-0000D93F0000}"/>
    <cellStyle name="Normal 2 2 2 2 5 18 4 6" xfId="16388" xr:uid="{00000000-0005-0000-0000-0000DA3F0000}"/>
    <cellStyle name="Normal 2 2 2 2 5 18 4 7" xfId="16389" xr:uid="{00000000-0005-0000-0000-0000DB3F0000}"/>
    <cellStyle name="Normal 2 2 2 2 5 18 4 8" xfId="16390" xr:uid="{00000000-0005-0000-0000-0000DC3F0000}"/>
    <cellStyle name="Normal 2 2 2 2 5 18 4 9" xfId="16391" xr:uid="{00000000-0005-0000-0000-0000DD3F0000}"/>
    <cellStyle name="Normal 2 2 2 2 5 18 5" xfId="16392" xr:uid="{00000000-0005-0000-0000-0000DE3F0000}"/>
    <cellStyle name="Normal 2 2 2 2 5 18 5 10" xfId="16393" xr:uid="{00000000-0005-0000-0000-0000DF3F0000}"/>
    <cellStyle name="Normal 2 2 2 2 5 18 5 2" xfId="16394" xr:uid="{00000000-0005-0000-0000-0000E03F0000}"/>
    <cellStyle name="Normal 2 2 2 2 5 18 5 3" xfId="16395" xr:uid="{00000000-0005-0000-0000-0000E13F0000}"/>
    <cellStyle name="Normal 2 2 2 2 5 18 5 4" xfId="16396" xr:uid="{00000000-0005-0000-0000-0000E23F0000}"/>
    <cellStyle name="Normal 2 2 2 2 5 18 5 5" xfId="16397" xr:uid="{00000000-0005-0000-0000-0000E33F0000}"/>
    <cellStyle name="Normal 2 2 2 2 5 18 5 6" xfId="16398" xr:uid="{00000000-0005-0000-0000-0000E43F0000}"/>
    <cellStyle name="Normal 2 2 2 2 5 18 5 7" xfId="16399" xr:uid="{00000000-0005-0000-0000-0000E53F0000}"/>
    <cellStyle name="Normal 2 2 2 2 5 18 5 8" xfId="16400" xr:uid="{00000000-0005-0000-0000-0000E63F0000}"/>
    <cellStyle name="Normal 2 2 2 2 5 18 5 9" xfId="16401" xr:uid="{00000000-0005-0000-0000-0000E73F0000}"/>
    <cellStyle name="Normal 2 2 2 2 5 18 6" xfId="16402" xr:uid="{00000000-0005-0000-0000-0000E83F0000}"/>
    <cellStyle name="Normal 2 2 2 2 5 18 7" xfId="16403" xr:uid="{00000000-0005-0000-0000-0000E93F0000}"/>
    <cellStyle name="Normal 2 2 2 2 5 18 8" xfId="16404" xr:uid="{00000000-0005-0000-0000-0000EA3F0000}"/>
    <cellStyle name="Normal 2 2 2 2 5 18 9" xfId="16405" xr:uid="{00000000-0005-0000-0000-0000EB3F0000}"/>
    <cellStyle name="Normal 2 2 2 2 5 19" xfId="16406" xr:uid="{00000000-0005-0000-0000-0000EC3F0000}"/>
    <cellStyle name="Normal 2 2 2 2 5 19 10" xfId="16407" xr:uid="{00000000-0005-0000-0000-0000ED3F0000}"/>
    <cellStyle name="Normal 2 2 2 2 5 19 11" xfId="16408" xr:uid="{00000000-0005-0000-0000-0000EE3F0000}"/>
    <cellStyle name="Normal 2 2 2 2 5 19 12" xfId="16409" xr:uid="{00000000-0005-0000-0000-0000EF3F0000}"/>
    <cellStyle name="Normal 2 2 2 2 5 19 13" xfId="16410" xr:uid="{00000000-0005-0000-0000-0000F03F0000}"/>
    <cellStyle name="Normal 2 2 2 2 5 19 14" xfId="16411" xr:uid="{00000000-0005-0000-0000-0000F13F0000}"/>
    <cellStyle name="Normal 2 2 2 2 5 19 2" xfId="16412" xr:uid="{00000000-0005-0000-0000-0000F23F0000}"/>
    <cellStyle name="Normal 2 2 2 2 5 19 2 10" xfId="16413" xr:uid="{00000000-0005-0000-0000-0000F33F0000}"/>
    <cellStyle name="Normal 2 2 2 2 5 19 2 2" xfId="16414" xr:uid="{00000000-0005-0000-0000-0000F43F0000}"/>
    <cellStyle name="Normal 2 2 2 2 5 19 2 3" xfId="16415" xr:uid="{00000000-0005-0000-0000-0000F53F0000}"/>
    <cellStyle name="Normal 2 2 2 2 5 19 2 4" xfId="16416" xr:uid="{00000000-0005-0000-0000-0000F63F0000}"/>
    <cellStyle name="Normal 2 2 2 2 5 19 2 5" xfId="16417" xr:uid="{00000000-0005-0000-0000-0000F73F0000}"/>
    <cellStyle name="Normal 2 2 2 2 5 19 2 6" xfId="16418" xr:uid="{00000000-0005-0000-0000-0000F83F0000}"/>
    <cellStyle name="Normal 2 2 2 2 5 19 2 7" xfId="16419" xr:uid="{00000000-0005-0000-0000-0000F93F0000}"/>
    <cellStyle name="Normal 2 2 2 2 5 19 2 8" xfId="16420" xr:uid="{00000000-0005-0000-0000-0000FA3F0000}"/>
    <cellStyle name="Normal 2 2 2 2 5 19 2 9" xfId="16421" xr:uid="{00000000-0005-0000-0000-0000FB3F0000}"/>
    <cellStyle name="Normal 2 2 2 2 5 19 3" xfId="16422" xr:uid="{00000000-0005-0000-0000-0000FC3F0000}"/>
    <cellStyle name="Normal 2 2 2 2 5 19 3 10" xfId="16423" xr:uid="{00000000-0005-0000-0000-0000FD3F0000}"/>
    <cellStyle name="Normal 2 2 2 2 5 19 3 2" xfId="16424" xr:uid="{00000000-0005-0000-0000-0000FE3F0000}"/>
    <cellStyle name="Normal 2 2 2 2 5 19 3 3" xfId="16425" xr:uid="{00000000-0005-0000-0000-0000FF3F0000}"/>
    <cellStyle name="Normal 2 2 2 2 5 19 3 4" xfId="16426" xr:uid="{00000000-0005-0000-0000-000000400000}"/>
    <cellStyle name="Normal 2 2 2 2 5 19 3 5" xfId="16427" xr:uid="{00000000-0005-0000-0000-000001400000}"/>
    <cellStyle name="Normal 2 2 2 2 5 19 3 6" xfId="16428" xr:uid="{00000000-0005-0000-0000-000002400000}"/>
    <cellStyle name="Normal 2 2 2 2 5 19 3 7" xfId="16429" xr:uid="{00000000-0005-0000-0000-000003400000}"/>
    <cellStyle name="Normal 2 2 2 2 5 19 3 8" xfId="16430" xr:uid="{00000000-0005-0000-0000-000004400000}"/>
    <cellStyle name="Normal 2 2 2 2 5 19 3 9" xfId="16431" xr:uid="{00000000-0005-0000-0000-000005400000}"/>
    <cellStyle name="Normal 2 2 2 2 5 19 4" xfId="16432" xr:uid="{00000000-0005-0000-0000-000006400000}"/>
    <cellStyle name="Normal 2 2 2 2 5 19 4 10" xfId="16433" xr:uid="{00000000-0005-0000-0000-000007400000}"/>
    <cellStyle name="Normal 2 2 2 2 5 19 4 2" xfId="16434" xr:uid="{00000000-0005-0000-0000-000008400000}"/>
    <cellStyle name="Normal 2 2 2 2 5 19 4 3" xfId="16435" xr:uid="{00000000-0005-0000-0000-000009400000}"/>
    <cellStyle name="Normal 2 2 2 2 5 19 4 4" xfId="16436" xr:uid="{00000000-0005-0000-0000-00000A400000}"/>
    <cellStyle name="Normal 2 2 2 2 5 19 4 5" xfId="16437" xr:uid="{00000000-0005-0000-0000-00000B400000}"/>
    <cellStyle name="Normal 2 2 2 2 5 19 4 6" xfId="16438" xr:uid="{00000000-0005-0000-0000-00000C400000}"/>
    <cellStyle name="Normal 2 2 2 2 5 19 4 7" xfId="16439" xr:uid="{00000000-0005-0000-0000-00000D400000}"/>
    <cellStyle name="Normal 2 2 2 2 5 19 4 8" xfId="16440" xr:uid="{00000000-0005-0000-0000-00000E400000}"/>
    <cellStyle name="Normal 2 2 2 2 5 19 4 9" xfId="16441" xr:uid="{00000000-0005-0000-0000-00000F400000}"/>
    <cellStyle name="Normal 2 2 2 2 5 19 5" xfId="16442" xr:uid="{00000000-0005-0000-0000-000010400000}"/>
    <cellStyle name="Normal 2 2 2 2 5 19 5 10" xfId="16443" xr:uid="{00000000-0005-0000-0000-000011400000}"/>
    <cellStyle name="Normal 2 2 2 2 5 19 5 2" xfId="16444" xr:uid="{00000000-0005-0000-0000-000012400000}"/>
    <cellStyle name="Normal 2 2 2 2 5 19 5 3" xfId="16445" xr:uid="{00000000-0005-0000-0000-000013400000}"/>
    <cellStyle name="Normal 2 2 2 2 5 19 5 4" xfId="16446" xr:uid="{00000000-0005-0000-0000-000014400000}"/>
    <cellStyle name="Normal 2 2 2 2 5 19 5 5" xfId="16447" xr:uid="{00000000-0005-0000-0000-000015400000}"/>
    <cellStyle name="Normal 2 2 2 2 5 19 5 6" xfId="16448" xr:uid="{00000000-0005-0000-0000-000016400000}"/>
    <cellStyle name="Normal 2 2 2 2 5 19 5 7" xfId="16449" xr:uid="{00000000-0005-0000-0000-000017400000}"/>
    <cellStyle name="Normal 2 2 2 2 5 19 5 8" xfId="16450" xr:uid="{00000000-0005-0000-0000-000018400000}"/>
    <cellStyle name="Normal 2 2 2 2 5 19 5 9" xfId="16451" xr:uid="{00000000-0005-0000-0000-000019400000}"/>
    <cellStyle name="Normal 2 2 2 2 5 19 6" xfId="16452" xr:uid="{00000000-0005-0000-0000-00001A400000}"/>
    <cellStyle name="Normal 2 2 2 2 5 19 7" xfId="16453" xr:uid="{00000000-0005-0000-0000-00001B400000}"/>
    <cellStyle name="Normal 2 2 2 2 5 19 8" xfId="16454" xr:uid="{00000000-0005-0000-0000-00001C400000}"/>
    <cellStyle name="Normal 2 2 2 2 5 19 9" xfId="16455" xr:uid="{00000000-0005-0000-0000-00001D400000}"/>
    <cellStyle name="Normal 2 2 2 2 5 2" xfId="16456" xr:uid="{00000000-0005-0000-0000-00001E400000}"/>
    <cellStyle name="Normal 2 2 2 2 5 2 10" xfId="16457" xr:uid="{00000000-0005-0000-0000-00001F400000}"/>
    <cellStyle name="Normal 2 2 2 2 5 2 11" xfId="16458" xr:uid="{00000000-0005-0000-0000-000020400000}"/>
    <cellStyle name="Normal 2 2 2 2 5 2 12" xfId="16459" xr:uid="{00000000-0005-0000-0000-000021400000}"/>
    <cellStyle name="Normal 2 2 2 2 5 2 13" xfId="16460" xr:uid="{00000000-0005-0000-0000-000022400000}"/>
    <cellStyle name="Normal 2 2 2 2 5 2 14" xfId="16461" xr:uid="{00000000-0005-0000-0000-000023400000}"/>
    <cellStyle name="Normal 2 2 2 2 5 2 15" xfId="16462" xr:uid="{00000000-0005-0000-0000-000024400000}"/>
    <cellStyle name="Normal 2 2 2 2 5 2 16" xfId="16463" xr:uid="{00000000-0005-0000-0000-000025400000}"/>
    <cellStyle name="Normal 2 2 2 2 5 2 17" xfId="16464" xr:uid="{00000000-0005-0000-0000-000026400000}"/>
    <cellStyle name="Normal 2 2 2 2 5 2 18" xfId="16465" xr:uid="{00000000-0005-0000-0000-000027400000}"/>
    <cellStyle name="Normal 2 2 2 2 5 2 19" xfId="16466" xr:uid="{00000000-0005-0000-0000-000028400000}"/>
    <cellStyle name="Normal 2 2 2 2 5 2 2" xfId="16467" xr:uid="{00000000-0005-0000-0000-000029400000}"/>
    <cellStyle name="Normal 2 2 2 2 5 2 20" xfId="16468" xr:uid="{00000000-0005-0000-0000-00002A400000}"/>
    <cellStyle name="Normal 2 2 2 2 5 2 21" xfId="16469" xr:uid="{00000000-0005-0000-0000-00002B400000}"/>
    <cellStyle name="Normal 2 2 2 2 5 2 21 10" xfId="16470" xr:uid="{00000000-0005-0000-0000-00002C400000}"/>
    <cellStyle name="Normal 2 2 2 2 5 2 21 2" xfId="16471" xr:uid="{00000000-0005-0000-0000-00002D400000}"/>
    <cellStyle name="Normal 2 2 2 2 5 2 21 3" xfId="16472" xr:uid="{00000000-0005-0000-0000-00002E400000}"/>
    <cellStyle name="Normal 2 2 2 2 5 2 21 4" xfId="16473" xr:uid="{00000000-0005-0000-0000-00002F400000}"/>
    <cellStyle name="Normal 2 2 2 2 5 2 21 5" xfId="16474" xr:uid="{00000000-0005-0000-0000-000030400000}"/>
    <cellStyle name="Normal 2 2 2 2 5 2 21 6" xfId="16475" xr:uid="{00000000-0005-0000-0000-000031400000}"/>
    <cellStyle name="Normal 2 2 2 2 5 2 21 7" xfId="16476" xr:uid="{00000000-0005-0000-0000-000032400000}"/>
    <cellStyle name="Normal 2 2 2 2 5 2 21 8" xfId="16477" xr:uid="{00000000-0005-0000-0000-000033400000}"/>
    <cellStyle name="Normal 2 2 2 2 5 2 21 9" xfId="16478" xr:uid="{00000000-0005-0000-0000-000034400000}"/>
    <cellStyle name="Normal 2 2 2 2 5 2 22" xfId="16479" xr:uid="{00000000-0005-0000-0000-000035400000}"/>
    <cellStyle name="Normal 2 2 2 2 5 2 22 10" xfId="16480" xr:uid="{00000000-0005-0000-0000-000036400000}"/>
    <cellStyle name="Normal 2 2 2 2 5 2 22 2" xfId="16481" xr:uid="{00000000-0005-0000-0000-000037400000}"/>
    <cellStyle name="Normal 2 2 2 2 5 2 22 3" xfId="16482" xr:uid="{00000000-0005-0000-0000-000038400000}"/>
    <cellStyle name="Normal 2 2 2 2 5 2 22 4" xfId="16483" xr:uid="{00000000-0005-0000-0000-000039400000}"/>
    <cellStyle name="Normal 2 2 2 2 5 2 22 5" xfId="16484" xr:uid="{00000000-0005-0000-0000-00003A400000}"/>
    <cellStyle name="Normal 2 2 2 2 5 2 22 6" xfId="16485" xr:uid="{00000000-0005-0000-0000-00003B400000}"/>
    <cellStyle name="Normal 2 2 2 2 5 2 22 7" xfId="16486" xr:uid="{00000000-0005-0000-0000-00003C400000}"/>
    <cellStyle name="Normal 2 2 2 2 5 2 22 8" xfId="16487" xr:uid="{00000000-0005-0000-0000-00003D400000}"/>
    <cellStyle name="Normal 2 2 2 2 5 2 22 9" xfId="16488" xr:uid="{00000000-0005-0000-0000-00003E400000}"/>
    <cellStyle name="Normal 2 2 2 2 5 2 23" xfId="16489" xr:uid="{00000000-0005-0000-0000-00003F400000}"/>
    <cellStyle name="Normal 2 2 2 2 5 2 23 10" xfId="16490" xr:uid="{00000000-0005-0000-0000-000040400000}"/>
    <cellStyle name="Normal 2 2 2 2 5 2 23 2" xfId="16491" xr:uid="{00000000-0005-0000-0000-000041400000}"/>
    <cellStyle name="Normal 2 2 2 2 5 2 23 3" xfId="16492" xr:uid="{00000000-0005-0000-0000-000042400000}"/>
    <cellStyle name="Normal 2 2 2 2 5 2 23 4" xfId="16493" xr:uid="{00000000-0005-0000-0000-000043400000}"/>
    <cellStyle name="Normal 2 2 2 2 5 2 23 5" xfId="16494" xr:uid="{00000000-0005-0000-0000-000044400000}"/>
    <cellStyle name="Normal 2 2 2 2 5 2 23 6" xfId="16495" xr:uid="{00000000-0005-0000-0000-000045400000}"/>
    <cellStyle name="Normal 2 2 2 2 5 2 23 7" xfId="16496" xr:uid="{00000000-0005-0000-0000-000046400000}"/>
    <cellStyle name="Normal 2 2 2 2 5 2 23 8" xfId="16497" xr:uid="{00000000-0005-0000-0000-000047400000}"/>
    <cellStyle name="Normal 2 2 2 2 5 2 23 9" xfId="16498" xr:uid="{00000000-0005-0000-0000-000048400000}"/>
    <cellStyle name="Normal 2 2 2 2 5 2 24" xfId="16499" xr:uid="{00000000-0005-0000-0000-000049400000}"/>
    <cellStyle name="Normal 2 2 2 2 5 2 24 10" xfId="16500" xr:uid="{00000000-0005-0000-0000-00004A400000}"/>
    <cellStyle name="Normal 2 2 2 2 5 2 24 2" xfId="16501" xr:uid="{00000000-0005-0000-0000-00004B400000}"/>
    <cellStyle name="Normal 2 2 2 2 5 2 24 3" xfId="16502" xr:uid="{00000000-0005-0000-0000-00004C400000}"/>
    <cellStyle name="Normal 2 2 2 2 5 2 24 4" xfId="16503" xr:uid="{00000000-0005-0000-0000-00004D400000}"/>
    <cellStyle name="Normal 2 2 2 2 5 2 24 5" xfId="16504" xr:uid="{00000000-0005-0000-0000-00004E400000}"/>
    <cellStyle name="Normal 2 2 2 2 5 2 24 6" xfId="16505" xr:uid="{00000000-0005-0000-0000-00004F400000}"/>
    <cellStyle name="Normal 2 2 2 2 5 2 24 7" xfId="16506" xr:uid="{00000000-0005-0000-0000-000050400000}"/>
    <cellStyle name="Normal 2 2 2 2 5 2 24 8" xfId="16507" xr:uid="{00000000-0005-0000-0000-000051400000}"/>
    <cellStyle name="Normal 2 2 2 2 5 2 24 9" xfId="16508" xr:uid="{00000000-0005-0000-0000-000052400000}"/>
    <cellStyle name="Normal 2 2 2 2 5 2 25" xfId="16509" xr:uid="{00000000-0005-0000-0000-000053400000}"/>
    <cellStyle name="Normal 2 2 2 2 5 2 26" xfId="16510" xr:uid="{00000000-0005-0000-0000-000054400000}"/>
    <cellStyle name="Normal 2 2 2 2 5 2 27" xfId="16511" xr:uid="{00000000-0005-0000-0000-000055400000}"/>
    <cellStyle name="Normal 2 2 2 2 5 2 28" xfId="16512" xr:uid="{00000000-0005-0000-0000-000056400000}"/>
    <cellStyle name="Normal 2 2 2 2 5 2 29" xfId="16513" xr:uid="{00000000-0005-0000-0000-000057400000}"/>
    <cellStyle name="Normal 2 2 2 2 5 2 3" xfId="16514" xr:uid="{00000000-0005-0000-0000-000058400000}"/>
    <cellStyle name="Normal 2 2 2 2 5 2 30" xfId="16515" xr:uid="{00000000-0005-0000-0000-000059400000}"/>
    <cellStyle name="Normal 2 2 2 2 5 2 31" xfId="16516" xr:uid="{00000000-0005-0000-0000-00005A400000}"/>
    <cellStyle name="Normal 2 2 2 2 5 2 32" xfId="16517" xr:uid="{00000000-0005-0000-0000-00005B400000}"/>
    <cellStyle name="Normal 2 2 2 2 5 2 33" xfId="16518" xr:uid="{00000000-0005-0000-0000-00005C400000}"/>
    <cellStyle name="Normal 2 2 2 2 5 2 4" xfId="16519" xr:uid="{00000000-0005-0000-0000-00005D400000}"/>
    <cellStyle name="Normal 2 2 2 2 5 2 5" xfId="16520" xr:uid="{00000000-0005-0000-0000-00005E400000}"/>
    <cellStyle name="Normal 2 2 2 2 5 2 6" xfId="16521" xr:uid="{00000000-0005-0000-0000-00005F400000}"/>
    <cellStyle name="Normal 2 2 2 2 5 2 7" xfId="16522" xr:uid="{00000000-0005-0000-0000-000060400000}"/>
    <cellStyle name="Normal 2 2 2 2 5 2 8" xfId="16523" xr:uid="{00000000-0005-0000-0000-000061400000}"/>
    <cellStyle name="Normal 2 2 2 2 5 2 9" xfId="16524" xr:uid="{00000000-0005-0000-0000-000062400000}"/>
    <cellStyle name="Normal 2 2 2 2 5 20" xfId="16525" xr:uid="{00000000-0005-0000-0000-000063400000}"/>
    <cellStyle name="Normal 2 2 2 2 5 20 10" xfId="16526" xr:uid="{00000000-0005-0000-0000-000064400000}"/>
    <cellStyle name="Normal 2 2 2 2 5 20 11" xfId="16527" xr:uid="{00000000-0005-0000-0000-000065400000}"/>
    <cellStyle name="Normal 2 2 2 2 5 20 12" xfId="16528" xr:uid="{00000000-0005-0000-0000-000066400000}"/>
    <cellStyle name="Normal 2 2 2 2 5 20 13" xfId="16529" xr:uid="{00000000-0005-0000-0000-000067400000}"/>
    <cellStyle name="Normal 2 2 2 2 5 20 14" xfId="16530" xr:uid="{00000000-0005-0000-0000-000068400000}"/>
    <cellStyle name="Normal 2 2 2 2 5 20 2" xfId="16531" xr:uid="{00000000-0005-0000-0000-000069400000}"/>
    <cellStyle name="Normal 2 2 2 2 5 20 2 10" xfId="16532" xr:uid="{00000000-0005-0000-0000-00006A400000}"/>
    <cellStyle name="Normal 2 2 2 2 5 20 2 2" xfId="16533" xr:uid="{00000000-0005-0000-0000-00006B400000}"/>
    <cellStyle name="Normal 2 2 2 2 5 20 2 3" xfId="16534" xr:uid="{00000000-0005-0000-0000-00006C400000}"/>
    <cellStyle name="Normal 2 2 2 2 5 20 2 4" xfId="16535" xr:uid="{00000000-0005-0000-0000-00006D400000}"/>
    <cellStyle name="Normal 2 2 2 2 5 20 2 5" xfId="16536" xr:uid="{00000000-0005-0000-0000-00006E400000}"/>
    <cellStyle name="Normal 2 2 2 2 5 20 2 6" xfId="16537" xr:uid="{00000000-0005-0000-0000-00006F400000}"/>
    <cellStyle name="Normal 2 2 2 2 5 20 2 7" xfId="16538" xr:uid="{00000000-0005-0000-0000-000070400000}"/>
    <cellStyle name="Normal 2 2 2 2 5 20 2 8" xfId="16539" xr:uid="{00000000-0005-0000-0000-000071400000}"/>
    <cellStyle name="Normal 2 2 2 2 5 20 2 9" xfId="16540" xr:uid="{00000000-0005-0000-0000-000072400000}"/>
    <cellStyle name="Normal 2 2 2 2 5 20 3" xfId="16541" xr:uid="{00000000-0005-0000-0000-000073400000}"/>
    <cellStyle name="Normal 2 2 2 2 5 20 3 10" xfId="16542" xr:uid="{00000000-0005-0000-0000-000074400000}"/>
    <cellStyle name="Normal 2 2 2 2 5 20 3 2" xfId="16543" xr:uid="{00000000-0005-0000-0000-000075400000}"/>
    <cellStyle name="Normal 2 2 2 2 5 20 3 3" xfId="16544" xr:uid="{00000000-0005-0000-0000-000076400000}"/>
    <cellStyle name="Normal 2 2 2 2 5 20 3 4" xfId="16545" xr:uid="{00000000-0005-0000-0000-000077400000}"/>
    <cellStyle name="Normal 2 2 2 2 5 20 3 5" xfId="16546" xr:uid="{00000000-0005-0000-0000-000078400000}"/>
    <cellStyle name="Normal 2 2 2 2 5 20 3 6" xfId="16547" xr:uid="{00000000-0005-0000-0000-000079400000}"/>
    <cellStyle name="Normal 2 2 2 2 5 20 3 7" xfId="16548" xr:uid="{00000000-0005-0000-0000-00007A400000}"/>
    <cellStyle name="Normal 2 2 2 2 5 20 3 8" xfId="16549" xr:uid="{00000000-0005-0000-0000-00007B400000}"/>
    <cellStyle name="Normal 2 2 2 2 5 20 3 9" xfId="16550" xr:uid="{00000000-0005-0000-0000-00007C400000}"/>
    <cellStyle name="Normal 2 2 2 2 5 20 4" xfId="16551" xr:uid="{00000000-0005-0000-0000-00007D400000}"/>
    <cellStyle name="Normal 2 2 2 2 5 20 4 10" xfId="16552" xr:uid="{00000000-0005-0000-0000-00007E400000}"/>
    <cellStyle name="Normal 2 2 2 2 5 20 4 2" xfId="16553" xr:uid="{00000000-0005-0000-0000-00007F400000}"/>
    <cellStyle name="Normal 2 2 2 2 5 20 4 3" xfId="16554" xr:uid="{00000000-0005-0000-0000-000080400000}"/>
    <cellStyle name="Normal 2 2 2 2 5 20 4 4" xfId="16555" xr:uid="{00000000-0005-0000-0000-000081400000}"/>
    <cellStyle name="Normal 2 2 2 2 5 20 4 5" xfId="16556" xr:uid="{00000000-0005-0000-0000-000082400000}"/>
    <cellStyle name="Normal 2 2 2 2 5 20 4 6" xfId="16557" xr:uid="{00000000-0005-0000-0000-000083400000}"/>
    <cellStyle name="Normal 2 2 2 2 5 20 4 7" xfId="16558" xr:uid="{00000000-0005-0000-0000-000084400000}"/>
    <cellStyle name="Normal 2 2 2 2 5 20 4 8" xfId="16559" xr:uid="{00000000-0005-0000-0000-000085400000}"/>
    <cellStyle name="Normal 2 2 2 2 5 20 4 9" xfId="16560" xr:uid="{00000000-0005-0000-0000-000086400000}"/>
    <cellStyle name="Normal 2 2 2 2 5 20 5" xfId="16561" xr:uid="{00000000-0005-0000-0000-000087400000}"/>
    <cellStyle name="Normal 2 2 2 2 5 20 5 10" xfId="16562" xr:uid="{00000000-0005-0000-0000-000088400000}"/>
    <cellStyle name="Normal 2 2 2 2 5 20 5 2" xfId="16563" xr:uid="{00000000-0005-0000-0000-000089400000}"/>
    <cellStyle name="Normal 2 2 2 2 5 20 5 3" xfId="16564" xr:uid="{00000000-0005-0000-0000-00008A400000}"/>
    <cellStyle name="Normal 2 2 2 2 5 20 5 4" xfId="16565" xr:uid="{00000000-0005-0000-0000-00008B400000}"/>
    <cellStyle name="Normal 2 2 2 2 5 20 5 5" xfId="16566" xr:uid="{00000000-0005-0000-0000-00008C400000}"/>
    <cellStyle name="Normal 2 2 2 2 5 20 5 6" xfId="16567" xr:uid="{00000000-0005-0000-0000-00008D400000}"/>
    <cellStyle name="Normal 2 2 2 2 5 20 5 7" xfId="16568" xr:uid="{00000000-0005-0000-0000-00008E400000}"/>
    <cellStyle name="Normal 2 2 2 2 5 20 5 8" xfId="16569" xr:uid="{00000000-0005-0000-0000-00008F400000}"/>
    <cellStyle name="Normal 2 2 2 2 5 20 5 9" xfId="16570" xr:uid="{00000000-0005-0000-0000-000090400000}"/>
    <cellStyle name="Normal 2 2 2 2 5 20 6" xfId="16571" xr:uid="{00000000-0005-0000-0000-000091400000}"/>
    <cellStyle name="Normal 2 2 2 2 5 20 7" xfId="16572" xr:uid="{00000000-0005-0000-0000-000092400000}"/>
    <cellStyle name="Normal 2 2 2 2 5 20 8" xfId="16573" xr:uid="{00000000-0005-0000-0000-000093400000}"/>
    <cellStyle name="Normal 2 2 2 2 5 20 9" xfId="16574" xr:uid="{00000000-0005-0000-0000-000094400000}"/>
    <cellStyle name="Normal 2 2 2 2 5 21" xfId="16575" xr:uid="{00000000-0005-0000-0000-000095400000}"/>
    <cellStyle name="Normal 2 2 2 2 5 22" xfId="16576" xr:uid="{00000000-0005-0000-0000-000096400000}"/>
    <cellStyle name="Normal 2 2 2 2 5 3" xfId="16577" xr:uid="{00000000-0005-0000-0000-000097400000}"/>
    <cellStyle name="Normal 2 2 2 2 5 3 10" xfId="16578" xr:uid="{00000000-0005-0000-0000-000098400000}"/>
    <cellStyle name="Normal 2 2 2 2 5 3 11" xfId="16579" xr:uid="{00000000-0005-0000-0000-000099400000}"/>
    <cellStyle name="Normal 2 2 2 2 5 3 12" xfId="16580" xr:uid="{00000000-0005-0000-0000-00009A400000}"/>
    <cellStyle name="Normal 2 2 2 2 5 3 13" xfId="16581" xr:uid="{00000000-0005-0000-0000-00009B400000}"/>
    <cellStyle name="Normal 2 2 2 2 5 3 14" xfId="16582" xr:uid="{00000000-0005-0000-0000-00009C400000}"/>
    <cellStyle name="Normal 2 2 2 2 5 3 2" xfId="16583" xr:uid="{00000000-0005-0000-0000-00009D400000}"/>
    <cellStyle name="Normal 2 2 2 2 5 3 2 10" xfId="16584" xr:uid="{00000000-0005-0000-0000-00009E400000}"/>
    <cellStyle name="Normal 2 2 2 2 5 3 2 2" xfId="16585" xr:uid="{00000000-0005-0000-0000-00009F400000}"/>
    <cellStyle name="Normal 2 2 2 2 5 3 2 3" xfId="16586" xr:uid="{00000000-0005-0000-0000-0000A0400000}"/>
    <cellStyle name="Normal 2 2 2 2 5 3 2 4" xfId="16587" xr:uid="{00000000-0005-0000-0000-0000A1400000}"/>
    <cellStyle name="Normal 2 2 2 2 5 3 2 5" xfId="16588" xr:uid="{00000000-0005-0000-0000-0000A2400000}"/>
    <cellStyle name="Normal 2 2 2 2 5 3 2 6" xfId="16589" xr:uid="{00000000-0005-0000-0000-0000A3400000}"/>
    <cellStyle name="Normal 2 2 2 2 5 3 2 7" xfId="16590" xr:uid="{00000000-0005-0000-0000-0000A4400000}"/>
    <cellStyle name="Normal 2 2 2 2 5 3 2 8" xfId="16591" xr:uid="{00000000-0005-0000-0000-0000A5400000}"/>
    <cellStyle name="Normal 2 2 2 2 5 3 2 9" xfId="16592" xr:uid="{00000000-0005-0000-0000-0000A6400000}"/>
    <cellStyle name="Normal 2 2 2 2 5 3 3" xfId="16593" xr:uid="{00000000-0005-0000-0000-0000A7400000}"/>
    <cellStyle name="Normal 2 2 2 2 5 3 3 10" xfId="16594" xr:uid="{00000000-0005-0000-0000-0000A8400000}"/>
    <cellStyle name="Normal 2 2 2 2 5 3 3 2" xfId="16595" xr:uid="{00000000-0005-0000-0000-0000A9400000}"/>
    <cellStyle name="Normal 2 2 2 2 5 3 3 3" xfId="16596" xr:uid="{00000000-0005-0000-0000-0000AA400000}"/>
    <cellStyle name="Normal 2 2 2 2 5 3 3 4" xfId="16597" xr:uid="{00000000-0005-0000-0000-0000AB400000}"/>
    <cellStyle name="Normal 2 2 2 2 5 3 3 5" xfId="16598" xr:uid="{00000000-0005-0000-0000-0000AC400000}"/>
    <cellStyle name="Normal 2 2 2 2 5 3 3 6" xfId="16599" xr:uid="{00000000-0005-0000-0000-0000AD400000}"/>
    <cellStyle name="Normal 2 2 2 2 5 3 3 7" xfId="16600" xr:uid="{00000000-0005-0000-0000-0000AE400000}"/>
    <cellStyle name="Normal 2 2 2 2 5 3 3 8" xfId="16601" xr:uid="{00000000-0005-0000-0000-0000AF400000}"/>
    <cellStyle name="Normal 2 2 2 2 5 3 3 9" xfId="16602" xr:uid="{00000000-0005-0000-0000-0000B0400000}"/>
    <cellStyle name="Normal 2 2 2 2 5 3 4" xfId="16603" xr:uid="{00000000-0005-0000-0000-0000B1400000}"/>
    <cellStyle name="Normal 2 2 2 2 5 3 4 10" xfId="16604" xr:uid="{00000000-0005-0000-0000-0000B2400000}"/>
    <cellStyle name="Normal 2 2 2 2 5 3 4 2" xfId="16605" xr:uid="{00000000-0005-0000-0000-0000B3400000}"/>
    <cellStyle name="Normal 2 2 2 2 5 3 4 3" xfId="16606" xr:uid="{00000000-0005-0000-0000-0000B4400000}"/>
    <cellStyle name="Normal 2 2 2 2 5 3 4 4" xfId="16607" xr:uid="{00000000-0005-0000-0000-0000B5400000}"/>
    <cellStyle name="Normal 2 2 2 2 5 3 4 5" xfId="16608" xr:uid="{00000000-0005-0000-0000-0000B6400000}"/>
    <cellStyle name="Normal 2 2 2 2 5 3 4 6" xfId="16609" xr:uid="{00000000-0005-0000-0000-0000B7400000}"/>
    <cellStyle name="Normal 2 2 2 2 5 3 4 7" xfId="16610" xr:uid="{00000000-0005-0000-0000-0000B8400000}"/>
    <cellStyle name="Normal 2 2 2 2 5 3 4 8" xfId="16611" xr:uid="{00000000-0005-0000-0000-0000B9400000}"/>
    <cellStyle name="Normal 2 2 2 2 5 3 4 9" xfId="16612" xr:uid="{00000000-0005-0000-0000-0000BA400000}"/>
    <cellStyle name="Normal 2 2 2 2 5 3 5" xfId="16613" xr:uid="{00000000-0005-0000-0000-0000BB400000}"/>
    <cellStyle name="Normal 2 2 2 2 5 3 5 10" xfId="16614" xr:uid="{00000000-0005-0000-0000-0000BC400000}"/>
    <cellStyle name="Normal 2 2 2 2 5 3 5 2" xfId="16615" xr:uid="{00000000-0005-0000-0000-0000BD400000}"/>
    <cellStyle name="Normal 2 2 2 2 5 3 5 3" xfId="16616" xr:uid="{00000000-0005-0000-0000-0000BE400000}"/>
    <cellStyle name="Normal 2 2 2 2 5 3 5 4" xfId="16617" xr:uid="{00000000-0005-0000-0000-0000BF400000}"/>
    <cellStyle name="Normal 2 2 2 2 5 3 5 5" xfId="16618" xr:uid="{00000000-0005-0000-0000-0000C0400000}"/>
    <cellStyle name="Normal 2 2 2 2 5 3 5 6" xfId="16619" xr:uid="{00000000-0005-0000-0000-0000C1400000}"/>
    <cellStyle name="Normal 2 2 2 2 5 3 5 7" xfId="16620" xr:uid="{00000000-0005-0000-0000-0000C2400000}"/>
    <cellStyle name="Normal 2 2 2 2 5 3 5 8" xfId="16621" xr:uid="{00000000-0005-0000-0000-0000C3400000}"/>
    <cellStyle name="Normal 2 2 2 2 5 3 5 9" xfId="16622" xr:uid="{00000000-0005-0000-0000-0000C4400000}"/>
    <cellStyle name="Normal 2 2 2 2 5 3 6" xfId="16623" xr:uid="{00000000-0005-0000-0000-0000C5400000}"/>
    <cellStyle name="Normal 2 2 2 2 5 3 7" xfId="16624" xr:uid="{00000000-0005-0000-0000-0000C6400000}"/>
    <cellStyle name="Normal 2 2 2 2 5 3 8" xfId="16625" xr:uid="{00000000-0005-0000-0000-0000C7400000}"/>
    <cellStyle name="Normal 2 2 2 2 5 3 9" xfId="16626" xr:uid="{00000000-0005-0000-0000-0000C8400000}"/>
    <cellStyle name="Normal 2 2 2 2 5 4" xfId="16627" xr:uid="{00000000-0005-0000-0000-0000C9400000}"/>
    <cellStyle name="Normal 2 2 2 2 5 4 10" xfId="16628" xr:uid="{00000000-0005-0000-0000-0000CA400000}"/>
    <cellStyle name="Normal 2 2 2 2 5 4 11" xfId="16629" xr:uid="{00000000-0005-0000-0000-0000CB400000}"/>
    <cellStyle name="Normal 2 2 2 2 5 4 12" xfId="16630" xr:uid="{00000000-0005-0000-0000-0000CC400000}"/>
    <cellStyle name="Normal 2 2 2 2 5 4 13" xfId="16631" xr:uid="{00000000-0005-0000-0000-0000CD400000}"/>
    <cellStyle name="Normal 2 2 2 2 5 4 14" xfId="16632" xr:uid="{00000000-0005-0000-0000-0000CE400000}"/>
    <cellStyle name="Normal 2 2 2 2 5 4 2" xfId="16633" xr:uid="{00000000-0005-0000-0000-0000CF400000}"/>
    <cellStyle name="Normal 2 2 2 2 5 4 2 10" xfId="16634" xr:uid="{00000000-0005-0000-0000-0000D0400000}"/>
    <cellStyle name="Normal 2 2 2 2 5 4 2 2" xfId="16635" xr:uid="{00000000-0005-0000-0000-0000D1400000}"/>
    <cellStyle name="Normal 2 2 2 2 5 4 2 3" xfId="16636" xr:uid="{00000000-0005-0000-0000-0000D2400000}"/>
    <cellStyle name="Normal 2 2 2 2 5 4 2 4" xfId="16637" xr:uid="{00000000-0005-0000-0000-0000D3400000}"/>
    <cellStyle name="Normal 2 2 2 2 5 4 2 5" xfId="16638" xr:uid="{00000000-0005-0000-0000-0000D4400000}"/>
    <cellStyle name="Normal 2 2 2 2 5 4 2 6" xfId="16639" xr:uid="{00000000-0005-0000-0000-0000D5400000}"/>
    <cellStyle name="Normal 2 2 2 2 5 4 2 7" xfId="16640" xr:uid="{00000000-0005-0000-0000-0000D6400000}"/>
    <cellStyle name="Normal 2 2 2 2 5 4 2 8" xfId="16641" xr:uid="{00000000-0005-0000-0000-0000D7400000}"/>
    <cellStyle name="Normal 2 2 2 2 5 4 2 9" xfId="16642" xr:uid="{00000000-0005-0000-0000-0000D8400000}"/>
    <cellStyle name="Normal 2 2 2 2 5 4 3" xfId="16643" xr:uid="{00000000-0005-0000-0000-0000D9400000}"/>
    <cellStyle name="Normal 2 2 2 2 5 4 3 10" xfId="16644" xr:uid="{00000000-0005-0000-0000-0000DA400000}"/>
    <cellStyle name="Normal 2 2 2 2 5 4 3 2" xfId="16645" xr:uid="{00000000-0005-0000-0000-0000DB400000}"/>
    <cellStyle name="Normal 2 2 2 2 5 4 3 3" xfId="16646" xr:uid="{00000000-0005-0000-0000-0000DC400000}"/>
    <cellStyle name="Normal 2 2 2 2 5 4 3 4" xfId="16647" xr:uid="{00000000-0005-0000-0000-0000DD400000}"/>
    <cellStyle name="Normal 2 2 2 2 5 4 3 5" xfId="16648" xr:uid="{00000000-0005-0000-0000-0000DE400000}"/>
    <cellStyle name="Normal 2 2 2 2 5 4 3 6" xfId="16649" xr:uid="{00000000-0005-0000-0000-0000DF400000}"/>
    <cellStyle name="Normal 2 2 2 2 5 4 3 7" xfId="16650" xr:uid="{00000000-0005-0000-0000-0000E0400000}"/>
    <cellStyle name="Normal 2 2 2 2 5 4 3 8" xfId="16651" xr:uid="{00000000-0005-0000-0000-0000E1400000}"/>
    <cellStyle name="Normal 2 2 2 2 5 4 3 9" xfId="16652" xr:uid="{00000000-0005-0000-0000-0000E2400000}"/>
    <cellStyle name="Normal 2 2 2 2 5 4 4" xfId="16653" xr:uid="{00000000-0005-0000-0000-0000E3400000}"/>
    <cellStyle name="Normal 2 2 2 2 5 4 4 10" xfId="16654" xr:uid="{00000000-0005-0000-0000-0000E4400000}"/>
    <cellStyle name="Normal 2 2 2 2 5 4 4 2" xfId="16655" xr:uid="{00000000-0005-0000-0000-0000E5400000}"/>
    <cellStyle name="Normal 2 2 2 2 5 4 4 3" xfId="16656" xr:uid="{00000000-0005-0000-0000-0000E6400000}"/>
    <cellStyle name="Normal 2 2 2 2 5 4 4 4" xfId="16657" xr:uid="{00000000-0005-0000-0000-0000E7400000}"/>
    <cellStyle name="Normal 2 2 2 2 5 4 4 5" xfId="16658" xr:uid="{00000000-0005-0000-0000-0000E8400000}"/>
    <cellStyle name="Normal 2 2 2 2 5 4 4 6" xfId="16659" xr:uid="{00000000-0005-0000-0000-0000E9400000}"/>
    <cellStyle name="Normal 2 2 2 2 5 4 4 7" xfId="16660" xr:uid="{00000000-0005-0000-0000-0000EA400000}"/>
    <cellStyle name="Normal 2 2 2 2 5 4 4 8" xfId="16661" xr:uid="{00000000-0005-0000-0000-0000EB400000}"/>
    <cellStyle name="Normal 2 2 2 2 5 4 4 9" xfId="16662" xr:uid="{00000000-0005-0000-0000-0000EC400000}"/>
    <cellStyle name="Normal 2 2 2 2 5 4 5" xfId="16663" xr:uid="{00000000-0005-0000-0000-0000ED400000}"/>
    <cellStyle name="Normal 2 2 2 2 5 4 5 10" xfId="16664" xr:uid="{00000000-0005-0000-0000-0000EE400000}"/>
    <cellStyle name="Normal 2 2 2 2 5 4 5 2" xfId="16665" xr:uid="{00000000-0005-0000-0000-0000EF400000}"/>
    <cellStyle name="Normal 2 2 2 2 5 4 5 3" xfId="16666" xr:uid="{00000000-0005-0000-0000-0000F0400000}"/>
    <cellStyle name="Normal 2 2 2 2 5 4 5 4" xfId="16667" xr:uid="{00000000-0005-0000-0000-0000F1400000}"/>
    <cellStyle name="Normal 2 2 2 2 5 4 5 5" xfId="16668" xr:uid="{00000000-0005-0000-0000-0000F2400000}"/>
    <cellStyle name="Normal 2 2 2 2 5 4 5 6" xfId="16669" xr:uid="{00000000-0005-0000-0000-0000F3400000}"/>
    <cellStyle name="Normal 2 2 2 2 5 4 5 7" xfId="16670" xr:uid="{00000000-0005-0000-0000-0000F4400000}"/>
    <cellStyle name="Normal 2 2 2 2 5 4 5 8" xfId="16671" xr:uid="{00000000-0005-0000-0000-0000F5400000}"/>
    <cellStyle name="Normal 2 2 2 2 5 4 5 9" xfId="16672" xr:uid="{00000000-0005-0000-0000-0000F6400000}"/>
    <cellStyle name="Normal 2 2 2 2 5 4 6" xfId="16673" xr:uid="{00000000-0005-0000-0000-0000F7400000}"/>
    <cellStyle name="Normal 2 2 2 2 5 4 7" xfId="16674" xr:uid="{00000000-0005-0000-0000-0000F8400000}"/>
    <cellStyle name="Normal 2 2 2 2 5 4 8" xfId="16675" xr:uid="{00000000-0005-0000-0000-0000F9400000}"/>
    <cellStyle name="Normal 2 2 2 2 5 4 9" xfId="16676" xr:uid="{00000000-0005-0000-0000-0000FA400000}"/>
    <cellStyle name="Normal 2 2 2 2 5 5" xfId="16677" xr:uid="{00000000-0005-0000-0000-0000FB400000}"/>
    <cellStyle name="Normal 2 2 2 2 5 5 10" xfId="16678" xr:uid="{00000000-0005-0000-0000-0000FC400000}"/>
    <cellStyle name="Normal 2 2 2 2 5 5 11" xfId="16679" xr:uid="{00000000-0005-0000-0000-0000FD400000}"/>
    <cellStyle name="Normal 2 2 2 2 5 5 12" xfId="16680" xr:uid="{00000000-0005-0000-0000-0000FE400000}"/>
    <cellStyle name="Normal 2 2 2 2 5 5 13" xfId="16681" xr:uid="{00000000-0005-0000-0000-0000FF400000}"/>
    <cellStyle name="Normal 2 2 2 2 5 5 14" xfId="16682" xr:uid="{00000000-0005-0000-0000-000000410000}"/>
    <cellStyle name="Normal 2 2 2 2 5 5 2" xfId="16683" xr:uid="{00000000-0005-0000-0000-000001410000}"/>
    <cellStyle name="Normal 2 2 2 2 5 5 2 10" xfId="16684" xr:uid="{00000000-0005-0000-0000-000002410000}"/>
    <cellStyle name="Normal 2 2 2 2 5 5 2 2" xfId="16685" xr:uid="{00000000-0005-0000-0000-000003410000}"/>
    <cellStyle name="Normal 2 2 2 2 5 5 2 3" xfId="16686" xr:uid="{00000000-0005-0000-0000-000004410000}"/>
    <cellStyle name="Normal 2 2 2 2 5 5 2 4" xfId="16687" xr:uid="{00000000-0005-0000-0000-000005410000}"/>
    <cellStyle name="Normal 2 2 2 2 5 5 2 5" xfId="16688" xr:uid="{00000000-0005-0000-0000-000006410000}"/>
    <cellStyle name="Normal 2 2 2 2 5 5 2 6" xfId="16689" xr:uid="{00000000-0005-0000-0000-000007410000}"/>
    <cellStyle name="Normal 2 2 2 2 5 5 2 7" xfId="16690" xr:uid="{00000000-0005-0000-0000-000008410000}"/>
    <cellStyle name="Normal 2 2 2 2 5 5 2 8" xfId="16691" xr:uid="{00000000-0005-0000-0000-000009410000}"/>
    <cellStyle name="Normal 2 2 2 2 5 5 2 9" xfId="16692" xr:uid="{00000000-0005-0000-0000-00000A410000}"/>
    <cellStyle name="Normal 2 2 2 2 5 5 3" xfId="16693" xr:uid="{00000000-0005-0000-0000-00000B410000}"/>
    <cellStyle name="Normal 2 2 2 2 5 5 3 10" xfId="16694" xr:uid="{00000000-0005-0000-0000-00000C410000}"/>
    <cellStyle name="Normal 2 2 2 2 5 5 3 2" xfId="16695" xr:uid="{00000000-0005-0000-0000-00000D410000}"/>
    <cellStyle name="Normal 2 2 2 2 5 5 3 3" xfId="16696" xr:uid="{00000000-0005-0000-0000-00000E410000}"/>
    <cellStyle name="Normal 2 2 2 2 5 5 3 4" xfId="16697" xr:uid="{00000000-0005-0000-0000-00000F410000}"/>
    <cellStyle name="Normal 2 2 2 2 5 5 3 5" xfId="16698" xr:uid="{00000000-0005-0000-0000-000010410000}"/>
    <cellStyle name="Normal 2 2 2 2 5 5 3 6" xfId="16699" xr:uid="{00000000-0005-0000-0000-000011410000}"/>
    <cellStyle name="Normal 2 2 2 2 5 5 3 7" xfId="16700" xr:uid="{00000000-0005-0000-0000-000012410000}"/>
    <cellStyle name="Normal 2 2 2 2 5 5 3 8" xfId="16701" xr:uid="{00000000-0005-0000-0000-000013410000}"/>
    <cellStyle name="Normal 2 2 2 2 5 5 3 9" xfId="16702" xr:uid="{00000000-0005-0000-0000-000014410000}"/>
    <cellStyle name="Normal 2 2 2 2 5 5 4" xfId="16703" xr:uid="{00000000-0005-0000-0000-000015410000}"/>
    <cellStyle name="Normal 2 2 2 2 5 5 4 10" xfId="16704" xr:uid="{00000000-0005-0000-0000-000016410000}"/>
    <cellStyle name="Normal 2 2 2 2 5 5 4 2" xfId="16705" xr:uid="{00000000-0005-0000-0000-000017410000}"/>
    <cellStyle name="Normal 2 2 2 2 5 5 4 3" xfId="16706" xr:uid="{00000000-0005-0000-0000-000018410000}"/>
    <cellStyle name="Normal 2 2 2 2 5 5 4 4" xfId="16707" xr:uid="{00000000-0005-0000-0000-000019410000}"/>
    <cellStyle name="Normal 2 2 2 2 5 5 4 5" xfId="16708" xr:uid="{00000000-0005-0000-0000-00001A410000}"/>
    <cellStyle name="Normal 2 2 2 2 5 5 4 6" xfId="16709" xr:uid="{00000000-0005-0000-0000-00001B410000}"/>
    <cellStyle name="Normal 2 2 2 2 5 5 4 7" xfId="16710" xr:uid="{00000000-0005-0000-0000-00001C410000}"/>
    <cellStyle name="Normal 2 2 2 2 5 5 4 8" xfId="16711" xr:uid="{00000000-0005-0000-0000-00001D410000}"/>
    <cellStyle name="Normal 2 2 2 2 5 5 4 9" xfId="16712" xr:uid="{00000000-0005-0000-0000-00001E410000}"/>
    <cellStyle name="Normal 2 2 2 2 5 5 5" xfId="16713" xr:uid="{00000000-0005-0000-0000-00001F410000}"/>
    <cellStyle name="Normal 2 2 2 2 5 5 5 10" xfId="16714" xr:uid="{00000000-0005-0000-0000-000020410000}"/>
    <cellStyle name="Normal 2 2 2 2 5 5 5 2" xfId="16715" xr:uid="{00000000-0005-0000-0000-000021410000}"/>
    <cellStyle name="Normal 2 2 2 2 5 5 5 3" xfId="16716" xr:uid="{00000000-0005-0000-0000-000022410000}"/>
    <cellStyle name="Normal 2 2 2 2 5 5 5 4" xfId="16717" xr:uid="{00000000-0005-0000-0000-000023410000}"/>
    <cellStyle name="Normal 2 2 2 2 5 5 5 5" xfId="16718" xr:uid="{00000000-0005-0000-0000-000024410000}"/>
    <cellStyle name="Normal 2 2 2 2 5 5 5 6" xfId="16719" xr:uid="{00000000-0005-0000-0000-000025410000}"/>
    <cellStyle name="Normal 2 2 2 2 5 5 5 7" xfId="16720" xr:uid="{00000000-0005-0000-0000-000026410000}"/>
    <cellStyle name="Normal 2 2 2 2 5 5 5 8" xfId="16721" xr:uid="{00000000-0005-0000-0000-000027410000}"/>
    <cellStyle name="Normal 2 2 2 2 5 5 5 9" xfId="16722" xr:uid="{00000000-0005-0000-0000-000028410000}"/>
    <cellStyle name="Normal 2 2 2 2 5 5 6" xfId="16723" xr:uid="{00000000-0005-0000-0000-000029410000}"/>
    <cellStyle name="Normal 2 2 2 2 5 5 7" xfId="16724" xr:uid="{00000000-0005-0000-0000-00002A410000}"/>
    <cellStyle name="Normal 2 2 2 2 5 5 8" xfId="16725" xr:uid="{00000000-0005-0000-0000-00002B410000}"/>
    <cellStyle name="Normal 2 2 2 2 5 5 9" xfId="16726" xr:uid="{00000000-0005-0000-0000-00002C410000}"/>
    <cellStyle name="Normal 2 2 2 2 5 6" xfId="16727" xr:uid="{00000000-0005-0000-0000-00002D410000}"/>
    <cellStyle name="Normal 2 2 2 2 5 6 10" xfId="16728" xr:uid="{00000000-0005-0000-0000-00002E410000}"/>
    <cellStyle name="Normal 2 2 2 2 5 6 11" xfId="16729" xr:uid="{00000000-0005-0000-0000-00002F410000}"/>
    <cellStyle name="Normal 2 2 2 2 5 6 12" xfId="16730" xr:uid="{00000000-0005-0000-0000-000030410000}"/>
    <cellStyle name="Normal 2 2 2 2 5 6 13" xfId="16731" xr:uid="{00000000-0005-0000-0000-000031410000}"/>
    <cellStyle name="Normal 2 2 2 2 5 6 14" xfId="16732" xr:uid="{00000000-0005-0000-0000-000032410000}"/>
    <cellStyle name="Normal 2 2 2 2 5 6 2" xfId="16733" xr:uid="{00000000-0005-0000-0000-000033410000}"/>
    <cellStyle name="Normal 2 2 2 2 5 6 2 10" xfId="16734" xr:uid="{00000000-0005-0000-0000-000034410000}"/>
    <cellStyle name="Normal 2 2 2 2 5 6 2 2" xfId="16735" xr:uid="{00000000-0005-0000-0000-000035410000}"/>
    <cellStyle name="Normal 2 2 2 2 5 6 2 3" xfId="16736" xr:uid="{00000000-0005-0000-0000-000036410000}"/>
    <cellStyle name="Normal 2 2 2 2 5 6 2 4" xfId="16737" xr:uid="{00000000-0005-0000-0000-000037410000}"/>
    <cellStyle name="Normal 2 2 2 2 5 6 2 5" xfId="16738" xr:uid="{00000000-0005-0000-0000-000038410000}"/>
    <cellStyle name="Normal 2 2 2 2 5 6 2 6" xfId="16739" xr:uid="{00000000-0005-0000-0000-000039410000}"/>
    <cellStyle name="Normal 2 2 2 2 5 6 2 7" xfId="16740" xr:uid="{00000000-0005-0000-0000-00003A410000}"/>
    <cellStyle name="Normal 2 2 2 2 5 6 2 8" xfId="16741" xr:uid="{00000000-0005-0000-0000-00003B410000}"/>
    <cellStyle name="Normal 2 2 2 2 5 6 2 9" xfId="16742" xr:uid="{00000000-0005-0000-0000-00003C410000}"/>
    <cellStyle name="Normal 2 2 2 2 5 6 3" xfId="16743" xr:uid="{00000000-0005-0000-0000-00003D410000}"/>
    <cellStyle name="Normal 2 2 2 2 5 6 3 10" xfId="16744" xr:uid="{00000000-0005-0000-0000-00003E410000}"/>
    <cellStyle name="Normal 2 2 2 2 5 6 3 2" xfId="16745" xr:uid="{00000000-0005-0000-0000-00003F410000}"/>
    <cellStyle name="Normal 2 2 2 2 5 6 3 3" xfId="16746" xr:uid="{00000000-0005-0000-0000-000040410000}"/>
    <cellStyle name="Normal 2 2 2 2 5 6 3 4" xfId="16747" xr:uid="{00000000-0005-0000-0000-000041410000}"/>
    <cellStyle name="Normal 2 2 2 2 5 6 3 5" xfId="16748" xr:uid="{00000000-0005-0000-0000-000042410000}"/>
    <cellStyle name="Normal 2 2 2 2 5 6 3 6" xfId="16749" xr:uid="{00000000-0005-0000-0000-000043410000}"/>
    <cellStyle name="Normal 2 2 2 2 5 6 3 7" xfId="16750" xr:uid="{00000000-0005-0000-0000-000044410000}"/>
    <cellStyle name="Normal 2 2 2 2 5 6 3 8" xfId="16751" xr:uid="{00000000-0005-0000-0000-000045410000}"/>
    <cellStyle name="Normal 2 2 2 2 5 6 3 9" xfId="16752" xr:uid="{00000000-0005-0000-0000-000046410000}"/>
    <cellStyle name="Normal 2 2 2 2 5 6 4" xfId="16753" xr:uid="{00000000-0005-0000-0000-000047410000}"/>
    <cellStyle name="Normal 2 2 2 2 5 6 4 10" xfId="16754" xr:uid="{00000000-0005-0000-0000-000048410000}"/>
    <cellStyle name="Normal 2 2 2 2 5 6 4 2" xfId="16755" xr:uid="{00000000-0005-0000-0000-000049410000}"/>
    <cellStyle name="Normal 2 2 2 2 5 6 4 3" xfId="16756" xr:uid="{00000000-0005-0000-0000-00004A410000}"/>
    <cellStyle name="Normal 2 2 2 2 5 6 4 4" xfId="16757" xr:uid="{00000000-0005-0000-0000-00004B410000}"/>
    <cellStyle name="Normal 2 2 2 2 5 6 4 5" xfId="16758" xr:uid="{00000000-0005-0000-0000-00004C410000}"/>
    <cellStyle name="Normal 2 2 2 2 5 6 4 6" xfId="16759" xr:uid="{00000000-0005-0000-0000-00004D410000}"/>
    <cellStyle name="Normal 2 2 2 2 5 6 4 7" xfId="16760" xr:uid="{00000000-0005-0000-0000-00004E410000}"/>
    <cellStyle name="Normal 2 2 2 2 5 6 4 8" xfId="16761" xr:uid="{00000000-0005-0000-0000-00004F410000}"/>
    <cellStyle name="Normal 2 2 2 2 5 6 4 9" xfId="16762" xr:uid="{00000000-0005-0000-0000-000050410000}"/>
    <cellStyle name="Normal 2 2 2 2 5 6 5" xfId="16763" xr:uid="{00000000-0005-0000-0000-000051410000}"/>
    <cellStyle name="Normal 2 2 2 2 5 6 5 10" xfId="16764" xr:uid="{00000000-0005-0000-0000-000052410000}"/>
    <cellStyle name="Normal 2 2 2 2 5 6 5 2" xfId="16765" xr:uid="{00000000-0005-0000-0000-000053410000}"/>
    <cellStyle name="Normal 2 2 2 2 5 6 5 3" xfId="16766" xr:uid="{00000000-0005-0000-0000-000054410000}"/>
    <cellStyle name="Normal 2 2 2 2 5 6 5 4" xfId="16767" xr:uid="{00000000-0005-0000-0000-000055410000}"/>
    <cellStyle name="Normal 2 2 2 2 5 6 5 5" xfId="16768" xr:uid="{00000000-0005-0000-0000-000056410000}"/>
    <cellStyle name="Normal 2 2 2 2 5 6 5 6" xfId="16769" xr:uid="{00000000-0005-0000-0000-000057410000}"/>
    <cellStyle name="Normal 2 2 2 2 5 6 5 7" xfId="16770" xr:uid="{00000000-0005-0000-0000-000058410000}"/>
    <cellStyle name="Normal 2 2 2 2 5 6 5 8" xfId="16771" xr:uid="{00000000-0005-0000-0000-000059410000}"/>
    <cellStyle name="Normal 2 2 2 2 5 6 5 9" xfId="16772" xr:uid="{00000000-0005-0000-0000-00005A410000}"/>
    <cellStyle name="Normal 2 2 2 2 5 6 6" xfId="16773" xr:uid="{00000000-0005-0000-0000-00005B410000}"/>
    <cellStyle name="Normal 2 2 2 2 5 6 7" xfId="16774" xr:uid="{00000000-0005-0000-0000-00005C410000}"/>
    <cellStyle name="Normal 2 2 2 2 5 6 8" xfId="16775" xr:uid="{00000000-0005-0000-0000-00005D410000}"/>
    <cellStyle name="Normal 2 2 2 2 5 6 9" xfId="16776" xr:uid="{00000000-0005-0000-0000-00005E410000}"/>
    <cellStyle name="Normal 2 2 2 2 5 7" xfId="16777" xr:uid="{00000000-0005-0000-0000-00005F410000}"/>
    <cellStyle name="Normal 2 2 2 2 5 7 10" xfId="16778" xr:uid="{00000000-0005-0000-0000-000060410000}"/>
    <cellStyle name="Normal 2 2 2 2 5 7 11" xfId="16779" xr:uid="{00000000-0005-0000-0000-000061410000}"/>
    <cellStyle name="Normal 2 2 2 2 5 7 12" xfId="16780" xr:uid="{00000000-0005-0000-0000-000062410000}"/>
    <cellStyle name="Normal 2 2 2 2 5 7 13" xfId="16781" xr:uid="{00000000-0005-0000-0000-000063410000}"/>
    <cellStyle name="Normal 2 2 2 2 5 7 14" xfId="16782" xr:uid="{00000000-0005-0000-0000-000064410000}"/>
    <cellStyle name="Normal 2 2 2 2 5 7 2" xfId="16783" xr:uid="{00000000-0005-0000-0000-000065410000}"/>
    <cellStyle name="Normal 2 2 2 2 5 7 2 10" xfId="16784" xr:uid="{00000000-0005-0000-0000-000066410000}"/>
    <cellStyle name="Normal 2 2 2 2 5 7 2 2" xfId="16785" xr:uid="{00000000-0005-0000-0000-000067410000}"/>
    <cellStyle name="Normal 2 2 2 2 5 7 2 3" xfId="16786" xr:uid="{00000000-0005-0000-0000-000068410000}"/>
    <cellStyle name="Normal 2 2 2 2 5 7 2 4" xfId="16787" xr:uid="{00000000-0005-0000-0000-000069410000}"/>
    <cellStyle name="Normal 2 2 2 2 5 7 2 5" xfId="16788" xr:uid="{00000000-0005-0000-0000-00006A410000}"/>
    <cellStyle name="Normal 2 2 2 2 5 7 2 6" xfId="16789" xr:uid="{00000000-0005-0000-0000-00006B410000}"/>
    <cellStyle name="Normal 2 2 2 2 5 7 2 7" xfId="16790" xr:uid="{00000000-0005-0000-0000-00006C410000}"/>
    <cellStyle name="Normal 2 2 2 2 5 7 2 8" xfId="16791" xr:uid="{00000000-0005-0000-0000-00006D410000}"/>
    <cellStyle name="Normal 2 2 2 2 5 7 2 9" xfId="16792" xr:uid="{00000000-0005-0000-0000-00006E410000}"/>
    <cellStyle name="Normal 2 2 2 2 5 7 3" xfId="16793" xr:uid="{00000000-0005-0000-0000-00006F410000}"/>
    <cellStyle name="Normal 2 2 2 2 5 7 3 10" xfId="16794" xr:uid="{00000000-0005-0000-0000-000070410000}"/>
    <cellStyle name="Normal 2 2 2 2 5 7 3 2" xfId="16795" xr:uid="{00000000-0005-0000-0000-000071410000}"/>
    <cellStyle name="Normal 2 2 2 2 5 7 3 3" xfId="16796" xr:uid="{00000000-0005-0000-0000-000072410000}"/>
    <cellStyle name="Normal 2 2 2 2 5 7 3 4" xfId="16797" xr:uid="{00000000-0005-0000-0000-000073410000}"/>
    <cellStyle name="Normal 2 2 2 2 5 7 3 5" xfId="16798" xr:uid="{00000000-0005-0000-0000-000074410000}"/>
    <cellStyle name="Normal 2 2 2 2 5 7 3 6" xfId="16799" xr:uid="{00000000-0005-0000-0000-000075410000}"/>
    <cellStyle name="Normal 2 2 2 2 5 7 3 7" xfId="16800" xr:uid="{00000000-0005-0000-0000-000076410000}"/>
    <cellStyle name="Normal 2 2 2 2 5 7 3 8" xfId="16801" xr:uid="{00000000-0005-0000-0000-000077410000}"/>
    <cellStyle name="Normal 2 2 2 2 5 7 3 9" xfId="16802" xr:uid="{00000000-0005-0000-0000-000078410000}"/>
    <cellStyle name="Normal 2 2 2 2 5 7 4" xfId="16803" xr:uid="{00000000-0005-0000-0000-000079410000}"/>
    <cellStyle name="Normal 2 2 2 2 5 7 4 10" xfId="16804" xr:uid="{00000000-0005-0000-0000-00007A410000}"/>
    <cellStyle name="Normal 2 2 2 2 5 7 4 2" xfId="16805" xr:uid="{00000000-0005-0000-0000-00007B410000}"/>
    <cellStyle name="Normal 2 2 2 2 5 7 4 3" xfId="16806" xr:uid="{00000000-0005-0000-0000-00007C410000}"/>
    <cellStyle name="Normal 2 2 2 2 5 7 4 4" xfId="16807" xr:uid="{00000000-0005-0000-0000-00007D410000}"/>
    <cellStyle name="Normal 2 2 2 2 5 7 4 5" xfId="16808" xr:uid="{00000000-0005-0000-0000-00007E410000}"/>
    <cellStyle name="Normal 2 2 2 2 5 7 4 6" xfId="16809" xr:uid="{00000000-0005-0000-0000-00007F410000}"/>
    <cellStyle name="Normal 2 2 2 2 5 7 4 7" xfId="16810" xr:uid="{00000000-0005-0000-0000-000080410000}"/>
    <cellStyle name="Normal 2 2 2 2 5 7 4 8" xfId="16811" xr:uid="{00000000-0005-0000-0000-000081410000}"/>
    <cellStyle name="Normal 2 2 2 2 5 7 4 9" xfId="16812" xr:uid="{00000000-0005-0000-0000-000082410000}"/>
    <cellStyle name="Normal 2 2 2 2 5 7 5" xfId="16813" xr:uid="{00000000-0005-0000-0000-000083410000}"/>
    <cellStyle name="Normal 2 2 2 2 5 7 5 10" xfId="16814" xr:uid="{00000000-0005-0000-0000-000084410000}"/>
    <cellStyle name="Normal 2 2 2 2 5 7 5 2" xfId="16815" xr:uid="{00000000-0005-0000-0000-000085410000}"/>
    <cellStyle name="Normal 2 2 2 2 5 7 5 3" xfId="16816" xr:uid="{00000000-0005-0000-0000-000086410000}"/>
    <cellStyle name="Normal 2 2 2 2 5 7 5 4" xfId="16817" xr:uid="{00000000-0005-0000-0000-000087410000}"/>
    <cellStyle name="Normal 2 2 2 2 5 7 5 5" xfId="16818" xr:uid="{00000000-0005-0000-0000-000088410000}"/>
    <cellStyle name="Normal 2 2 2 2 5 7 5 6" xfId="16819" xr:uid="{00000000-0005-0000-0000-000089410000}"/>
    <cellStyle name="Normal 2 2 2 2 5 7 5 7" xfId="16820" xr:uid="{00000000-0005-0000-0000-00008A410000}"/>
    <cellStyle name="Normal 2 2 2 2 5 7 5 8" xfId="16821" xr:uid="{00000000-0005-0000-0000-00008B410000}"/>
    <cellStyle name="Normal 2 2 2 2 5 7 5 9" xfId="16822" xr:uid="{00000000-0005-0000-0000-00008C410000}"/>
    <cellStyle name="Normal 2 2 2 2 5 7 6" xfId="16823" xr:uid="{00000000-0005-0000-0000-00008D410000}"/>
    <cellStyle name="Normal 2 2 2 2 5 7 7" xfId="16824" xr:uid="{00000000-0005-0000-0000-00008E410000}"/>
    <cellStyle name="Normal 2 2 2 2 5 7 8" xfId="16825" xr:uid="{00000000-0005-0000-0000-00008F410000}"/>
    <cellStyle name="Normal 2 2 2 2 5 7 9" xfId="16826" xr:uid="{00000000-0005-0000-0000-000090410000}"/>
    <cellStyle name="Normal 2 2 2 2 5 8" xfId="16827" xr:uid="{00000000-0005-0000-0000-000091410000}"/>
    <cellStyle name="Normal 2 2 2 2 5 8 10" xfId="16828" xr:uid="{00000000-0005-0000-0000-000092410000}"/>
    <cellStyle name="Normal 2 2 2 2 5 8 11" xfId="16829" xr:uid="{00000000-0005-0000-0000-000093410000}"/>
    <cellStyle name="Normal 2 2 2 2 5 8 12" xfId="16830" xr:uid="{00000000-0005-0000-0000-000094410000}"/>
    <cellStyle name="Normal 2 2 2 2 5 8 13" xfId="16831" xr:uid="{00000000-0005-0000-0000-000095410000}"/>
    <cellStyle name="Normal 2 2 2 2 5 8 14" xfId="16832" xr:uid="{00000000-0005-0000-0000-000096410000}"/>
    <cellStyle name="Normal 2 2 2 2 5 8 2" xfId="16833" xr:uid="{00000000-0005-0000-0000-000097410000}"/>
    <cellStyle name="Normal 2 2 2 2 5 8 2 10" xfId="16834" xr:uid="{00000000-0005-0000-0000-000098410000}"/>
    <cellStyle name="Normal 2 2 2 2 5 8 2 2" xfId="16835" xr:uid="{00000000-0005-0000-0000-000099410000}"/>
    <cellStyle name="Normal 2 2 2 2 5 8 2 3" xfId="16836" xr:uid="{00000000-0005-0000-0000-00009A410000}"/>
    <cellStyle name="Normal 2 2 2 2 5 8 2 4" xfId="16837" xr:uid="{00000000-0005-0000-0000-00009B410000}"/>
    <cellStyle name="Normal 2 2 2 2 5 8 2 5" xfId="16838" xr:uid="{00000000-0005-0000-0000-00009C410000}"/>
    <cellStyle name="Normal 2 2 2 2 5 8 2 6" xfId="16839" xr:uid="{00000000-0005-0000-0000-00009D410000}"/>
    <cellStyle name="Normal 2 2 2 2 5 8 2 7" xfId="16840" xr:uid="{00000000-0005-0000-0000-00009E410000}"/>
    <cellStyle name="Normal 2 2 2 2 5 8 2 8" xfId="16841" xr:uid="{00000000-0005-0000-0000-00009F410000}"/>
    <cellStyle name="Normal 2 2 2 2 5 8 2 9" xfId="16842" xr:uid="{00000000-0005-0000-0000-0000A0410000}"/>
    <cellStyle name="Normal 2 2 2 2 5 8 3" xfId="16843" xr:uid="{00000000-0005-0000-0000-0000A1410000}"/>
    <cellStyle name="Normal 2 2 2 2 5 8 3 10" xfId="16844" xr:uid="{00000000-0005-0000-0000-0000A2410000}"/>
    <cellStyle name="Normal 2 2 2 2 5 8 3 2" xfId="16845" xr:uid="{00000000-0005-0000-0000-0000A3410000}"/>
    <cellStyle name="Normal 2 2 2 2 5 8 3 3" xfId="16846" xr:uid="{00000000-0005-0000-0000-0000A4410000}"/>
    <cellStyle name="Normal 2 2 2 2 5 8 3 4" xfId="16847" xr:uid="{00000000-0005-0000-0000-0000A5410000}"/>
    <cellStyle name="Normal 2 2 2 2 5 8 3 5" xfId="16848" xr:uid="{00000000-0005-0000-0000-0000A6410000}"/>
    <cellStyle name="Normal 2 2 2 2 5 8 3 6" xfId="16849" xr:uid="{00000000-0005-0000-0000-0000A7410000}"/>
    <cellStyle name="Normal 2 2 2 2 5 8 3 7" xfId="16850" xr:uid="{00000000-0005-0000-0000-0000A8410000}"/>
    <cellStyle name="Normal 2 2 2 2 5 8 3 8" xfId="16851" xr:uid="{00000000-0005-0000-0000-0000A9410000}"/>
    <cellStyle name="Normal 2 2 2 2 5 8 3 9" xfId="16852" xr:uid="{00000000-0005-0000-0000-0000AA410000}"/>
    <cellStyle name="Normal 2 2 2 2 5 8 4" xfId="16853" xr:uid="{00000000-0005-0000-0000-0000AB410000}"/>
    <cellStyle name="Normal 2 2 2 2 5 8 4 10" xfId="16854" xr:uid="{00000000-0005-0000-0000-0000AC410000}"/>
    <cellStyle name="Normal 2 2 2 2 5 8 4 2" xfId="16855" xr:uid="{00000000-0005-0000-0000-0000AD410000}"/>
    <cellStyle name="Normal 2 2 2 2 5 8 4 3" xfId="16856" xr:uid="{00000000-0005-0000-0000-0000AE410000}"/>
    <cellStyle name="Normal 2 2 2 2 5 8 4 4" xfId="16857" xr:uid="{00000000-0005-0000-0000-0000AF410000}"/>
    <cellStyle name="Normal 2 2 2 2 5 8 4 5" xfId="16858" xr:uid="{00000000-0005-0000-0000-0000B0410000}"/>
    <cellStyle name="Normal 2 2 2 2 5 8 4 6" xfId="16859" xr:uid="{00000000-0005-0000-0000-0000B1410000}"/>
    <cellStyle name="Normal 2 2 2 2 5 8 4 7" xfId="16860" xr:uid="{00000000-0005-0000-0000-0000B2410000}"/>
    <cellStyle name="Normal 2 2 2 2 5 8 4 8" xfId="16861" xr:uid="{00000000-0005-0000-0000-0000B3410000}"/>
    <cellStyle name="Normal 2 2 2 2 5 8 4 9" xfId="16862" xr:uid="{00000000-0005-0000-0000-0000B4410000}"/>
    <cellStyle name="Normal 2 2 2 2 5 8 5" xfId="16863" xr:uid="{00000000-0005-0000-0000-0000B5410000}"/>
    <cellStyle name="Normal 2 2 2 2 5 8 5 10" xfId="16864" xr:uid="{00000000-0005-0000-0000-0000B6410000}"/>
    <cellStyle name="Normal 2 2 2 2 5 8 5 2" xfId="16865" xr:uid="{00000000-0005-0000-0000-0000B7410000}"/>
    <cellStyle name="Normal 2 2 2 2 5 8 5 3" xfId="16866" xr:uid="{00000000-0005-0000-0000-0000B8410000}"/>
    <cellStyle name="Normal 2 2 2 2 5 8 5 4" xfId="16867" xr:uid="{00000000-0005-0000-0000-0000B9410000}"/>
    <cellStyle name="Normal 2 2 2 2 5 8 5 5" xfId="16868" xr:uid="{00000000-0005-0000-0000-0000BA410000}"/>
    <cellStyle name="Normal 2 2 2 2 5 8 5 6" xfId="16869" xr:uid="{00000000-0005-0000-0000-0000BB410000}"/>
    <cellStyle name="Normal 2 2 2 2 5 8 5 7" xfId="16870" xr:uid="{00000000-0005-0000-0000-0000BC410000}"/>
    <cellStyle name="Normal 2 2 2 2 5 8 5 8" xfId="16871" xr:uid="{00000000-0005-0000-0000-0000BD410000}"/>
    <cellStyle name="Normal 2 2 2 2 5 8 5 9" xfId="16872" xr:uid="{00000000-0005-0000-0000-0000BE410000}"/>
    <cellStyle name="Normal 2 2 2 2 5 8 6" xfId="16873" xr:uid="{00000000-0005-0000-0000-0000BF410000}"/>
    <cellStyle name="Normal 2 2 2 2 5 8 7" xfId="16874" xr:uid="{00000000-0005-0000-0000-0000C0410000}"/>
    <cellStyle name="Normal 2 2 2 2 5 8 8" xfId="16875" xr:uid="{00000000-0005-0000-0000-0000C1410000}"/>
    <cellStyle name="Normal 2 2 2 2 5 8 9" xfId="16876" xr:uid="{00000000-0005-0000-0000-0000C2410000}"/>
    <cellStyle name="Normal 2 2 2 2 5 9" xfId="16877" xr:uid="{00000000-0005-0000-0000-0000C3410000}"/>
    <cellStyle name="Normal 2 2 2 2 5 9 10" xfId="16878" xr:uid="{00000000-0005-0000-0000-0000C4410000}"/>
    <cellStyle name="Normal 2 2 2 2 5 9 11" xfId="16879" xr:uid="{00000000-0005-0000-0000-0000C5410000}"/>
    <cellStyle name="Normal 2 2 2 2 5 9 12" xfId="16880" xr:uid="{00000000-0005-0000-0000-0000C6410000}"/>
    <cellStyle name="Normal 2 2 2 2 5 9 13" xfId="16881" xr:uid="{00000000-0005-0000-0000-0000C7410000}"/>
    <cellStyle name="Normal 2 2 2 2 5 9 14" xfId="16882" xr:uid="{00000000-0005-0000-0000-0000C8410000}"/>
    <cellStyle name="Normal 2 2 2 2 5 9 2" xfId="16883" xr:uid="{00000000-0005-0000-0000-0000C9410000}"/>
    <cellStyle name="Normal 2 2 2 2 5 9 2 10" xfId="16884" xr:uid="{00000000-0005-0000-0000-0000CA410000}"/>
    <cellStyle name="Normal 2 2 2 2 5 9 2 2" xfId="16885" xr:uid="{00000000-0005-0000-0000-0000CB410000}"/>
    <cellStyle name="Normal 2 2 2 2 5 9 2 3" xfId="16886" xr:uid="{00000000-0005-0000-0000-0000CC410000}"/>
    <cellStyle name="Normal 2 2 2 2 5 9 2 4" xfId="16887" xr:uid="{00000000-0005-0000-0000-0000CD410000}"/>
    <cellStyle name="Normal 2 2 2 2 5 9 2 5" xfId="16888" xr:uid="{00000000-0005-0000-0000-0000CE410000}"/>
    <cellStyle name="Normal 2 2 2 2 5 9 2 6" xfId="16889" xr:uid="{00000000-0005-0000-0000-0000CF410000}"/>
    <cellStyle name="Normal 2 2 2 2 5 9 2 7" xfId="16890" xr:uid="{00000000-0005-0000-0000-0000D0410000}"/>
    <cellStyle name="Normal 2 2 2 2 5 9 2 8" xfId="16891" xr:uid="{00000000-0005-0000-0000-0000D1410000}"/>
    <cellStyle name="Normal 2 2 2 2 5 9 2 9" xfId="16892" xr:uid="{00000000-0005-0000-0000-0000D2410000}"/>
    <cellStyle name="Normal 2 2 2 2 5 9 3" xfId="16893" xr:uid="{00000000-0005-0000-0000-0000D3410000}"/>
    <cellStyle name="Normal 2 2 2 2 5 9 3 10" xfId="16894" xr:uid="{00000000-0005-0000-0000-0000D4410000}"/>
    <cellStyle name="Normal 2 2 2 2 5 9 3 2" xfId="16895" xr:uid="{00000000-0005-0000-0000-0000D5410000}"/>
    <cellStyle name="Normal 2 2 2 2 5 9 3 3" xfId="16896" xr:uid="{00000000-0005-0000-0000-0000D6410000}"/>
    <cellStyle name="Normal 2 2 2 2 5 9 3 4" xfId="16897" xr:uid="{00000000-0005-0000-0000-0000D7410000}"/>
    <cellStyle name="Normal 2 2 2 2 5 9 3 5" xfId="16898" xr:uid="{00000000-0005-0000-0000-0000D8410000}"/>
    <cellStyle name="Normal 2 2 2 2 5 9 3 6" xfId="16899" xr:uid="{00000000-0005-0000-0000-0000D9410000}"/>
    <cellStyle name="Normal 2 2 2 2 5 9 3 7" xfId="16900" xr:uid="{00000000-0005-0000-0000-0000DA410000}"/>
    <cellStyle name="Normal 2 2 2 2 5 9 3 8" xfId="16901" xr:uid="{00000000-0005-0000-0000-0000DB410000}"/>
    <cellStyle name="Normal 2 2 2 2 5 9 3 9" xfId="16902" xr:uid="{00000000-0005-0000-0000-0000DC410000}"/>
    <cellStyle name="Normal 2 2 2 2 5 9 4" xfId="16903" xr:uid="{00000000-0005-0000-0000-0000DD410000}"/>
    <cellStyle name="Normal 2 2 2 2 5 9 4 10" xfId="16904" xr:uid="{00000000-0005-0000-0000-0000DE410000}"/>
    <cellStyle name="Normal 2 2 2 2 5 9 4 2" xfId="16905" xr:uid="{00000000-0005-0000-0000-0000DF410000}"/>
    <cellStyle name="Normal 2 2 2 2 5 9 4 3" xfId="16906" xr:uid="{00000000-0005-0000-0000-0000E0410000}"/>
    <cellStyle name="Normal 2 2 2 2 5 9 4 4" xfId="16907" xr:uid="{00000000-0005-0000-0000-0000E1410000}"/>
    <cellStyle name="Normal 2 2 2 2 5 9 4 5" xfId="16908" xr:uid="{00000000-0005-0000-0000-0000E2410000}"/>
    <cellStyle name="Normal 2 2 2 2 5 9 4 6" xfId="16909" xr:uid="{00000000-0005-0000-0000-0000E3410000}"/>
    <cellStyle name="Normal 2 2 2 2 5 9 4 7" xfId="16910" xr:uid="{00000000-0005-0000-0000-0000E4410000}"/>
    <cellStyle name="Normal 2 2 2 2 5 9 4 8" xfId="16911" xr:uid="{00000000-0005-0000-0000-0000E5410000}"/>
    <cellStyle name="Normal 2 2 2 2 5 9 4 9" xfId="16912" xr:uid="{00000000-0005-0000-0000-0000E6410000}"/>
    <cellStyle name="Normal 2 2 2 2 5 9 5" xfId="16913" xr:uid="{00000000-0005-0000-0000-0000E7410000}"/>
    <cellStyle name="Normal 2 2 2 2 5 9 5 10" xfId="16914" xr:uid="{00000000-0005-0000-0000-0000E8410000}"/>
    <cellStyle name="Normal 2 2 2 2 5 9 5 2" xfId="16915" xr:uid="{00000000-0005-0000-0000-0000E9410000}"/>
    <cellStyle name="Normal 2 2 2 2 5 9 5 3" xfId="16916" xr:uid="{00000000-0005-0000-0000-0000EA410000}"/>
    <cellStyle name="Normal 2 2 2 2 5 9 5 4" xfId="16917" xr:uid="{00000000-0005-0000-0000-0000EB410000}"/>
    <cellStyle name="Normal 2 2 2 2 5 9 5 5" xfId="16918" xr:uid="{00000000-0005-0000-0000-0000EC410000}"/>
    <cellStyle name="Normal 2 2 2 2 5 9 5 6" xfId="16919" xr:uid="{00000000-0005-0000-0000-0000ED410000}"/>
    <cellStyle name="Normal 2 2 2 2 5 9 5 7" xfId="16920" xr:uid="{00000000-0005-0000-0000-0000EE410000}"/>
    <cellStyle name="Normal 2 2 2 2 5 9 5 8" xfId="16921" xr:uid="{00000000-0005-0000-0000-0000EF410000}"/>
    <cellStyle name="Normal 2 2 2 2 5 9 5 9" xfId="16922" xr:uid="{00000000-0005-0000-0000-0000F0410000}"/>
    <cellStyle name="Normal 2 2 2 2 5 9 6" xfId="16923" xr:uid="{00000000-0005-0000-0000-0000F1410000}"/>
    <cellStyle name="Normal 2 2 2 2 5 9 7" xfId="16924" xr:uid="{00000000-0005-0000-0000-0000F2410000}"/>
    <cellStyle name="Normal 2 2 2 2 5 9 8" xfId="16925" xr:uid="{00000000-0005-0000-0000-0000F3410000}"/>
    <cellStyle name="Normal 2 2 2 2 5 9 9" xfId="16926" xr:uid="{00000000-0005-0000-0000-0000F4410000}"/>
    <cellStyle name="Normal 2 2 2 2 50" xfId="16927" xr:uid="{00000000-0005-0000-0000-0000F5410000}"/>
    <cellStyle name="Normal 2 2 2 2 51" xfId="16928" xr:uid="{00000000-0005-0000-0000-0000F6410000}"/>
    <cellStyle name="Normal 2 2 2 2 6" xfId="16929" xr:uid="{00000000-0005-0000-0000-0000F7410000}"/>
    <cellStyle name="Normal 2 2 2 2 6 2" xfId="68" xr:uid="{00000000-0005-0000-0000-0000F8410000}"/>
    <cellStyle name="Normal 2 2 2 2 6 2 2" xfId="73" xr:uid="{00000000-0005-0000-0000-0000F9410000}"/>
    <cellStyle name="Normal 2 2 2 2 6 2 3" xfId="77" xr:uid="{00000000-0005-0000-0000-0000FA410000}"/>
    <cellStyle name="Normal 2 2 2 2 6 2 4" xfId="16930" xr:uid="{00000000-0005-0000-0000-0000FB410000}"/>
    <cellStyle name="Normal 2 2 2 2 7" xfId="16931" xr:uid="{00000000-0005-0000-0000-0000FC410000}"/>
    <cellStyle name="Normal 2 2 2 2 8" xfId="16932" xr:uid="{00000000-0005-0000-0000-0000FD410000}"/>
    <cellStyle name="Normal 2 2 2 2 9" xfId="16933" xr:uid="{00000000-0005-0000-0000-0000FE410000}"/>
    <cellStyle name="Normal 2 2 2 20" xfId="16934" xr:uid="{00000000-0005-0000-0000-0000FF410000}"/>
    <cellStyle name="Normal 2 2 2 20 10" xfId="16935" xr:uid="{00000000-0005-0000-0000-000000420000}"/>
    <cellStyle name="Normal 2 2 2 20 11" xfId="16936" xr:uid="{00000000-0005-0000-0000-000001420000}"/>
    <cellStyle name="Normal 2 2 2 20 12" xfId="16937" xr:uid="{00000000-0005-0000-0000-000002420000}"/>
    <cellStyle name="Normal 2 2 2 20 13" xfId="16938" xr:uid="{00000000-0005-0000-0000-000003420000}"/>
    <cellStyle name="Normal 2 2 2 20 14" xfId="16939" xr:uid="{00000000-0005-0000-0000-000004420000}"/>
    <cellStyle name="Normal 2 2 2 20 2" xfId="16940" xr:uid="{00000000-0005-0000-0000-000005420000}"/>
    <cellStyle name="Normal 2 2 2 20 2 10" xfId="16941" xr:uid="{00000000-0005-0000-0000-000006420000}"/>
    <cellStyle name="Normal 2 2 2 20 2 2" xfId="16942" xr:uid="{00000000-0005-0000-0000-000007420000}"/>
    <cellStyle name="Normal 2 2 2 20 2 3" xfId="16943" xr:uid="{00000000-0005-0000-0000-000008420000}"/>
    <cellStyle name="Normal 2 2 2 20 2 4" xfId="16944" xr:uid="{00000000-0005-0000-0000-000009420000}"/>
    <cellStyle name="Normal 2 2 2 20 2 5" xfId="16945" xr:uid="{00000000-0005-0000-0000-00000A420000}"/>
    <cellStyle name="Normal 2 2 2 20 2 6" xfId="16946" xr:uid="{00000000-0005-0000-0000-00000B420000}"/>
    <cellStyle name="Normal 2 2 2 20 2 7" xfId="16947" xr:uid="{00000000-0005-0000-0000-00000C420000}"/>
    <cellStyle name="Normal 2 2 2 20 2 8" xfId="16948" xr:uid="{00000000-0005-0000-0000-00000D420000}"/>
    <cellStyle name="Normal 2 2 2 20 2 9" xfId="16949" xr:uid="{00000000-0005-0000-0000-00000E420000}"/>
    <cellStyle name="Normal 2 2 2 20 3" xfId="16950" xr:uid="{00000000-0005-0000-0000-00000F420000}"/>
    <cellStyle name="Normal 2 2 2 20 3 10" xfId="16951" xr:uid="{00000000-0005-0000-0000-000010420000}"/>
    <cellStyle name="Normal 2 2 2 20 3 2" xfId="16952" xr:uid="{00000000-0005-0000-0000-000011420000}"/>
    <cellStyle name="Normal 2 2 2 20 3 3" xfId="16953" xr:uid="{00000000-0005-0000-0000-000012420000}"/>
    <cellStyle name="Normal 2 2 2 20 3 4" xfId="16954" xr:uid="{00000000-0005-0000-0000-000013420000}"/>
    <cellStyle name="Normal 2 2 2 20 3 5" xfId="16955" xr:uid="{00000000-0005-0000-0000-000014420000}"/>
    <cellStyle name="Normal 2 2 2 20 3 6" xfId="16956" xr:uid="{00000000-0005-0000-0000-000015420000}"/>
    <cellStyle name="Normal 2 2 2 20 3 7" xfId="16957" xr:uid="{00000000-0005-0000-0000-000016420000}"/>
    <cellStyle name="Normal 2 2 2 20 3 8" xfId="16958" xr:uid="{00000000-0005-0000-0000-000017420000}"/>
    <cellStyle name="Normal 2 2 2 20 3 9" xfId="16959" xr:uid="{00000000-0005-0000-0000-000018420000}"/>
    <cellStyle name="Normal 2 2 2 20 4" xfId="16960" xr:uid="{00000000-0005-0000-0000-000019420000}"/>
    <cellStyle name="Normal 2 2 2 20 4 10" xfId="16961" xr:uid="{00000000-0005-0000-0000-00001A420000}"/>
    <cellStyle name="Normal 2 2 2 20 4 2" xfId="16962" xr:uid="{00000000-0005-0000-0000-00001B420000}"/>
    <cellStyle name="Normal 2 2 2 20 4 3" xfId="16963" xr:uid="{00000000-0005-0000-0000-00001C420000}"/>
    <cellStyle name="Normal 2 2 2 20 4 4" xfId="16964" xr:uid="{00000000-0005-0000-0000-00001D420000}"/>
    <cellStyle name="Normal 2 2 2 20 4 5" xfId="16965" xr:uid="{00000000-0005-0000-0000-00001E420000}"/>
    <cellStyle name="Normal 2 2 2 20 4 6" xfId="16966" xr:uid="{00000000-0005-0000-0000-00001F420000}"/>
    <cellStyle name="Normal 2 2 2 20 4 7" xfId="16967" xr:uid="{00000000-0005-0000-0000-000020420000}"/>
    <cellStyle name="Normal 2 2 2 20 4 8" xfId="16968" xr:uid="{00000000-0005-0000-0000-000021420000}"/>
    <cellStyle name="Normal 2 2 2 20 4 9" xfId="16969" xr:uid="{00000000-0005-0000-0000-000022420000}"/>
    <cellStyle name="Normal 2 2 2 20 5" xfId="16970" xr:uid="{00000000-0005-0000-0000-000023420000}"/>
    <cellStyle name="Normal 2 2 2 20 5 10" xfId="16971" xr:uid="{00000000-0005-0000-0000-000024420000}"/>
    <cellStyle name="Normal 2 2 2 20 5 2" xfId="16972" xr:uid="{00000000-0005-0000-0000-000025420000}"/>
    <cellStyle name="Normal 2 2 2 20 5 3" xfId="16973" xr:uid="{00000000-0005-0000-0000-000026420000}"/>
    <cellStyle name="Normal 2 2 2 20 5 4" xfId="16974" xr:uid="{00000000-0005-0000-0000-000027420000}"/>
    <cellStyle name="Normal 2 2 2 20 5 5" xfId="16975" xr:uid="{00000000-0005-0000-0000-000028420000}"/>
    <cellStyle name="Normal 2 2 2 20 5 6" xfId="16976" xr:uid="{00000000-0005-0000-0000-000029420000}"/>
    <cellStyle name="Normal 2 2 2 20 5 7" xfId="16977" xr:uid="{00000000-0005-0000-0000-00002A420000}"/>
    <cellStyle name="Normal 2 2 2 20 5 8" xfId="16978" xr:uid="{00000000-0005-0000-0000-00002B420000}"/>
    <cellStyle name="Normal 2 2 2 20 5 9" xfId="16979" xr:uid="{00000000-0005-0000-0000-00002C420000}"/>
    <cellStyle name="Normal 2 2 2 20 6" xfId="16980" xr:uid="{00000000-0005-0000-0000-00002D420000}"/>
    <cellStyle name="Normal 2 2 2 20 7" xfId="16981" xr:uid="{00000000-0005-0000-0000-00002E420000}"/>
    <cellStyle name="Normal 2 2 2 20 8" xfId="16982" xr:uid="{00000000-0005-0000-0000-00002F420000}"/>
    <cellStyle name="Normal 2 2 2 20 9" xfId="16983" xr:uid="{00000000-0005-0000-0000-000030420000}"/>
    <cellStyle name="Normal 2 2 2 21" xfId="16984" xr:uid="{00000000-0005-0000-0000-000031420000}"/>
    <cellStyle name="Normal 2 2 2 21 10" xfId="16985" xr:uid="{00000000-0005-0000-0000-000032420000}"/>
    <cellStyle name="Normal 2 2 2 21 11" xfId="16986" xr:uid="{00000000-0005-0000-0000-000033420000}"/>
    <cellStyle name="Normal 2 2 2 21 12" xfId="16987" xr:uid="{00000000-0005-0000-0000-000034420000}"/>
    <cellStyle name="Normal 2 2 2 21 13" xfId="16988" xr:uid="{00000000-0005-0000-0000-000035420000}"/>
    <cellStyle name="Normal 2 2 2 21 14" xfId="16989" xr:uid="{00000000-0005-0000-0000-000036420000}"/>
    <cellStyle name="Normal 2 2 2 21 2" xfId="16990" xr:uid="{00000000-0005-0000-0000-000037420000}"/>
    <cellStyle name="Normal 2 2 2 21 2 10" xfId="16991" xr:uid="{00000000-0005-0000-0000-000038420000}"/>
    <cellStyle name="Normal 2 2 2 21 2 2" xfId="16992" xr:uid="{00000000-0005-0000-0000-000039420000}"/>
    <cellStyle name="Normal 2 2 2 21 2 3" xfId="16993" xr:uid="{00000000-0005-0000-0000-00003A420000}"/>
    <cellStyle name="Normal 2 2 2 21 2 4" xfId="16994" xr:uid="{00000000-0005-0000-0000-00003B420000}"/>
    <cellStyle name="Normal 2 2 2 21 2 5" xfId="16995" xr:uid="{00000000-0005-0000-0000-00003C420000}"/>
    <cellStyle name="Normal 2 2 2 21 2 6" xfId="16996" xr:uid="{00000000-0005-0000-0000-00003D420000}"/>
    <cellStyle name="Normal 2 2 2 21 2 7" xfId="16997" xr:uid="{00000000-0005-0000-0000-00003E420000}"/>
    <cellStyle name="Normal 2 2 2 21 2 8" xfId="16998" xr:uid="{00000000-0005-0000-0000-00003F420000}"/>
    <cellStyle name="Normal 2 2 2 21 2 9" xfId="16999" xr:uid="{00000000-0005-0000-0000-000040420000}"/>
    <cellStyle name="Normal 2 2 2 21 3" xfId="17000" xr:uid="{00000000-0005-0000-0000-000041420000}"/>
    <cellStyle name="Normal 2 2 2 21 3 10" xfId="17001" xr:uid="{00000000-0005-0000-0000-000042420000}"/>
    <cellStyle name="Normal 2 2 2 21 3 2" xfId="17002" xr:uid="{00000000-0005-0000-0000-000043420000}"/>
    <cellStyle name="Normal 2 2 2 21 3 3" xfId="17003" xr:uid="{00000000-0005-0000-0000-000044420000}"/>
    <cellStyle name="Normal 2 2 2 21 3 4" xfId="17004" xr:uid="{00000000-0005-0000-0000-000045420000}"/>
    <cellStyle name="Normal 2 2 2 21 3 5" xfId="17005" xr:uid="{00000000-0005-0000-0000-000046420000}"/>
    <cellStyle name="Normal 2 2 2 21 3 6" xfId="17006" xr:uid="{00000000-0005-0000-0000-000047420000}"/>
    <cellStyle name="Normal 2 2 2 21 3 7" xfId="17007" xr:uid="{00000000-0005-0000-0000-000048420000}"/>
    <cellStyle name="Normal 2 2 2 21 3 8" xfId="17008" xr:uid="{00000000-0005-0000-0000-000049420000}"/>
    <cellStyle name="Normal 2 2 2 21 3 9" xfId="17009" xr:uid="{00000000-0005-0000-0000-00004A420000}"/>
    <cellStyle name="Normal 2 2 2 21 4" xfId="17010" xr:uid="{00000000-0005-0000-0000-00004B420000}"/>
    <cellStyle name="Normal 2 2 2 21 4 10" xfId="17011" xr:uid="{00000000-0005-0000-0000-00004C420000}"/>
    <cellStyle name="Normal 2 2 2 21 4 2" xfId="17012" xr:uid="{00000000-0005-0000-0000-00004D420000}"/>
    <cellStyle name="Normal 2 2 2 21 4 3" xfId="17013" xr:uid="{00000000-0005-0000-0000-00004E420000}"/>
    <cellStyle name="Normal 2 2 2 21 4 4" xfId="17014" xr:uid="{00000000-0005-0000-0000-00004F420000}"/>
    <cellStyle name="Normal 2 2 2 21 4 5" xfId="17015" xr:uid="{00000000-0005-0000-0000-000050420000}"/>
    <cellStyle name="Normal 2 2 2 21 4 6" xfId="17016" xr:uid="{00000000-0005-0000-0000-000051420000}"/>
    <cellStyle name="Normal 2 2 2 21 4 7" xfId="17017" xr:uid="{00000000-0005-0000-0000-000052420000}"/>
    <cellStyle name="Normal 2 2 2 21 4 8" xfId="17018" xr:uid="{00000000-0005-0000-0000-000053420000}"/>
    <cellStyle name="Normal 2 2 2 21 4 9" xfId="17019" xr:uid="{00000000-0005-0000-0000-000054420000}"/>
    <cellStyle name="Normal 2 2 2 21 5" xfId="17020" xr:uid="{00000000-0005-0000-0000-000055420000}"/>
    <cellStyle name="Normal 2 2 2 21 5 10" xfId="17021" xr:uid="{00000000-0005-0000-0000-000056420000}"/>
    <cellStyle name="Normal 2 2 2 21 5 2" xfId="17022" xr:uid="{00000000-0005-0000-0000-000057420000}"/>
    <cellStyle name="Normal 2 2 2 21 5 3" xfId="17023" xr:uid="{00000000-0005-0000-0000-000058420000}"/>
    <cellStyle name="Normal 2 2 2 21 5 4" xfId="17024" xr:uid="{00000000-0005-0000-0000-000059420000}"/>
    <cellStyle name="Normal 2 2 2 21 5 5" xfId="17025" xr:uid="{00000000-0005-0000-0000-00005A420000}"/>
    <cellStyle name="Normal 2 2 2 21 5 6" xfId="17026" xr:uid="{00000000-0005-0000-0000-00005B420000}"/>
    <cellStyle name="Normal 2 2 2 21 5 7" xfId="17027" xr:uid="{00000000-0005-0000-0000-00005C420000}"/>
    <cellStyle name="Normal 2 2 2 21 5 8" xfId="17028" xr:uid="{00000000-0005-0000-0000-00005D420000}"/>
    <cellStyle name="Normal 2 2 2 21 5 9" xfId="17029" xr:uid="{00000000-0005-0000-0000-00005E420000}"/>
    <cellStyle name="Normal 2 2 2 21 6" xfId="17030" xr:uid="{00000000-0005-0000-0000-00005F420000}"/>
    <cellStyle name="Normal 2 2 2 21 7" xfId="17031" xr:uid="{00000000-0005-0000-0000-000060420000}"/>
    <cellStyle name="Normal 2 2 2 21 8" xfId="17032" xr:uid="{00000000-0005-0000-0000-000061420000}"/>
    <cellStyle name="Normal 2 2 2 21 9" xfId="17033" xr:uid="{00000000-0005-0000-0000-000062420000}"/>
    <cellStyle name="Normal 2 2 2 22" xfId="17034" xr:uid="{00000000-0005-0000-0000-000063420000}"/>
    <cellStyle name="Normal 2 2 2 22 10" xfId="17035" xr:uid="{00000000-0005-0000-0000-000064420000}"/>
    <cellStyle name="Normal 2 2 2 22 11" xfId="17036" xr:uid="{00000000-0005-0000-0000-000065420000}"/>
    <cellStyle name="Normal 2 2 2 22 12" xfId="17037" xr:uid="{00000000-0005-0000-0000-000066420000}"/>
    <cellStyle name="Normal 2 2 2 22 13" xfId="17038" xr:uid="{00000000-0005-0000-0000-000067420000}"/>
    <cellStyle name="Normal 2 2 2 22 14" xfId="17039" xr:uid="{00000000-0005-0000-0000-000068420000}"/>
    <cellStyle name="Normal 2 2 2 22 2" xfId="17040" xr:uid="{00000000-0005-0000-0000-000069420000}"/>
    <cellStyle name="Normal 2 2 2 22 2 10" xfId="17041" xr:uid="{00000000-0005-0000-0000-00006A420000}"/>
    <cellStyle name="Normal 2 2 2 22 2 2" xfId="17042" xr:uid="{00000000-0005-0000-0000-00006B420000}"/>
    <cellStyle name="Normal 2 2 2 22 2 3" xfId="17043" xr:uid="{00000000-0005-0000-0000-00006C420000}"/>
    <cellStyle name="Normal 2 2 2 22 2 4" xfId="17044" xr:uid="{00000000-0005-0000-0000-00006D420000}"/>
    <cellStyle name="Normal 2 2 2 22 2 5" xfId="17045" xr:uid="{00000000-0005-0000-0000-00006E420000}"/>
    <cellStyle name="Normal 2 2 2 22 2 6" xfId="17046" xr:uid="{00000000-0005-0000-0000-00006F420000}"/>
    <cellStyle name="Normal 2 2 2 22 2 7" xfId="17047" xr:uid="{00000000-0005-0000-0000-000070420000}"/>
    <cellStyle name="Normal 2 2 2 22 2 8" xfId="17048" xr:uid="{00000000-0005-0000-0000-000071420000}"/>
    <cellStyle name="Normal 2 2 2 22 2 9" xfId="17049" xr:uid="{00000000-0005-0000-0000-000072420000}"/>
    <cellStyle name="Normal 2 2 2 22 3" xfId="17050" xr:uid="{00000000-0005-0000-0000-000073420000}"/>
    <cellStyle name="Normal 2 2 2 22 3 10" xfId="17051" xr:uid="{00000000-0005-0000-0000-000074420000}"/>
    <cellStyle name="Normal 2 2 2 22 3 2" xfId="17052" xr:uid="{00000000-0005-0000-0000-000075420000}"/>
    <cellStyle name="Normal 2 2 2 22 3 3" xfId="17053" xr:uid="{00000000-0005-0000-0000-000076420000}"/>
    <cellStyle name="Normal 2 2 2 22 3 4" xfId="17054" xr:uid="{00000000-0005-0000-0000-000077420000}"/>
    <cellStyle name="Normal 2 2 2 22 3 5" xfId="17055" xr:uid="{00000000-0005-0000-0000-000078420000}"/>
    <cellStyle name="Normal 2 2 2 22 3 6" xfId="17056" xr:uid="{00000000-0005-0000-0000-000079420000}"/>
    <cellStyle name="Normal 2 2 2 22 3 7" xfId="17057" xr:uid="{00000000-0005-0000-0000-00007A420000}"/>
    <cellStyle name="Normal 2 2 2 22 3 8" xfId="17058" xr:uid="{00000000-0005-0000-0000-00007B420000}"/>
    <cellStyle name="Normal 2 2 2 22 3 9" xfId="17059" xr:uid="{00000000-0005-0000-0000-00007C420000}"/>
    <cellStyle name="Normal 2 2 2 22 4" xfId="17060" xr:uid="{00000000-0005-0000-0000-00007D420000}"/>
    <cellStyle name="Normal 2 2 2 22 4 10" xfId="17061" xr:uid="{00000000-0005-0000-0000-00007E420000}"/>
    <cellStyle name="Normal 2 2 2 22 4 2" xfId="17062" xr:uid="{00000000-0005-0000-0000-00007F420000}"/>
    <cellStyle name="Normal 2 2 2 22 4 3" xfId="17063" xr:uid="{00000000-0005-0000-0000-000080420000}"/>
    <cellStyle name="Normal 2 2 2 22 4 4" xfId="17064" xr:uid="{00000000-0005-0000-0000-000081420000}"/>
    <cellStyle name="Normal 2 2 2 22 4 5" xfId="17065" xr:uid="{00000000-0005-0000-0000-000082420000}"/>
    <cellStyle name="Normal 2 2 2 22 4 6" xfId="17066" xr:uid="{00000000-0005-0000-0000-000083420000}"/>
    <cellStyle name="Normal 2 2 2 22 4 7" xfId="17067" xr:uid="{00000000-0005-0000-0000-000084420000}"/>
    <cellStyle name="Normal 2 2 2 22 4 8" xfId="17068" xr:uid="{00000000-0005-0000-0000-000085420000}"/>
    <cellStyle name="Normal 2 2 2 22 4 9" xfId="17069" xr:uid="{00000000-0005-0000-0000-000086420000}"/>
    <cellStyle name="Normal 2 2 2 22 5" xfId="17070" xr:uid="{00000000-0005-0000-0000-000087420000}"/>
    <cellStyle name="Normal 2 2 2 22 5 10" xfId="17071" xr:uid="{00000000-0005-0000-0000-000088420000}"/>
    <cellStyle name="Normal 2 2 2 22 5 2" xfId="17072" xr:uid="{00000000-0005-0000-0000-000089420000}"/>
    <cellStyle name="Normal 2 2 2 22 5 3" xfId="17073" xr:uid="{00000000-0005-0000-0000-00008A420000}"/>
    <cellStyle name="Normal 2 2 2 22 5 4" xfId="17074" xr:uid="{00000000-0005-0000-0000-00008B420000}"/>
    <cellStyle name="Normal 2 2 2 22 5 5" xfId="17075" xr:uid="{00000000-0005-0000-0000-00008C420000}"/>
    <cellStyle name="Normal 2 2 2 22 5 6" xfId="17076" xr:uid="{00000000-0005-0000-0000-00008D420000}"/>
    <cellStyle name="Normal 2 2 2 22 5 7" xfId="17077" xr:uid="{00000000-0005-0000-0000-00008E420000}"/>
    <cellStyle name="Normal 2 2 2 22 5 8" xfId="17078" xr:uid="{00000000-0005-0000-0000-00008F420000}"/>
    <cellStyle name="Normal 2 2 2 22 5 9" xfId="17079" xr:uid="{00000000-0005-0000-0000-000090420000}"/>
    <cellStyle name="Normal 2 2 2 22 6" xfId="17080" xr:uid="{00000000-0005-0000-0000-000091420000}"/>
    <cellStyle name="Normal 2 2 2 22 7" xfId="17081" xr:uid="{00000000-0005-0000-0000-000092420000}"/>
    <cellStyle name="Normal 2 2 2 22 8" xfId="17082" xr:uid="{00000000-0005-0000-0000-000093420000}"/>
    <cellStyle name="Normal 2 2 2 22 9" xfId="17083" xr:uid="{00000000-0005-0000-0000-000094420000}"/>
    <cellStyle name="Normal 2 2 2 23" xfId="17084" xr:uid="{00000000-0005-0000-0000-000095420000}"/>
    <cellStyle name="Normal 2 2 2 23 10" xfId="17085" xr:uid="{00000000-0005-0000-0000-000096420000}"/>
    <cellStyle name="Normal 2 2 2 23 11" xfId="17086" xr:uid="{00000000-0005-0000-0000-000097420000}"/>
    <cellStyle name="Normal 2 2 2 23 12" xfId="17087" xr:uid="{00000000-0005-0000-0000-000098420000}"/>
    <cellStyle name="Normal 2 2 2 23 13" xfId="17088" xr:uid="{00000000-0005-0000-0000-000099420000}"/>
    <cellStyle name="Normal 2 2 2 23 14" xfId="17089" xr:uid="{00000000-0005-0000-0000-00009A420000}"/>
    <cellStyle name="Normal 2 2 2 23 2" xfId="17090" xr:uid="{00000000-0005-0000-0000-00009B420000}"/>
    <cellStyle name="Normal 2 2 2 23 2 10" xfId="17091" xr:uid="{00000000-0005-0000-0000-00009C420000}"/>
    <cellStyle name="Normal 2 2 2 23 2 2" xfId="17092" xr:uid="{00000000-0005-0000-0000-00009D420000}"/>
    <cellStyle name="Normal 2 2 2 23 2 3" xfId="17093" xr:uid="{00000000-0005-0000-0000-00009E420000}"/>
    <cellStyle name="Normal 2 2 2 23 2 4" xfId="17094" xr:uid="{00000000-0005-0000-0000-00009F420000}"/>
    <cellStyle name="Normal 2 2 2 23 2 5" xfId="17095" xr:uid="{00000000-0005-0000-0000-0000A0420000}"/>
    <cellStyle name="Normal 2 2 2 23 2 6" xfId="17096" xr:uid="{00000000-0005-0000-0000-0000A1420000}"/>
    <cellStyle name="Normal 2 2 2 23 2 7" xfId="17097" xr:uid="{00000000-0005-0000-0000-0000A2420000}"/>
    <cellStyle name="Normal 2 2 2 23 2 8" xfId="17098" xr:uid="{00000000-0005-0000-0000-0000A3420000}"/>
    <cellStyle name="Normal 2 2 2 23 2 9" xfId="17099" xr:uid="{00000000-0005-0000-0000-0000A4420000}"/>
    <cellStyle name="Normal 2 2 2 23 3" xfId="17100" xr:uid="{00000000-0005-0000-0000-0000A5420000}"/>
    <cellStyle name="Normal 2 2 2 23 3 10" xfId="17101" xr:uid="{00000000-0005-0000-0000-0000A6420000}"/>
    <cellStyle name="Normal 2 2 2 23 3 2" xfId="17102" xr:uid="{00000000-0005-0000-0000-0000A7420000}"/>
    <cellStyle name="Normal 2 2 2 23 3 3" xfId="17103" xr:uid="{00000000-0005-0000-0000-0000A8420000}"/>
    <cellStyle name="Normal 2 2 2 23 3 4" xfId="17104" xr:uid="{00000000-0005-0000-0000-0000A9420000}"/>
    <cellStyle name="Normal 2 2 2 23 3 5" xfId="17105" xr:uid="{00000000-0005-0000-0000-0000AA420000}"/>
    <cellStyle name="Normal 2 2 2 23 3 6" xfId="17106" xr:uid="{00000000-0005-0000-0000-0000AB420000}"/>
    <cellStyle name="Normal 2 2 2 23 3 7" xfId="17107" xr:uid="{00000000-0005-0000-0000-0000AC420000}"/>
    <cellStyle name="Normal 2 2 2 23 3 8" xfId="17108" xr:uid="{00000000-0005-0000-0000-0000AD420000}"/>
    <cellStyle name="Normal 2 2 2 23 3 9" xfId="17109" xr:uid="{00000000-0005-0000-0000-0000AE420000}"/>
    <cellStyle name="Normal 2 2 2 23 4" xfId="17110" xr:uid="{00000000-0005-0000-0000-0000AF420000}"/>
    <cellStyle name="Normal 2 2 2 23 4 10" xfId="17111" xr:uid="{00000000-0005-0000-0000-0000B0420000}"/>
    <cellStyle name="Normal 2 2 2 23 4 2" xfId="17112" xr:uid="{00000000-0005-0000-0000-0000B1420000}"/>
    <cellStyle name="Normal 2 2 2 23 4 3" xfId="17113" xr:uid="{00000000-0005-0000-0000-0000B2420000}"/>
    <cellStyle name="Normal 2 2 2 23 4 4" xfId="17114" xr:uid="{00000000-0005-0000-0000-0000B3420000}"/>
    <cellStyle name="Normal 2 2 2 23 4 5" xfId="17115" xr:uid="{00000000-0005-0000-0000-0000B4420000}"/>
    <cellStyle name="Normal 2 2 2 23 4 6" xfId="17116" xr:uid="{00000000-0005-0000-0000-0000B5420000}"/>
    <cellStyle name="Normal 2 2 2 23 4 7" xfId="17117" xr:uid="{00000000-0005-0000-0000-0000B6420000}"/>
    <cellStyle name="Normal 2 2 2 23 4 8" xfId="17118" xr:uid="{00000000-0005-0000-0000-0000B7420000}"/>
    <cellStyle name="Normal 2 2 2 23 4 9" xfId="17119" xr:uid="{00000000-0005-0000-0000-0000B8420000}"/>
    <cellStyle name="Normal 2 2 2 23 5" xfId="17120" xr:uid="{00000000-0005-0000-0000-0000B9420000}"/>
    <cellStyle name="Normal 2 2 2 23 5 10" xfId="17121" xr:uid="{00000000-0005-0000-0000-0000BA420000}"/>
    <cellStyle name="Normal 2 2 2 23 5 2" xfId="17122" xr:uid="{00000000-0005-0000-0000-0000BB420000}"/>
    <cellStyle name="Normal 2 2 2 23 5 3" xfId="17123" xr:uid="{00000000-0005-0000-0000-0000BC420000}"/>
    <cellStyle name="Normal 2 2 2 23 5 4" xfId="17124" xr:uid="{00000000-0005-0000-0000-0000BD420000}"/>
    <cellStyle name="Normal 2 2 2 23 5 5" xfId="17125" xr:uid="{00000000-0005-0000-0000-0000BE420000}"/>
    <cellStyle name="Normal 2 2 2 23 5 6" xfId="17126" xr:uid="{00000000-0005-0000-0000-0000BF420000}"/>
    <cellStyle name="Normal 2 2 2 23 5 7" xfId="17127" xr:uid="{00000000-0005-0000-0000-0000C0420000}"/>
    <cellStyle name="Normal 2 2 2 23 5 8" xfId="17128" xr:uid="{00000000-0005-0000-0000-0000C1420000}"/>
    <cellStyle name="Normal 2 2 2 23 5 9" xfId="17129" xr:uid="{00000000-0005-0000-0000-0000C2420000}"/>
    <cellStyle name="Normal 2 2 2 23 6" xfId="17130" xr:uid="{00000000-0005-0000-0000-0000C3420000}"/>
    <cellStyle name="Normal 2 2 2 23 7" xfId="17131" xr:uid="{00000000-0005-0000-0000-0000C4420000}"/>
    <cellStyle name="Normal 2 2 2 23 8" xfId="17132" xr:uid="{00000000-0005-0000-0000-0000C5420000}"/>
    <cellStyle name="Normal 2 2 2 23 9" xfId="17133" xr:uid="{00000000-0005-0000-0000-0000C6420000}"/>
    <cellStyle name="Normal 2 2 2 24" xfId="17134" xr:uid="{00000000-0005-0000-0000-0000C7420000}"/>
    <cellStyle name="Normal 2 2 2 24 10" xfId="17135" xr:uid="{00000000-0005-0000-0000-0000C8420000}"/>
    <cellStyle name="Normal 2 2 2 24 11" xfId="17136" xr:uid="{00000000-0005-0000-0000-0000C9420000}"/>
    <cellStyle name="Normal 2 2 2 24 12" xfId="17137" xr:uid="{00000000-0005-0000-0000-0000CA420000}"/>
    <cellStyle name="Normal 2 2 2 24 13" xfId="17138" xr:uid="{00000000-0005-0000-0000-0000CB420000}"/>
    <cellStyle name="Normal 2 2 2 24 14" xfId="17139" xr:uid="{00000000-0005-0000-0000-0000CC420000}"/>
    <cellStyle name="Normal 2 2 2 24 2" xfId="17140" xr:uid="{00000000-0005-0000-0000-0000CD420000}"/>
    <cellStyle name="Normal 2 2 2 24 2 10" xfId="17141" xr:uid="{00000000-0005-0000-0000-0000CE420000}"/>
    <cellStyle name="Normal 2 2 2 24 2 2" xfId="17142" xr:uid="{00000000-0005-0000-0000-0000CF420000}"/>
    <cellStyle name="Normal 2 2 2 24 2 3" xfId="17143" xr:uid="{00000000-0005-0000-0000-0000D0420000}"/>
    <cellStyle name="Normal 2 2 2 24 2 4" xfId="17144" xr:uid="{00000000-0005-0000-0000-0000D1420000}"/>
    <cellStyle name="Normal 2 2 2 24 2 5" xfId="17145" xr:uid="{00000000-0005-0000-0000-0000D2420000}"/>
    <cellStyle name="Normal 2 2 2 24 2 6" xfId="17146" xr:uid="{00000000-0005-0000-0000-0000D3420000}"/>
    <cellStyle name="Normal 2 2 2 24 2 7" xfId="17147" xr:uid="{00000000-0005-0000-0000-0000D4420000}"/>
    <cellStyle name="Normal 2 2 2 24 2 8" xfId="17148" xr:uid="{00000000-0005-0000-0000-0000D5420000}"/>
    <cellStyle name="Normal 2 2 2 24 2 9" xfId="17149" xr:uid="{00000000-0005-0000-0000-0000D6420000}"/>
    <cellStyle name="Normal 2 2 2 24 3" xfId="17150" xr:uid="{00000000-0005-0000-0000-0000D7420000}"/>
    <cellStyle name="Normal 2 2 2 24 3 10" xfId="17151" xr:uid="{00000000-0005-0000-0000-0000D8420000}"/>
    <cellStyle name="Normal 2 2 2 24 3 2" xfId="17152" xr:uid="{00000000-0005-0000-0000-0000D9420000}"/>
    <cellStyle name="Normal 2 2 2 24 3 3" xfId="17153" xr:uid="{00000000-0005-0000-0000-0000DA420000}"/>
    <cellStyle name="Normal 2 2 2 24 3 4" xfId="17154" xr:uid="{00000000-0005-0000-0000-0000DB420000}"/>
    <cellStyle name="Normal 2 2 2 24 3 5" xfId="17155" xr:uid="{00000000-0005-0000-0000-0000DC420000}"/>
    <cellStyle name="Normal 2 2 2 24 3 6" xfId="17156" xr:uid="{00000000-0005-0000-0000-0000DD420000}"/>
    <cellStyle name="Normal 2 2 2 24 3 7" xfId="17157" xr:uid="{00000000-0005-0000-0000-0000DE420000}"/>
    <cellStyle name="Normal 2 2 2 24 3 8" xfId="17158" xr:uid="{00000000-0005-0000-0000-0000DF420000}"/>
    <cellStyle name="Normal 2 2 2 24 3 9" xfId="17159" xr:uid="{00000000-0005-0000-0000-0000E0420000}"/>
    <cellStyle name="Normal 2 2 2 24 4" xfId="17160" xr:uid="{00000000-0005-0000-0000-0000E1420000}"/>
    <cellStyle name="Normal 2 2 2 24 4 10" xfId="17161" xr:uid="{00000000-0005-0000-0000-0000E2420000}"/>
    <cellStyle name="Normal 2 2 2 24 4 2" xfId="17162" xr:uid="{00000000-0005-0000-0000-0000E3420000}"/>
    <cellStyle name="Normal 2 2 2 24 4 3" xfId="17163" xr:uid="{00000000-0005-0000-0000-0000E4420000}"/>
    <cellStyle name="Normal 2 2 2 24 4 4" xfId="17164" xr:uid="{00000000-0005-0000-0000-0000E5420000}"/>
    <cellStyle name="Normal 2 2 2 24 4 5" xfId="17165" xr:uid="{00000000-0005-0000-0000-0000E6420000}"/>
    <cellStyle name="Normal 2 2 2 24 4 6" xfId="17166" xr:uid="{00000000-0005-0000-0000-0000E7420000}"/>
    <cellStyle name="Normal 2 2 2 24 4 7" xfId="17167" xr:uid="{00000000-0005-0000-0000-0000E8420000}"/>
    <cellStyle name="Normal 2 2 2 24 4 8" xfId="17168" xr:uid="{00000000-0005-0000-0000-0000E9420000}"/>
    <cellStyle name="Normal 2 2 2 24 4 9" xfId="17169" xr:uid="{00000000-0005-0000-0000-0000EA420000}"/>
    <cellStyle name="Normal 2 2 2 24 5" xfId="17170" xr:uid="{00000000-0005-0000-0000-0000EB420000}"/>
    <cellStyle name="Normal 2 2 2 24 5 10" xfId="17171" xr:uid="{00000000-0005-0000-0000-0000EC420000}"/>
    <cellStyle name="Normal 2 2 2 24 5 2" xfId="17172" xr:uid="{00000000-0005-0000-0000-0000ED420000}"/>
    <cellStyle name="Normal 2 2 2 24 5 3" xfId="17173" xr:uid="{00000000-0005-0000-0000-0000EE420000}"/>
    <cellStyle name="Normal 2 2 2 24 5 4" xfId="17174" xr:uid="{00000000-0005-0000-0000-0000EF420000}"/>
    <cellStyle name="Normal 2 2 2 24 5 5" xfId="17175" xr:uid="{00000000-0005-0000-0000-0000F0420000}"/>
    <cellStyle name="Normal 2 2 2 24 5 6" xfId="17176" xr:uid="{00000000-0005-0000-0000-0000F1420000}"/>
    <cellStyle name="Normal 2 2 2 24 5 7" xfId="17177" xr:uid="{00000000-0005-0000-0000-0000F2420000}"/>
    <cellStyle name="Normal 2 2 2 24 5 8" xfId="17178" xr:uid="{00000000-0005-0000-0000-0000F3420000}"/>
    <cellStyle name="Normal 2 2 2 24 5 9" xfId="17179" xr:uid="{00000000-0005-0000-0000-0000F4420000}"/>
    <cellStyle name="Normal 2 2 2 24 6" xfId="17180" xr:uid="{00000000-0005-0000-0000-0000F5420000}"/>
    <cellStyle name="Normal 2 2 2 24 7" xfId="17181" xr:uid="{00000000-0005-0000-0000-0000F6420000}"/>
    <cellStyle name="Normal 2 2 2 24 8" xfId="17182" xr:uid="{00000000-0005-0000-0000-0000F7420000}"/>
    <cellStyle name="Normal 2 2 2 24 9" xfId="17183" xr:uid="{00000000-0005-0000-0000-0000F8420000}"/>
    <cellStyle name="Normal 2 2 2 25" xfId="17184" xr:uid="{00000000-0005-0000-0000-0000F9420000}"/>
    <cellStyle name="Normal 2 2 2 25 10" xfId="17185" xr:uid="{00000000-0005-0000-0000-0000FA420000}"/>
    <cellStyle name="Normal 2 2 2 25 11" xfId="17186" xr:uid="{00000000-0005-0000-0000-0000FB420000}"/>
    <cellStyle name="Normal 2 2 2 25 12" xfId="17187" xr:uid="{00000000-0005-0000-0000-0000FC420000}"/>
    <cellStyle name="Normal 2 2 2 25 13" xfId="17188" xr:uid="{00000000-0005-0000-0000-0000FD420000}"/>
    <cellStyle name="Normal 2 2 2 25 14" xfId="17189" xr:uid="{00000000-0005-0000-0000-0000FE420000}"/>
    <cellStyle name="Normal 2 2 2 25 2" xfId="17190" xr:uid="{00000000-0005-0000-0000-0000FF420000}"/>
    <cellStyle name="Normal 2 2 2 25 2 10" xfId="17191" xr:uid="{00000000-0005-0000-0000-000000430000}"/>
    <cellStyle name="Normal 2 2 2 25 2 2" xfId="17192" xr:uid="{00000000-0005-0000-0000-000001430000}"/>
    <cellStyle name="Normal 2 2 2 25 2 3" xfId="17193" xr:uid="{00000000-0005-0000-0000-000002430000}"/>
    <cellStyle name="Normal 2 2 2 25 2 4" xfId="17194" xr:uid="{00000000-0005-0000-0000-000003430000}"/>
    <cellStyle name="Normal 2 2 2 25 2 5" xfId="17195" xr:uid="{00000000-0005-0000-0000-000004430000}"/>
    <cellStyle name="Normal 2 2 2 25 2 6" xfId="17196" xr:uid="{00000000-0005-0000-0000-000005430000}"/>
    <cellStyle name="Normal 2 2 2 25 2 7" xfId="17197" xr:uid="{00000000-0005-0000-0000-000006430000}"/>
    <cellStyle name="Normal 2 2 2 25 2 8" xfId="17198" xr:uid="{00000000-0005-0000-0000-000007430000}"/>
    <cellStyle name="Normal 2 2 2 25 2 9" xfId="17199" xr:uid="{00000000-0005-0000-0000-000008430000}"/>
    <cellStyle name="Normal 2 2 2 25 3" xfId="17200" xr:uid="{00000000-0005-0000-0000-000009430000}"/>
    <cellStyle name="Normal 2 2 2 25 3 10" xfId="17201" xr:uid="{00000000-0005-0000-0000-00000A430000}"/>
    <cellStyle name="Normal 2 2 2 25 3 2" xfId="17202" xr:uid="{00000000-0005-0000-0000-00000B430000}"/>
    <cellStyle name="Normal 2 2 2 25 3 3" xfId="17203" xr:uid="{00000000-0005-0000-0000-00000C430000}"/>
    <cellStyle name="Normal 2 2 2 25 3 4" xfId="17204" xr:uid="{00000000-0005-0000-0000-00000D430000}"/>
    <cellStyle name="Normal 2 2 2 25 3 5" xfId="17205" xr:uid="{00000000-0005-0000-0000-00000E430000}"/>
    <cellStyle name="Normal 2 2 2 25 3 6" xfId="17206" xr:uid="{00000000-0005-0000-0000-00000F430000}"/>
    <cellStyle name="Normal 2 2 2 25 3 7" xfId="17207" xr:uid="{00000000-0005-0000-0000-000010430000}"/>
    <cellStyle name="Normal 2 2 2 25 3 8" xfId="17208" xr:uid="{00000000-0005-0000-0000-000011430000}"/>
    <cellStyle name="Normal 2 2 2 25 3 9" xfId="17209" xr:uid="{00000000-0005-0000-0000-000012430000}"/>
    <cellStyle name="Normal 2 2 2 25 4" xfId="17210" xr:uid="{00000000-0005-0000-0000-000013430000}"/>
    <cellStyle name="Normal 2 2 2 25 4 10" xfId="17211" xr:uid="{00000000-0005-0000-0000-000014430000}"/>
    <cellStyle name="Normal 2 2 2 25 4 2" xfId="17212" xr:uid="{00000000-0005-0000-0000-000015430000}"/>
    <cellStyle name="Normal 2 2 2 25 4 3" xfId="17213" xr:uid="{00000000-0005-0000-0000-000016430000}"/>
    <cellStyle name="Normal 2 2 2 25 4 4" xfId="17214" xr:uid="{00000000-0005-0000-0000-000017430000}"/>
    <cellStyle name="Normal 2 2 2 25 4 5" xfId="17215" xr:uid="{00000000-0005-0000-0000-000018430000}"/>
    <cellStyle name="Normal 2 2 2 25 4 6" xfId="17216" xr:uid="{00000000-0005-0000-0000-000019430000}"/>
    <cellStyle name="Normal 2 2 2 25 4 7" xfId="17217" xr:uid="{00000000-0005-0000-0000-00001A430000}"/>
    <cellStyle name="Normal 2 2 2 25 4 8" xfId="17218" xr:uid="{00000000-0005-0000-0000-00001B430000}"/>
    <cellStyle name="Normal 2 2 2 25 4 9" xfId="17219" xr:uid="{00000000-0005-0000-0000-00001C430000}"/>
    <cellStyle name="Normal 2 2 2 25 5" xfId="17220" xr:uid="{00000000-0005-0000-0000-00001D430000}"/>
    <cellStyle name="Normal 2 2 2 25 5 10" xfId="17221" xr:uid="{00000000-0005-0000-0000-00001E430000}"/>
    <cellStyle name="Normal 2 2 2 25 5 2" xfId="17222" xr:uid="{00000000-0005-0000-0000-00001F430000}"/>
    <cellStyle name="Normal 2 2 2 25 5 3" xfId="17223" xr:uid="{00000000-0005-0000-0000-000020430000}"/>
    <cellStyle name="Normal 2 2 2 25 5 4" xfId="17224" xr:uid="{00000000-0005-0000-0000-000021430000}"/>
    <cellStyle name="Normal 2 2 2 25 5 5" xfId="17225" xr:uid="{00000000-0005-0000-0000-000022430000}"/>
    <cellStyle name="Normal 2 2 2 25 5 6" xfId="17226" xr:uid="{00000000-0005-0000-0000-000023430000}"/>
    <cellStyle name="Normal 2 2 2 25 5 7" xfId="17227" xr:uid="{00000000-0005-0000-0000-000024430000}"/>
    <cellStyle name="Normal 2 2 2 25 5 8" xfId="17228" xr:uid="{00000000-0005-0000-0000-000025430000}"/>
    <cellStyle name="Normal 2 2 2 25 5 9" xfId="17229" xr:uid="{00000000-0005-0000-0000-000026430000}"/>
    <cellStyle name="Normal 2 2 2 25 6" xfId="17230" xr:uid="{00000000-0005-0000-0000-000027430000}"/>
    <cellStyle name="Normal 2 2 2 25 7" xfId="17231" xr:uid="{00000000-0005-0000-0000-000028430000}"/>
    <cellStyle name="Normal 2 2 2 25 8" xfId="17232" xr:uid="{00000000-0005-0000-0000-000029430000}"/>
    <cellStyle name="Normal 2 2 2 25 9" xfId="17233" xr:uid="{00000000-0005-0000-0000-00002A430000}"/>
    <cellStyle name="Normal 2 2 2 26" xfId="17234" xr:uid="{00000000-0005-0000-0000-00002B430000}"/>
    <cellStyle name="Normal 2 2 2 26 10" xfId="17235" xr:uid="{00000000-0005-0000-0000-00002C430000}"/>
    <cellStyle name="Normal 2 2 2 26 11" xfId="17236" xr:uid="{00000000-0005-0000-0000-00002D430000}"/>
    <cellStyle name="Normal 2 2 2 26 12" xfId="17237" xr:uid="{00000000-0005-0000-0000-00002E430000}"/>
    <cellStyle name="Normal 2 2 2 26 13" xfId="17238" xr:uid="{00000000-0005-0000-0000-00002F430000}"/>
    <cellStyle name="Normal 2 2 2 26 14" xfId="17239" xr:uid="{00000000-0005-0000-0000-000030430000}"/>
    <cellStyle name="Normal 2 2 2 26 2" xfId="17240" xr:uid="{00000000-0005-0000-0000-000031430000}"/>
    <cellStyle name="Normal 2 2 2 26 2 10" xfId="17241" xr:uid="{00000000-0005-0000-0000-000032430000}"/>
    <cellStyle name="Normal 2 2 2 26 2 2" xfId="17242" xr:uid="{00000000-0005-0000-0000-000033430000}"/>
    <cellStyle name="Normal 2 2 2 26 2 3" xfId="17243" xr:uid="{00000000-0005-0000-0000-000034430000}"/>
    <cellStyle name="Normal 2 2 2 26 2 4" xfId="17244" xr:uid="{00000000-0005-0000-0000-000035430000}"/>
    <cellStyle name="Normal 2 2 2 26 2 5" xfId="17245" xr:uid="{00000000-0005-0000-0000-000036430000}"/>
    <cellStyle name="Normal 2 2 2 26 2 6" xfId="17246" xr:uid="{00000000-0005-0000-0000-000037430000}"/>
    <cellStyle name="Normal 2 2 2 26 2 7" xfId="17247" xr:uid="{00000000-0005-0000-0000-000038430000}"/>
    <cellStyle name="Normal 2 2 2 26 2 8" xfId="17248" xr:uid="{00000000-0005-0000-0000-000039430000}"/>
    <cellStyle name="Normal 2 2 2 26 2 9" xfId="17249" xr:uid="{00000000-0005-0000-0000-00003A430000}"/>
    <cellStyle name="Normal 2 2 2 26 3" xfId="17250" xr:uid="{00000000-0005-0000-0000-00003B430000}"/>
    <cellStyle name="Normal 2 2 2 26 3 10" xfId="17251" xr:uid="{00000000-0005-0000-0000-00003C430000}"/>
    <cellStyle name="Normal 2 2 2 26 3 2" xfId="17252" xr:uid="{00000000-0005-0000-0000-00003D430000}"/>
    <cellStyle name="Normal 2 2 2 26 3 3" xfId="17253" xr:uid="{00000000-0005-0000-0000-00003E430000}"/>
    <cellStyle name="Normal 2 2 2 26 3 4" xfId="17254" xr:uid="{00000000-0005-0000-0000-00003F430000}"/>
    <cellStyle name="Normal 2 2 2 26 3 5" xfId="17255" xr:uid="{00000000-0005-0000-0000-000040430000}"/>
    <cellStyle name="Normal 2 2 2 26 3 6" xfId="17256" xr:uid="{00000000-0005-0000-0000-000041430000}"/>
    <cellStyle name="Normal 2 2 2 26 3 7" xfId="17257" xr:uid="{00000000-0005-0000-0000-000042430000}"/>
    <cellStyle name="Normal 2 2 2 26 3 8" xfId="17258" xr:uid="{00000000-0005-0000-0000-000043430000}"/>
    <cellStyle name="Normal 2 2 2 26 3 9" xfId="17259" xr:uid="{00000000-0005-0000-0000-000044430000}"/>
    <cellStyle name="Normal 2 2 2 26 4" xfId="17260" xr:uid="{00000000-0005-0000-0000-000045430000}"/>
    <cellStyle name="Normal 2 2 2 26 4 10" xfId="17261" xr:uid="{00000000-0005-0000-0000-000046430000}"/>
    <cellStyle name="Normal 2 2 2 26 4 2" xfId="17262" xr:uid="{00000000-0005-0000-0000-000047430000}"/>
    <cellStyle name="Normal 2 2 2 26 4 3" xfId="17263" xr:uid="{00000000-0005-0000-0000-000048430000}"/>
    <cellStyle name="Normal 2 2 2 26 4 4" xfId="17264" xr:uid="{00000000-0005-0000-0000-000049430000}"/>
    <cellStyle name="Normal 2 2 2 26 4 5" xfId="17265" xr:uid="{00000000-0005-0000-0000-00004A430000}"/>
    <cellStyle name="Normal 2 2 2 26 4 6" xfId="17266" xr:uid="{00000000-0005-0000-0000-00004B430000}"/>
    <cellStyle name="Normal 2 2 2 26 4 7" xfId="17267" xr:uid="{00000000-0005-0000-0000-00004C430000}"/>
    <cellStyle name="Normal 2 2 2 26 4 8" xfId="17268" xr:uid="{00000000-0005-0000-0000-00004D430000}"/>
    <cellStyle name="Normal 2 2 2 26 4 9" xfId="17269" xr:uid="{00000000-0005-0000-0000-00004E430000}"/>
    <cellStyle name="Normal 2 2 2 26 5" xfId="17270" xr:uid="{00000000-0005-0000-0000-00004F430000}"/>
    <cellStyle name="Normal 2 2 2 26 5 10" xfId="17271" xr:uid="{00000000-0005-0000-0000-000050430000}"/>
    <cellStyle name="Normal 2 2 2 26 5 2" xfId="17272" xr:uid="{00000000-0005-0000-0000-000051430000}"/>
    <cellStyle name="Normal 2 2 2 26 5 3" xfId="17273" xr:uid="{00000000-0005-0000-0000-000052430000}"/>
    <cellStyle name="Normal 2 2 2 26 5 4" xfId="17274" xr:uid="{00000000-0005-0000-0000-000053430000}"/>
    <cellStyle name="Normal 2 2 2 26 5 5" xfId="17275" xr:uid="{00000000-0005-0000-0000-000054430000}"/>
    <cellStyle name="Normal 2 2 2 26 5 6" xfId="17276" xr:uid="{00000000-0005-0000-0000-000055430000}"/>
    <cellStyle name="Normal 2 2 2 26 5 7" xfId="17277" xr:uid="{00000000-0005-0000-0000-000056430000}"/>
    <cellStyle name="Normal 2 2 2 26 5 8" xfId="17278" xr:uid="{00000000-0005-0000-0000-000057430000}"/>
    <cellStyle name="Normal 2 2 2 26 5 9" xfId="17279" xr:uid="{00000000-0005-0000-0000-000058430000}"/>
    <cellStyle name="Normal 2 2 2 26 6" xfId="17280" xr:uid="{00000000-0005-0000-0000-000059430000}"/>
    <cellStyle name="Normal 2 2 2 26 7" xfId="17281" xr:uid="{00000000-0005-0000-0000-00005A430000}"/>
    <cellStyle name="Normal 2 2 2 26 8" xfId="17282" xr:uid="{00000000-0005-0000-0000-00005B430000}"/>
    <cellStyle name="Normal 2 2 2 26 9" xfId="17283" xr:uid="{00000000-0005-0000-0000-00005C430000}"/>
    <cellStyle name="Normal 2 2 2 27" xfId="17284" xr:uid="{00000000-0005-0000-0000-00005D430000}"/>
    <cellStyle name="Normal 2 2 2 27 10" xfId="17285" xr:uid="{00000000-0005-0000-0000-00005E430000}"/>
    <cellStyle name="Normal 2 2 2 27 11" xfId="17286" xr:uid="{00000000-0005-0000-0000-00005F430000}"/>
    <cellStyle name="Normal 2 2 2 27 12" xfId="17287" xr:uid="{00000000-0005-0000-0000-000060430000}"/>
    <cellStyle name="Normal 2 2 2 27 13" xfId="17288" xr:uid="{00000000-0005-0000-0000-000061430000}"/>
    <cellStyle name="Normal 2 2 2 27 14" xfId="17289" xr:uid="{00000000-0005-0000-0000-000062430000}"/>
    <cellStyle name="Normal 2 2 2 27 2" xfId="17290" xr:uid="{00000000-0005-0000-0000-000063430000}"/>
    <cellStyle name="Normal 2 2 2 27 2 10" xfId="17291" xr:uid="{00000000-0005-0000-0000-000064430000}"/>
    <cellStyle name="Normal 2 2 2 27 2 2" xfId="17292" xr:uid="{00000000-0005-0000-0000-000065430000}"/>
    <cellStyle name="Normal 2 2 2 27 2 3" xfId="17293" xr:uid="{00000000-0005-0000-0000-000066430000}"/>
    <cellStyle name="Normal 2 2 2 27 2 4" xfId="17294" xr:uid="{00000000-0005-0000-0000-000067430000}"/>
    <cellStyle name="Normal 2 2 2 27 2 5" xfId="17295" xr:uid="{00000000-0005-0000-0000-000068430000}"/>
    <cellStyle name="Normal 2 2 2 27 2 6" xfId="17296" xr:uid="{00000000-0005-0000-0000-000069430000}"/>
    <cellStyle name="Normal 2 2 2 27 2 7" xfId="17297" xr:uid="{00000000-0005-0000-0000-00006A430000}"/>
    <cellStyle name="Normal 2 2 2 27 2 8" xfId="17298" xr:uid="{00000000-0005-0000-0000-00006B430000}"/>
    <cellStyle name="Normal 2 2 2 27 2 9" xfId="17299" xr:uid="{00000000-0005-0000-0000-00006C430000}"/>
    <cellStyle name="Normal 2 2 2 27 3" xfId="17300" xr:uid="{00000000-0005-0000-0000-00006D430000}"/>
    <cellStyle name="Normal 2 2 2 27 3 10" xfId="17301" xr:uid="{00000000-0005-0000-0000-00006E430000}"/>
    <cellStyle name="Normal 2 2 2 27 3 2" xfId="17302" xr:uid="{00000000-0005-0000-0000-00006F430000}"/>
    <cellStyle name="Normal 2 2 2 27 3 3" xfId="17303" xr:uid="{00000000-0005-0000-0000-000070430000}"/>
    <cellStyle name="Normal 2 2 2 27 3 4" xfId="17304" xr:uid="{00000000-0005-0000-0000-000071430000}"/>
    <cellStyle name="Normal 2 2 2 27 3 5" xfId="17305" xr:uid="{00000000-0005-0000-0000-000072430000}"/>
    <cellStyle name="Normal 2 2 2 27 3 6" xfId="17306" xr:uid="{00000000-0005-0000-0000-000073430000}"/>
    <cellStyle name="Normal 2 2 2 27 3 7" xfId="17307" xr:uid="{00000000-0005-0000-0000-000074430000}"/>
    <cellStyle name="Normal 2 2 2 27 3 8" xfId="17308" xr:uid="{00000000-0005-0000-0000-000075430000}"/>
    <cellStyle name="Normal 2 2 2 27 3 9" xfId="17309" xr:uid="{00000000-0005-0000-0000-000076430000}"/>
    <cellStyle name="Normal 2 2 2 27 4" xfId="17310" xr:uid="{00000000-0005-0000-0000-000077430000}"/>
    <cellStyle name="Normal 2 2 2 27 4 10" xfId="17311" xr:uid="{00000000-0005-0000-0000-000078430000}"/>
    <cellStyle name="Normal 2 2 2 27 4 2" xfId="17312" xr:uid="{00000000-0005-0000-0000-000079430000}"/>
    <cellStyle name="Normal 2 2 2 27 4 3" xfId="17313" xr:uid="{00000000-0005-0000-0000-00007A430000}"/>
    <cellStyle name="Normal 2 2 2 27 4 4" xfId="17314" xr:uid="{00000000-0005-0000-0000-00007B430000}"/>
    <cellStyle name="Normal 2 2 2 27 4 5" xfId="17315" xr:uid="{00000000-0005-0000-0000-00007C430000}"/>
    <cellStyle name="Normal 2 2 2 27 4 6" xfId="17316" xr:uid="{00000000-0005-0000-0000-00007D430000}"/>
    <cellStyle name="Normal 2 2 2 27 4 7" xfId="17317" xr:uid="{00000000-0005-0000-0000-00007E430000}"/>
    <cellStyle name="Normal 2 2 2 27 4 8" xfId="17318" xr:uid="{00000000-0005-0000-0000-00007F430000}"/>
    <cellStyle name="Normal 2 2 2 27 4 9" xfId="17319" xr:uid="{00000000-0005-0000-0000-000080430000}"/>
    <cellStyle name="Normal 2 2 2 27 5" xfId="17320" xr:uid="{00000000-0005-0000-0000-000081430000}"/>
    <cellStyle name="Normal 2 2 2 27 5 10" xfId="17321" xr:uid="{00000000-0005-0000-0000-000082430000}"/>
    <cellStyle name="Normal 2 2 2 27 5 2" xfId="17322" xr:uid="{00000000-0005-0000-0000-000083430000}"/>
    <cellStyle name="Normal 2 2 2 27 5 3" xfId="17323" xr:uid="{00000000-0005-0000-0000-000084430000}"/>
    <cellStyle name="Normal 2 2 2 27 5 4" xfId="17324" xr:uid="{00000000-0005-0000-0000-000085430000}"/>
    <cellStyle name="Normal 2 2 2 27 5 5" xfId="17325" xr:uid="{00000000-0005-0000-0000-000086430000}"/>
    <cellStyle name="Normal 2 2 2 27 5 6" xfId="17326" xr:uid="{00000000-0005-0000-0000-000087430000}"/>
    <cellStyle name="Normal 2 2 2 27 5 7" xfId="17327" xr:uid="{00000000-0005-0000-0000-000088430000}"/>
    <cellStyle name="Normal 2 2 2 27 5 8" xfId="17328" xr:uid="{00000000-0005-0000-0000-000089430000}"/>
    <cellStyle name="Normal 2 2 2 27 5 9" xfId="17329" xr:uid="{00000000-0005-0000-0000-00008A430000}"/>
    <cellStyle name="Normal 2 2 2 27 6" xfId="17330" xr:uid="{00000000-0005-0000-0000-00008B430000}"/>
    <cellStyle name="Normal 2 2 2 27 7" xfId="17331" xr:uid="{00000000-0005-0000-0000-00008C430000}"/>
    <cellStyle name="Normal 2 2 2 27 8" xfId="17332" xr:uid="{00000000-0005-0000-0000-00008D430000}"/>
    <cellStyle name="Normal 2 2 2 27 9" xfId="17333" xr:uid="{00000000-0005-0000-0000-00008E430000}"/>
    <cellStyle name="Normal 2 2 2 28" xfId="17334" xr:uid="{00000000-0005-0000-0000-00008F430000}"/>
    <cellStyle name="Normal 2 2 2 28 10" xfId="17335" xr:uid="{00000000-0005-0000-0000-000090430000}"/>
    <cellStyle name="Normal 2 2 2 28 11" xfId="17336" xr:uid="{00000000-0005-0000-0000-000091430000}"/>
    <cellStyle name="Normal 2 2 2 28 12" xfId="17337" xr:uid="{00000000-0005-0000-0000-000092430000}"/>
    <cellStyle name="Normal 2 2 2 28 13" xfId="17338" xr:uid="{00000000-0005-0000-0000-000093430000}"/>
    <cellStyle name="Normal 2 2 2 28 14" xfId="17339" xr:uid="{00000000-0005-0000-0000-000094430000}"/>
    <cellStyle name="Normal 2 2 2 28 2" xfId="17340" xr:uid="{00000000-0005-0000-0000-000095430000}"/>
    <cellStyle name="Normal 2 2 2 28 2 10" xfId="17341" xr:uid="{00000000-0005-0000-0000-000096430000}"/>
    <cellStyle name="Normal 2 2 2 28 2 2" xfId="17342" xr:uid="{00000000-0005-0000-0000-000097430000}"/>
    <cellStyle name="Normal 2 2 2 28 2 3" xfId="17343" xr:uid="{00000000-0005-0000-0000-000098430000}"/>
    <cellStyle name="Normal 2 2 2 28 2 4" xfId="17344" xr:uid="{00000000-0005-0000-0000-000099430000}"/>
    <cellStyle name="Normal 2 2 2 28 2 5" xfId="17345" xr:uid="{00000000-0005-0000-0000-00009A430000}"/>
    <cellStyle name="Normal 2 2 2 28 2 6" xfId="17346" xr:uid="{00000000-0005-0000-0000-00009B430000}"/>
    <cellStyle name="Normal 2 2 2 28 2 7" xfId="17347" xr:uid="{00000000-0005-0000-0000-00009C430000}"/>
    <cellStyle name="Normal 2 2 2 28 2 8" xfId="17348" xr:uid="{00000000-0005-0000-0000-00009D430000}"/>
    <cellStyle name="Normal 2 2 2 28 2 9" xfId="17349" xr:uid="{00000000-0005-0000-0000-00009E430000}"/>
    <cellStyle name="Normal 2 2 2 28 3" xfId="17350" xr:uid="{00000000-0005-0000-0000-00009F430000}"/>
    <cellStyle name="Normal 2 2 2 28 3 10" xfId="17351" xr:uid="{00000000-0005-0000-0000-0000A0430000}"/>
    <cellStyle name="Normal 2 2 2 28 3 2" xfId="17352" xr:uid="{00000000-0005-0000-0000-0000A1430000}"/>
    <cellStyle name="Normal 2 2 2 28 3 3" xfId="17353" xr:uid="{00000000-0005-0000-0000-0000A2430000}"/>
    <cellStyle name="Normal 2 2 2 28 3 4" xfId="17354" xr:uid="{00000000-0005-0000-0000-0000A3430000}"/>
    <cellStyle name="Normal 2 2 2 28 3 5" xfId="17355" xr:uid="{00000000-0005-0000-0000-0000A4430000}"/>
    <cellStyle name="Normal 2 2 2 28 3 6" xfId="17356" xr:uid="{00000000-0005-0000-0000-0000A5430000}"/>
    <cellStyle name="Normal 2 2 2 28 3 7" xfId="17357" xr:uid="{00000000-0005-0000-0000-0000A6430000}"/>
    <cellStyle name="Normal 2 2 2 28 3 8" xfId="17358" xr:uid="{00000000-0005-0000-0000-0000A7430000}"/>
    <cellStyle name="Normal 2 2 2 28 3 9" xfId="17359" xr:uid="{00000000-0005-0000-0000-0000A8430000}"/>
    <cellStyle name="Normal 2 2 2 28 4" xfId="17360" xr:uid="{00000000-0005-0000-0000-0000A9430000}"/>
    <cellStyle name="Normal 2 2 2 28 4 10" xfId="17361" xr:uid="{00000000-0005-0000-0000-0000AA430000}"/>
    <cellStyle name="Normal 2 2 2 28 4 2" xfId="17362" xr:uid="{00000000-0005-0000-0000-0000AB430000}"/>
    <cellStyle name="Normal 2 2 2 28 4 3" xfId="17363" xr:uid="{00000000-0005-0000-0000-0000AC430000}"/>
    <cellStyle name="Normal 2 2 2 28 4 4" xfId="17364" xr:uid="{00000000-0005-0000-0000-0000AD430000}"/>
    <cellStyle name="Normal 2 2 2 28 4 5" xfId="17365" xr:uid="{00000000-0005-0000-0000-0000AE430000}"/>
    <cellStyle name="Normal 2 2 2 28 4 6" xfId="17366" xr:uid="{00000000-0005-0000-0000-0000AF430000}"/>
    <cellStyle name="Normal 2 2 2 28 4 7" xfId="17367" xr:uid="{00000000-0005-0000-0000-0000B0430000}"/>
    <cellStyle name="Normal 2 2 2 28 4 8" xfId="17368" xr:uid="{00000000-0005-0000-0000-0000B1430000}"/>
    <cellStyle name="Normal 2 2 2 28 4 9" xfId="17369" xr:uid="{00000000-0005-0000-0000-0000B2430000}"/>
    <cellStyle name="Normal 2 2 2 28 5" xfId="17370" xr:uid="{00000000-0005-0000-0000-0000B3430000}"/>
    <cellStyle name="Normal 2 2 2 28 5 10" xfId="17371" xr:uid="{00000000-0005-0000-0000-0000B4430000}"/>
    <cellStyle name="Normal 2 2 2 28 5 2" xfId="17372" xr:uid="{00000000-0005-0000-0000-0000B5430000}"/>
    <cellStyle name="Normal 2 2 2 28 5 3" xfId="17373" xr:uid="{00000000-0005-0000-0000-0000B6430000}"/>
    <cellStyle name="Normal 2 2 2 28 5 4" xfId="17374" xr:uid="{00000000-0005-0000-0000-0000B7430000}"/>
    <cellStyle name="Normal 2 2 2 28 5 5" xfId="17375" xr:uid="{00000000-0005-0000-0000-0000B8430000}"/>
    <cellStyle name="Normal 2 2 2 28 5 6" xfId="17376" xr:uid="{00000000-0005-0000-0000-0000B9430000}"/>
    <cellStyle name="Normal 2 2 2 28 5 7" xfId="17377" xr:uid="{00000000-0005-0000-0000-0000BA430000}"/>
    <cellStyle name="Normal 2 2 2 28 5 8" xfId="17378" xr:uid="{00000000-0005-0000-0000-0000BB430000}"/>
    <cellStyle name="Normal 2 2 2 28 5 9" xfId="17379" xr:uid="{00000000-0005-0000-0000-0000BC430000}"/>
    <cellStyle name="Normal 2 2 2 28 6" xfId="17380" xr:uid="{00000000-0005-0000-0000-0000BD430000}"/>
    <cellStyle name="Normal 2 2 2 28 7" xfId="17381" xr:uid="{00000000-0005-0000-0000-0000BE430000}"/>
    <cellStyle name="Normal 2 2 2 28 8" xfId="17382" xr:uid="{00000000-0005-0000-0000-0000BF430000}"/>
    <cellStyle name="Normal 2 2 2 28 9" xfId="17383" xr:uid="{00000000-0005-0000-0000-0000C0430000}"/>
    <cellStyle name="Normal 2 2 2 29" xfId="17384" xr:uid="{00000000-0005-0000-0000-0000C1430000}"/>
    <cellStyle name="Normal 2 2 2 29 10" xfId="17385" xr:uid="{00000000-0005-0000-0000-0000C2430000}"/>
    <cellStyle name="Normal 2 2 2 29 11" xfId="17386" xr:uid="{00000000-0005-0000-0000-0000C3430000}"/>
    <cellStyle name="Normal 2 2 2 29 12" xfId="17387" xr:uid="{00000000-0005-0000-0000-0000C4430000}"/>
    <cellStyle name="Normal 2 2 2 29 13" xfId="17388" xr:uid="{00000000-0005-0000-0000-0000C5430000}"/>
    <cellStyle name="Normal 2 2 2 29 14" xfId="17389" xr:uid="{00000000-0005-0000-0000-0000C6430000}"/>
    <cellStyle name="Normal 2 2 2 29 2" xfId="17390" xr:uid="{00000000-0005-0000-0000-0000C7430000}"/>
    <cellStyle name="Normal 2 2 2 29 2 10" xfId="17391" xr:uid="{00000000-0005-0000-0000-0000C8430000}"/>
    <cellStyle name="Normal 2 2 2 29 2 2" xfId="17392" xr:uid="{00000000-0005-0000-0000-0000C9430000}"/>
    <cellStyle name="Normal 2 2 2 29 2 3" xfId="17393" xr:uid="{00000000-0005-0000-0000-0000CA430000}"/>
    <cellStyle name="Normal 2 2 2 29 2 4" xfId="17394" xr:uid="{00000000-0005-0000-0000-0000CB430000}"/>
    <cellStyle name="Normal 2 2 2 29 2 5" xfId="17395" xr:uid="{00000000-0005-0000-0000-0000CC430000}"/>
    <cellStyle name="Normal 2 2 2 29 2 6" xfId="17396" xr:uid="{00000000-0005-0000-0000-0000CD430000}"/>
    <cellStyle name="Normal 2 2 2 29 2 7" xfId="17397" xr:uid="{00000000-0005-0000-0000-0000CE430000}"/>
    <cellStyle name="Normal 2 2 2 29 2 8" xfId="17398" xr:uid="{00000000-0005-0000-0000-0000CF430000}"/>
    <cellStyle name="Normal 2 2 2 29 2 9" xfId="17399" xr:uid="{00000000-0005-0000-0000-0000D0430000}"/>
    <cellStyle name="Normal 2 2 2 29 3" xfId="17400" xr:uid="{00000000-0005-0000-0000-0000D1430000}"/>
    <cellStyle name="Normal 2 2 2 29 3 10" xfId="17401" xr:uid="{00000000-0005-0000-0000-0000D2430000}"/>
    <cellStyle name="Normal 2 2 2 29 3 2" xfId="17402" xr:uid="{00000000-0005-0000-0000-0000D3430000}"/>
    <cellStyle name="Normal 2 2 2 29 3 3" xfId="17403" xr:uid="{00000000-0005-0000-0000-0000D4430000}"/>
    <cellStyle name="Normal 2 2 2 29 3 4" xfId="17404" xr:uid="{00000000-0005-0000-0000-0000D5430000}"/>
    <cellStyle name="Normal 2 2 2 29 3 5" xfId="17405" xr:uid="{00000000-0005-0000-0000-0000D6430000}"/>
    <cellStyle name="Normal 2 2 2 29 3 6" xfId="17406" xr:uid="{00000000-0005-0000-0000-0000D7430000}"/>
    <cellStyle name="Normal 2 2 2 29 3 7" xfId="17407" xr:uid="{00000000-0005-0000-0000-0000D8430000}"/>
    <cellStyle name="Normal 2 2 2 29 3 8" xfId="17408" xr:uid="{00000000-0005-0000-0000-0000D9430000}"/>
    <cellStyle name="Normal 2 2 2 29 3 9" xfId="17409" xr:uid="{00000000-0005-0000-0000-0000DA430000}"/>
    <cellStyle name="Normal 2 2 2 29 4" xfId="17410" xr:uid="{00000000-0005-0000-0000-0000DB430000}"/>
    <cellStyle name="Normal 2 2 2 29 4 10" xfId="17411" xr:uid="{00000000-0005-0000-0000-0000DC430000}"/>
    <cellStyle name="Normal 2 2 2 29 4 2" xfId="17412" xr:uid="{00000000-0005-0000-0000-0000DD430000}"/>
    <cellStyle name="Normal 2 2 2 29 4 3" xfId="17413" xr:uid="{00000000-0005-0000-0000-0000DE430000}"/>
    <cellStyle name="Normal 2 2 2 29 4 4" xfId="17414" xr:uid="{00000000-0005-0000-0000-0000DF430000}"/>
    <cellStyle name="Normal 2 2 2 29 4 5" xfId="17415" xr:uid="{00000000-0005-0000-0000-0000E0430000}"/>
    <cellStyle name="Normal 2 2 2 29 4 6" xfId="17416" xr:uid="{00000000-0005-0000-0000-0000E1430000}"/>
    <cellStyle name="Normal 2 2 2 29 4 7" xfId="17417" xr:uid="{00000000-0005-0000-0000-0000E2430000}"/>
    <cellStyle name="Normal 2 2 2 29 4 8" xfId="17418" xr:uid="{00000000-0005-0000-0000-0000E3430000}"/>
    <cellStyle name="Normal 2 2 2 29 4 9" xfId="17419" xr:uid="{00000000-0005-0000-0000-0000E4430000}"/>
    <cellStyle name="Normal 2 2 2 29 5" xfId="17420" xr:uid="{00000000-0005-0000-0000-0000E5430000}"/>
    <cellStyle name="Normal 2 2 2 29 5 10" xfId="17421" xr:uid="{00000000-0005-0000-0000-0000E6430000}"/>
    <cellStyle name="Normal 2 2 2 29 5 2" xfId="17422" xr:uid="{00000000-0005-0000-0000-0000E7430000}"/>
    <cellStyle name="Normal 2 2 2 29 5 3" xfId="17423" xr:uid="{00000000-0005-0000-0000-0000E8430000}"/>
    <cellStyle name="Normal 2 2 2 29 5 4" xfId="17424" xr:uid="{00000000-0005-0000-0000-0000E9430000}"/>
    <cellStyle name="Normal 2 2 2 29 5 5" xfId="17425" xr:uid="{00000000-0005-0000-0000-0000EA430000}"/>
    <cellStyle name="Normal 2 2 2 29 5 6" xfId="17426" xr:uid="{00000000-0005-0000-0000-0000EB430000}"/>
    <cellStyle name="Normal 2 2 2 29 5 7" xfId="17427" xr:uid="{00000000-0005-0000-0000-0000EC430000}"/>
    <cellStyle name="Normal 2 2 2 29 5 8" xfId="17428" xr:uid="{00000000-0005-0000-0000-0000ED430000}"/>
    <cellStyle name="Normal 2 2 2 29 5 9" xfId="17429" xr:uid="{00000000-0005-0000-0000-0000EE430000}"/>
    <cellStyle name="Normal 2 2 2 29 6" xfId="17430" xr:uid="{00000000-0005-0000-0000-0000EF430000}"/>
    <cellStyle name="Normal 2 2 2 29 7" xfId="17431" xr:uid="{00000000-0005-0000-0000-0000F0430000}"/>
    <cellStyle name="Normal 2 2 2 29 8" xfId="17432" xr:uid="{00000000-0005-0000-0000-0000F1430000}"/>
    <cellStyle name="Normal 2 2 2 29 9" xfId="17433" xr:uid="{00000000-0005-0000-0000-0000F2430000}"/>
    <cellStyle name="Normal 2 2 2 3" xfId="20" xr:uid="{00000000-0005-0000-0000-0000F3430000}"/>
    <cellStyle name="Normal 2 2 2 3 10" xfId="17434" xr:uid="{00000000-0005-0000-0000-0000F4430000}"/>
    <cellStyle name="Normal 2 2 2 3 10 10" xfId="17435" xr:uid="{00000000-0005-0000-0000-0000F5430000}"/>
    <cellStyle name="Normal 2 2 2 3 10 11" xfId="17436" xr:uid="{00000000-0005-0000-0000-0000F6430000}"/>
    <cellStyle name="Normal 2 2 2 3 10 12" xfId="17437" xr:uid="{00000000-0005-0000-0000-0000F7430000}"/>
    <cellStyle name="Normal 2 2 2 3 10 13" xfId="17438" xr:uid="{00000000-0005-0000-0000-0000F8430000}"/>
    <cellStyle name="Normal 2 2 2 3 10 14" xfId="17439" xr:uid="{00000000-0005-0000-0000-0000F9430000}"/>
    <cellStyle name="Normal 2 2 2 3 10 2" xfId="17440" xr:uid="{00000000-0005-0000-0000-0000FA430000}"/>
    <cellStyle name="Normal 2 2 2 3 10 2 10" xfId="17441" xr:uid="{00000000-0005-0000-0000-0000FB430000}"/>
    <cellStyle name="Normal 2 2 2 3 10 2 2" xfId="17442" xr:uid="{00000000-0005-0000-0000-0000FC430000}"/>
    <cellStyle name="Normal 2 2 2 3 10 2 3" xfId="17443" xr:uid="{00000000-0005-0000-0000-0000FD430000}"/>
    <cellStyle name="Normal 2 2 2 3 10 2 4" xfId="17444" xr:uid="{00000000-0005-0000-0000-0000FE430000}"/>
    <cellStyle name="Normal 2 2 2 3 10 2 5" xfId="17445" xr:uid="{00000000-0005-0000-0000-0000FF430000}"/>
    <cellStyle name="Normal 2 2 2 3 10 2 6" xfId="17446" xr:uid="{00000000-0005-0000-0000-000000440000}"/>
    <cellStyle name="Normal 2 2 2 3 10 2 7" xfId="17447" xr:uid="{00000000-0005-0000-0000-000001440000}"/>
    <cellStyle name="Normal 2 2 2 3 10 2 8" xfId="17448" xr:uid="{00000000-0005-0000-0000-000002440000}"/>
    <cellStyle name="Normal 2 2 2 3 10 2 9" xfId="17449" xr:uid="{00000000-0005-0000-0000-000003440000}"/>
    <cellStyle name="Normal 2 2 2 3 10 3" xfId="17450" xr:uid="{00000000-0005-0000-0000-000004440000}"/>
    <cellStyle name="Normal 2 2 2 3 10 3 10" xfId="17451" xr:uid="{00000000-0005-0000-0000-000005440000}"/>
    <cellStyle name="Normal 2 2 2 3 10 3 2" xfId="17452" xr:uid="{00000000-0005-0000-0000-000006440000}"/>
    <cellStyle name="Normal 2 2 2 3 10 3 3" xfId="17453" xr:uid="{00000000-0005-0000-0000-000007440000}"/>
    <cellStyle name="Normal 2 2 2 3 10 3 4" xfId="17454" xr:uid="{00000000-0005-0000-0000-000008440000}"/>
    <cellStyle name="Normal 2 2 2 3 10 3 5" xfId="17455" xr:uid="{00000000-0005-0000-0000-000009440000}"/>
    <cellStyle name="Normal 2 2 2 3 10 3 6" xfId="17456" xr:uid="{00000000-0005-0000-0000-00000A440000}"/>
    <cellStyle name="Normal 2 2 2 3 10 3 7" xfId="17457" xr:uid="{00000000-0005-0000-0000-00000B440000}"/>
    <cellStyle name="Normal 2 2 2 3 10 3 8" xfId="17458" xr:uid="{00000000-0005-0000-0000-00000C440000}"/>
    <cellStyle name="Normal 2 2 2 3 10 3 9" xfId="17459" xr:uid="{00000000-0005-0000-0000-00000D440000}"/>
    <cellStyle name="Normal 2 2 2 3 10 4" xfId="17460" xr:uid="{00000000-0005-0000-0000-00000E440000}"/>
    <cellStyle name="Normal 2 2 2 3 10 4 10" xfId="17461" xr:uid="{00000000-0005-0000-0000-00000F440000}"/>
    <cellStyle name="Normal 2 2 2 3 10 4 2" xfId="17462" xr:uid="{00000000-0005-0000-0000-000010440000}"/>
    <cellStyle name="Normal 2 2 2 3 10 4 3" xfId="17463" xr:uid="{00000000-0005-0000-0000-000011440000}"/>
    <cellStyle name="Normal 2 2 2 3 10 4 4" xfId="17464" xr:uid="{00000000-0005-0000-0000-000012440000}"/>
    <cellStyle name="Normal 2 2 2 3 10 4 5" xfId="17465" xr:uid="{00000000-0005-0000-0000-000013440000}"/>
    <cellStyle name="Normal 2 2 2 3 10 4 6" xfId="17466" xr:uid="{00000000-0005-0000-0000-000014440000}"/>
    <cellStyle name="Normal 2 2 2 3 10 4 7" xfId="17467" xr:uid="{00000000-0005-0000-0000-000015440000}"/>
    <cellStyle name="Normal 2 2 2 3 10 4 8" xfId="17468" xr:uid="{00000000-0005-0000-0000-000016440000}"/>
    <cellStyle name="Normal 2 2 2 3 10 4 9" xfId="17469" xr:uid="{00000000-0005-0000-0000-000017440000}"/>
    <cellStyle name="Normal 2 2 2 3 10 5" xfId="17470" xr:uid="{00000000-0005-0000-0000-000018440000}"/>
    <cellStyle name="Normal 2 2 2 3 10 5 10" xfId="17471" xr:uid="{00000000-0005-0000-0000-000019440000}"/>
    <cellStyle name="Normal 2 2 2 3 10 5 2" xfId="17472" xr:uid="{00000000-0005-0000-0000-00001A440000}"/>
    <cellStyle name="Normal 2 2 2 3 10 5 3" xfId="17473" xr:uid="{00000000-0005-0000-0000-00001B440000}"/>
    <cellStyle name="Normal 2 2 2 3 10 5 4" xfId="17474" xr:uid="{00000000-0005-0000-0000-00001C440000}"/>
    <cellStyle name="Normal 2 2 2 3 10 5 5" xfId="17475" xr:uid="{00000000-0005-0000-0000-00001D440000}"/>
    <cellStyle name="Normal 2 2 2 3 10 5 6" xfId="17476" xr:uid="{00000000-0005-0000-0000-00001E440000}"/>
    <cellStyle name="Normal 2 2 2 3 10 5 7" xfId="17477" xr:uid="{00000000-0005-0000-0000-00001F440000}"/>
    <cellStyle name="Normal 2 2 2 3 10 5 8" xfId="17478" xr:uid="{00000000-0005-0000-0000-000020440000}"/>
    <cellStyle name="Normal 2 2 2 3 10 5 9" xfId="17479" xr:uid="{00000000-0005-0000-0000-000021440000}"/>
    <cellStyle name="Normal 2 2 2 3 10 6" xfId="17480" xr:uid="{00000000-0005-0000-0000-000022440000}"/>
    <cellStyle name="Normal 2 2 2 3 10 7" xfId="17481" xr:uid="{00000000-0005-0000-0000-000023440000}"/>
    <cellStyle name="Normal 2 2 2 3 10 8" xfId="17482" xr:uid="{00000000-0005-0000-0000-000024440000}"/>
    <cellStyle name="Normal 2 2 2 3 10 9" xfId="17483" xr:uid="{00000000-0005-0000-0000-000025440000}"/>
    <cellStyle name="Normal 2 2 2 3 11" xfId="17484" xr:uid="{00000000-0005-0000-0000-000026440000}"/>
    <cellStyle name="Normal 2 2 2 3 11 10" xfId="17485" xr:uid="{00000000-0005-0000-0000-000027440000}"/>
    <cellStyle name="Normal 2 2 2 3 11 11" xfId="17486" xr:uid="{00000000-0005-0000-0000-000028440000}"/>
    <cellStyle name="Normal 2 2 2 3 11 12" xfId="17487" xr:uid="{00000000-0005-0000-0000-000029440000}"/>
    <cellStyle name="Normal 2 2 2 3 11 13" xfId="17488" xr:uid="{00000000-0005-0000-0000-00002A440000}"/>
    <cellStyle name="Normal 2 2 2 3 11 14" xfId="17489" xr:uid="{00000000-0005-0000-0000-00002B440000}"/>
    <cellStyle name="Normal 2 2 2 3 11 2" xfId="17490" xr:uid="{00000000-0005-0000-0000-00002C440000}"/>
    <cellStyle name="Normal 2 2 2 3 11 2 10" xfId="17491" xr:uid="{00000000-0005-0000-0000-00002D440000}"/>
    <cellStyle name="Normal 2 2 2 3 11 2 2" xfId="17492" xr:uid="{00000000-0005-0000-0000-00002E440000}"/>
    <cellStyle name="Normal 2 2 2 3 11 2 3" xfId="17493" xr:uid="{00000000-0005-0000-0000-00002F440000}"/>
    <cellStyle name="Normal 2 2 2 3 11 2 4" xfId="17494" xr:uid="{00000000-0005-0000-0000-000030440000}"/>
    <cellStyle name="Normal 2 2 2 3 11 2 5" xfId="17495" xr:uid="{00000000-0005-0000-0000-000031440000}"/>
    <cellStyle name="Normal 2 2 2 3 11 2 6" xfId="17496" xr:uid="{00000000-0005-0000-0000-000032440000}"/>
    <cellStyle name="Normal 2 2 2 3 11 2 7" xfId="17497" xr:uid="{00000000-0005-0000-0000-000033440000}"/>
    <cellStyle name="Normal 2 2 2 3 11 2 8" xfId="17498" xr:uid="{00000000-0005-0000-0000-000034440000}"/>
    <cellStyle name="Normal 2 2 2 3 11 2 9" xfId="17499" xr:uid="{00000000-0005-0000-0000-000035440000}"/>
    <cellStyle name="Normal 2 2 2 3 11 3" xfId="17500" xr:uid="{00000000-0005-0000-0000-000036440000}"/>
    <cellStyle name="Normal 2 2 2 3 11 3 10" xfId="17501" xr:uid="{00000000-0005-0000-0000-000037440000}"/>
    <cellStyle name="Normal 2 2 2 3 11 3 2" xfId="17502" xr:uid="{00000000-0005-0000-0000-000038440000}"/>
    <cellStyle name="Normal 2 2 2 3 11 3 3" xfId="17503" xr:uid="{00000000-0005-0000-0000-000039440000}"/>
    <cellStyle name="Normal 2 2 2 3 11 3 4" xfId="17504" xr:uid="{00000000-0005-0000-0000-00003A440000}"/>
    <cellStyle name="Normal 2 2 2 3 11 3 5" xfId="17505" xr:uid="{00000000-0005-0000-0000-00003B440000}"/>
    <cellStyle name="Normal 2 2 2 3 11 3 6" xfId="17506" xr:uid="{00000000-0005-0000-0000-00003C440000}"/>
    <cellStyle name="Normal 2 2 2 3 11 3 7" xfId="17507" xr:uid="{00000000-0005-0000-0000-00003D440000}"/>
    <cellStyle name="Normal 2 2 2 3 11 3 8" xfId="17508" xr:uid="{00000000-0005-0000-0000-00003E440000}"/>
    <cellStyle name="Normal 2 2 2 3 11 3 9" xfId="17509" xr:uid="{00000000-0005-0000-0000-00003F440000}"/>
    <cellStyle name="Normal 2 2 2 3 11 4" xfId="17510" xr:uid="{00000000-0005-0000-0000-000040440000}"/>
    <cellStyle name="Normal 2 2 2 3 11 4 10" xfId="17511" xr:uid="{00000000-0005-0000-0000-000041440000}"/>
    <cellStyle name="Normal 2 2 2 3 11 4 2" xfId="17512" xr:uid="{00000000-0005-0000-0000-000042440000}"/>
    <cellStyle name="Normal 2 2 2 3 11 4 3" xfId="17513" xr:uid="{00000000-0005-0000-0000-000043440000}"/>
    <cellStyle name="Normal 2 2 2 3 11 4 4" xfId="17514" xr:uid="{00000000-0005-0000-0000-000044440000}"/>
    <cellStyle name="Normal 2 2 2 3 11 4 5" xfId="17515" xr:uid="{00000000-0005-0000-0000-000045440000}"/>
    <cellStyle name="Normal 2 2 2 3 11 4 6" xfId="17516" xr:uid="{00000000-0005-0000-0000-000046440000}"/>
    <cellStyle name="Normal 2 2 2 3 11 4 7" xfId="17517" xr:uid="{00000000-0005-0000-0000-000047440000}"/>
    <cellStyle name="Normal 2 2 2 3 11 4 8" xfId="17518" xr:uid="{00000000-0005-0000-0000-000048440000}"/>
    <cellStyle name="Normal 2 2 2 3 11 4 9" xfId="17519" xr:uid="{00000000-0005-0000-0000-000049440000}"/>
    <cellStyle name="Normal 2 2 2 3 11 5" xfId="17520" xr:uid="{00000000-0005-0000-0000-00004A440000}"/>
    <cellStyle name="Normal 2 2 2 3 11 5 10" xfId="17521" xr:uid="{00000000-0005-0000-0000-00004B440000}"/>
    <cellStyle name="Normal 2 2 2 3 11 5 2" xfId="17522" xr:uid="{00000000-0005-0000-0000-00004C440000}"/>
    <cellStyle name="Normal 2 2 2 3 11 5 3" xfId="17523" xr:uid="{00000000-0005-0000-0000-00004D440000}"/>
    <cellStyle name="Normal 2 2 2 3 11 5 4" xfId="17524" xr:uid="{00000000-0005-0000-0000-00004E440000}"/>
    <cellStyle name="Normal 2 2 2 3 11 5 5" xfId="17525" xr:uid="{00000000-0005-0000-0000-00004F440000}"/>
    <cellStyle name="Normal 2 2 2 3 11 5 6" xfId="17526" xr:uid="{00000000-0005-0000-0000-000050440000}"/>
    <cellStyle name="Normal 2 2 2 3 11 5 7" xfId="17527" xr:uid="{00000000-0005-0000-0000-000051440000}"/>
    <cellStyle name="Normal 2 2 2 3 11 5 8" xfId="17528" xr:uid="{00000000-0005-0000-0000-000052440000}"/>
    <cellStyle name="Normal 2 2 2 3 11 5 9" xfId="17529" xr:uid="{00000000-0005-0000-0000-000053440000}"/>
    <cellStyle name="Normal 2 2 2 3 11 6" xfId="17530" xr:uid="{00000000-0005-0000-0000-000054440000}"/>
    <cellStyle name="Normal 2 2 2 3 11 7" xfId="17531" xr:uid="{00000000-0005-0000-0000-000055440000}"/>
    <cellStyle name="Normal 2 2 2 3 11 8" xfId="17532" xr:uid="{00000000-0005-0000-0000-000056440000}"/>
    <cellStyle name="Normal 2 2 2 3 11 9" xfId="17533" xr:uid="{00000000-0005-0000-0000-000057440000}"/>
    <cellStyle name="Normal 2 2 2 3 12" xfId="17534" xr:uid="{00000000-0005-0000-0000-000058440000}"/>
    <cellStyle name="Normal 2 2 2 3 12 10" xfId="17535" xr:uid="{00000000-0005-0000-0000-000059440000}"/>
    <cellStyle name="Normal 2 2 2 3 12 11" xfId="17536" xr:uid="{00000000-0005-0000-0000-00005A440000}"/>
    <cellStyle name="Normal 2 2 2 3 12 12" xfId="17537" xr:uid="{00000000-0005-0000-0000-00005B440000}"/>
    <cellStyle name="Normal 2 2 2 3 12 13" xfId="17538" xr:uid="{00000000-0005-0000-0000-00005C440000}"/>
    <cellStyle name="Normal 2 2 2 3 12 14" xfId="17539" xr:uid="{00000000-0005-0000-0000-00005D440000}"/>
    <cellStyle name="Normal 2 2 2 3 12 2" xfId="17540" xr:uid="{00000000-0005-0000-0000-00005E440000}"/>
    <cellStyle name="Normal 2 2 2 3 12 2 10" xfId="17541" xr:uid="{00000000-0005-0000-0000-00005F440000}"/>
    <cellStyle name="Normal 2 2 2 3 12 2 2" xfId="17542" xr:uid="{00000000-0005-0000-0000-000060440000}"/>
    <cellStyle name="Normal 2 2 2 3 12 2 3" xfId="17543" xr:uid="{00000000-0005-0000-0000-000061440000}"/>
    <cellStyle name="Normal 2 2 2 3 12 2 4" xfId="17544" xr:uid="{00000000-0005-0000-0000-000062440000}"/>
    <cellStyle name="Normal 2 2 2 3 12 2 5" xfId="17545" xr:uid="{00000000-0005-0000-0000-000063440000}"/>
    <cellStyle name="Normal 2 2 2 3 12 2 6" xfId="17546" xr:uid="{00000000-0005-0000-0000-000064440000}"/>
    <cellStyle name="Normal 2 2 2 3 12 2 7" xfId="17547" xr:uid="{00000000-0005-0000-0000-000065440000}"/>
    <cellStyle name="Normal 2 2 2 3 12 2 8" xfId="17548" xr:uid="{00000000-0005-0000-0000-000066440000}"/>
    <cellStyle name="Normal 2 2 2 3 12 2 9" xfId="17549" xr:uid="{00000000-0005-0000-0000-000067440000}"/>
    <cellStyle name="Normal 2 2 2 3 12 3" xfId="17550" xr:uid="{00000000-0005-0000-0000-000068440000}"/>
    <cellStyle name="Normal 2 2 2 3 12 3 10" xfId="17551" xr:uid="{00000000-0005-0000-0000-000069440000}"/>
    <cellStyle name="Normal 2 2 2 3 12 3 2" xfId="17552" xr:uid="{00000000-0005-0000-0000-00006A440000}"/>
    <cellStyle name="Normal 2 2 2 3 12 3 3" xfId="17553" xr:uid="{00000000-0005-0000-0000-00006B440000}"/>
    <cellStyle name="Normal 2 2 2 3 12 3 4" xfId="17554" xr:uid="{00000000-0005-0000-0000-00006C440000}"/>
    <cellStyle name="Normal 2 2 2 3 12 3 5" xfId="17555" xr:uid="{00000000-0005-0000-0000-00006D440000}"/>
    <cellStyle name="Normal 2 2 2 3 12 3 6" xfId="17556" xr:uid="{00000000-0005-0000-0000-00006E440000}"/>
    <cellStyle name="Normal 2 2 2 3 12 3 7" xfId="17557" xr:uid="{00000000-0005-0000-0000-00006F440000}"/>
    <cellStyle name="Normal 2 2 2 3 12 3 8" xfId="17558" xr:uid="{00000000-0005-0000-0000-000070440000}"/>
    <cellStyle name="Normal 2 2 2 3 12 3 9" xfId="17559" xr:uid="{00000000-0005-0000-0000-000071440000}"/>
    <cellStyle name="Normal 2 2 2 3 12 4" xfId="17560" xr:uid="{00000000-0005-0000-0000-000072440000}"/>
    <cellStyle name="Normal 2 2 2 3 12 4 10" xfId="17561" xr:uid="{00000000-0005-0000-0000-000073440000}"/>
    <cellStyle name="Normal 2 2 2 3 12 4 2" xfId="17562" xr:uid="{00000000-0005-0000-0000-000074440000}"/>
    <cellStyle name="Normal 2 2 2 3 12 4 3" xfId="17563" xr:uid="{00000000-0005-0000-0000-000075440000}"/>
    <cellStyle name="Normal 2 2 2 3 12 4 4" xfId="17564" xr:uid="{00000000-0005-0000-0000-000076440000}"/>
    <cellStyle name="Normal 2 2 2 3 12 4 5" xfId="17565" xr:uid="{00000000-0005-0000-0000-000077440000}"/>
    <cellStyle name="Normal 2 2 2 3 12 4 6" xfId="17566" xr:uid="{00000000-0005-0000-0000-000078440000}"/>
    <cellStyle name="Normal 2 2 2 3 12 4 7" xfId="17567" xr:uid="{00000000-0005-0000-0000-000079440000}"/>
    <cellStyle name="Normal 2 2 2 3 12 4 8" xfId="17568" xr:uid="{00000000-0005-0000-0000-00007A440000}"/>
    <cellStyle name="Normal 2 2 2 3 12 4 9" xfId="17569" xr:uid="{00000000-0005-0000-0000-00007B440000}"/>
    <cellStyle name="Normal 2 2 2 3 12 5" xfId="17570" xr:uid="{00000000-0005-0000-0000-00007C440000}"/>
    <cellStyle name="Normal 2 2 2 3 12 5 10" xfId="17571" xr:uid="{00000000-0005-0000-0000-00007D440000}"/>
    <cellStyle name="Normal 2 2 2 3 12 5 2" xfId="17572" xr:uid="{00000000-0005-0000-0000-00007E440000}"/>
    <cellStyle name="Normal 2 2 2 3 12 5 3" xfId="17573" xr:uid="{00000000-0005-0000-0000-00007F440000}"/>
    <cellStyle name="Normal 2 2 2 3 12 5 4" xfId="17574" xr:uid="{00000000-0005-0000-0000-000080440000}"/>
    <cellStyle name="Normal 2 2 2 3 12 5 5" xfId="17575" xr:uid="{00000000-0005-0000-0000-000081440000}"/>
    <cellStyle name="Normal 2 2 2 3 12 5 6" xfId="17576" xr:uid="{00000000-0005-0000-0000-000082440000}"/>
    <cellStyle name="Normal 2 2 2 3 12 5 7" xfId="17577" xr:uid="{00000000-0005-0000-0000-000083440000}"/>
    <cellStyle name="Normal 2 2 2 3 12 5 8" xfId="17578" xr:uid="{00000000-0005-0000-0000-000084440000}"/>
    <cellStyle name="Normal 2 2 2 3 12 5 9" xfId="17579" xr:uid="{00000000-0005-0000-0000-000085440000}"/>
    <cellStyle name="Normal 2 2 2 3 12 6" xfId="17580" xr:uid="{00000000-0005-0000-0000-000086440000}"/>
    <cellStyle name="Normal 2 2 2 3 12 7" xfId="17581" xr:uid="{00000000-0005-0000-0000-000087440000}"/>
    <cellStyle name="Normal 2 2 2 3 12 8" xfId="17582" xr:uid="{00000000-0005-0000-0000-000088440000}"/>
    <cellStyle name="Normal 2 2 2 3 12 9" xfId="17583" xr:uid="{00000000-0005-0000-0000-000089440000}"/>
    <cellStyle name="Normal 2 2 2 3 13" xfId="17584" xr:uid="{00000000-0005-0000-0000-00008A440000}"/>
    <cellStyle name="Normal 2 2 2 3 13 10" xfId="17585" xr:uid="{00000000-0005-0000-0000-00008B440000}"/>
    <cellStyle name="Normal 2 2 2 3 13 11" xfId="17586" xr:uid="{00000000-0005-0000-0000-00008C440000}"/>
    <cellStyle name="Normal 2 2 2 3 13 12" xfId="17587" xr:uid="{00000000-0005-0000-0000-00008D440000}"/>
    <cellStyle name="Normal 2 2 2 3 13 13" xfId="17588" xr:uid="{00000000-0005-0000-0000-00008E440000}"/>
    <cellStyle name="Normal 2 2 2 3 13 14" xfId="17589" xr:uid="{00000000-0005-0000-0000-00008F440000}"/>
    <cellStyle name="Normal 2 2 2 3 13 2" xfId="17590" xr:uid="{00000000-0005-0000-0000-000090440000}"/>
    <cellStyle name="Normal 2 2 2 3 13 2 10" xfId="17591" xr:uid="{00000000-0005-0000-0000-000091440000}"/>
    <cellStyle name="Normal 2 2 2 3 13 2 2" xfId="17592" xr:uid="{00000000-0005-0000-0000-000092440000}"/>
    <cellStyle name="Normal 2 2 2 3 13 2 3" xfId="17593" xr:uid="{00000000-0005-0000-0000-000093440000}"/>
    <cellStyle name="Normal 2 2 2 3 13 2 4" xfId="17594" xr:uid="{00000000-0005-0000-0000-000094440000}"/>
    <cellStyle name="Normal 2 2 2 3 13 2 5" xfId="17595" xr:uid="{00000000-0005-0000-0000-000095440000}"/>
    <cellStyle name="Normal 2 2 2 3 13 2 6" xfId="17596" xr:uid="{00000000-0005-0000-0000-000096440000}"/>
    <cellStyle name="Normal 2 2 2 3 13 2 7" xfId="17597" xr:uid="{00000000-0005-0000-0000-000097440000}"/>
    <cellStyle name="Normal 2 2 2 3 13 2 8" xfId="17598" xr:uid="{00000000-0005-0000-0000-000098440000}"/>
    <cellStyle name="Normal 2 2 2 3 13 2 9" xfId="17599" xr:uid="{00000000-0005-0000-0000-000099440000}"/>
    <cellStyle name="Normal 2 2 2 3 13 3" xfId="17600" xr:uid="{00000000-0005-0000-0000-00009A440000}"/>
    <cellStyle name="Normal 2 2 2 3 13 3 10" xfId="17601" xr:uid="{00000000-0005-0000-0000-00009B440000}"/>
    <cellStyle name="Normal 2 2 2 3 13 3 2" xfId="17602" xr:uid="{00000000-0005-0000-0000-00009C440000}"/>
    <cellStyle name="Normal 2 2 2 3 13 3 3" xfId="17603" xr:uid="{00000000-0005-0000-0000-00009D440000}"/>
    <cellStyle name="Normal 2 2 2 3 13 3 4" xfId="17604" xr:uid="{00000000-0005-0000-0000-00009E440000}"/>
    <cellStyle name="Normal 2 2 2 3 13 3 5" xfId="17605" xr:uid="{00000000-0005-0000-0000-00009F440000}"/>
    <cellStyle name="Normal 2 2 2 3 13 3 6" xfId="17606" xr:uid="{00000000-0005-0000-0000-0000A0440000}"/>
    <cellStyle name="Normal 2 2 2 3 13 3 7" xfId="17607" xr:uid="{00000000-0005-0000-0000-0000A1440000}"/>
    <cellStyle name="Normal 2 2 2 3 13 3 8" xfId="17608" xr:uid="{00000000-0005-0000-0000-0000A2440000}"/>
    <cellStyle name="Normal 2 2 2 3 13 3 9" xfId="17609" xr:uid="{00000000-0005-0000-0000-0000A3440000}"/>
    <cellStyle name="Normal 2 2 2 3 13 4" xfId="17610" xr:uid="{00000000-0005-0000-0000-0000A4440000}"/>
    <cellStyle name="Normal 2 2 2 3 13 4 10" xfId="17611" xr:uid="{00000000-0005-0000-0000-0000A5440000}"/>
    <cellStyle name="Normal 2 2 2 3 13 4 2" xfId="17612" xr:uid="{00000000-0005-0000-0000-0000A6440000}"/>
    <cellStyle name="Normal 2 2 2 3 13 4 3" xfId="17613" xr:uid="{00000000-0005-0000-0000-0000A7440000}"/>
    <cellStyle name="Normal 2 2 2 3 13 4 4" xfId="17614" xr:uid="{00000000-0005-0000-0000-0000A8440000}"/>
    <cellStyle name="Normal 2 2 2 3 13 4 5" xfId="17615" xr:uid="{00000000-0005-0000-0000-0000A9440000}"/>
    <cellStyle name="Normal 2 2 2 3 13 4 6" xfId="17616" xr:uid="{00000000-0005-0000-0000-0000AA440000}"/>
    <cellStyle name="Normal 2 2 2 3 13 4 7" xfId="17617" xr:uid="{00000000-0005-0000-0000-0000AB440000}"/>
    <cellStyle name="Normal 2 2 2 3 13 4 8" xfId="17618" xr:uid="{00000000-0005-0000-0000-0000AC440000}"/>
    <cellStyle name="Normal 2 2 2 3 13 4 9" xfId="17619" xr:uid="{00000000-0005-0000-0000-0000AD440000}"/>
    <cellStyle name="Normal 2 2 2 3 13 5" xfId="17620" xr:uid="{00000000-0005-0000-0000-0000AE440000}"/>
    <cellStyle name="Normal 2 2 2 3 13 5 10" xfId="17621" xr:uid="{00000000-0005-0000-0000-0000AF440000}"/>
    <cellStyle name="Normal 2 2 2 3 13 5 2" xfId="17622" xr:uid="{00000000-0005-0000-0000-0000B0440000}"/>
    <cellStyle name="Normal 2 2 2 3 13 5 3" xfId="17623" xr:uid="{00000000-0005-0000-0000-0000B1440000}"/>
    <cellStyle name="Normal 2 2 2 3 13 5 4" xfId="17624" xr:uid="{00000000-0005-0000-0000-0000B2440000}"/>
    <cellStyle name="Normal 2 2 2 3 13 5 5" xfId="17625" xr:uid="{00000000-0005-0000-0000-0000B3440000}"/>
    <cellStyle name="Normal 2 2 2 3 13 5 6" xfId="17626" xr:uid="{00000000-0005-0000-0000-0000B4440000}"/>
    <cellStyle name="Normal 2 2 2 3 13 5 7" xfId="17627" xr:uid="{00000000-0005-0000-0000-0000B5440000}"/>
    <cellStyle name="Normal 2 2 2 3 13 5 8" xfId="17628" xr:uid="{00000000-0005-0000-0000-0000B6440000}"/>
    <cellStyle name="Normal 2 2 2 3 13 5 9" xfId="17629" xr:uid="{00000000-0005-0000-0000-0000B7440000}"/>
    <cellStyle name="Normal 2 2 2 3 13 6" xfId="17630" xr:uid="{00000000-0005-0000-0000-0000B8440000}"/>
    <cellStyle name="Normal 2 2 2 3 13 7" xfId="17631" xr:uid="{00000000-0005-0000-0000-0000B9440000}"/>
    <cellStyle name="Normal 2 2 2 3 13 8" xfId="17632" xr:uid="{00000000-0005-0000-0000-0000BA440000}"/>
    <cellStyle name="Normal 2 2 2 3 13 9" xfId="17633" xr:uid="{00000000-0005-0000-0000-0000BB440000}"/>
    <cellStyle name="Normal 2 2 2 3 14" xfId="17634" xr:uid="{00000000-0005-0000-0000-0000BC440000}"/>
    <cellStyle name="Normal 2 2 2 3 14 10" xfId="17635" xr:uid="{00000000-0005-0000-0000-0000BD440000}"/>
    <cellStyle name="Normal 2 2 2 3 14 11" xfId="17636" xr:uid="{00000000-0005-0000-0000-0000BE440000}"/>
    <cellStyle name="Normal 2 2 2 3 14 12" xfId="17637" xr:uid="{00000000-0005-0000-0000-0000BF440000}"/>
    <cellStyle name="Normal 2 2 2 3 14 13" xfId="17638" xr:uid="{00000000-0005-0000-0000-0000C0440000}"/>
    <cellStyle name="Normal 2 2 2 3 14 14" xfId="17639" xr:uid="{00000000-0005-0000-0000-0000C1440000}"/>
    <cellStyle name="Normal 2 2 2 3 14 2" xfId="17640" xr:uid="{00000000-0005-0000-0000-0000C2440000}"/>
    <cellStyle name="Normal 2 2 2 3 14 2 10" xfId="17641" xr:uid="{00000000-0005-0000-0000-0000C3440000}"/>
    <cellStyle name="Normal 2 2 2 3 14 2 2" xfId="17642" xr:uid="{00000000-0005-0000-0000-0000C4440000}"/>
    <cellStyle name="Normal 2 2 2 3 14 2 3" xfId="17643" xr:uid="{00000000-0005-0000-0000-0000C5440000}"/>
    <cellStyle name="Normal 2 2 2 3 14 2 4" xfId="17644" xr:uid="{00000000-0005-0000-0000-0000C6440000}"/>
    <cellStyle name="Normal 2 2 2 3 14 2 5" xfId="17645" xr:uid="{00000000-0005-0000-0000-0000C7440000}"/>
    <cellStyle name="Normal 2 2 2 3 14 2 6" xfId="17646" xr:uid="{00000000-0005-0000-0000-0000C8440000}"/>
    <cellStyle name="Normal 2 2 2 3 14 2 7" xfId="17647" xr:uid="{00000000-0005-0000-0000-0000C9440000}"/>
    <cellStyle name="Normal 2 2 2 3 14 2 8" xfId="17648" xr:uid="{00000000-0005-0000-0000-0000CA440000}"/>
    <cellStyle name="Normal 2 2 2 3 14 2 9" xfId="17649" xr:uid="{00000000-0005-0000-0000-0000CB440000}"/>
    <cellStyle name="Normal 2 2 2 3 14 3" xfId="17650" xr:uid="{00000000-0005-0000-0000-0000CC440000}"/>
    <cellStyle name="Normal 2 2 2 3 14 3 10" xfId="17651" xr:uid="{00000000-0005-0000-0000-0000CD440000}"/>
    <cellStyle name="Normal 2 2 2 3 14 3 2" xfId="17652" xr:uid="{00000000-0005-0000-0000-0000CE440000}"/>
    <cellStyle name="Normal 2 2 2 3 14 3 3" xfId="17653" xr:uid="{00000000-0005-0000-0000-0000CF440000}"/>
    <cellStyle name="Normal 2 2 2 3 14 3 4" xfId="17654" xr:uid="{00000000-0005-0000-0000-0000D0440000}"/>
    <cellStyle name="Normal 2 2 2 3 14 3 5" xfId="17655" xr:uid="{00000000-0005-0000-0000-0000D1440000}"/>
    <cellStyle name="Normal 2 2 2 3 14 3 6" xfId="17656" xr:uid="{00000000-0005-0000-0000-0000D2440000}"/>
    <cellStyle name="Normal 2 2 2 3 14 3 7" xfId="17657" xr:uid="{00000000-0005-0000-0000-0000D3440000}"/>
    <cellStyle name="Normal 2 2 2 3 14 3 8" xfId="17658" xr:uid="{00000000-0005-0000-0000-0000D4440000}"/>
    <cellStyle name="Normal 2 2 2 3 14 3 9" xfId="17659" xr:uid="{00000000-0005-0000-0000-0000D5440000}"/>
    <cellStyle name="Normal 2 2 2 3 14 4" xfId="17660" xr:uid="{00000000-0005-0000-0000-0000D6440000}"/>
    <cellStyle name="Normal 2 2 2 3 14 4 10" xfId="17661" xr:uid="{00000000-0005-0000-0000-0000D7440000}"/>
    <cellStyle name="Normal 2 2 2 3 14 4 2" xfId="17662" xr:uid="{00000000-0005-0000-0000-0000D8440000}"/>
    <cellStyle name="Normal 2 2 2 3 14 4 3" xfId="17663" xr:uid="{00000000-0005-0000-0000-0000D9440000}"/>
    <cellStyle name="Normal 2 2 2 3 14 4 4" xfId="17664" xr:uid="{00000000-0005-0000-0000-0000DA440000}"/>
    <cellStyle name="Normal 2 2 2 3 14 4 5" xfId="17665" xr:uid="{00000000-0005-0000-0000-0000DB440000}"/>
    <cellStyle name="Normal 2 2 2 3 14 4 6" xfId="17666" xr:uid="{00000000-0005-0000-0000-0000DC440000}"/>
    <cellStyle name="Normal 2 2 2 3 14 4 7" xfId="17667" xr:uid="{00000000-0005-0000-0000-0000DD440000}"/>
    <cellStyle name="Normal 2 2 2 3 14 4 8" xfId="17668" xr:uid="{00000000-0005-0000-0000-0000DE440000}"/>
    <cellStyle name="Normal 2 2 2 3 14 4 9" xfId="17669" xr:uid="{00000000-0005-0000-0000-0000DF440000}"/>
    <cellStyle name="Normal 2 2 2 3 14 5" xfId="17670" xr:uid="{00000000-0005-0000-0000-0000E0440000}"/>
    <cellStyle name="Normal 2 2 2 3 14 5 10" xfId="17671" xr:uid="{00000000-0005-0000-0000-0000E1440000}"/>
    <cellStyle name="Normal 2 2 2 3 14 5 2" xfId="17672" xr:uid="{00000000-0005-0000-0000-0000E2440000}"/>
    <cellStyle name="Normal 2 2 2 3 14 5 3" xfId="17673" xr:uid="{00000000-0005-0000-0000-0000E3440000}"/>
    <cellStyle name="Normal 2 2 2 3 14 5 4" xfId="17674" xr:uid="{00000000-0005-0000-0000-0000E4440000}"/>
    <cellStyle name="Normal 2 2 2 3 14 5 5" xfId="17675" xr:uid="{00000000-0005-0000-0000-0000E5440000}"/>
    <cellStyle name="Normal 2 2 2 3 14 5 6" xfId="17676" xr:uid="{00000000-0005-0000-0000-0000E6440000}"/>
    <cellStyle name="Normal 2 2 2 3 14 5 7" xfId="17677" xr:uid="{00000000-0005-0000-0000-0000E7440000}"/>
    <cellStyle name="Normal 2 2 2 3 14 5 8" xfId="17678" xr:uid="{00000000-0005-0000-0000-0000E8440000}"/>
    <cellStyle name="Normal 2 2 2 3 14 5 9" xfId="17679" xr:uid="{00000000-0005-0000-0000-0000E9440000}"/>
    <cellStyle name="Normal 2 2 2 3 14 6" xfId="17680" xr:uid="{00000000-0005-0000-0000-0000EA440000}"/>
    <cellStyle name="Normal 2 2 2 3 14 7" xfId="17681" xr:uid="{00000000-0005-0000-0000-0000EB440000}"/>
    <cellStyle name="Normal 2 2 2 3 14 8" xfId="17682" xr:uid="{00000000-0005-0000-0000-0000EC440000}"/>
    <cellStyle name="Normal 2 2 2 3 14 9" xfId="17683" xr:uid="{00000000-0005-0000-0000-0000ED440000}"/>
    <cellStyle name="Normal 2 2 2 3 15" xfId="17684" xr:uid="{00000000-0005-0000-0000-0000EE440000}"/>
    <cellStyle name="Normal 2 2 2 3 15 10" xfId="17685" xr:uid="{00000000-0005-0000-0000-0000EF440000}"/>
    <cellStyle name="Normal 2 2 2 3 15 11" xfId="17686" xr:uid="{00000000-0005-0000-0000-0000F0440000}"/>
    <cellStyle name="Normal 2 2 2 3 15 12" xfId="17687" xr:uid="{00000000-0005-0000-0000-0000F1440000}"/>
    <cellStyle name="Normal 2 2 2 3 15 13" xfId="17688" xr:uid="{00000000-0005-0000-0000-0000F2440000}"/>
    <cellStyle name="Normal 2 2 2 3 15 14" xfId="17689" xr:uid="{00000000-0005-0000-0000-0000F3440000}"/>
    <cellStyle name="Normal 2 2 2 3 15 2" xfId="17690" xr:uid="{00000000-0005-0000-0000-0000F4440000}"/>
    <cellStyle name="Normal 2 2 2 3 15 2 10" xfId="17691" xr:uid="{00000000-0005-0000-0000-0000F5440000}"/>
    <cellStyle name="Normal 2 2 2 3 15 2 2" xfId="17692" xr:uid="{00000000-0005-0000-0000-0000F6440000}"/>
    <cellStyle name="Normal 2 2 2 3 15 2 3" xfId="17693" xr:uid="{00000000-0005-0000-0000-0000F7440000}"/>
    <cellStyle name="Normal 2 2 2 3 15 2 4" xfId="17694" xr:uid="{00000000-0005-0000-0000-0000F8440000}"/>
    <cellStyle name="Normal 2 2 2 3 15 2 5" xfId="17695" xr:uid="{00000000-0005-0000-0000-0000F9440000}"/>
    <cellStyle name="Normal 2 2 2 3 15 2 6" xfId="17696" xr:uid="{00000000-0005-0000-0000-0000FA440000}"/>
    <cellStyle name="Normal 2 2 2 3 15 2 7" xfId="17697" xr:uid="{00000000-0005-0000-0000-0000FB440000}"/>
    <cellStyle name="Normal 2 2 2 3 15 2 8" xfId="17698" xr:uid="{00000000-0005-0000-0000-0000FC440000}"/>
    <cellStyle name="Normal 2 2 2 3 15 2 9" xfId="17699" xr:uid="{00000000-0005-0000-0000-0000FD440000}"/>
    <cellStyle name="Normal 2 2 2 3 15 3" xfId="17700" xr:uid="{00000000-0005-0000-0000-0000FE440000}"/>
    <cellStyle name="Normal 2 2 2 3 15 3 10" xfId="17701" xr:uid="{00000000-0005-0000-0000-0000FF440000}"/>
    <cellStyle name="Normal 2 2 2 3 15 3 2" xfId="17702" xr:uid="{00000000-0005-0000-0000-000000450000}"/>
    <cellStyle name="Normal 2 2 2 3 15 3 3" xfId="17703" xr:uid="{00000000-0005-0000-0000-000001450000}"/>
    <cellStyle name="Normal 2 2 2 3 15 3 4" xfId="17704" xr:uid="{00000000-0005-0000-0000-000002450000}"/>
    <cellStyle name="Normal 2 2 2 3 15 3 5" xfId="17705" xr:uid="{00000000-0005-0000-0000-000003450000}"/>
    <cellStyle name="Normal 2 2 2 3 15 3 6" xfId="17706" xr:uid="{00000000-0005-0000-0000-000004450000}"/>
    <cellStyle name="Normal 2 2 2 3 15 3 7" xfId="17707" xr:uid="{00000000-0005-0000-0000-000005450000}"/>
    <cellStyle name="Normal 2 2 2 3 15 3 8" xfId="17708" xr:uid="{00000000-0005-0000-0000-000006450000}"/>
    <cellStyle name="Normal 2 2 2 3 15 3 9" xfId="17709" xr:uid="{00000000-0005-0000-0000-000007450000}"/>
    <cellStyle name="Normal 2 2 2 3 15 4" xfId="17710" xr:uid="{00000000-0005-0000-0000-000008450000}"/>
    <cellStyle name="Normal 2 2 2 3 15 4 10" xfId="17711" xr:uid="{00000000-0005-0000-0000-000009450000}"/>
    <cellStyle name="Normal 2 2 2 3 15 4 2" xfId="17712" xr:uid="{00000000-0005-0000-0000-00000A450000}"/>
    <cellStyle name="Normal 2 2 2 3 15 4 3" xfId="17713" xr:uid="{00000000-0005-0000-0000-00000B450000}"/>
    <cellStyle name="Normal 2 2 2 3 15 4 4" xfId="17714" xr:uid="{00000000-0005-0000-0000-00000C450000}"/>
    <cellStyle name="Normal 2 2 2 3 15 4 5" xfId="17715" xr:uid="{00000000-0005-0000-0000-00000D450000}"/>
    <cellStyle name="Normal 2 2 2 3 15 4 6" xfId="17716" xr:uid="{00000000-0005-0000-0000-00000E450000}"/>
    <cellStyle name="Normal 2 2 2 3 15 4 7" xfId="17717" xr:uid="{00000000-0005-0000-0000-00000F450000}"/>
    <cellStyle name="Normal 2 2 2 3 15 4 8" xfId="17718" xr:uid="{00000000-0005-0000-0000-000010450000}"/>
    <cellStyle name="Normal 2 2 2 3 15 4 9" xfId="17719" xr:uid="{00000000-0005-0000-0000-000011450000}"/>
    <cellStyle name="Normal 2 2 2 3 15 5" xfId="17720" xr:uid="{00000000-0005-0000-0000-000012450000}"/>
    <cellStyle name="Normal 2 2 2 3 15 5 10" xfId="17721" xr:uid="{00000000-0005-0000-0000-000013450000}"/>
    <cellStyle name="Normal 2 2 2 3 15 5 2" xfId="17722" xr:uid="{00000000-0005-0000-0000-000014450000}"/>
    <cellStyle name="Normal 2 2 2 3 15 5 3" xfId="17723" xr:uid="{00000000-0005-0000-0000-000015450000}"/>
    <cellStyle name="Normal 2 2 2 3 15 5 4" xfId="17724" xr:uid="{00000000-0005-0000-0000-000016450000}"/>
    <cellStyle name="Normal 2 2 2 3 15 5 5" xfId="17725" xr:uid="{00000000-0005-0000-0000-000017450000}"/>
    <cellStyle name="Normal 2 2 2 3 15 5 6" xfId="17726" xr:uid="{00000000-0005-0000-0000-000018450000}"/>
    <cellStyle name="Normal 2 2 2 3 15 5 7" xfId="17727" xr:uid="{00000000-0005-0000-0000-000019450000}"/>
    <cellStyle name="Normal 2 2 2 3 15 5 8" xfId="17728" xr:uid="{00000000-0005-0000-0000-00001A450000}"/>
    <cellStyle name="Normal 2 2 2 3 15 5 9" xfId="17729" xr:uid="{00000000-0005-0000-0000-00001B450000}"/>
    <cellStyle name="Normal 2 2 2 3 15 6" xfId="17730" xr:uid="{00000000-0005-0000-0000-00001C450000}"/>
    <cellStyle name="Normal 2 2 2 3 15 7" xfId="17731" xr:uid="{00000000-0005-0000-0000-00001D450000}"/>
    <cellStyle name="Normal 2 2 2 3 15 8" xfId="17732" xr:uid="{00000000-0005-0000-0000-00001E450000}"/>
    <cellStyle name="Normal 2 2 2 3 15 9" xfId="17733" xr:uid="{00000000-0005-0000-0000-00001F450000}"/>
    <cellStyle name="Normal 2 2 2 3 16" xfId="17734" xr:uid="{00000000-0005-0000-0000-000020450000}"/>
    <cellStyle name="Normal 2 2 2 3 16 10" xfId="17735" xr:uid="{00000000-0005-0000-0000-000021450000}"/>
    <cellStyle name="Normal 2 2 2 3 16 11" xfId="17736" xr:uid="{00000000-0005-0000-0000-000022450000}"/>
    <cellStyle name="Normal 2 2 2 3 16 12" xfId="17737" xr:uid="{00000000-0005-0000-0000-000023450000}"/>
    <cellStyle name="Normal 2 2 2 3 16 13" xfId="17738" xr:uid="{00000000-0005-0000-0000-000024450000}"/>
    <cellStyle name="Normal 2 2 2 3 16 14" xfId="17739" xr:uid="{00000000-0005-0000-0000-000025450000}"/>
    <cellStyle name="Normal 2 2 2 3 16 2" xfId="17740" xr:uid="{00000000-0005-0000-0000-000026450000}"/>
    <cellStyle name="Normal 2 2 2 3 16 2 10" xfId="17741" xr:uid="{00000000-0005-0000-0000-000027450000}"/>
    <cellStyle name="Normal 2 2 2 3 16 2 2" xfId="17742" xr:uid="{00000000-0005-0000-0000-000028450000}"/>
    <cellStyle name="Normal 2 2 2 3 16 2 3" xfId="17743" xr:uid="{00000000-0005-0000-0000-000029450000}"/>
    <cellStyle name="Normal 2 2 2 3 16 2 4" xfId="17744" xr:uid="{00000000-0005-0000-0000-00002A450000}"/>
    <cellStyle name="Normal 2 2 2 3 16 2 5" xfId="17745" xr:uid="{00000000-0005-0000-0000-00002B450000}"/>
    <cellStyle name="Normal 2 2 2 3 16 2 6" xfId="17746" xr:uid="{00000000-0005-0000-0000-00002C450000}"/>
    <cellStyle name="Normal 2 2 2 3 16 2 7" xfId="17747" xr:uid="{00000000-0005-0000-0000-00002D450000}"/>
    <cellStyle name="Normal 2 2 2 3 16 2 8" xfId="17748" xr:uid="{00000000-0005-0000-0000-00002E450000}"/>
    <cellStyle name="Normal 2 2 2 3 16 2 9" xfId="17749" xr:uid="{00000000-0005-0000-0000-00002F450000}"/>
    <cellStyle name="Normal 2 2 2 3 16 3" xfId="17750" xr:uid="{00000000-0005-0000-0000-000030450000}"/>
    <cellStyle name="Normal 2 2 2 3 16 3 10" xfId="17751" xr:uid="{00000000-0005-0000-0000-000031450000}"/>
    <cellStyle name="Normal 2 2 2 3 16 3 2" xfId="17752" xr:uid="{00000000-0005-0000-0000-000032450000}"/>
    <cellStyle name="Normal 2 2 2 3 16 3 3" xfId="17753" xr:uid="{00000000-0005-0000-0000-000033450000}"/>
    <cellStyle name="Normal 2 2 2 3 16 3 4" xfId="17754" xr:uid="{00000000-0005-0000-0000-000034450000}"/>
    <cellStyle name="Normal 2 2 2 3 16 3 5" xfId="17755" xr:uid="{00000000-0005-0000-0000-000035450000}"/>
    <cellStyle name="Normal 2 2 2 3 16 3 6" xfId="17756" xr:uid="{00000000-0005-0000-0000-000036450000}"/>
    <cellStyle name="Normal 2 2 2 3 16 3 7" xfId="17757" xr:uid="{00000000-0005-0000-0000-000037450000}"/>
    <cellStyle name="Normal 2 2 2 3 16 3 8" xfId="17758" xr:uid="{00000000-0005-0000-0000-000038450000}"/>
    <cellStyle name="Normal 2 2 2 3 16 3 9" xfId="17759" xr:uid="{00000000-0005-0000-0000-000039450000}"/>
    <cellStyle name="Normal 2 2 2 3 16 4" xfId="17760" xr:uid="{00000000-0005-0000-0000-00003A450000}"/>
    <cellStyle name="Normal 2 2 2 3 16 4 10" xfId="17761" xr:uid="{00000000-0005-0000-0000-00003B450000}"/>
    <cellStyle name="Normal 2 2 2 3 16 4 2" xfId="17762" xr:uid="{00000000-0005-0000-0000-00003C450000}"/>
    <cellStyle name="Normal 2 2 2 3 16 4 3" xfId="17763" xr:uid="{00000000-0005-0000-0000-00003D450000}"/>
    <cellStyle name="Normal 2 2 2 3 16 4 4" xfId="17764" xr:uid="{00000000-0005-0000-0000-00003E450000}"/>
    <cellStyle name="Normal 2 2 2 3 16 4 5" xfId="17765" xr:uid="{00000000-0005-0000-0000-00003F450000}"/>
    <cellStyle name="Normal 2 2 2 3 16 4 6" xfId="17766" xr:uid="{00000000-0005-0000-0000-000040450000}"/>
    <cellStyle name="Normal 2 2 2 3 16 4 7" xfId="17767" xr:uid="{00000000-0005-0000-0000-000041450000}"/>
    <cellStyle name="Normal 2 2 2 3 16 4 8" xfId="17768" xr:uid="{00000000-0005-0000-0000-000042450000}"/>
    <cellStyle name="Normal 2 2 2 3 16 4 9" xfId="17769" xr:uid="{00000000-0005-0000-0000-000043450000}"/>
    <cellStyle name="Normal 2 2 2 3 16 5" xfId="17770" xr:uid="{00000000-0005-0000-0000-000044450000}"/>
    <cellStyle name="Normal 2 2 2 3 16 5 10" xfId="17771" xr:uid="{00000000-0005-0000-0000-000045450000}"/>
    <cellStyle name="Normal 2 2 2 3 16 5 2" xfId="17772" xr:uid="{00000000-0005-0000-0000-000046450000}"/>
    <cellStyle name="Normal 2 2 2 3 16 5 3" xfId="17773" xr:uid="{00000000-0005-0000-0000-000047450000}"/>
    <cellStyle name="Normal 2 2 2 3 16 5 4" xfId="17774" xr:uid="{00000000-0005-0000-0000-000048450000}"/>
    <cellStyle name="Normal 2 2 2 3 16 5 5" xfId="17775" xr:uid="{00000000-0005-0000-0000-000049450000}"/>
    <cellStyle name="Normal 2 2 2 3 16 5 6" xfId="17776" xr:uid="{00000000-0005-0000-0000-00004A450000}"/>
    <cellStyle name="Normal 2 2 2 3 16 5 7" xfId="17777" xr:uid="{00000000-0005-0000-0000-00004B450000}"/>
    <cellStyle name="Normal 2 2 2 3 16 5 8" xfId="17778" xr:uid="{00000000-0005-0000-0000-00004C450000}"/>
    <cellStyle name="Normal 2 2 2 3 16 5 9" xfId="17779" xr:uid="{00000000-0005-0000-0000-00004D450000}"/>
    <cellStyle name="Normal 2 2 2 3 16 6" xfId="17780" xr:uid="{00000000-0005-0000-0000-00004E450000}"/>
    <cellStyle name="Normal 2 2 2 3 16 7" xfId="17781" xr:uid="{00000000-0005-0000-0000-00004F450000}"/>
    <cellStyle name="Normal 2 2 2 3 16 8" xfId="17782" xr:uid="{00000000-0005-0000-0000-000050450000}"/>
    <cellStyle name="Normal 2 2 2 3 16 9" xfId="17783" xr:uid="{00000000-0005-0000-0000-000051450000}"/>
    <cellStyle name="Normal 2 2 2 3 17" xfId="17784" xr:uid="{00000000-0005-0000-0000-000052450000}"/>
    <cellStyle name="Normal 2 2 2 3 17 10" xfId="17785" xr:uid="{00000000-0005-0000-0000-000053450000}"/>
    <cellStyle name="Normal 2 2 2 3 17 11" xfId="17786" xr:uid="{00000000-0005-0000-0000-000054450000}"/>
    <cellStyle name="Normal 2 2 2 3 17 12" xfId="17787" xr:uid="{00000000-0005-0000-0000-000055450000}"/>
    <cellStyle name="Normal 2 2 2 3 17 13" xfId="17788" xr:uid="{00000000-0005-0000-0000-000056450000}"/>
    <cellStyle name="Normal 2 2 2 3 17 14" xfId="17789" xr:uid="{00000000-0005-0000-0000-000057450000}"/>
    <cellStyle name="Normal 2 2 2 3 17 2" xfId="17790" xr:uid="{00000000-0005-0000-0000-000058450000}"/>
    <cellStyle name="Normal 2 2 2 3 17 2 10" xfId="17791" xr:uid="{00000000-0005-0000-0000-000059450000}"/>
    <cellStyle name="Normal 2 2 2 3 17 2 2" xfId="17792" xr:uid="{00000000-0005-0000-0000-00005A450000}"/>
    <cellStyle name="Normal 2 2 2 3 17 2 3" xfId="17793" xr:uid="{00000000-0005-0000-0000-00005B450000}"/>
    <cellStyle name="Normal 2 2 2 3 17 2 4" xfId="17794" xr:uid="{00000000-0005-0000-0000-00005C450000}"/>
    <cellStyle name="Normal 2 2 2 3 17 2 5" xfId="17795" xr:uid="{00000000-0005-0000-0000-00005D450000}"/>
    <cellStyle name="Normal 2 2 2 3 17 2 6" xfId="17796" xr:uid="{00000000-0005-0000-0000-00005E450000}"/>
    <cellStyle name="Normal 2 2 2 3 17 2 7" xfId="17797" xr:uid="{00000000-0005-0000-0000-00005F450000}"/>
    <cellStyle name="Normal 2 2 2 3 17 2 8" xfId="17798" xr:uid="{00000000-0005-0000-0000-000060450000}"/>
    <cellStyle name="Normal 2 2 2 3 17 2 9" xfId="17799" xr:uid="{00000000-0005-0000-0000-000061450000}"/>
    <cellStyle name="Normal 2 2 2 3 17 3" xfId="17800" xr:uid="{00000000-0005-0000-0000-000062450000}"/>
    <cellStyle name="Normal 2 2 2 3 17 3 10" xfId="17801" xr:uid="{00000000-0005-0000-0000-000063450000}"/>
    <cellStyle name="Normal 2 2 2 3 17 3 2" xfId="17802" xr:uid="{00000000-0005-0000-0000-000064450000}"/>
    <cellStyle name="Normal 2 2 2 3 17 3 3" xfId="17803" xr:uid="{00000000-0005-0000-0000-000065450000}"/>
    <cellStyle name="Normal 2 2 2 3 17 3 4" xfId="17804" xr:uid="{00000000-0005-0000-0000-000066450000}"/>
    <cellStyle name="Normal 2 2 2 3 17 3 5" xfId="17805" xr:uid="{00000000-0005-0000-0000-000067450000}"/>
    <cellStyle name="Normal 2 2 2 3 17 3 6" xfId="17806" xr:uid="{00000000-0005-0000-0000-000068450000}"/>
    <cellStyle name="Normal 2 2 2 3 17 3 7" xfId="17807" xr:uid="{00000000-0005-0000-0000-000069450000}"/>
    <cellStyle name="Normal 2 2 2 3 17 3 8" xfId="17808" xr:uid="{00000000-0005-0000-0000-00006A450000}"/>
    <cellStyle name="Normal 2 2 2 3 17 3 9" xfId="17809" xr:uid="{00000000-0005-0000-0000-00006B450000}"/>
    <cellStyle name="Normal 2 2 2 3 17 4" xfId="17810" xr:uid="{00000000-0005-0000-0000-00006C450000}"/>
    <cellStyle name="Normal 2 2 2 3 17 4 10" xfId="17811" xr:uid="{00000000-0005-0000-0000-00006D450000}"/>
    <cellStyle name="Normal 2 2 2 3 17 4 2" xfId="17812" xr:uid="{00000000-0005-0000-0000-00006E450000}"/>
    <cellStyle name="Normal 2 2 2 3 17 4 3" xfId="17813" xr:uid="{00000000-0005-0000-0000-00006F450000}"/>
    <cellStyle name="Normal 2 2 2 3 17 4 4" xfId="17814" xr:uid="{00000000-0005-0000-0000-000070450000}"/>
    <cellStyle name="Normal 2 2 2 3 17 4 5" xfId="17815" xr:uid="{00000000-0005-0000-0000-000071450000}"/>
    <cellStyle name="Normal 2 2 2 3 17 4 6" xfId="17816" xr:uid="{00000000-0005-0000-0000-000072450000}"/>
    <cellStyle name="Normal 2 2 2 3 17 4 7" xfId="17817" xr:uid="{00000000-0005-0000-0000-000073450000}"/>
    <cellStyle name="Normal 2 2 2 3 17 4 8" xfId="17818" xr:uid="{00000000-0005-0000-0000-000074450000}"/>
    <cellStyle name="Normal 2 2 2 3 17 4 9" xfId="17819" xr:uid="{00000000-0005-0000-0000-000075450000}"/>
    <cellStyle name="Normal 2 2 2 3 17 5" xfId="17820" xr:uid="{00000000-0005-0000-0000-000076450000}"/>
    <cellStyle name="Normal 2 2 2 3 17 5 10" xfId="17821" xr:uid="{00000000-0005-0000-0000-000077450000}"/>
    <cellStyle name="Normal 2 2 2 3 17 5 2" xfId="17822" xr:uid="{00000000-0005-0000-0000-000078450000}"/>
    <cellStyle name="Normal 2 2 2 3 17 5 3" xfId="17823" xr:uid="{00000000-0005-0000-0000-000079450000}"/>
    <cellStyle name="Normal 2 2 2 3 17 5 4" xfId="17824" xr:uid="{00000000-0005-0000-0000-00007A450000}"/>
    <cellStyle name="Normal 2 2 2 3 17 5 5" xfId="17825" xr:uid="{00000000-0005-0000-0000-00007B450000}"/>
    <cellStyle name="Normal 2 2 2 3 17 5 6" xfId="17826" xr:uid="{00000000-0005-0000-0000-00007C450000}"/>
    <cellStyle name="Normal 2 2 2 3 17 5 7" xfId="17827" xr:uid="{00000000-0005-0000-0000-00007D450000}"/>
    <cellStyle name="Normal 2 2 2 3 17 5 8" xfId="17828" xr:uid="{00000000-0005-0000-0000-00007E450000}"/>
    <cellStyle name="Normal 2 2 2 3 17 5 9" xfId="17829" xr:uid="{00000000-0005-0000-0000-00007F450000}"/>
    <cellStyle name="Normal 2 2 2 3 17 6" xfId="17830" xr:uid="{00000000-0005-0000-0000-000080450000}"/>
    <cellStyle name="Normal 2 2 2 3 17 7" xfId="17831" xr:uid="{00000000-0005-0000-0000-000081450000}"/>
    <cellStyle name="Normal 2 2 2 3 17 8" xfId="17832" xr:uid="{00000000-0005-0000-0000-000082450000}"/>
    <cellStyle name="Normal 2 2 2 3 17 9" xfId="17833" xr:uid="{00000000-0005-0000-0000-000083450000}"/>
    <cellStyle name="Normal 2 2 2 3 18" xfId="17834" xr:uid="{00000000-0005-0000-0000-000084450000}"/>
    <cellStyle name="Normal 2 2 2 3 18 10" xfId="17835" xr:uid="{00000000-0005-0000-0000-000085450000}"/>
    <cellStyle name="Normal 2 2 2 3 18 11" xfId="17836" xr:uid="{00000000-0005-0000-0000-000086450000}"/>
    <cellStyle name="Normal 2 2 2 3 18 12" xfId="17837" xr:uid="{00000000-0005-0000-0000-000087450000}"/>
    <cellStyle name="Normal 2 2 2 3 18 13" xfId="17838" xr:uid="{00000000-0005-0000-0000-000088450000}"/>
    <cellStyle name="Normal 2 2 2 3 18 14" xfId="17839" xr:uid="{00000000-0005-0000-0000-000089450000}"/>
    <cellStyle name="Normal 2 2 2 3 18 2" xfId="17840" xr:uid="{00000000-0005-0000-0000-00008A450000}"/>
    <cellStyle name="Normal 2 2 2 3 18 2 10" xfId="17841" xr:uid="{00000000-0005-0000-0000-00008B450000}"/>
    <cellStyle name="Normal 2 2 2 3 18 2 2" xfId="17842" xr:uid="{00000000-0005-0000-0000-00008C450000}"/>
    <cellStyle name="Normal 2 2 2 3 18 2 3" xfId="17843" xr:uid="{00000000-0005-0000-0000-00008D450000}"/>
    <cellStyle name="Normal 2 2 2 3 18 2 4" xfId="17844" xr:uid="{00000000-0005-0000-0000-00008E450000}"/>
    <cellStyle name="Normal 2 2 2 3 18 2 5" xfId="17845" xr:uid="{00000000-0005-0000-0000-00008F450000}"/>
    <cellStyle name="Normal 2 2 2 3 18 2 6" xfId="17846" xr:uid="{00000000-0005-0000-0000-000090450000}"/>
    <cellStyle name="Normal 2 2 2 3 18 2 7" xfId="17847" xr:uid="{00000000-0005-0000-0000-000091450000}"/>
    <cellStyle name="Normal 2 2 2 3 18 2 8" xfId="17848" xr:uid="{00000000-0005-0000-0000-000092450000}"/>
    <cellStyle name="Normal 2 2 2 3 18 2 9" xfId="17849" xr:uid="{00000000-0005-0000-0000-000093450000}"/>
    <cellStyle name="Normal 2 2 2 3 18 3" xfId="17850" xr:uid="{00000000-0005-0000-0000-000094450000}"/>
    <cellStyle name="Normal 2 2 2 3 18 3 10" xfId="17851" xr:uid="{00000000-0005-0000-0000-000095450000}"/>
    <cellStyle name="Normal 2 2 2 3 18 3 2" xfId="17852" xr:uid="{00000000-0005-0000-0000-000096450000}"/>
    <cellStyle name="Normal 2 2 2 3 18 3 3" xfId="17853" xr:uid="{00000000-0005-0000-0000-000097450000}"/>
    <cellStyle name="Normal 2 2 2 3 18 3 4" xfId="17854" xr:uid="{00000000-0005-0000-0000-000098450000}"/>
    <cellStyle name="Normal 2 2 2 3 18 3 5" xfId="17855" xr:uid="{00000000-0005-0000-0000-000099450000}"/>
    <cellStyle name="Normal 2 2 2 3 18 3 6" xfId="17856" xr:uid="{00000000-0005-0000-0000-00009A450000}"/>
    <cellStyle name="Normal 2 2 2 3 18 3 7" xfId="17857" xr:uid="{00000000-0005-0000-0000-00009B450000}"/>
    <cellStyle name="Normal 2 2 2 3 18 3 8" xfId="17858" xr:uid="{00000000-0005-0000-0000-00009C450000}"/>
    <cellStyle name="Normal 2 2 2 3 18 3 9" xfId="17859" xr:uid="{00000000-0005-0000-0000-00009D450000}"/>
    <cellStyle name="Normal 2 2 2 3 18 4" xfId="17860" xr:uid="{00000000-0005-0000-0000-00009E450000}"/>
    <cellStyle name="Normal 2 2 2 3 18 4 10" xfId="17861" xr:uid="{00000000-0005-0000-0000-00009F450000}"/>
    <cellStyle name="Normal 2 2 2 3 18 4 2" xfId="17862" xr:uid="{00000000-0005-0000-0000-0000A0450000}"/>
    <cellStyle name="Normal 2 2 2 3 18 4 3" xfId="17863" xr:uid="{00000000-0005-0000-0000-0000A1450000}"/>
    <cellStyle name="Normal 2 2 2 3 18 4 4" xfId="17864" xr:uid="{00000000-0005-0000-0000-0000A2450000}"/>
    <cellStyle name="Normal 2 2 2 3 18 4 5" xfId="17865" xr:uid="{00000000-0005-0000-0000-0000A3450000}"/>
    <cellStyle name="Normal 2 2 2 3 18 4 6" xfId="17866" xr:uid="{00000000-0005-0000-0000-0000A4450000}"/>
    <cellStyle name="Normal 2 2 2 3 18 4 7" xfId="17867" xr:uid="{00000000-0005-0000-0000-0000A5450000}"/>
    <cellStyle name="Normal 2 2 2 3 18 4 8" xfId="17868" xr:uid="{00000000-0005-0000-0000-0000A6450000}"/>
    <cellStyle name="Normal 2 2 2 3 18 4 9" xfId="17869" xr:uid="{00000000-0005-0000-0000-0000A7450000}"/>
    <cellStyle name="Normal 2 2 2 3 18 5" xfId="17870" xr:uid="{00000000-0005-0000-0000-0000A8450000}"/>
    <cellStyle name="Normal 2 2 2 3 18 5 10" xfId="17871" xr:uid="{00000000-0005-0000-0000-0000A9450000}"/>
    <cellStyle name="Normal 2 2 2 3 18 5 2" xfId="17872" xr:uid="{00000000-0005-0000-0000-0000AA450000}"/>
    <cellStyle name="Normal 2 2 2 3 18 5 3" xfId="17873" xr:uid="{00000000-0005-0000-0000-0000AB450000}"/>
    <cellStyle name="Normal 2 2 2 3 18 5 4" xfId="17874" xr:uid="{00000000-0005-0000-0000-0000AC450000}"/>
    <cellStyle name="Normal 2 2 2 3 18 5 5" xfId="17875" xr:uid="{00000000-0005-0000-0000-0000AD450000}"/>
    <cellStyle name="Normal 2 2 2 3 18 5 6" xfId="17876" xr:uid="{00000000-0005-0000-0000-0000AE450000}"/>
    <cellStyle name="Normal 2 2 2 3 18 5 7" xfId="17877" xr:uid="{00000000-0005-0000-0000-0000AF450000}"/>
    <cellStyle name="Normal 2 2 2 3 18 5 8" xfId="17878" xr:uid="{00000000-0005-0000-0000-0000B0450000}"/>
    <cellStyle name="Normal 2 2 2 3 18 5 9" xfId="17879" xr:uid="{00000000-0005-0000-0000-0000B1450000}"/>
    <cellStyle name="Normal 2 2 2 3 18 6" xfId="17880" xr:uid="{00000000-0005-0000-0000-0000B2450000}"/>
    <cellStyle name="Normal 2 2 2 3 18 7" xfId="17881" xr:uid="{00000000-0005-0000-0000-0000B3450000}"/>
    <cellStyle name="Normal 2 2 2 3 18 8" xfId="17882" xr:uid="{00000000-0005-0000-0000-0000B4450000}"/>
    <cellStyle name="Normal 2 2 2 3 18 9" xfId="17883" xr:uid="{00000000-0005-0000-0000-0000B5450000}"/>
    <cellStyle name="Normal 2 2 2 3 19" xfId="17884" xr:uid="{00000000-0005-0000-0000-0000B6450000}"/>
    <cellStyle name="Normal 2 2 2 3 19 10" xfId="17885" xr:uid="{00000000-0005-0000-0000-0000B7450000}"/>
    <cellStyle name="Normal 2 2 2 3 19 11" xfId="17886" xr:uid="{00000000-0005-0000-0000-0000B8450000}"/>
    <cellStyle name="Normal 2 2 2 3 19 12" xfId="17887" xr:uid="{00000000-0005-0000-0000-0000B9450000}"/>
    <cellStyle name="Normal 2 2 2 3 19 13" xfId="17888" xr:uid="{00000000-0005-0000-0000-0000BA450000}"/>
    <cellStyle name="Normal 2 2 2 3 19 14" xfId="17889" xr:uid="{00000000-0005-0000-0000-0000BB450000}"/>
    <cellStyle name="Normal 2 2 2 3 19 2" xfId="17890" xr:uid="{00000000-0005-0000-0000-0000BC450000}"/>
    <cellStyle name="Normal 2 2 2 3 19 2 10" xfId="17891" xr:uid="{00000000-0005-0000-0000-0000BD450000}"/>
    <cellStyle name="Normal 2 2 2 3 19 2 2" xfId="17892" xr:uid="{00000000-0005-0000-0000-0000BE450000}"/>
    <cellStyle name="Normal 2 2 2 3 19 2 3" xfId="17893" xr:uid="{00000000-0005-0000-0000-0000BF450000}"/>
    <cellStyle name="Normal 2 2 2 3 19 2 4" xfId="17894" xr:uid="{00000000-0005-0000-0000-0000C0450000}"/>
    <cellStyle name="Normal 2 2 2 3 19 2 5" xfId="17895" xr:uid="{00000000-0005-0000-0000-0000C1450000}"/>
    <cellStyle name="Normal 2 2 2 3 19 2 6" xfId="17896" xr:uid="{00000000-0005-0000-0000-0000C2450000}"/>
    <cellStyle name="Normal 2 2 2 3 19 2 7" xfId="17897" xr:uid="{00000000-0005-0000-0000-0000C3450000}"/>
    <cellStyle name="Normal 2 2 2 3 19 2 8" xfId="17898" xr:uid="{00000000-0005-0000-0000-0000C4450000}"/>
    <cellStyle name="Normal 2 2 2 3 19 2 9" xfId="17899" xr:uid="{00000000-0005-0000-0000-0000C5450000}"/>
    <cellStyle name="Normal 2 2 2 3 19 3" xfId="17900" xr:uid="{00000000-0005-0000-0000-0000C6450000}"/>
    <cellStyle name="Normal 2 2 2 3 19 3 10" xfId="17901" xr:uid="{00000000-0005-0000-0000-0000C7450000}"/>
    <cellStyle name="Normal 2 2 2 3 19 3 2" xfId="17902" xr:uid="{00000000-0005-0000-0000-0000C8450000}"/>
    <cellStyle name="Normal 2 2 2 3 19 3 3" xfId="17903" xr:uid="{00000000-0005-0000-0000-0000C9450000}"/>
    <cellStyle name="Normal 2 2 2 3 19 3 4" xfId="17904" xr:uid="{00000000-0005-0000-0000-0000CA450000}"/>
    <cellStyle name="Normal 2 2 2 3 19 3 5" xfId="17905" xr:uid="{00000000-0005-0000-0000-0000CB450000}"/>
    <cellStyle name="Normal 2 2 2 3 19 3 6" xfId="17906" xr:uid="{00000000-0005-0000-0000-0000CC450000}"/>
    <cellStyle name="Normal 2 2 2 3 19 3 7" xfId="17907" xr:uid="{00000000-0005-0000-0000-0000CD450000}"/>
    <cellStyle name="Normal 2 2 2 3 19 3 8" xfId="17908" xr:uid="{00000000-0005-0000-0000-0000CE450000}"/>
    <cellStyle name="Normal 2 2 2 3 19 3 9" xfId="17909" xr:uid="{00000000-0005-0000-0000-0000CF450000}"/>
    <cellStyle name="Normal 2 2 2 3 19 4" xfId="17910" xr:uid="{00000000-0005-0000-0000-0000D0450000}"/>
    <cellStyle name="Normal 2 2 2 3 19 4 10" xfId="17911" xr:uid="{00000000-0005-0000-0000-0000D1450000}"/>
    <cellStyle name="Normal 2 2 2 3 19 4 2" xfId="17912" xr:uid="{00000000-0005-0000-0000-0000D2450000}"/>
    <cellStyle name="Normal 2 2 2 3 19 4 3" xfId="17913" xr:uid="{00000000-0005-0000-0000-0000D3450000}"/>
    <cellStyle name="Normal 2 2 2 3 19 4 4" xfId="17914" xr:uid="{00000000-0005-0000-0000-0000D4450000}"/>
    <cellStyle name="Normal 2 2 2 3 19 4 5" xfId="17915" xr:uid="{00000000-0005-0000-0000-0000D5450000}"/>
    <cellStyle name="Normal 2 2 2 3 19 4 6" xfId="17916" xr:uid="{00000000-0005-0000-0000-0000D6450000}"/>
    <cellStyle name="Normal 2 2 2 3 19 4 7" xfId="17917" xr:uid="{00000000-0005-0000-0000-0000D7450000}"/>
    <cellStyle name="Normal 2 2 2 3 19 4 8" xfId="17918" xr:uid="{00000000-0005-0000-0000-0000D8450000}"/>
    <cellStyle name="Normal 2 2 2 3 19 4 9" xfId="17919" xr:uid="{00000000-0005-0000-0000-0000D9450000}"/>
    <cellStyle name="Normal 2 2 2 3 19 5" xfId="17920" xr:uid="{00000000-0005-0000-0000-0000DA450000}"/>
    <cellStyle name="Normal 2 2 2 3 19 5 10" xfId="17921" xr:uid="{00000000-0005-0000-0000-0000DB450000}"/>
    <cellStyle name="Normal 2 2 2 3 19 5 2" xfId="17922" xr:uid="{00000000-0005-0000-0000-0000DC450000}"/>
    <cellStyle name="Normal 2 2 2 3 19 5 3" xfId="17923" xr:uid="{00000000-0005-0000-0000-0000DD450000}"/>
    <cellStyle name="Normal 2 2 2 3 19 5 4" xfId="17924" xr:uid="{00000000-0005-0000-0000-0000DE450000}"/>
    <cellStyle name="Normal 2 2 2 3 19 5 5" xfId="17925" xr:uid="{00000000-0005-0000-0000-0000DF450000}"/>
    <cellStyle name="Normal 2 2 2 3 19 5 6" xfId="17926" xr:uid="{00000000-0005-0000-0000-0000E0450000}"/>
    <cellStyle name="Normal 2 2 2 3 19 5 7" xfId="17927" xr:uid="{00000000-0005-0000-0000-0000E1450000}"/>
    <cellStyle name="Normal 2 2 2 3 19 5 8" xfId="17928" xr:uid="{00000000-0005-0000-0000-0000E2450000}"/>
    <cellStyle name="Normal 2 2 2 3 19 5 9" xfId="17929" xr:uid="{00000000-0005-0000-0000-0000E3450000}"/>
    <cellStyle name="Normal 2 2 2 3 19 6" xfId="17930" xr:uid="{00000000-0005-0000-0000-0000E4450000}"/>
    <cellStyle name="Normal 2 2 2 3 19 7" xfId="17931" xr:uid="{00000000-0005-0000-0000-0000E5450000}"/>
    <cellStyle name="Normal 2 2 2 3 19 8" xfId="17932" xr:uid="{00000000-0005-0000-0000-0000E6450000}"/>
    <cellStyle name="Normal 2 2 2 3 19 9" xfId="17933" xr:uid="{00000000-0005-0000-0000-0000E7450000}"/>
    <cellStyle name="Normal 2 2 2 3 2" xfId="17934" xr:uid="{00000000-0005-0000-0000-0000E8450000}"/>
    <cellStyle name="Normal 2 2 2 3 2 10" xfId="17935" xr:uid="{00000000-0005-0000-0000-0000E9450000}"/>
    <cellStyle name="Normal 2 2 2 3 2 11" xfId="17936" xr:uid="{00000000-0005-0000-0000-0000EA450000}"/>
    <cellStyle name="Normal 2 2 2 3 2 12" xfId="17937" xr:uid="{00000000-0005-0000-0000-0000EB450000}"/>
    <cellStyle name="Normal 2 2 2 3 2 13" xfId="17938" xr:uid="{00000000-0005-0000-0000-0000EC450000}"/>
    <cellStyle name="Normal 2 2 2 3 2 14" xfId="17939" xr:uid="{00000000-0005-0000-0000-0000ED450000}"/>
    <cellStyle name="Normal 2 2 2 3 2 15" xfId="17940" xr:uid="{00000000-0005-0000-0000-0000EE450000}"/>
    <cellStyle name="Normal 2 2 2 3 2 16" xfId="17941" xr:uid="{00000000-0005-0000-0000-0000EF450000}"/>
    <cellStyle name="Normal 2 2 2 3 2 17" xfId="17942" xr:uid="{00000000-0005-0000-0000-0000F0450000}"/>
    <cellStyle name="Normal 2 2 2 3 2 2" xfId="17943" xr:uid="{00000000-0005-0000-0000-0000F1450000}"/>
    <cellStyle name="Normal 2 2 2 3 2 2 10" xfId="17944" xr:uid="{00000000-0005-0000-0000-0000F2450000}"/>
    <cellStyle name="Normal 2 2 2 3 2 2 11" xfId="17945" xr:uid="{00000000-0005-0000-0000-0000F3450000}"/>
    <cellStyle name="Normal 2 2 2 3 2 2 12" xfId="17946" xr:uid="{00000000-0005-0000-0000-0000F4450000}"/>
    <cellStyle name="Normal 2 2 2 3 2 2 2" xfId="17947" xr:uid="{00000000-0005-0000-0000-0000F5450000}"/>
    <cellStyle name="Normal 2 2 2 3 2 2 2 2" xfId="17948" xr:uid="{00000000-0005-0000-0000-0000F6450000}"/>
    <cellStyle name="Normal 2 2 2 3 2 2 2 3" xfId="17949" xr:uid="{00000000-0005-0000-0000-0000F7450000}"/>
    <cellStyle name="Normal 2 2 2 3 2 2 3" xfId="17950" xr:uid="{00000000-0005-0000-0000-0000F8450000}"/>
    <cellStyle name="Normal 2 2 2 3 2 2 4" xfId="17951" xr:uid="{00000000-0005-0000-0000-0000F9450000}"/>
    <cellStyle name="Normal 2 2 2 3 2 2 5" xfId="17952" xr:uid="{00000000-0005-0000-0000-0000FA450000}"/>
    <cellStyle name="Normal 2 2 2 3 2 2 6" xfId="17953" xr:uid="{00000000-0005-0000-0000-0000FB450000}"/>
    <cellStyle name="Normal 2 2 2 3 2 2 7" xfId="17954" xr:uid="{00000000-0005-0000-0000-0000FC450000}"/>
    <cellStyle name="Normal 2 2 2 3 2 2 8" xfId="17955" xr:uid="{00000000-0005-0000-0000-0000FD450000}"/>
    <cellStyle name="Normal 2 2 2 3 2 2 9" xfId="17956" xr:uid="{00000000-0005-0000-0000-0000FE450000}"/>
    <cellStyle name="Normal 2 2 2 3 2 3" xfId="17957" xr:uid="{00000000-0005-0000-0000-0000FF450000}"/>
    <cellStyle name="Normal 2 2 2 3 2 3 10" xfId="17958" xr:uid="{00000000-0005-0000-0000-000000460000}"/>
    <cellStyle name="Normal 2 2 2 3 2 3 11" xfId="17959" xr:uid="{00000000-0005-0000-0000-000001460000}"/>
    <cellStyle name="Normal 2 2 2 3 2 3 12" xfId="17960" xr:uid="{00000000-0005-0000-0000-000002460000}"/>
    <cellStyle name="Normal 2 2 2 3 2 3 2" xfId="17961" xr:uid="{00000000-0005-0000-0000-000003460000}"/>
    <cellStyle name="Normal 2 2 2 3 2 3 3" xfId="17962" xr:uid="{00000000-0005-0000-0000-000004460000}"/>
    <cellStyle name="Normal 2 2 2 3 2 3 4" xfId="17963" xr:uid="{00000000-0005-0000-0000-000005460000}"/>
    <cellStyle name="Normal 2 2 2 3 2 3 5" xfId="17964" xr:uid="{00000000-0005-0000-0000-000006460000}"/>
    <cellStyle name="Normal 2 2 2 3 2 3 6" xfId="17965" xr:uid="{00000000-0005-0000-0000-000007460000}"/>
    <cellStyle name="Normal 2 2 2 3 2 3 7" xfId="17966" xr:uid="{00000000-0005-0000-0000-000008460000}"/>
    <cellStyle name="Normal 2 2 2 3 2 3 8" xfId="17967" xr:uid="{00000000-0005-0000-0000-000009460000}"/>
    <cellStyle name="Normal 2 2 2 3 2 3 9" xfId="17968" xr:uid="{00000000-0005-0000-0000-00000A460000}"/>
    <cellStyle name="Normal 2 2 2 3 2 4" xfId="17969" xr:uid="{00000000-0005-0000-0000-00000B460000}"/>
    <cellStyle name="Normal 2 2 2 3 2 4 10" xfId="17970" xr:uid="{00000000-0005-0000-0000-00000C460000}"/>
    <cellStyle name="Normal 2 2 2 3 2 4 2" xfId="17971" xr:uid="{00000000-0005-0000-0000-00000D460000}"/>
    <cellStyle name="Normal 2 2 2 3 2 4 3" xfId="17972" xr:uid="{00000000-0005-0000-0000-00000E460000}"/>
    <cellStyle name="Normal 2 2 2 3 2 4 4" xfId="17973" xr:uid="{00000000-0005-0000-0000-00000F460000}"/>
    <cellStyle name="Normal 2 2 2 3 2 4 5" xfId="17974" xr:uid="{00000000-0005-0000-0000-000010460000}"/>
    <cellStyle name="Normal 2 2 2 3 2 4 6" xfId="17975" xr:uid="{00000000-0005-0000-0000-000011460000}"/>
    <cellStyle name="Normal 2 2 2 3 2 4 7" xfId="17976" xr:uid="{00000000-0005-0000-0000-000012460000}"/>
    <cellStyle name="Normal 2 2 2 3 2 4 8" xfId="17977" xr:uid="{00000000-0005-0000-0000-000013460000}"/>
    <cellStyle name="Normal 2 2 2 3 2 4 9" xfId="17978" xr:uid="{00000000-0005-0000-0000-000014460000}"/>
    <cellStyle name="Normal 2 2 2 3 2 5" xfId="17979" xr:uid="{00000000-0005-0000-0000-000015460000}"/>
    <cellStyle name="Normal 2 2 2 3 2 5 10" xfId="17980" xr:uid="{00000000-0005-0000-0000-000016460000}"/>
    <cellStyle name="Normal 2 2 2 3 2 5 2" xfId="17981" xr:uid="{00000000-0005-0000-0000-000017460000}"/>
    <cellStyle name="Normal 2 2 2 3 2 5 3" xfId="17982" xr:uid="{00000000-0005-0000-0000-000018460000}"/>
    <cellStyle name="Normal 2 2 2 3 2 5 4" xfId="17983" xr:uid="{00000000-0005-0000-0000-000019460000}"/>
    <cellStyle name="Normal 2 2 2 3 2 5 5" xfId="17984" xr:uid="{00000000-0005-0000-0000-00001A460000}"/>
    <cellStyle name="Normal 2 2 2 3 2 5 6" xfId="17985" xr:uid="{00000000-0005-0000-0000-00001B460000}"/>
    <cellStyle name="Normal 2 2 2 3 2 5 7" xfId="17986" xr:uid="{00000000-0005-0000-0000-00001C460000}"/>
    <cellStyle name="Normal 2 2 2 3 2 5 8" xfId="17987" xr:uid="{00000000-0005-0000-0000-00001D460000}"/>
    <cellStyle name="Normal 2 2 2 3 2 5 9" xfId="17988" xr:uid="{00000000-0005-0000-0000-00001E460000}"/>
    <cellStyle name="Normal 2 2 2 3 2 6" xfId="17989" xr:uid="{00000000-0005-0000-0000-00001F460000}"/>
    <cellStyle name="Normal 2 2 2 3 2 7" xfId="17990" xr:uid="{00000000-0005-0000-0000-000020460000}"/>
    <cellStyle name="Normal 2 2 2 3 2 8" xfId="17991" xr:uid="{00000000-0005-0000-0000-000021460000}"/>
    <cellStyle name="Normal 2 2 2 3 2 9" xfId="17992" xr:uid="{00000000-0005-0000-0000-000022460000}"/>
    <cellStyle name="Normal 2 2 2 3 20" xfId="17993" xr:uid="{00000000-0005-0000-0000-000023460000}"/>
    <cellStyle name="Normal 2 2 2 3 20 10" xfId="17994" xr:uid="{00000000-0005-0000-0000-000024460000}"/>
    <cellStyle name="Normal 2 2 2 3 20 11" xfId="17995" xr:uid="{00000000-0005-0000-0000-000025460000}"/>
    <cellStyle name="Normal 2 2 2 3 20 12" xfId="17996" xr:uid="{00000000-0005-0000-0000-000026460000}"/>
    <cellStyle name="Normal 2 2 2 3 20 13" xfId="17997" xr:uid="{00000000-0005-0000-0000-000027460000}"/>
    <cellStyle name="Normal 2 2 2 3 20 14" xfId="17998" xr:uid="{00000000-0005-0000-0000-000028460000}"/>
    <cellStyle name="Normal 2 2 2 3 20 2" xfId="17999" xr:uid="{00000000-0005-0000-0000-000029460000}"/>
    <cellStyle name="Normal 2 2 2 3 20 2 10" xfId="18000" xr:uid="{00000000-0005-0000-0000-00002A460000}"/>
    <cellStyle name="Normal 2 2 2 3 20 2 2" xfId="18001" xr:uid="{00000000-0005-0000-0000-00002B460000}"/>
    <cellStyle name="Normal 2 2 2 3 20 2 3" xfId="18002" xr:uid="{00000000-0005-0000-0000-00002C460000}"/>
    <cellStyle name="Normal 2 2 2 3 20 2 4" xfId="18003" xr:uid="{00000000-0005-0000-0000-00002D460000}"/>
    <cellStyle name="Normal 2 2 2 3 20 2 5" xfId="18004" xr:uid="{00000000-0005-0000-0000-00002E460000}"/>
    <cellStyle name="Normal 2 2 2 3 20 2 6" xfId="18005" xr:uid="{00000000-0005-0000-0000-00002F460000}"/>
    <cellStyle name="Normal 2 2 2 3 20 2 7" xfId="18006" xr:uid="{00000000-0005-0000-0000-000030460000}"/>
    <cellStyle name="Normal 2 2 2 3 20 2 8" xfId="18007" xr:uid="{00000000-0005-0000-0000-000031460000}"/>
    <cellStyle name="Normal 2 2 2 3 20 2 9" xfId="18008" xr:uid="{00000000-0005-0000-0000-000032460000}"/>
    <cellStyle name="Normal 2 2 2 3 20 3" xfId="18009" xr:uid="{00000000-0005-0000-0000-000033460000}"/>
    <cellStyle name="Normal 2 2 2 3 20 3 10" xfId="18010" xr:uid="{00000000-0005-0000-0000-000034460000}"/>
    <cellStyle name="Normal 2 2 2 3 20 3 2" xfId="18011" xr:uid="{00000000-0005-0000-0000-000035460000}"/>
    <cellStyle name="Normal 2 2 2 3 20 3 3" xfId="18012" xr:uid="{00000000-0005-0000-0000-000036460000}"/>
    <cellStyle name="Normal 2 2 2 3 20 3 4" xfId="18013" xr:uid="{00000000-0005-0000-0000-000037460000}"/>
    <cellStyle name="Normal 2 2 2 3 20 3 5" xfId="18014" xr:uid="{00000000-0005-0000-0000-000038460000}"/>
    <cellStyle name="Normal 2 2 2 3 20 3 6" xfId="18015" xr:uid="{00000000-0005-0000-0000-000039460000}"/>
    <cellStyle name="Normal 2 2 2 3 20 3 7" xfId="18016" xr:uid="{00000000-0005-0000-0000-00003A460000}"/>
    <cellStyle name="Normal 2 2 2 3 20 3 8" xfId="18017" xr:uid="{00000000-0005-0000-0000-00003B460000}"/>
    <cellStyle name="Normal 2 2 2 3 20 3 9" xfId="18018" xr:uid="{00000000-0005-0000-0000-00003C460000}"/>
    <cellStyle name="Normal 2 2 2 3 20 4" xfId="18019" xr:uid="{00000000-0005-0000-0000-00003D460000}"/>
    <cellStyle name="Normal 2 2 2 3 20 4 10" xfId="18020" xr:uid="{00000000-0005-0000-0000-00003E460000}"/>
    <cellStyle name="Normal 2 2 2 3 20 4 2" xfId="18021" xr:uid="{00000000-0005-0000-0000-00003F460000}"/>
    <cellStyle name="Normal 2 2 2 3 20 4 3" xfId="18022" xr:uid="{00000000-0005-0000-0000-000040460000}"/>
    <cellStyle name="Normal 2 2 2 3 20 4 4" xfId="18023" xr:uid="{00000000-0005-0000-0000-000041460000}"/>
    <cellStyle name="Normal 2 2 2 3 20 4 5" xfId="18024" xr:uid="{00000000-0005-0000-0000-000042460000}"/>
    <cellStyle name="Normal 2 2 2 3 20 4 6" xfId="18025" xr:uid="{00000000-0005-0000-0000-000043460000}"/>
    <cellStyle name="Normal 2 2 2 3 20 4 7" xfId="18026" xr:uid="{00000000-0005-0000-0000-000044460000}"/>
    <cellStyle name="Normal 2 2 2 3 20 4 8" xfId="18027" xr:uid="{00000000-0005-0000-0000-000045460000}"/>
    <cellStyle name="Normal 2 2 2 3 20 4 9" xfId="18028" xr:uid="{00000000-0005-0000-0000-000046460000}"/>
    <cellStyle name="Normal 2 2 2 3 20 5" xfId="18029" xr:uid="{00000000-0005-0000-0000-000047460000}"/>
    <cellStyle name="Normal 2 2 2 3 20 5 10" xfId="18030" xr:uid="{00000000-0005-0000-0000-000048460000}"/>
    <cellStyle name="Normal 2 2 2 3 20 5 2" xfId="18031" xr:uid="{00000000-0005-0000-0000-000049460000}"/>
    <cellStyle name="Normal 2 2 2 3 20 5 3" xfId="18032" xr:uid="{00000000-0005-0000-0000-00004A460000}"/>
    <cellStyle name="Normal 2 2 2 3 20 5 4" xfId="18033" xr:uid="{00000000-0005-0000-0000-00004B460000}"/>
    <cellStyle name="Normal 2 2 2 3 20 5 5" xfId="18034" xr:uid="{00000000-0005-0000-0000-00004C460000}"/>
    <cellStyle name="Normal 2 2 2 3 20 5 6" xfId="18035" xr:uid="{00000000-0005-0000-0000-00004D460000}"/>
    <cellStyle name="Normal 2 2 2 3 20 5 7" xfId="18036" xr:uid="{00000000-0005-0000-0000-00004E460000}"/>
    <cellStyle name="Normal 2 2 2 3 20 5 8" xfId="18037" xr:uid="{00000000-0005-0000-0000-00004F460000}"/>
    <cellStyle name="Normal 2 2 2 3 20 5 9" xfId="18038" xr:uid="{00000000-0005-0000-0000-000050460000}"/>
    <cellStyle name="Normal 2 2 2 3 20 6" xfId="18039" xr:uid="{00000000-0005-0000-0000-000051460000}"/>
    <cellStyle name="Normal 2 2 2 3 20 7" xfId="18040" xr:uid="{00000000-0005-0000-0000-000052460000}"/>
    <cellStyle name="Normal 2 2 2 3 20 8" xfId="18041" xr:uid="{00000000-0005-0000-0000-000053460000}"/>
    <cellStyle name="Normal 2 2 2 3 20 9" xfId="18042" xr:uid="{00000000-0005-0000-0000-000054460000}"/>
    <cellStyle name="Normal 2 2 2 3 21" xfId="18043" xr:uid="{00000000-0005-0000-0000-000055460000}"/>
    <cellStyle name="Normal 2 2 2 3 21 10" xfId="18044" xr:uid="{00000000-0005-0000-0000-000056460000}"/>
    <cellStyle name="Normal 2 2 2 3 21 11" xfId="18045" xr:uid="{00000000-0005-0000-0000-000057460000}"/>
    <cellStyle name="Normal 2 2 2 3 21 12" xfId="18046" xr:uid="{00000000-0005-0000-0000-000058460000}"/>
    <cellStyle name="Normal 2 2 2 3 21 13" xfId="18047" xr:uid="{00000000-0005-0000-0000-000059460000}"/>
    <cellStyle name="Normal 2 2 2 3 21 14" xfId="18048" xr:uid="{00000000-0005-0000-0000-00005A460000}"/>
    <cellStyle name="Normal 2 2 2 3 21 2" xfId="18049" xr:uid="{00000000-0005-0000-0000-00005B460000}"/>
    <cellStyle name="Normal 2 2 2 3 21 2 10" xfId="18050" xr:uid="{00000000-0005-0000-0000-00005C460000}"/>
    <cellStyle name="Normal 2 2 2 3 21 2 2" xfId="18051" xr:uid="{00000000-0005-0000-0000-00005D460000}"/>
    <cellStyle name="Normal 2 2 2 3 21 2 3" xfId="18052" xr:uid="{00000000-0005-0000-0000-00005E460000}"/>
    <cellStyle name="Normal 2 2 2 3 21 2 4" xfId="18053" xr:uid="{00000000-0005-0000-0000-00005F460000}"/>
    <cellStyle name="Normal 2 2 2 3 21 2 5" xfId="18054" xr:uid="{00000000-0005-0000-0000-000060460000}"/>
    <cellStyle name="Normal 2 2 2 3 21 2 6" xfId="18055" xr:uid="{00000000-0005-0000-0000-000061460000}"/>
    <cellStyle name="Normal 2 2 2 3 21 2 7" xfId="18056" xr:uid="{00000000-0005-0000-0000-000062460000}"/>
    <cellStyle name="Normal 2 2 2 3 21 2 8" xfId="18057" xr:uid="{00000000-0005-0000-0000-000063460000}"/>
    <cellStyle name="Normal 2 2 2 3 21 2 9" xfId="18058" xr:uid="{00000000-0005-0000-0000-000064460000}"/>
    <cellStyle name="Normal 2 2 2 3 21 3" xfId="18059" xr:uid="{00000000-0005-0000-0000-000065460000}"/>
    <cellStyle name="Normal 2 2 2 3 21 3 10" xfId="18060" xr:uid="{00000000-0005-0000-0000-000066460000}"/>
    <cellStyle name="Normal 2 2 2 3 21 3 2" xfId="18061" xr:uid="{00000000-0005-0000-0000-000067460000}"/>
    <cellStyle name="Normal 2 2 2 3 21 3 3" xfId="18062" xr:uid="{00000000-0005-0000-0000-000068460000}"/>
    <cellStyle name="Normal 2 2 2 3 21 3 4" xfId="18063" xr:uid="{00000000-0005-0000-0000-000069460000}"/>
    <cellStyle name="Normal 2 2 2 3 21 3 5" xfId="18064" xr:uid="{00000000-0005-0000-0000-00006A460000}"/>
    <cellStyle name="Normal 2 2 2 3 21 3 6" xfId="18065" xr:uid="{00000000-0005-0000-0000-00006B460000}"/>
    <cellStyle name="Normal 2 2 2 3 21 3 7" xfId="18066" xr:uid="{00000000-0005-0000-0000-00006C460000}"/>
    <cellStyle name="Normal 2 2 2 3 21 3 8" xfId="18067" xr:uid="{00000000-0005-0000-0000-00006D460000}"/>
    <cellStyle name="Normal 2 2 2 3 21 3 9" xfId="18068" xr:uid="{00000000-0005-0000-0000-00006E460000}"/>
    <cellStyle name="Normal 2 2 2 3 21 4" xfId="18069" xr:uid="{00000000-0005-0000-0000-00006F460000}"/>
    <cellStyle name="Normal 2 2 2 3 21 4 10" xfId="18070" xr:uid="{00000000-0005-0000-0000-000070460000}"/>
    <cellStyle name="Normal 2 2 2 3 21 4 2" xfId="18071" xr:uid="{00000000-0005-0000-0000-000071460000}"/>
    <cellStyle name="Normal 2 2 2 3 21 4 3" xfId="18072" xr:uid="{00000000-0005-0000-0000-000072460000}"/>
    <cellStyle name="Normal 2 2 2 3 21 4 4" xfId="18073" xr:uid="{00000000-0005-0000-0000-000073460000}"/>
    <cellStyle name="Normal 2 2 2 3 21 4 5" xfId="18074" xr:uid="{00000000-0005-0000-0000-000074460000}"/>
    <cellStyle name="Normal 2 2 2 3 21 4 6" xfId="18075" xr:uid="{00000000-0005-0000-0000-000075460000}"/>
    <cellStyle name="Normal 2 2 2 3 21 4 7" xfId="18076" xr:uid="{00000000-0005-0000-0000-000076460000}"/>
    <cellStyle name="Normal 2 2 2 3 21 4 8" xfId="18077" xr:uid="{00000000-0005-0000-0000-000077460000}"/>
    <cellStyle name="Normal 2 2 2 3 21 4 9" xfId="18078" xr:uid="{00000000-0005-0000-0000-000078460000}"/>
    <cellStyle name="Normal 2 2 2 3 21 5" xfId="18079" xr:uid="{00000000-0005-0000-0000-000079460000}"/>
    <cellStyle name="Normal 2 2 2 3 21 5 10" xfId="18080" xr:uid="{00000000-0005-0000-0000-00007A460000}"/>
    <cellStyle name="Normal 2 2 2 3 21 5 2" xfId="18081" xr:uid="{00000000-0005-0000-0000-00007B460000}"/>
    <cellStyle name="Normal 2 2 2 3 21 5 3" xfId="18082" xr:uid="{00000000-0005-0000-0000-00007C460000}"/>
    <cellStyle name="Normal 2 2 2 3 21 5 4" xfId="18083" xr:uid="{00000000-0005-0000-0000-00007D460000}"/>
    <cellStyle name="Normal 2 2 2 3 21 5 5" xfId="18084" xr:uid="{00000000-0005-0000-0000-00007E460000}"/>
    <cellStyle name="Normal 2 2 2 3 21 5 6" xfId="18085" xr:uid="{00000000-0005-0000-0000-00007F460000}"/>
    <cellStyle name="Normal 2 2 2 3 21 5 7" xfId="18086" xr:uid="{00000000-0005-0000-0000-000080460000}"/>
    <cellStyle name="Normal 2 2 2 3 21 5 8" xfId="18087" xr:uid="{00000000-0005-0000-0000-000081460000}"/>
    <cellStyle name="Normal 2 2 2 3 21 5 9" xfId="18088" xr:uid="{00000000-0005-0000-0000-000082460000}"/>
    <cellStyle name="Normal 2 2 2 3 21 6" xfId="18089" xr:uid="{00000000-0005-0000-0000-000083460000}"/>
    <cellStyle name="Normal 2 2 2 3 21 7" xfId="18090" xr:uid="{00000000-0005-0000-0000-000084460000}"/>
    <cellStyle name="Normal 2 2 2 3 21 8" xfId="18091" xr:uid="{00000000-0005-0000-0000-000085460000}"/>
    <cellStyle name="Normal 2 2 2 3 21 9" xfId="18092" xr:uid="{00000000-0005-0000-0000-000086460000}"/>
    <cellStyle name="Normal 2 2 2 3 22" xfId="18093" xr:uid="{00000000-0005-0000-0000-000087460000}"/>
    <cellStyle name="Normal 2 2 2 3 22 10" xfId="18094" xr:uid="{00000000-0005-0000-0000-000088460000}"/>
    <cellStyle name="Normal 2 2 2 3 22 11" xfId="18095" xr:uid="{00000000-0005-0000-0000-000089460000}"/>
    <cellStyle name="Normal 2 2 2 3 22 12" xfId="18096" xr:uid="{00000000-0005-0000-0000-00008A460000}"/>
    <cellStyle name="Normal 2 2 2 3 22 13" xfId="18097" xr:uid="{00000000-0005-0000-0000-00008B460000}"/>
    <cellStyle name="Normal 2 2 2 3 22 14" xfId="18098" xr:uid="{00000000-0005-0000-0000-00008C460000}"/>
    <cellStyle name="Normal 2 2 2 3 22 2" xfId="18099" xr:uid="{00000000-0005-0000-0000-00008D460000}"/>
    <cellStyle name="Normal 2 2 2 3 22 2 10" xfId="18100" xr:uid="{00000000-0005-0000-0000-00008E460000}"/>
    <cellStyle name="Normal 2 2 2 3 22 2 2" xfId="18101" xr:uid="{00000000-0005-0000-0000-00008F460000}"/>
    <cellStyle name="Normal 2 2 2 3 22 2 3" xfId="18102" xr:uid="{00000000-0005-0000-0000-000090460000}"/>
    <cellStyle name="Normal 2 2 2 3 22 2 4" xfId="18103" xr:uid="{00000000-0005-0000-0000-000091460000}"/>
    <cellStyle name="Normal 2 2 2 3 22 2 5" xfId="18104" xr:uid="{00000000-0005-0000-0000-000092460000}"/>
    <cellStyle name="Normal 2 2 2 3 22 2 6" xfId="18105" xr:uid="{00000000-0005-0000-0000-000093460000}"/>
    <cellStyle name="Normal 2 2 2 3 22 2 7" xfId="18106" xr:uid="{00000000-0005-0000-0000-000094460000}"/>
    <cellStyle name="Normal 2 2 2 3 22 2 8" xfId="18107" xr:uid="{00000000-0005-0000-0000-000095460000}"/>
    <cellStyle name="Normal 2 2 2 3 22 2 9" xfId="18108" xr:uid="{00000000-0005-0000-0000-000096460000}"/>
    <cellStyle name="Normal 2 2 2 3 22 3" xfId="18109" xr:uid="{00000000-0005-0000-0000-000097460000}"/>
    <cellStyle name="Normal 2 2 2 3 22 3 10" xfId="18110" xr:uid="{00000000-0005-0000-0000-000098460000}"/>
    <cellStyle name="Normal 2 2 2 3 22 3 2" xfId="18111" xr:uid="{00000000-0005-0000-0000-000099460000}"/>
    <cellStyle name="Normal 2 2 2 3 22 3 3" xfId="18112" xr:uid="{00000000-0005-0000-0000-00009A460000}"/>
    <cellStyle name="Normal 2 2 2 3 22 3 4" xfId="18113" xr:uid="{00000000-0005-0000-0000-00009B460000}"/>
    <cellStyle name="Normal 2 2 2 3 22 3 5" xfId="18114" xr:uid="{00000000-0005-0000-0000-00009C460000}"/>
    <cellStyle name="Normal 2 2 2 3 22 3 6" xfId="18115" xr:uid="{00000000-0005-0000-0000-00009D460000}"/>
    <cellStyle name="Normal 2 2 2 3 22 3 7" xfId="18116" xr:uid="{00000000-0005-0000-0000-00009E460000}"/>
    <cellStyle name="Normal 2 2 2 3 22 3 8" xfId="18117" xr:uid="{00000000-0005-0000-0000-00009F460000}"/>
    <cellStyle name="Normal 2 2 2 3 22 3 9" xfId="18118" xr:uid="{00000000-0005-0000-0000-0000A0460000}"/>
    <cellStyle name="Normal 2 2 2 3 22 4" xfId="18119" xr:uid="{00000000-0005-0000-0000-0000A1460000}"/>
    <cellStyle name="Normal 2 2 2 3 22 4 10" xfId="18120" xr:uid="{00000000-0005-0000-0000-0000A2460000}"/>
    <cellStyle name="Normal 2 2 2 3 22 4 2" xfId="18121" xr:uid="{00000000-0005-0000-0000-0000A3460000}"/>
    <cellStyle name="Normal 2 2 2 3 22 4 3" xfId="18122" xr:uid="{00000000-0005-0000-0000-0000A4460000}"/>
    <cellStyle name="Normal 2 2 2 3 22 4 4" xfId="18123" xr:uid="{00000000-0005-0000-0000-0000A5460000}"/>
    <cellStyle name="Normal 2 2 2 3 22 4 5" xfId="18124" xr:uid="{00000000-0005-0000-0000-0000A6460000}"/>
    <cellStyle name="Normal 2 2 2 3 22 4 6" xfId="18125" xr:uid="{00000000-0005-0000-0000-0000A7460000}"/>
    <cellStyle name="Normal 2 2 2 3 22 4 7" xfId="18126" xr:uid="{00000000-0005-0000-0000-0000A8460000}"/>
    <cellStyle name="Normal 2 2 2 3 22 4 8" xfId="18127" xr:uid="{00000000-0005-0000-0000-0000A9460000}"/>
    <cellStyle name="Normal 2 2 2 3 22 4 9" xfId="18128" xr:uid="{00000000-0005-0000-0000-0000AA460000}"/>
    <cellStyle name="Normal 2 2 2 3 22 5" xfId="18129" xr:uid="{00000000-0005-0000-0000-0000AB460000}"/>
    <cellStyle name="Normal 2 2 2 3 22 5 10" xfId="18130" xr:uid="{00000000-0005-0000-0000-0000AC460000}"/>
    <cellStyle name="Normal 2 2 2 3 22 5 2" xfId="18131" xr:uid="{00000000-0005-0000-0000-0000AD460000}"/>
    <cellStyle name="Normal 2 2 2 3 22 5 3" xfId="18132" xr:uid="{00000000-0005-0000-0000-0000AE460000}"/>
    <cellStyle name="Normal 2 2 2 3 22 5 4" xfId="18133" xr:uid="{00000000-0005-0000-0000-0000AF460000}"/>
    <cellStyle name="Normal 2 2 2 3 22 5 5" xfId="18134" xr:uid="{00000000-0005-0000-0000-0000B0460000}"/>
    <cellStyle name="Normal 2 2 2 3 22 5 6" xfId="18135" xr:uid="{00000000-0005-0000-0000-0000B1460000}"/>
    <cellStyle name="Normal 2 2 2 3 22 5 7" xfId="18136" xr:uid="{00000000-0005-0000-0000-0000B2460000}"/>
    <cellStyle name="Normal 2 2 2 3 22 5 8" xfId="18137" xr:uid="{00000000-0005-0000-0000-0000B3460000}"/>
    <cellStyle name="Normal 2 2 2 3 22 5 9" xfId="18138" xr:uid="{00000000-0005-0000-0000-0000B4460000}"/>
    <cellStyle name="Normal 2 2 2 3 22 6" xfId="18139" xr:uid="{00000000-0005-0000-0000-0000B5460000}"/>
    <cellStyle name="Normal 2 2 2 3 22 7" xfId="18140" xr:uid="{00000000-0005-0000-0000-0000B6460000}"/>
    <cellStyle name="Normal 2 2 2 3 22 8" xfId="18141" xr:uid="{00000000-0005-0000-0000-0000B7460000}"/>
    <cellStyle name="Normal 2 2 2 3 22 9" xfId="18142" xr:uid="{00000000-0005-0000-0000-0000B8460000}"/>
    <cellStyle name="Normal 2 2 2 3 23" xfId="18143" xr:uid="{00000000-0005-0000-0000-0000B9460000}"/>
    <cellStyle name="Normal 2 2 2 3 23 10" xfId="18144" xr:uid="{00000000-0005-0000-0000-0000BA460000}"/>
    <cellStyle name="Normal 2 2 2 3 23 11" xfId="18145" xr:uid="{00000000-0005-0000-0000-0000BB460000}"/>
    <cellStyle name="Normal 2 2 2 3 23 12" xfId="18146" xr:uid="{00000000-0005-0000-0000-0000BC460000}"/>
    <cellStyle name="Normal 2 2 2 3 23 13" xfId="18147" xr:uid="{00000000-0005-0000-0000-0000BD460000}"/>
    <cellStyle name="Normal 2 2 2 3 23 14" xfId="18148" xr:uid="{00000000-0005-0000-0000-0000BE460000}"/>
    <cellStyle name="Normal 2 2 2 3 23 2" xfId="18149" xr:uid="{00000000-0005-0000-0000-0000BF460000}"/>
    <cellStyle name="Normal 2 2 2 3 23 2 10" xfId="18150" xr:uid="{00000000-0005-0000-0000-0000C0460000}"/>
    <cellStyle name="Normal 2 2 2 3 23 2 2" xfId="18151" xr:uid="{00000000-0005-0000-0000-0000C1460000}"/>
    <cellStyle name="Normal 2 2 2 3 23 2 3" xfId="18152" xr:uid="{00000000-0005-0000-0000-0000C2460000}"/>
    <cellStyle name="Normal 2 2 2 3 23 2 4" xfId="18153" xr:uid="{00000000-0005-0000-0000-0000C3460000}"/>
    <cellStyle name="Normal 2 2 2 3 23 2 5" xfId="18154" xr:uid="{00000000-0005-0000-0000-0000C4460000}"/>
    <cellStyle name="Normal 2 2 2 3 23 2 6" xfId="18155" xr:uid="{00000000-0005-0000-0000-0000C5460000}"/>
    <cellStyle name="Normal 2 2 2 3 23 2 7" xfId="18156" xr:uid="{00000000-0005-0000-0000-0000C6460000}"/>
    <cellStyle name="Normal 2 2 2 3 23 2 8" xfId="18157" xr:uid="{00000000-0005-0000-0000-0000C7460000}"/>
    <cellStyle name="Normal 2 2 2 3 23 2 9" xfId="18158" xr:uid="{00000000-0005-0000-0000-0000C8460000}"/>
    <cellStyle name="Normal 2 2 2 3 23 3" xfId="18159" xr:uid="{00000000-0005-0000-0000-0000C9460000}"/>
    <cellStyle name="Normal 2 2 2 3 23 3 10" xfId="18160" xr:uid="{00000000-0005-0000-0000-0000CA460000}"/>
    <cellStyle name="Normal 2 2 2 3 23 3 2" xfId="18161" xr:uid="{00000000-0005-0000-0000-0000CB460000}"/>
    <cellStyle name="Normal 2 2 2 3 23 3 3" xfId="18162" xr:uid="{00000000-0005-0000-0000-0000CC460000}"/>
    <cellStyle name="Normal 2 2 2 3 23 3 4" xfId="18163" xr:uid="{00000000-0005-0000-0000-0000CD460000}"/>
    <cellStyle name="Normal 2 2 2 3 23 3 5" xfId="18164" xr:uid="{00000000-0005-0000-0000-0000CE460000}"/>
    <cellStyle name="Normal 2 2 2 3 23 3 6" xfId="18165" xr:uid="{00000000-0005-0000-0000-0000CF460000}"/>
    <cellStyle name="Normal 2 2 2 3 23 3 7" xfId="18166" xr:uid="{00000000-0005-0000-0000-0000D0460000}"/>
    <cellStyle name="Normal 2 2 2 3 23 3 8" xfId="18167" xr:uid="{00000000-0005-0000-0000-0000D1460000}"/>
    <cellStyle name="Normal 2 2 2 3 23 3 9" xfId="18168" xr:uid="{00000000-0005-0000-0000-0000D2460000}"/>
    <cellStyle name="Normal 2 2 2 3 23 4" xfId="18169" xr:uid="{00000000-0005-0000-0000-0000D3460000}"/>
    <cellStyle name="Normal 2 2 2 3 23 4 10" xfId="18170" xr:uid="{00000000-0005-0000-0000-0000D4460000}"/>
    <cellStyle name="Normal 2 2 2 3 23 4 2" xfId="18171" xr:uid="{00000000-0005-0000-0000-0000D5460000}"/>
    <cellStyle name="Normal 2 2 2 3 23 4 3" xfId="18172" xr:uid="{00000000-0005-0000-0000-0000D6460000}"/>
    <cellStyle name="Normal 2 2 2 3 23 4 4" xfId="18173" xr:uid="{00000000-0005-0000-0000-0000D7460000}"/>
    <cellStyle name="Normal 2 2 2 3 23 4 5" xfId="18174" xr:uid="{00000000-0005-0000-0000-0000D8460000}"/>
    <cellStyle name="Normal 2 2 2 3 23 4 6" xfId="18175" xr:uid="{00000000-0005-0000-0000-0000D9460000}"/>
    <cellStyle name="Normal 2 2 2 3 23 4 7" xfId="18176" xr:uid="{00000000-0005-0000-0000-0000DA460000}"/>
    <cellStyle name="Normal 2 2 2 3 23 4 8" xfId="18177" xr:uid="{00000000-0005-0000-0000-0000DB460000}"/>
    <cellStyle name="Normal 2 2 2 3 23 4 9" xfId="18178" xr:uid="{00000000-0005-0000-0000-0000DC460000}"/>
    <cellStyle name="Normal 2 2 2 3 23 5" xfId="18179" xr:uid="{00000000-0005-0000-0000-0000DD460000}"/>
    <cellStyle name="Normal 2 2 2 3 23 5 10" xfId="18180" xr:uid="{00000000-0005-0000-0000-0000DE460000}"/>
    <cellStyle name="Normal 2 2 2 3 23 5 2" xfId="18181" xr:uid="{00000000-0005-0000-0000-0000DF460000}"/>
    <cellStyle name="Normal 2 2 2 3 23 5 3" xfId="18182" xr:uid="{00000000-0005-0000-0000-0000E0460000}"/>
    <cellStyle name="Normal 2 2 2 3 23 5 4" xfId="18183" xr:uid="{00000000-0005-0000-0000-0000E1460000}"/>
    <cellStyle name="Normal 2 2 2 3 23 5 5" xfId="18184" xr:uid="{00000000-0005-0000-0000-0000E2460000}"/>
    <cellStyle name="Normal 2 2 2 3 23 5 6" xfId="18185" xr:uid="{00000000-0005-0000-0000-0000E3460000}"/>
    <cellStyle name="Normal 2 2 2 3 23 5 7" xfId="18186" xr:uid="{00000000-0005-0000-0000-0000E4460000}"/>
    <cellStyle name="Normal 2 2 2 3 23 5 8" xfId="18187" xr:uid="{00000000-0005-0000-0000-0000E5460000}"/>
    <cellStyle name="Normal 2 2 2 3 23 5 9" xfId="18188" xr:uid="{00000000-0005-0000-0000-0000E6460000}"/>
    <cellStyle name="Normal 2 2 2 3 23 6" xfId="18189" xr:uid="{00000000-0005-0000-0000-0000E7460000}"/>
    <cellStyle name="Normal 2 2 2 3 23 7" xfId="18190" xr:uid="{00000000-0005-0000-0000-0000E8460000}"/>
    <cellStyle name="Normal 2 2 2 3 23 8" xfId="18191" xr:uid="{00000000-0005-0000-0000-0000E9460000}"/>
    <cellStyle name="Normal 2 2 2 3 23 9" xfId="18192" xr:uid="{00000000-0005-0000-0000-0000EA460000}"/>
    <cellStyle name="Normal 2 2 2 3 24" xfId="18193" xr:uid="{00000000-0005-0000-0000-0000EB460000}"/>
    <cellStyle name="Normal 2 2 2 3 24 10" xfId="18194" xr:uid="{00000000-0005-0000-0000-0000EC460000}"/>
    <cellStyle name="Normal 2 2 2 3 24 11" xfId="18195" xr:uid="{00000000-0005-0000-0000-0000ED460000}"/>
    <cellStyle name="Normal 2 2 2 3 24 12" xfId="18196" xr:uid="{00000000-0005-0000-0000-0000EE460000}"/>
    <cellStyle name="Normal 2 2 2 3 24 13" xfId="18197" xr:uid="{00000000-0005-0000-0000-0000EF460000}"/>
    <cellStyle name="Normal 2 2 2 3 24 14" xfId="18198" xr:uid="{00000000-0005-0000-0000-0000F0460000}"/>
    <cellStyle name="Normal 2 2 2 3 24 2" xfId="18199" xr:uid="{00000000-0005-0000-0000-0000F1460000}"/>
    <cellStyle name="Normal 2 2 2 3 24 2 10" xfId="18200" xr:uid="{00000000-0005-0000-0000-0000F2460000}"/>
    <cellStyle name="Normal 2 2 2 3 24 2 2" xfId="18201" xr:uid="{00000000-0005-0000-0000-0000F3460000}"/>
    <cellStyle name="Normal 2 2 2 3 24 2 3" xfId="18202" xr:uid="{00000000-0005-0000-0000-0000F4460000}"/>
    <cellStyle name="Normal 2 2 2 3 24 2 4" xfId="18203" xr:uid="{00000000-0005-0000-0000-0000F5460000}"/>
    <cellStyle name="Normal 2 2 2 3 24 2 5" xfId="18204" xr:uid="{00000000-0005-0000-0000-0000F6460000}"/>
    <cellStyle name="Normal 2 2 2 3 24 2 6" xfId="18205" xr:uid="{00000000-0005-0000-0000-0000F7460000}"/>
    <cellStyle name="Normal 2 2 2 3 24 2 7" xfId="18206" xr:uid="{00000000-0005-0000-0000-0000F8460000}"/>
    <cellStyle name="Normal 2 2 2 3 24 2 8" xfId="18207" xr:uid="{00000000-0005-0000-0000-0000F9460000}"/>
    <cellStyle name="Normal 2 2 2 3 24 2 9" xfId="18208" xr:uid="{00000000-0005-0000-0000-0000FA460000}"/>
    <cellStyle name="Normal 2 2 2 3 24 3" xfId="18209" xr:uid="{00000000-0005-0000-0000-0000FB460000}"/>
    <cellStyle name="Normal 2 2 2 3 24 3 10" xfId="18210" xr:uid="{00000000-0005-0000-0000-0000FC460000}"/>
    <cellStyle name="Normal 2 2 2 3 24 3 2" xfId="18211" xr:uid="{00000000-0005-0000-0000-0000FD460000}"/>
    <cellStyle name="Normal 2 2 2 3 24 3 3" xfId="18212" xr:uid="{00000000-0005-0000-0000-0000FE460000}"/>
    <cellStyle name="Normal 2 2 2 3 24 3 4" xfId="18213" xr:uid="{00000000-0005-0000-0000-0000FF460000}"/>
    <cellStyle name="Normal 2 2 2 3 24 3 5" xfId="18214" xr:uid="{00000000-0005-0000-0000-000000470000}"/>
    <cellStyle name="Normal 2 2 2 3 24 3 6" xfId="18215" xr:uid="{00000000-0005-0000-0000-000001470000}"/>
    <cellStyle name="Normal 2 2 2 3 24 3 7" xfId="18216" xr:uid="{00000000-0005-0000-0000-000002470000}"/>
    <cellStyle name="Normal 2 2 2 3 24 3 8" xfId="18217" xr:uid="{00000000-0005-0000-0000-000003470000}"/>
    <cellStyle name="Normal 2 2 2 3 24 3 9" xfId="18218" xr:uid="{00000000-0005-0000-0000-000004470000}"/>
    <cellStyle name="Normal 2 2 2 3 24 4" xfId="18219" xr:uid="{00000000-0005-0000-0000-000005470000}"/>
    <cellStyle name="Normal 2 2 2 3 24 4 10" xfId="18220" xr:uid="{00000000-0005-0000-0000-000006470000}"/>
    <cellStyle name="Normal 2 2 2 3 24 4 2" xfId="18221" xr:uid="{00000000-0005-0000-0000-000007470000}"/>
    <cellStyle name="Normal 2 2 2 3 24 4 3" xfId="18222" xr:uid="{00000000-0005-0000-0000-000008470000}"/>
    <cellStyle name="Normal 2 2 2 3 24 4 4" xfId="18223" xr:uid="{00000000-0005-0000-0000-000009470000}"/>
    <cellStyle name="Normal 2 2 2 3 24 4 5" xfId="18224" xr:uid="{00000000-0005-0000-0000-00000A470000}"/>
    <cellStyle name="Normal 2 2 2 3 24 4 6" xfId="18225" xr:uid="{00000000-0005-0000-0000-00000B470000}"/>
    <cellStyle name="Normal 2 2 2 3 24 4 7" xfId="18226" xr:uid="{00000000-0005-0000-0000-00000C470000}"/>
    <cellStyle name="Normal 2 2 2 3 24 4 8" xfId="18227" xr:uid="{00000000-0005-0000-0000-00000D470000}"/>
    <cellStyle name="Normal 2 2 2 3 24 4 9" xfId="18228" xr:uid="{00000000-0005-0000-0000-00000E470000}"/>
    <cellStyle name="Normal 2 2 2 3 24 5" xfId="18229" xr:uid="{00000000-0005-0000-0000-00000F470000}"/>
    <cellStyle name="Normal 2 2 2 3 24 5 10" xfId="18230" xr:uid="{00000000-0005-0000-0000-000010470000}"/>
    <cellStyle name="Normal 2 2 2 3 24 5 2" xfId="18231" xr:uid="{00000000-0005-0000-0000-000011470000}"/>
    <cellStyle name="Normal 2 2 2 3 24 5 3" xfId="18232" xr:uid="{00000000-0005-0000-0000-000012470000}"/>
    <cellStyle name="Normal 2 2 2 3 24 5 4" xfId="18233" xr:uid="{00000000-0005-0000-0000-000013470000}"/>
    <cellStyle name="Normal 2 2 2 3 24 5 5" xfId="18234" xr:uid="{00000000-0005-0000-0000-000014470000}"/>
    <cellStyle name="Normal 2 2 2 3 24 5 6" xfId="18235" xr:uid="{00000000-0005-0000-0000-000015470000}"/>
    <cellStyle name="Normal 2 2 2 3 24 5 7" xfId="18236" xr:uid="{00000000-0005-0000-0000-000016470000}"/>
    <cellStyle name="Normal 2 2 2 3 24 5 8" xfId="18237" xr:uid="{00000000-0005-0000-0000-000017470000}"/>
    <cellStyle name="Normal 2 2 2 3 24 5 9" xfId="18238" xr:uid="{00000000-0005-0000-0000-000018470000}"/>
    <cellStyle name="Normal 2 2 2 3 24 6" xfId="18239" xr:uid="{00000000-0005-0000-0000-000019470000}"/>
    <cellStyle name="Normal 2 2 2 3 24 7" xfId="18240" xr:uid="{00000000-0005-0000-0000-00001A470000}"/>
    <cellStyle name="Normal 2 2 2 3 24 8" xfId="18241" xr:uid="{00000000-0005-0000-0000-00001B470000}"/>
    <cellStyle name="Normal 2 2 2 3 24 9" xfId="18242" xr:uid="{00000000-0005-0000-0000-00001C470000}"/>
    <cellStyle name="Normal 2 2 2 3 25" xfId="18243" xr:uid="{00000000-0005-0000-0000-00001D470000}"/>
    <cellStyle name="Normal 2 2 2 3 25 10" xfId="18244" xr:uid="{00000000-0005-0000-0000-00001E470000}"/>
    <cellStyle name="Normal 2 2 2 3 25 11" xfId="18245" xr:uid="{00000000-0005-0000-0000-00001F470000}"/>
    <cellStyle name="Normal 2 2 2 3 25 12" xfId="18246" xr:uid="{00000000-0005-0000-0000-000020470000}"/>
    <cellStyle name="Normal 2 2 2 3 25 13" xfId="18247" xr:uid="{00000000-0005-0000-0000-000021470000}"/>
    <cellStyle name="Normal 2 2 2 3 25 14" xfId="18248" xr:uid="{00000000-0005-0000-0000-000022470000}"/>
    <cellStyle name="Normal 2 2 2 3 25 2" xfId="18249" xr:uid="{00000000-0005-0000-0000-000023470000}"/>
    <cellStyle name="Normal 2 2 2 3 25 2 10" xfId="18250" xr:uid="{00000000-0005-0000-0000-000024470000}"/>
    <cellStyle name="Normal 2 2 2 3 25 2 2" xfId="18251" xr:uid="{00000000-0005-0000-0000-000025470000}"/>
    <cellStyle name="Normal 2 2 2 3 25 2 3" xfId="18252" xr:uid="{00000000-0005-0000-0000-000026470000}"/>
    <cellStyle name="Normal 2 2 2 3 25 2 4" xfId="18253" xr:uid="{00000000-0005-0000-0000-000027470000}"/>
    <cellStyle name="Normal 2 2 2 3 25 2 5" xfId="18254" xr:uid="{00000000-0005-0000-0000-000028470000}"/>
    <cellStyle name="Normal 2 2 2 3 25 2 6" xfId="18255" xr:uid="{00000000-0005-0000-0000-000029470000}"/>
    <cellStyle name="Normal 2 2 2 3 25 2 7" xfId="18256" xr:uid="{00000000-0005-0000-0000-00002A470000}"/>
    <cellStyle name="Normal 2 2 2 3 25 2 8" xfId="18257" xr:uid="{00000000-0005-0000-0000-00002B470000}"/>
    <cellStyle name="Normal 2 2 2 3 25 2 9" xfId="18258" xr:uid="{00000000-0005-0000-0000-00002C470000}"/>
    <cellStyle name="Normal 2 2 2 3 25 3" xfId="18259" xr:uid="{00000000-0005-0000-0000-00002D470000}"/>
    <cellStyle name="Normal 2 2 2 3 25 3 10" xfId="18260" xr:uid="{00000000-0005-0000-0000-00002E470000}"/>
    <cellStyle name="Normal 2 2 2 3 25 3 2" xfId="18261" xr:uid="{00000000-0005-0000-0000-00002F470000}"/>
    <cellStyle name="Normal 2 2 2 3 25 3 3" xfId="18262" xr:uid="{00000000-0005-0000-0000-000030470000}"/>
    <cellStyle name="Normal 2 2 2 3 25 3 4" xfId="18263" xr:uid="{00000000-0005-0000-0000-000031470000}"/>
    <cellStyle name="Normal 2 2 2 3 25 3 5" xfId="18264" xr:uid="{00000000-0005-0000-0000-000032470000}"/>
    <cellStyle name="Normal 2 2 2 3 25 3 6" xfId="18265" xr:uid="{00000000-0005-0000-0000-000033470000}"/>
    <cellStyle name="Normal 2 2 2 3 25 3 7" xfId="18266" xr:uid="{00000000-0005-0000-0000-000034470000}"/>
    <cellStyle name="Normal 2 2 2 3 25 3 8" xfId="18267" xr:uid="{00000000-0005-0000-0000-000035470000}"/>
    <cellStyle name="Normal 2 2 2 3 25 3 9" xfId="18268" xr:uid="{00000000-0005-0000-0000-000036470000}"/>
    <cellStyle name="Normal 2 2 2 3 25 4" xfId="18269" xr:uid="{00000000-0005-0000-0000-000037470000}"/>
    <cellStyle name="Normal 2 2 2 3 25 4 10" xfId="18270" xr:uid="{00000000-0005-0000-0000-000038470000}"/>
    <cellStyle name="Normal 2 2 2 3 25 4 2" xfId="18271" xr:uid="{00000000-0005-0000-0000-000039470000}"/>
    <cellStyle name="Normal 2 2 2 3 25 4 3" xfId="18272" xr:uid="{00000000-0005-0000-0000-00003A470000}"/>
    <cellStyle name="Normal 2 2 2 3 25 4 4" xfId="18273" xr:uid="{00000000-0005-0000-0000-00003B470000}"/>
    <cellStyle name="Normal 2 2 2 3 25 4 5" xfId="18274" xr:uid="{00000000-0005-0000-0000-00003C470000}"/>
    <cellStyle name="Normal 2 2 2 3 25 4 6" xfId="18275" xr:uid="{00000000-0005-0000-0000-00003D470000}"/>
    <cellStyle name="Normal 2 2 2 3 25 4 7" xfId="18276" xr:uid="{00000000-0005-0000-0000-00003E470000}"/>
    <cellStyle name="Normal 2 2 2 3 25 4 8" xfId="18277" xr:uid="{00000000-0005-0000-0000-00003F470000}"/>
    <cellStyle name="Normal 2 2 2 3 25 4 9" xfId="18278" xr:uid="{00000000-0005-0000-0000-000040470000}"/>
    <cellStyle name="Normal 2 2 2 3 25 5" xfId="18279" xr:uid="{00000000-0005-0000-0000-000041470000}"/>
    <cellStyle name="Normal 2 2 2 3 25 5 10" xfId="18280" xr:uid="{00000000-0005-0000-0000-000042470000}"/>
    <cellStyle name="Normal 2 2 2 3 25 5 2" xfId="18281" xr:uid="{00000000-0005-0000-0000-000043470000}"/>
    <cellStyle name="Normal 2 2 2 3 25 5 3" xfId="18282" xr:uid="{00000000-0005-0000-0000-000044470000}"/>
    <cellStyle name="Normal 2 2 2 3 25 5 4" xfId="18283" xr:uid="{00000000-0005-0000-0000-000045470000}"/>
    <cellStyle name="Normal 2 2 2 3 25 5 5" xfId="18284" xr:uid="{00000000-0005-0000-0000-000046470000}"/>
    <cellStyle name="Normal 2 2 2 3 25 5 6" xfId="18285" xr:uid="{00000000-0005-0000-0000-000047470000}"/>
    <cellStyle name="Normal 2 2 2 3 25 5 7" xfId="18286" xr:uid="{00000000-0005-0000-0000-000048470000}"/>
    <cellStyle name="Normal 2 2 2 3 25 5 8" xfId="18287" xr:uid="{00000000-0005-0000-0000-000049470000}"/>
    <cellStyle name="Normal 2 2 2 3 25 5 9" xfId="18288" xr:uid="{00000000-0005-0000-0000-00004A470000}"/>
    <cellStyle name="Normal 2 2 2 3 25 6" xfId="18289" xr:uid="{00000000-0005-0000-0000-00004B470000}"/>
    <cellStyle name="Normal 2 2 2 3 25 7" xfId="18290" xr:uid="{00000000-0005-0000-0000-00004C470000}"/>
    <cellStyle name="Normal 2 2 2 3 25 8" xfId="18291" xr:uid="{00000000-0005-0000-0000-00004D470000}"/>
    <cellStyle name="Normal 2 2 2 3 25 9" xfId="18292" xr:uid="{00000000-0005-0000-0000-00004E470000}"/>
    <cellStyle name="Normal 2 2 2 3 26" xfId="18293" xr:uid="{00000000-0005-0000-0000-00004F470000}"/>
    <cellStyle name="Normal 2 2 2 3 26 10" xfId="18294" xr:uid="{00000000-0005-0000-0000-000050470000}"/>
    <cellStyle name="Normal 2 2 2 3 26 11" xfId="18295" xr:uid="{00000000-0005-0000-0000-000051470000}"/>
    <cellStyle name="Normal 2 2 2 3 26 12" xfId="18296" xr:uid="{00000000-0005-0000-0000-000052470000}"/>
    <cellStyle name="Normal 2 2 2 3 26 13" xfId="18297" xr:uid="{00000000-0005-0000-0000-000053470000}"/>
    <cellStyle name="Normal 2 2 2 3 26 14" xfId="18298" xr:uid="{00000000-0005-0000-0000-000054470000}"/>
    <cellStyle name="Normal 2 2 2 3 26 2" xfId="18299" xr:uid="{00000000-0005-0000-0000-000055470000}"/>
    <cellStyle name="Normal 2 2 2 3 26 2 10" xfId="18300" xr:uid="{00000000-0005-0000-0000-000056470000}"/>
    <cellStyle name="Normal 2 2 2 3 26 2 2" xfId="18301" xr:uid="{00000000-0005-0000-0000-000057470000}"/>
    <cellStyle name="Normal 2 2 2 3 26 2 3" xfId="18302" xr:uid="{00000000-0005-0000-0000-000058470000}"/>
    <cellStyle name="Normal 2 2 2 3 26 2 4" xfId="18303" xr:uid="{00000000-0005-0000-0000-000059470000}"/>
    <cellStyle name="Normal 2 2 2 3 26 2 5" xfId="18304" xr:uid="{00000000-0005-0000-0000-00005A470000}"/>
    <cellStyle name="Normal 2 2 2 3 26 2 6" xfId="18305" xr:uid="{00000000-0005-0000-0000-00005B470000}"/>
    <cellStyle name="Normal 2 2 2 3 26 2 7" xfId="18306" xr:uid="{00000000-0005-0000-0000-00005C470000}"/>
    <cellStyle name="Normal 2 2 2 3 26 2 8" xfId="18307" xr:uid="{00000000-0005-0000-0000-00005D470000}"/>
    <cellStyle name="Normal 2 2 2 3 26 2 9" xfId="18308" xr:uid="{00000000-0005-0000-0000-00005E470000}"/>
    <cellStyle name="Normal 2 2 2 3 26 3" xfId="18309" xr:uid="{00000000-0005-0000-0000-00005F470000}"/>
    <cellStyle name="Normal 2 2 2 3 26 3 10" xfId="18310" xr:uid="{00000000-0005-0000-0000-000060470000}"/>
    <cellStyle name="Normal 2 2 2 3 26 3 2" xfId="18311" xr:uid="{00000000-0005-0000-0000-000061470000}"/>
    <cellStyle name="Normal 2 2 2 3 26 3 3" xfId="18312" xr:uid="{00000000-0005-0000-0000-000062470000}"/>
    <cellStyle name="Normal 2 2 2 3 26 3 4" xfId="18313" xr:uid="{00000000-0005-0000-0000-000063470000}"/>
    <cellStyle name="Normal 2 2 2 3 26 3 5" xfId="18314" xr:uid="{00000000-0005-0000-0000-000064470000}"/>
    <cellStyle name="Normal 2 2 2 3 26 3 6" xfId="18315" xr:uid="{00000000-0005-0000-0000-000065470000}"/>
    <cellStyle name="Normal 2 2 2 3 26 3 7" xfId="18316" xr:uid="{00000000-0005-0000-0000-000066470000}"/>
    <cellStyle name="Normal 2 2 2 3 26 3 8" xfId="18317" xr:uid="{00000000-0005-0000-0000-000067470000}"/>
    <cellStyle name="Normal 2 2 2 3 26 3 9" xfId="18318" xr:uid="{00000000-0005-0000-0000-000068470000}"/>
    <cellStyle name="Normal 2 2 2 3 26 4" xfId="18319" xr:uid="{00000000-0005-0000-0000-000069470000}"/>
    <cellStyle name="Normal 2 2 2 3 26 4 10" xfId="18320" xr:uid="{00000000-0005-0000-0000-00006A470000}"/>
    <cellStyle name="Normal 2 2 2 3 26 4 2" xfId="18321" xr:uid="{00000000-0005-0000-0000-00006B470000}"/>
    <cellStyle name="Normal 2 2 2 3 26 4 3" xfId="18322" xr:uid="{00000000-0005-0000-0000-00006C470000}"/>
    <cellStyle name="Normal 2 2 2 3 26 4 4" xfId="18323" xr:uid="{00000000-0005-0000-0000-00006D470000}"/>
    <cellStyle name="Normal 2 2 2 3 26 4 5" xfId="18324" xr:uid="{00000000-0005-0000-0000-00006E470000}"/>
    <cellStyle name="Normal 2 2 2 3 26 4 6" xfId="18325" xr:uid="{00000000-0005-0000-0000-00006F470000}"/>
    <cellStyle name="Normal 2 2 2 3 26 4 7" xfId="18326" xr:uid="{00000000-0005-0000-0000-000070470000}"/>
    <cellStyle name="Normal 2 2 2 3 26 4 8" xfId="18327" xr:uid="{00000000-0005-0000-0000-000071470000}"/>
    <cellStyle name="Normal 2 2 2 3 26 4 9" xfId="18328" xr:uid="{00000000-0005-0000-0000-000072470000}"/>
    <cellStyle name="Normal 2 2 2 3 26 5" xfId="18329" xr:uid="{00000000-0005-0000-0000-000073470000}"/>
    <cellStyle name="Normal 2 2 2 3 26 5 10" xfId="18330" xr:uid="{00000000-0005-0000-0000-000074470000}"/>
    <cellStyle name="Normal 2 2 2 3 26 5 2" xfId="18331" xr:uid="{00000000-0005-0000-0000-000075470000}"/>
    <cellStyle name="Normal 2 2 2 3 26 5 3" xfId="18332" xr:uid="{00000000-0005-0000-0000-000076470000}"/>
    <cellStyle name="Normal 2 2 2 3 26 5 4" xfId="18333" xr:uid="{00000000-0005-0000-0000-000077470000}"/>
    <cellStyle name="Normal 2 2 2 3 26 5 5" xfId="18334" xr:uid="{00000000-0005-0000-0000-000078470000}"/>
    <cellStyle name="Normal 2 2 2 3 26 5 6" xfId="18335" xr:uid="{00000000-0005-0000-0000-000079470000}"/>
    <cellStyle name="Normal 2 2 2 3 26 5 7" xfId="18336" xr:uid="{00000000-0005-0000-0000-00007A470000}"/>
    <cellStyle name="Normal 2 2 2 3 26 5 8" xfId="18337" xr:uid="{00000000-0005-0000-0000-00007B470000}"/>
    <cellStyle name="Normal 2 2 2 3 26 5 9" xfId="18338" xr:uid="{00000000-0005-0000-0000-00007C470000}"/>
    <cellStyle name="Normal 2 2 2 3 26 6" xfId="18339" xr:uid="{00000000-0005-0000-0000-00007D470000}"/>
    <cellStyle name="Normal 2 2 2 3 26 7" xfId="18340" xr:uid="{00000000-0005-0000-0000-00007E470000}"/>
    <cellStyle name="Normal 2 2 2 3 26 8" xfId="18341" xr:uid="{00000000-0005-0000-0000-00007F470000}"/>
    <cellStyle name="Normal 2 2 2 3 26 9" xfId="18342" xr:uid="{00000000-0005-0000-0000-000080470000}"/>
    <cellStyle name="Normal 2 2 2 3 27" xfId="18343" xr:uid="{00000000-0005-0000-0000-000081470000}"/>
    <cellStyle name="Normal 2 2 2 3 27 10" xfId="18344" xr:uid="{00000000-0005-0000-0000-000082470000}"/>
    <cellStyle name="Normal 2 2 2 3 27 11" xfId="18345" xr:uid="{00000000-0005-0000-0000-000083470000}"/>
    <cellStyle name="Normal 2 2 2 3 27 12" xfId="18346" xr:uid="{00000000-0005-0000-0000-000084470000}"/>
    <cellStyle name="Normal 2 2 2 3 27 13" xfId="18347" xr:uid="{00000000-0005-0000-0000-000085470000}"/>
    <cellStyle name="Normal 2 2 2 3 27 14" xfId="18348" xr:uid="{00000000-0005-0000-0000-000086470000}"/>
    <cellStyle name="Normal 2 2 2 3 27 2" xfId="18349" xr:uid="{00000000-0005-0000-0000-000087470000}"/>
    <cellStyle name="Normal 2 2 2 3 27 2 10" xfId="18350" xr:uid="{00000000-0005-0000-0000-000088470000}"/>
    <cellStyle name="Normal 2 2 2 3 27 2 2" xfId="18351" xr:uid="{00000000-0005-0000-0000-000089470000}"/>
    <cellStyle name="Normal 2 2 2 3 27 2 3" xfId="18352" xr:uid="{00000000-0005-0000-0000-00008A470000}"/>
    <cellStyle name="Normal 2 2 2 3 27 2 4" xfId="18353" xr:uid="{00000000-0005-0000-0000-00008B470000}"/>
    <cellStyle name="Normal 2 2 2 3 27 2 5" xfId="18354" xr:uid="{00000000-0005-0000-0000-00008C470000}"/>
    <cellStyle name="Normal 2 2 2 3 27 2 6" xfId="18355" xr:uid="{00000000-0005-0000-0000-00008D470000}"/>
    <cellStyle name="Normal 2 2 2 3 27 2 7" xfId="18356" xr:uid="{00000000-0005-0000-0000-00008E470000}"/>
    <cellStyle name="Normal 2 2 2 3 27 2 8" xfId="18357" xr:uid="{00000000-0005-0000-0000-00008F470000}"/>
    <cellStyle name="Normal 2 2 2 3 27 2 9" xfId="18358" xr:uid="{00000000-0005-0000-0000-000090470000}"/>
    <cellStyle name="Normal 2 2 2 3 27 3" xfId="18359" xr:uid="{00000000-0005-0000-0000-000091470000}"/>
    <cellStyle name="Normal 2 2 2 3 27 3 10" xfId="18360" xr:uid="{00000000-0005-0000-0000-000092470000}"/>
    <cellStyle name="Normal 2 2 2 3 27 3 2" xfId="18361" xr:uid="{00000000-0005-0000-0000-000093470000}"/>
    <cellStyle name="Normal 2 2 2 3 27 3 3" xfId="18362" xr:uid="{00000000-0005-0000-0000-000094470000}"/>
    <cellStyle name="Normal 2 2 2 3 27 3 4" xfId="18363" xr:uid="{00000000-0005-0000-0000-000095470000}"/>
    <cellStyle name="Normal 2 2 2 3 27 3 5" xfId="18364" xr:uid="{00000000-0005-0000-0000-000096470000}"/>
    <cellStyle name="Normal 2 2 2 3 27 3 6" xfId="18365" xr:uid="{00000000-0005-0000-0000-000097470000}"/>
    <cellStyle name="Normal 2 2 2 3 27 3 7" xfId="18366" xr:uid="{00000000-0005-0000-0000-000098470000}"/>
    <cellStyle name="Normal 2 2 2 3 27 3 8" xfId="18367" xr:uid="{00000000-0005-0000-0000-000099470000}"/>
    <cellStyle name="Normal 2 2 2 3 27 3 9" xfId="18368" xr:uid="{00000000-0005-0000-0000-00009A470000}"/>
    <cellStyle name="Normal 2 2 2 3 27 4" xfId="18369" xr:uid="{00000000-0005-0000-0000-00009B470000}"/>
    <cellStyle name="Normal 2 2 2 3 27 4 10" xfId="18370" xr:uid="{00000000-0005-0000-0000-00009C470000}"/>
    <cellStyle name="Normal 2 2 2 3 27 4 2" xfId="18371" xr:uid="{00000000-0005-0000-0000-00009D470000}"/>
    <cellStyle name="Normal 2 2 2 3 27 4 3" xfId="18372" xr:uid="{00000000-0005-0000-0000-00009E470000}"/>
    <cellStyle name="Normal 2 2 2 3 27 4 4" xfId="18373" xr:uid="{00000000-0005-0000-0000-00009F470000}"/>
    <cellStyle name="Normal 2 2 2 3 27 4 5" xfId="18374" xr:uid="{00000000-0005-0000-0000-0000A0470000}"/>
    <cellStyle name="Normal 2 2 2 3 27 4 6" xfId="18375" xr:uid="{00000000-0005-0000-0000-0000A1470000}"/>
    <cellStyle name="Normal 2 2 2 3 27 4 7" xfId="18376" xr:uid="{00000000-0005-0000-0000-0000A2470000}"/>
    <cellStyle name="Normal 2 2 2 3 27 4 8" xfId="18377" xr:uid="{00000000-0005-0000-0000-0000A3470000}"/>
    <cellStyle name="Normal 2 2 2 3 27 4 9" xfId="18378" xr:uid="{00000000-0005-0000-0000-0000A4470000}"/>
    <cellStyle name="Normal 2 2 2 3 27 5" xfId="18379" xr:uid="{00000000-0005-0000-0000-0000A5470000}"/>
    <cellStyle name="Normal 2 2 2 3 27 5 10" xfId="18380" xr:uid="{00000000-0005-0000-0000-0000A6470000}"/>
    <cellStyle name="Normal 2 2 2 3 27 5 2" xfId="18381" xr:uid="{00000000-0005-0000-0000-0000A7470000}"/>
    <cellStyle name="Normal 2 2 2 3 27 5 3" xfId="18382" xr:uid="{00000000-0005-0000-0000-0000A8470000}"/>
    <cellStyle name="Normal 2 2 2 3 27 5 4" xfId="18383" xr:uid="{00000000-0005-0000-0000-0000A9470000}"/>
    <cellStyle name="Normal 2 2 2 3 27 5 5" xfId="18384" xr:uid="{00000000-0005-0000-0000-0000AA470000}"/>
    <cellStyle name="Normal 2 2 2 3 27 5 6" xfId="18385" xr:uid="{00000000-0005-0000-0000-0000AB470000}"/>
    <cellStyle name="Normal 2 2 2 3 27 5 7" xfId="18386" xr:uid="{00000000-0005-0000-0000-0000AC470000}"/>
    <cellStyle name="Normal 2 2 2 3 27 5 8" xfId="18387" xr:uid="{00000000-0005-0000-0000-0000AD470000}"/>
    <cellStyle name="Normal 2 2 2 3 27 5 9" xfId="18388" xr:uid="{00000000-0005-0000-0000-0000AE470000}"/>
    <cellStyle name="Normal 2 2 2 3 27 6" xfId="18389" xr:uid="{00000000-0005-0000-0000-0000AF470000}"/>
    <cellStyle name="Normal 2 2 2 3 27 7" xfId="18390" xr:uid="{00000000-0005-0000-0000-0000B0470000}"/>
    <cellStyle name="Normal 2 2 2 3 27 8" xfId="18391" xr:uid="{00000000-0005-0000-0000-0000B1470000}"/>
    <cellStyle name="Normal 2 2 2 3 27 9" xfId="18392" xr:uid="{00000000-0005-0000-0000-0000B2470000}"/>
    <cellStyle name="Normal 2 2 2 3 28" xfId="18393" xr:uid="{00000000-0005-0000-0000-0000B3470000}"/>
    <cellStyle name="Normal 2 2 2 3 28 10" xfId="18394" xr:uid="{00000000-0005-0000-0000-0000B4470000}"/>
    <cellStyle name="Normal 2 2 2 3 28 11" xfId="18395" xr:uid="{00000000-0005-0000-0000-0000B5470000}"/>
    <cellStyle name="Normal 2 2 2 3 28 12" xfId="18396" xr:uid="{00000000-0005-0000-0000-0000B6470000}"/>
    <cellStyle name="Normal 2 2 2 3 28 13" xfId="18397" xr:uid="{00000000-0005-0000-0000-0000B7470000}"/>
    <cellStyle name="Normal 2 2 2 3 28 14" xfId="18398" xr:uid="{00000000-0005-0000-0000-0000B8470000}"/>
    <cellStyle name="Normal 2 2 2 3 28 2" xfId="18399" xr:uid="{00000000-0005-0000-0000-0000B9470000}"/>
    <cellStyle name="Normal 2 2 2 3 28 2 10" xfId="18400" xr:uid="{00000000-0005-0000-0000-0000BA470000}"/>
    <cellStyle name="Normal 2 2 2 3 28 2 2" xfId="18401" xr:uid="{00000000-0005-0000-0000-0000BB470000}"/>
    <cellStyle name="Normal 2 2 2 3 28 2 3" xfId="18402" xr:uid="{00000000-0005-0000-0000-0000BC470000}"/>
    <cellStyle name="Normal 2 2 2 3 28 2 4" xfId="18403" xr:uid="{00000000-0005-0000-0000-0000BD470000}"/>
    <cellStyle name="Normal 2 2 2 3 28 2 5" xfId="18404" xr:uid="{00000000-0005-0000-0000-0000BE470000}"/>
    <cellStyle name="Normal 2 2 2 3 28 2 6" xfId="18405" xr:uid="{00000000-0005-0000-0000-0000BF470000}"/>
    <cellStyle name="Normal 2 2 2 3 28 2 7" xfId="18406" xr:uid="{00000000-0005-0000-0000-0000C0470000}"/>
    <cellStyle name="Normal 2 2 2 3 28 2 8" xfId="18407" xr:uid="{00000000-0005-0000-0000-0000C1470000}"/>
    <cellStyle name="Normal 2 2 2 3 28 2 9" xfId="18408" xr:uid="{00000000-0005-0000-0000-0000C2470000}"/>
    <cellStyle name="Normal 2 2 2 3 28 3" xfId="18409" xr:uid="{00000000-0005-0000-0000-0000C3470000}"/>
    <cellStyle name="Normal 2 2 2 3 28 3 10" xfId="18410" xr:uid="{00000000-0005-0000-0000-0000C4470000}"/>
    <cellStyle name="Normal 2 2 2 3 28 3 2" xfId="18411" xr:uid="{00000000-0005-0000-0000-0000C5470000}"/>
    <cellStyle name="Normal 2 2 2 3 28 3 3" xfId="18412" xr:uid="{00000000-0005-0000-0000-0000C6470000}"/>
    <cellStyle name="Normal 2 2 2 3 28 3 4" xfId="18413" xr:uid="{00000000-0005-0000-0000-0000C7470000}"/>
    <cellStyle name="Normal 2 2 2 3 28 3 5" xfId="18414" xr:uid="{00000000-0005-0000-0000-0000C8470000}"/>
    <cellStyle name="Normal 2 2 2 3 28 3 6" xfId="18415" xr:uid="{00000000-0005-0000-0000-0000C9470000}"/>
    <cellStyle name="Normal 2 2 2 3 28 3 7" xfId="18416" xr:uid="{00000000-0005-0000-0000-0000CA470000}"/>
    <cellStyle name="Normal 2 2 2 3 28 3 8" xfId="18417" xr:uid="{00000000-0005-0000-0000-0000CB470000}"/>
    <cellStyle name="Normal 2 2 2 3 28 3 9" xfId="18418" xr:uid="{00000000-0005-0000-0000-0000CC470000}"/>
    <cellStyle name="Normal 2 2 2 3 28 4" xfId="18419" xr:uid="{00000000-0005-0000-0000-0000CD470000}"/>
    <cellStyle name="Normal 2 2 2 3 28 4 10" xfId="18420" xr:uid="{00000000-0005-0000-0000-0000CE470000}"/>
    <cellStyle name="Normal 2 2 2 3 28 4 2" xfId="18421" xr:uid="{00000000-0005-0000-0000-0000CF470000}"/>
    <cellStyle name="Normal 2 2 2 3 28 4 3" xfId="18422" xr:uid="{00000000-0005-0000-0000-0000D0470000}"/>
    <cellStyle name="Normal 2 2 2 3 28 4 4" xfId="18423" xr:uid="{00000000-0005-0000-0000-0000D1470000}"/>
    <cellStyle name="Normal 2 2 2 3 28 4 5" xfId="18424" xr:uid="{00000000-0005-0000-0000-0000D2470000}"/>
    <cellStyle name="Normal 2 2 2 3 28 4 6" xfId="18425" xr:uid="{00000000-0005-0000-0000-0000D3470000}"/>
    <cellStyle name="Normal 2 2 2 3 28 4 7" xfId="18426" xr:uid="{00000000-0005-0000-0000-0000D4470000}"/>
    <cellStyle name="Normal 2 2 2 3 28 4 8" xfId="18427" xr:uid="{00000000-0005-0000-0000-0000D5470000}"/>
    <cellStyle name="Normal 2 2 2 3 28 4 9" xfId="18428" xr:uid="{00000000-0005-0000-0000-0000D6470000}"/>
    <cellStyle name="Normal 2 2 2 3 28 5" xfId="18429" xr:uid="{00000000-0005-0000-0000-0000D7470000}"/>
    <cellStyle name="Normal 2 2 2 3 28 5 10" xfId="18430" xr:uid="{00000000-0005-0000-0000-0000D8470000}"/>
    <cellStyle name="Normal 2 2 2 3 28 5 2" xfId="18431" xr:uid="{00000000-0005-0000-0000-0000D9470000}"/>
    <cellStyle name="Normal 2 2 2 3 28 5 3" xfId="18432" xr:uid="{00000000-0005-0000-0000-0000DA470000}"/>
    <cellStyle name="Normal 2 2 2 3 28 5 4" xfId="18433" xr:uid="{00000000-0005-0000-0000-0000DB470000}"/>
    <cellStyle name="Normal 2 2 2 3 28 5 5" xfId="18434" xr:uid="{00000000-0005-0000-0000-0000DC470000}"/>
    <cellStyle name="Normal 2 2 2 3 28 5 6" xfId="18435" xr:uid="{00000000-0005-0000-0000-0000DD470000}"/>
    <cellStyle name="Normal 2 2 2 3 28 5 7" xfId="18436" xr:uid="{00000000-0005-0000-0000-0000DE470000}"/>
    <cellStyle name="Normal 2 2 2 3 28 5 8" xfId="18437" xr:uid="{00000000-0005-0000-0000-0000DF470000}"/>
    <cellStyle name="Normal 2 2 2 3 28 5 9" xfId="18438" xr:uid="{00000000-0005-0000-0000-0000E0470000}"/>
    <cellStyle name="Normal 2 2 2 3 28 6" xfId="18439" xr:uid="{00000000-0005-0000-0000-0000E1470000}"/>
    <cellStyle name="Normal 2 2 2 3 28 7" xfId="18440" xr:uid="{00000000-0005-0000-0000-0000E2470000}"/>
    <cellStyle name="Normal 2 2 2 3 28 8" xfId="18441" xr:uid="{00000000-0005-0000-0000-0000E3470000}"/>
    <cellStyle name="Normal 2 2 2 3 28 9" xfId="18442" xr:uid="{00000000-0005-0000-0000-0000E4470000}"/>
    <cellStyle name="Normal 2 2 2 3 29" xfId="18443" xr:uid="{00000000-0005-0000-0000-0000E5470000}"/>
    <cellStyle name="Normal 2 2 2 3 29 10" xfId="18444" xr:uid="{00000000-0005-0000-0000-0000E6470000}"/>
    <cellStyle name="Normal 2 2 2 3 29 11" xfId="18445" xr:uid="{00000000-0005-0000-0000-0000E7470000}"/>
    <cellStyle name="Normal 2 2 2 3 29 12" xfId="18446" xr:uid="{00000000-0005-0000-0000-0000E8470000}"/>
    <cellStyle name="Normal 2 2 2 3 29 13" xfId="18447" xr:uid="{00000000-0005-0000-0000-0000E9470000}"/>
    <cellStyle name="Normal 2 2 2 3 29 14" xfId="18448" xr:uid="{00000000-0005-0000-0000-0000EA470000}"/>
    <cellStyle name="Normal 2 2 2 3 29 2" xfId="18449" xr:uid="{00000000-0005-0000-0000-0000EB470000}"/>
    <cellStyle name="Normal 2 2 2 3 29 2 10" xfId="18450" xr:uid="{00000000-0005-0000-0000-0000EC470000}"/>
    <cellStyle name="Normal 2 2 2 3 29 2 2" xfId="18451" xr:uid="{00000000-0005-0000-0000-0000ED470000}"/>
    <cellStyle name="Normal 2 2 2 3 29 2 3" xfId="18452" xr:uid="{00000000-0005-0000-0000-0000EE470000}"/>
    <cellStyle name="Normal 2 2 2 3 29 2 4" xfId="18453" xr:uid="{00000000-0005-0000-0000-0000EF470000}"/>
    <cellStyle name="Normal 2 2 2 3 29 2 5" xfId="18454" xr:uid="{00000000-0005-0000-0000-0000F0470000}"/>
    <cellStyle name="Normal 2 2 2 3 29 2 6" xfId="18455" xr:uid="{00000000-0005-0000-0000-0000F1470000}"/>
    <cellStyle name="Normal 2 2 2 3 29 2 7" xfId="18456" xr:uid="{00000000-0005-0000-0000-0000F2470000}"/>
    <cellStyle name="Normal 2 2 2 3 29 2 8" xfId="18457" xr:uid="{00000000-0005-0000-0000-0000F3470000}"/>
    <cellStyle name="Normal 2 2 2 3 29 2 9" xfId="18458" xr:uid="{00000000-0005-0000-0000-0000F4470000}"/>
    <cellStyle name="Normal 2 2 2 3 29 3" xfId="18459" xr:uid="{00000000-0005-0000-0000-0000F5470000}"/>
    <cellStyle name="Normal 2 2 2 3 29 3 10" xfId="18460" xr:uid="{00000000-0005-0000-0000-0000F6470000}"/>
    <cellStyle name="Normal 2 2 2 3 29 3 2" xfId="18461" xr:uid="{00000000-0005-0000-0000-0000F7470000}"/>
    <cellStyle name="Normal 2 2 2 3 29 3 3" xfId="18462" xr:uid="{00000000-0005-0000-0000-0000F8470000}"/>
    <cellStyle name="Normal 2 2 2 3 29 3 4" xfId="18463" xr:uid="{00000000-0005-0000-0000-0000F9470000}"/>
    <cellStyle name="Normal 2 2 2 3 29 3 5" xfId="18464" xr:uid="{00000000-0005-0000-0000-0000FA470000}"/>
    <cellStyle name="Normal 2 2 2 3 29 3 6" xfId="18465" xr:uid="{00000000-0005-0000-0000-0000FB470000}"/>
    <cellStyle name="Normal 2 2 2 3 29 3 7" xfId="18466" xr:uid="{00000000-0005-0000-0000-0000FC470000}"/>
    <cellStyle name="Normal 2 2 2 3 29 3 8" xfId="18467" xr:uid="{00000000-0005-0000-0000-0000FD470000}"/>
    <cellStyle name="Normal 2 2 2 3 29 3 9" xfId="18468" xr:uid="{00000000-0005-0000-0000-0000FE470000}"/>
    <cellStyle name="Normal 2 2 2 3 29 4" xfId="18469" xr:uid="{00000000-0005-0000-0000-0000FF470000}"/>
    <cellStyle name="Normal 2 2 2 3 29 4 10" xfId="18470" xr:uid="{00000000-0005-0000-0000-000000480000}"/>
    <cellStyle name="Normal 2 2 2 3 29 4 2" xfId="18471" xr:uid="{00000000-0005-0000-0000-000001480000}"/>
    <cellStyle name="Normal 2 2 2 3 29 4 3" xfId="18472" xr:uid="{00000000-0005-0000-0000-000002480000}"/>
    <cellStyle name="Normal 2 2 2 3 29 4 4" xfId="18473" xr:uid="{00000000-0005-0000-0000-000003480000}"/>
    <cellStyle name="Normal 2 2 2 3 29 4 5" xfId="18474" xr:uid="{00000000-0005-0000-0000-000004480000}"/>
    <cellStyle name="Normal 2 2 2 3 29 4 6" xfId="18475" xr:uid="{00000000-0005-0000-0000-000005480000}"/>
    <cellStyle name="Normal 2 2 2 3 29 4 7" xfId="18476" xr:uid="{00000000-0005-0000-0000-000006480000}"/>
    <cellStyle name="Normal 2 2 2 3 29 4 8" xfId="18477" xr:uid="{00000000-0005-0000-0000-000007480000}"/>
    <cellStyle name="Normal 2 2 2 3 29 4 9" xfId="18478" xr:uid="{00000000-0005-0000-0000-000008480000}"/>
    <cellStyle name="Normal 2 2 2 3 29 5" xfId="18479" xr:uid="{00000000-0005-0000-0000-000009480000}"/>
    <cellStyle name="Normal 2 2 2 3 29 5 10" xfId="18480" xr:uid="{00000000-0005-0000-0000-00000A480000}"/>
    <cellStyle name="Normal 2 2 2 3 29 5 2" xfId="18481" xr:uid="{00000000-0005-0000-0000-00000B480000}"/>
    <cellStyle name="Normal 2 2 2 3 29 5 3" xfId="18482" xr:uid="{00000000-0005-0000-0000-00000C480000}"/>
    <cellStyle name="Normal 2 2 2 3 29 5 4" xfId="18483" xr:uid="{00000000-0005-0000-0000-00000D480000}"/>
    <cellStyle name="Normal 2 2 2 3 29 5 5" xfId="18484" xr:uid="{00000000-0005-0000-0000-00000E480000}"/>
    <cellStyle name="Normal 2 2 2 3 29 5 6" xfId="18485" xr:uid="{00000000-0005-0000-0000-00000F480000}"/>
    <cellStyle name="Normal 2 2 2 3 29 5 7" xfId="18486" xr:uid="{00000000-0005-0000-0000-000010480000}"/>
    <cellStyle name="Normal 2 2 2 3 29 5 8" xfId="18487" xr:uid="{00000000-0005-0000-0000-000011480000}"/>
    <cellStyle name="Normal 2 2 2 3 29 5 9" xfId="18488" xr:uid="{00000000-0005-0000-0000-000012480000}"/>
    <cellStyle name="Normal 2 2 2 3 29 6" xfId="18489" xr:uid="{00000000-0005-0000-0000-000013480000}"/>
    <cellStyle name="Normal 2 2 2 3 29 7" xfId="18490" xr:uid="{00000000-0005-0000-0000-000014480000}"/>
    <cellStyle name="Normal 2 2 2 3 29 8" xfId="18491" xr:uid="{00000000-0005-0000-0000-000015480000}"/>
    <cellStyle name="Normal 2 2 2 3 29 9" xfId="18492" xr:uid="{00000000-0005-0000-0000-000016480000}"/>
    <cellStyle name="Normal 2 2 2 3 3" xfId="18493" xr:uid="{00000000-0005-0000-0000-000017480000}"/>
    <cellStyle name="Normal 2 2 2 3 3 10" xfId="18494" xr:uid="{00000000-0005-0000-0000-000018480000}"/>
    <cellStyle name="Normal 2 2 2 3 3 11" xfId="18495" xr:uid="{00000000-0005-0000-0000-000019480000}"/>
    <cellStyle name="Normal 2 2 2 3 3 12" xfId="18496" xr:uid="{00000000-0005-0000-0000-00001A480000}"/>
    <cellStyle name="Normal 2 2 2 3 3 13" xfId="18497" xr:uid="{00000000-0005-0000-0000-00001B480000}"/>
    <cellStyle name="Normal 2 2 2 3 3 14" xfId="18498" xr:uid="{00000000-0005-0000-0000-00001C480000}"/>
    <cellStyle name="Normal 2 2 2 3 3 15" xfId="18499" xr:uid="{00000000-0005-0000-0000-00001D480000}"/>
    <cellStyle name="Normal 2 2 2 3 3 16" xfId="18500" xr:uid="{00000000-0005-0000-0000-00001E480000}"/>
    <cellStyle name="Normal 2 2 2 3 3 2" xfId="18501" xr:uid="{00000000-0005-0000-0000-00001F480000}"/>
    <cellStyle name="Normal 2 2 2 3 3 2 10" xfId="18502" xr:uid="{00000000-0005-0000-0000-000020480000}"/>
    <cellStyle name="Normal 2 2 2 3 3 2 11" xfId="18503" xr:uid="{00000000-0005-0000-0000-000021480000}"/>
    <cellStyle name="Normal 2 2 2 3 3 2 12" xfId="18504" xr:uid="{00000000-0005-0000-0000-000022480000}"/>
    <cellStyle name="Normal 2 2 2 3 3 2 2" xfId="18505" xr:uid="{00000000-0005-0000-0000-000023480000}"/>
    <cellStyle name="Normal 2 2 2 3 3 2 3" xfId="18506" xr:uid="{00000000-0005-0000-0000-000024480000}"/>
    <cellStyle name="Normal 2 2 2 3 3 2 4" xfId="18507" xr:uid="{00000000-0005-0000-0000-000025480000}"/>
    <cellStyle name="Normal 2 2 2 3 3 2 5" xfId="18508" xr:uid="{00000000-0005-0000-0000-000026480000}"/>
    <cellStyle name="Normal 2 2 2 3 3 2 6" xfId="18509" xr:uid="{00000000-0005-0000-0000-000027480000}"/>
    <cellStyle name="Normal 2 2 2 3 3 2 7" xfId="18510" xr:uid="{00000000-0005-0000-0000-000028480000}"/>
    <cellStyle name="Normal 2 2 2 3 3 2 8" xfId="18511" xr:uid="{00000000-0005-0000-0000-000029480000}"/>
    <cellStyle name="Normal 2 2 2 3 3 2 9" xfId="18512" xr:uid="{00000000-0005-0000-0000-00002A480000}"/>
    <cellStyle name="Normal 2 2 2 3 3 3" xfId="18513" xr:uid="{00000000-0005-0000-0000-00002B480000}"/>
    <cellStyle name="Normal 2 2 2 3 3 3 10" xfId="18514" xr:uid="{00000000-0005-0000-0000-00002C480000}"/>
    <cellStyle name="Normal 2 2 2 3 3 3 2" xfId="18515" xr:uid="{00000000-0005-0000-0000-00002D480000}"/>
    <cellStyle name="Normal 2 2 2 3 3 3 3" xfId="18516" xr:uid="{00000000-0005-0000-0000-00002E480000}"/>
    <cellStyle name="Normal 2 2 2 3 3 3 4" xfId="18517" xr:uid="{00000000-0005-0000-0000-00002F480000}"/>
    <cellStyle name="Normal 2 2 2 3 3 3 5" xfId="18518" xr:uid="{00000000-0005-0000-0000-000030480000}"/>
    <cellStyle name="Normal 2 2 2 3 3 3 6" xfId="18519" xr:uid="{00000000-0005-0000-0000-000031480000}"/>
    <cellStyle name="Normal 2 2 2 3 3 3 7" xfId="18520" xr:uid="{00000000-0005-0000-0000-000032480000}"/>
    <cellStyle name="Normal 2 2 2 3 3 3 8" xfId="18521" xr:uid="{00000000-0005-0000-0000-000033480000}"/>
    <cellStyle name="Normal 2 2 2 3 3 3 9" xfId="18522" xr:uid="{00000000-0005-0000-0000-000034480000}"/>
    <cellStyle name="Normal 2 2 2 3 3 4" xfId="18523" xr:uid="{00000000-0005-0000-0000-000035480000}"/>
    <cellStyle name="Normal 2 2 2 3 3 4 10" xfId="18524" xr:uid="{00000000-0005-0000-0000-000036480000}"/>
    <cellStyle name="Normal 2 2 2 3 3 4 2" xfId="18525" xr:uid="{00000000-0005-0000-0000-000037480000}"/>
    <cellStyle name="Normal 2 2 2 3 3 4 3" xfId="18526" xr:uid="{00000000-0005-0000-0000-000038480000}"/>
    <cellStyle name="Normal 2 2 2 3 3 4 4" xfId="18527" xr:uid="{00000000-0005-0000-0000-000039480000}"/>
    <cellStyle name="Normal 2 2 2 3 3 4 5" xfId="18528" xr:uid="{00000000-0005-0000-0000-00003A480000}"/>
    <cellStyle name="Normal 2 2 2 3 3 4 6" xfId="18529" xr:uid="{00000000-0005-0000-0000-00003B480000}"/>
    <cellStyle name="Normal 2 2 2 3 3 4 7" xfId="18530" xr:uid="{00000000-0005-0000-0000-00003C480000}"/>
    <cellStyle name="Normal 2 2 2 3 3 4 8" xfId="18531" xr:uid="{00000000-0005-0000-0000-00003D480000}"/>
    <cellStyle name="Normal 2 2 2 3 3 4 9" xfId="18532" xr:uid="{00000000-0005-0000-0000-00003E480000}"/>
    <cellStyle name="Normal 2 2 2 3 3 5" xfId="18533" xr:uid="{00000000-0005-0000-0000-00003F480000}"/>
    <cellStyle name="Normal 2 2 2 3 3 5 10" xfId="18534" xr:uid="{00000000-0005-0000-0000-000040480000}"/>
    <cellStyle name="Normal 2 2 2 3 3 5 2" xfId="18535" xr:uid="{00000000-0005-0000-0000-000041480000}"/>
    <cellStyle name="Normal 2 2 2 3 3 5 3" xfId="18536" xr:uid="{00000000-0005-0000-0000-000042480000}"/>
    <cellStyle name="Normal 2 2 2 3 3 5 4" xfId="18537" xr:uid="{00000000-0005-0000-0000-000043480000}"/>
    <cellStyle name="Normal 2 2 2 3 3 5 5" xfId="18538" xr:uid="{00000000-0005-0000-0000-000044480000}"/>
    <cellStyle name="Normal 2 2 2 3 3 5 6" xfId="18539" xr:uid="{00000000-0005-0000-0000-000045480000}"/>
    <cellStyle name="Normal 2 2 2 3 3 5 7" xfId="18540" xr:uid="{00000000-0005-0000-0000-000046480000}"/>
    <cellStyle name="Normal 2 2 2 3 3 5 8" xfId="18541" xr:uid="{00000000-0005-0000-0000-000047480000}"/>
    <cellStyle name="Normal 2 2 2 3 3 5 9" xfId="18542" xr:uid="{00000000-0005-0000-0000-000048480000}"/>
    <cellStyle name="Normal 2 2 2 3 3 6" xfId="18543" xr:uid="{00000000-0005-0000-0000-000049480000}"/>
    <cellStyle name="Normal 2 2 2 3 3 7" xfId="18544" xr:uid="{00000000-0005-0000-0000-00004A480000}"/>
    <cellStyle name="Normal 2 2 2 3 3 8" xfId="18545" xr:uid="{00000000-0005-0000-0000-00004B480000}"/>
    <cellStyle name="Normal 2 2 2 3 3 9" xfId="18546" xr:uid="{00000000-0005-0000-0000-00004C480000}"/>
    <cellStyle name="Normal 2 2 2 3 30" xfId="18547" xr:uid="{00000000-0005-0000-0000-00004D480000}"/>
    <cellStyle name="Normal 2 2 2 3 30 10" xfId="18548" xr:uid="{00000000-0005-0000-0000-00004E480000}"/>
    <cellStyle name="Normal 2 2 2 3 30 11" xfId="18549" xr:uid="{00000000-0005-0000-0000-00004F480000}"/>
    <cellStyle name="Normal 2 2 2 3 30 12" xfId="18550" xr:uid="{00000000-0005-0000-0000-000050480000}"/>
    <cellStyle name="Normal 2 2 2 3 30 13" xfId="18551" xr:uid="{00000000-0005-0000-0000-000051480000}"/>
    <cellStyle name="Normal 2 2 2 3 30 14" xfId="18552" xr:uid="{00000000-0005-0000-0000-000052480000}"/>
    <cellStyle name="Normal 2 2 2 3 30 2" xfId="18553" xr:uid="{00000000-0005-0000-0000-000053480000}"/>
    <cellStyle name="Normal 2 2 2 3 30 2 10" xfId="18554" xr:uid="{00000000-0005-0000-0000-000054480000}"/>
    <cellStyle name="Normal 2 2 2 3 30 2 2" xfId="18555" xr:uid="{00000000-0005-0000-0000-000055480000}"/>
    <cellStyle name="Normal 2 2 2 3 30 2 3" xfId="18556" xr:uid="{00000000-0005-0000-0000-000056480000}"/>
    <cellStyle name="Normal 2 2 2 3 30 2 4" xfId="18557" xr:uid="{00000000-0005-0000-0000-000057480000}"/>
    <cellStyle name="Normal 2 2 2 3 30 2 5" xfId="18558" xr:uid="{00000000-0005-0000-0000-000058480000}"/>
    <cellStyle name="Normal 2 2 2 3 30 2 6" xfId="18559" xr:uid="{00000000-0005-0000-0000-000059480000}"/>
    <cellStyle name="Normal 2 2 2 3 30 2 7" xfId="18560" xr:uid="{00000000-0005-0000-0000-00005A480000}"/>
    <cellStyle name="Normal 2 2 2 3 30 2 8" xfId="18561" xr:uid="{00000000-0005-0000-0000-00005B480000}"/>
    <cellStyle name="Normal 2 2 2 3 30 2 9" xfId="18562" xr:uid="{00000000-0005-0000-0000-00005C480000}"/>
    <cellStyle name="Normal 2 2 2 3 30 3" xfId="18563" xr:uid="{00000000-0005-0000-0000-00005D480000}"/>
    <cellStyle name="Normal 2 2 2 3 30 3 10" xfId="18564" xr:uid="{00000000-0005-0000-0000-00005E480000}"/>
    <cellStyle name="Normal 2 2 2 3 30 3 2" xfId="18565" xr:uid="{00000000-0005-0000-0000-00005F480000}"/>
    <cellStyle name="Normal 2 2 2 3 30 3 3" xfId="18566" xr:uid="{00000000-0005-0000-0000-000060480000}"/>
    <cellStyle name="Normal 2 2 2 3 30 3 4" xfId="18567" xr:uid="{00000000-0005-0000-0000-000061480000}"/>
    <cellStyle name="Normal 2 2 2 3 30 3 5" xfId="18568" xr:uid="{00000000-0005-0000-0000-000062480000}"/>
    <cellStyle name="Normal 2 2 2 3 30 3 6" xfId="18569" xr:uid="{00000000-0005-0000-0000-000063480000}"/>
    <cellStyle name="Normal 2 2 2 3 30 3 7" xfId="18570" xr:uid="{00000000-0005-0000-0000-000064480000}"/>
    <cellStyle name="Normal 2 2 2 3 30 3 8" xfId="18571" xr:uid="{00000000-0005-0000-0000-000065480000}"/>
    <cellStyle name="Normal 2 2 2 3 30 3 9" xfId="18572" xr:uid="{00000000-0005-0000-0000-000066480000}"/>
    <cellStyle name="Normal 2 2 2 3 30 4" xfId="18573" xr:uid="{00000000-0005-0000-0000-000067480000}"/>
    <cellStyle name="Normal 2 2 2 3 30 4 10" xfId="18574" xr:uid="{00000000-0005-0000-0000-000068480000}"/>
    <cellStyle name="Normal 2 2 2 3 30 4 2" xfId="18575" xr:uid="{00000000-0005-0000-0000-000069480000}"/>
    <cellStyle name="Normal 2 2 2 3 30 4 3" xfId="18576" xr:uid="{00000000-0005-0000-0000-00006A480000}"/>
    <cellStyle name="Normal 2 2 2 3 30 4 4" xfId="18577" xr:uid="{00000000-0005-0000-0000-00006B480000}"/>
    <cellStyle name="Normal 2 2 2 3 30 4 5" xfId="18578" xr:uid="{00000000-0005-0000-0000-00006C480000}"/>
    <cellStyle name="Normal 2 2 2 3 30 4 6" xfId="18579" xr:uid="{00000000-0005-0000-0000-00006D480000}"/>
    <cellStyle name="Normal 2 2 2 3 30 4 7" xfId="18580" xr:uid="{00000000-0005-0000-0000-00006E480000}"/>
    <cellStyle name="Normal 2 2 2 3 30 4 8" xfId="18581" xr:uid="{00000000-0005-0000-0000-00006F480000}"/>
    <cellStyle name="Normal 2 2 2 3 30 4 9" xfId="18582" xr:uid="{00000000-0005-0000-0000-000070480000}"/>
    <cellStyle name="Normal 2 2 2 3 30 5" xfId="18583" xr:uid="{00000000-0005-0000-0000-000071480000}"/>
    <cellStyle name="Normal 2 2 2 3 30 5 10" xfId="18584" xr:uid="{00000000-0005-0000-0000-000072480000}"/>
    <cellStyle name="Normal 2 2 2 3 30 5 2" xfId="18585" xr:uid="{00000000-0005-0000-0000-000073480000}"/>
    <cellStyle name="Normal 2 2 2 3 30 5 3" xfId="18586" xr:uid="{00000000-0005-0000-0000-000074480000}"/>
    <cellStyle name="Normal 2 2 2 3 30 5 4" xfId="18587" xr:uid="{00000000-0005-0000-0000-000075480000}"/>
    <cellStyle name="Normal 2 2 2 3 30 5 5" xfId="18588" xr:uid="{00000000-0005-0000-0000-000076480000}"/>
    <cellStyle name="Normal 2 2 2 3 30 5 6" xfId="18589" xr:uid="{00000000-0005-0000-0000-000077480000}"/>
    <cellStyle name="Normal 2 2 2 3 30 5 7" xfId="18590" xr:uid="{00000000-0005-0000-0000-000078480000}"/>
    <cellStyle name="Normal 2 2 2 3 30 5 8" xfId="18591" xr:uid="{00000000-0005-0000-0000-000079480000}"/>
    <cellStyle name="Normal 2 2 2 3 30 5 9" xfId="18592" xr:uid="{00000000-0005-0000-0000-00007A480000}"/>
    <cellStyle name="Normal 2 2 2 3 30 6" xfId="18593" xr:uid="{00000000-0005-0000-0000-00007B480000}"/>
    <cellStyle name="Normal 2 2 2 3 30 7" xfId="18594" xr:uid="{00000000-0005-0000-0000-00007C480000}"/>
    <cellStyle name="Normal 2 2 2 3 30 8" xfId="18595" xr:uid="{00000000-0005-0000-0000-00007D480000}"/>
    <cellStyle name="Normal 2 2 2 3 30 9" xfId="18596" xr:uid="{00000000-0005-0000-0000-00007E480000}"/>
    <cellStyle name="Normal 2 2 2 3 31" xfId="18597" xr:uid="{00000000-0005-0000-0000-00007F480000}"/>
    <cellStyle name="Normal 2 2 2 3 31 10" xfId="18598" xr:uid="{00000000-0005-0000-0000-000080480000}"/>
    <cellStyle name="Normal 2 2 2 3 31 11" xfId="18599" xr:uid="{00000000-0005-0000-0000-000081480000}"/>
    <cellStyle name="Normal 2 2 2 3 31 12" xfId="18600" xr:uid="{00000000-0005-0000-0000-000082480000}"/>
    <cellStyle name="Normal 2 2 2 3 31 13" xfId="18601" xr:uid="{00000000-0005-0000-0000-000083480000}"/>
    <cellStyle name="Normal 2 2 2 3 31 14" xfId="18602" xr:uid="{00000000-0005-0000-0000-000084480000}"/>
    <cellStyle name="Normal 2 2 2 3 31 2" xfId="18603" xr:uid="{00000000-0005-0000-0000-000085480000}"/>
    <cellStyle name="Normal 2 2 2 3 31 2 10" xfId="18604" xr:uid="{00000000-0005-0000-0000-000086480000}"/>
    <cellStyle name="Normal 2 2 2 3 31 2 2" xfId="18605" xr:uid="{00000000-0005-0000-0000-000087480000}"/>
    <cellStyle name="Normal 2 2 2 3 31 2 3" xfId="18606" xr:uid="{00000000-0005-0000-0000-000088480000}"/>
    <cellStyle name="Normal 2 2 2 3 31 2 4" xfId="18607" xr:uid="{00000000-0005-0000-0000-000089480000}"/>
    <cellStyle name="Normal 2 2 2 3 31 2 5" xfId="18608" xr:uid="{00000000-0005-0000-0000-00008A480000}"/>
    <cellStyle name="Normal 2 2 2 3 31 2 6" xfId="18609" xr:uid="{00000000-0005-0000-0000-00008B480000}"/>
    <cellStyle name="Normal 2 2 2 3 31 2 7" xfId="18610" xr:uid="{00000000-0005-0000-0000-00008C480000}"/>
    <cellStyle name="Normal 2 2 2 3 31 2 8" xfId="18611" xr:uid="{00000000-0005-0000-0000-00008D480000}"/>
    <cellStyle name="Normal 2 2 2 3 31 2 9" xfId="18612" xr:uid="{00000000-0005-0000-0000-00008E480000}"/>
    <cellStyle name="Normal 2 2 2 3 31 3" xfId="18613" xr:uid="{00000000-0005-0000-0000-00008F480000}"/>
    <cellStyle name="Normal 2 2 2 3 31 3 10" xfId="18614" xr:uid="{00000000-0005-0000-0000-000090480000}"/>
    <cellStyle name="Normal 2 2 2 3 31 3 2" xfId="18615" xr:uid="{00000000-0005-0000-0000-000091480000}"/>
    <cellStyle name="Normal 2 2 2 3 31 3 3" xfId="18616" xr:uid="{00000000-0005-0000-0000-000092480000}"/>
    <cellStyle name="Normal 2 2 2 3 31 3 4" xfId="18617" xr:uid="{00000000-0005-0000-0000-000093480000}"/>
    <cellStyle name="Normal 2 2 2 3 31 3 5" xfId="18618" xr:uid="{00000000-0005-0000-0000-000094480000}"/>
    <cellStyle name="Normal 2 2 2 3 31 3 6" xfId="18619" xr:uid="{00000000-0005-0000-0000-000095480000}"/>
    <cellStyle name="Normal 2 2 2 3 31 3 7" xfId="18620" xr:uid="{00000000-0005-0000-0000-000096480000}"/>
    <cellStyle name="Normal 2 2 2 3 31 3 8" xfId="18621" xr:uid="{00000000-0005-0000-0000-000097480000}"/>
    <cellStyle name="Normal 2 2 2 3 31 3 9" xfId="18622" xr:uid="{00000000-0005-0000-0000-000098480000}"/>
    <cellStyle name="Normal 2 2 2 3 31 4" xfId="18623" xr:uid="{00000000-0005-0000-0000-000099480000}"/>
    <cellStyle name="Normal 2 2 2 3 31 4 10" xfId="18624" xr:uid="{00000000-0005-0000-0000-00009A480000}"/>
    <cellStyle name="Normal 2 2 2 3 31 4 2" xfId="18625" xr:uid="{00000000-0005-0000-0000-00009B480000}"/>
    <cellStyle name="Normal 2 2 2 3 31 4 3" xfId="18626" xr:uid="{00000000-0005-0000-0000-00009C480000}"/>
    <cellStyle name="Normal 2 2 2 3 31 4 4" xfId="18627" xr:uid="{00000000-0005-0000-0000-00009D480000}"/>
    <cellStyle name="Normal 2 2 2 3 31 4 5" xfId="18628" xr:uid="{00000000-0005-0000-0000-00009E480000}"/>
    <cellStyle name="Normal 2 2 2 3 31 4 6" xfId="18629" xr:uid="{00000000-0005-0000-0000-00009F480000}"/>
    <cellStyle name="Normal 2 2 2 3 31 4 7" xfId="18630" xr:uid="{00000000-0005-0000-0000-0000A0480000}"/>
    <cellStyle name="Normal 2 2 2 3 31 4 8" xfId="18631" xr:uid="{00000000-0005-0000-0000-0000A1480000}"/>
    <cellStyle name="Normal 2 2 2 3 31 4 9" xfId="18632" xr:uid="{00000000-0005-0000-0000-0000A2480000}"/>
    <cellStyle name="Normal 2 2 2 3 31 5" xfId="18633" xr:uid="{00000000-0005-0000-0000-0000A3480000}"/>
    <cellStyle name="Normal 2 2 2 3 31 5 10" xfId="18634" xr:uid="{00000000-0005-0000-0000-0000A4480000}"/>
    <cellStyle name="Normal 2 2 2 3 31 5 2" xfId="18635" xr:uid="{00000000-0005-0000-0000-0000A5480000}"/>
    <cellStyle name="Normal 2 2 2 3 31 5 3" xfId="18636" xr:uid="{00000000-0005-0000-0000-0000A6480000}"/>
    <cellStyle name="Normal 2 2 2 3 31 5 4" xfId="18637" xr:uid="{00000000-0005-0000-0000-0000A7480000}"/>
    <cellStyle name="Normal 2 2 2 3 31 5 5" xfId="18638" xr:uid="{00000000-0005-0000-0000-0000A8480000}"/>
    <cellStyle name="Normal 2 2 2 3 31 5 6" xfId="18639" xr:uid="{00000000-0005-0000-0000-0000A9480000}"/>
    <cellStyle name="Normal 2 2 2 3 31 5 7" xfId="18640" xr:uid="{00000000-0005-0000-0000-0000AA480000}"/>
    <cellStyle name="Normal 2 2 2 3 31 5 8" xfId="18641" xr:uid="{00000000-0005-0000-0000-0000AB480000}"/>
    <cellStyle name="Normal 2 2 2 3 31 5 9" xfId="18642" xr:uid="{00000000-0005-0000-0000-0000AC480000}"/>
    <cellStyle name="Normal 2 2 2 3 31 6" xfId="18643" xr:uid="{00000000-0005-0000-0000-0000AD480000}"/>
    <cellStyle name="Normal 2 2 2 3 31 7" xfId="18644" xr:uid="{00000000-0005-0000-0000-0000AE480000}"/>
    <cellStyle name="Normal 2 2 2 3 31 8" xfId="18645" xr:uid="{00000000-0005-0000-0000-0000AF480000}"/>
    <cellStyle name="Normal 2 2 2 3 31 9" xfId="18646" xr:uid="{00000000-0005-0000-0000-0000B0480000}"/>
    <cellStyle name="Normal 2 2 2 3 32" xfId="18647" xr:uid="{00000000-0005-0000-0000-0000B1480000}"/>
    <cellStyle name="Normal 2 2 2 3 32 10" xfId="18648" xr:uid="{00000000-0005-0000-0000-0000B2480000}"/>
    <cellStyle name="Normal 2 2 2 3 32 11" xfId="18649" xr:uid="{00000000-0005-0000-0000-0000B3480000}"/>
    <cellStyle name="Normal 2 2 2 3 32 12" xfId="18650" xr:uid="{00000000-0005-0000-0000-0000B4480000}"/>
    <cellStyle name="Normal 2 2 2 3 32 13" xfId="18651" xr:uid="{00000000-0005-0000-0000-0000B5480000}"/>
    <cellStyle name="Normal 2 2 2 3 32 14" xfId="18652" xr:uid="{00000000-0005-0000-0000-0000B6480000}"/>
    <cellStyle name="Normal 2 2 2 3 32 2" xfId="18653" xr:uid="{00000000-0005-0000-0000-0000B7480000}"/>
    <cellStyle name="Normal 2 2 2 3 32 2 10" xfId="18654" xr:uid="{00000000-0005-0000-0000-0000B8480000}"/>
    <cellStyle name="Normal 2 2 2 3 32 2 2" xfId="18655" xr:uid="{00000000-0005-0000-0000-0000B9480000}"/>
    <cellStyle name="Normal 2 2 2 3 32 2 3" xfId="18656" xr:uid="{00000000-0005-0000-0000-0000BA480000}"/>
    <cellStyle name="Normal 2 2 2 3 32 2 4" xfId="18657" xr:uid="{00000000-0005-0000-0000-0000BB480000}"/>
    <cellStyle name="Normal 2 2 2 3 32 2 5" xfId="18658" xr:uid="{00000000-0005-0000-0000-0000BC480000}"/>
    <cellStyle name="Normal 2 2 2 3 32 2 6" xfId="18659" xr:uid="{00000000-0005-0000-0000-0000BD480000}"/>
    <cellStyle name="Normal 2 2 2 3 32 2 7" xfId="18660" xr:uid="{00000000-0005-0000-0000-0000BE480000}"/>
    <cellStyle name="Normal 2 2 2 3 32 2 8" xfId="18661" xr:uid="{00000000-0005-0000-0000-0000BF480000}"/>
    <cellStyle name="Normal 2 2 2 3 32 2 9" xfId="18662" xr:uid="{00000000-0005-0000-0000-0000C0480000}"/>
    <cellStyle name="Normal 2 2 2 3 32 3" xfId="18663" xr:uid="{00000000-0005-0000-0000-0000C1480000}"/>
    <cellStyle name="Normal 2 2 2 3 32 3 10" xfId="18664" xr:uid="{00000000-0005-0000-0000-0000C2480000}"/>
    <cellStyle name="Normal 2 2 2 3 32 3 2" xfId="18665" xr:uid="{00000000-0005-0000-0000-0000C3480000}"/>
    <cellStyle name="Normal 2 2 2 3 32 3 3" xfId="18666" xr:uid="{00000000-0005-0000-0000-0000C4480000}"/>
    <cellStyle name="Normal 2 2 2 3 32 3 4" xfId="18667" xr:uid="{00000000-0005-0000-0000-0000C5480000}"/>
    <cellStyle name="Normal 2 2 2 3 32 3 5" xfId="18668" xr:uid="{00000000-0005-0000-0000-0000C6480000}"/>
    <cellStyle name="Normal 2 2 2 3 32 3 6" xfId="18669" xr:uid="{00000000-0005-0000-0000-0000C7480000}"/>
    <cellStyle name="Normal 2 2 2 3 32 3 7" xfId="18670" xr:uid="{00000000-0005-0000-0000-0000C8480000}"/>
    <cellStyle name="Normal 2 2 2 3 32 3 8" xfId="18671" xr:uid="{00000000-0005-0000-0000-0000C9480000}"/>
    <cellStyle name="Normal 2 2 2 3 32 3 9" xfId="18672" xr:uid="{00000000-0005-0000-0000-0000CA480000}"/>
    <cellStyle name="Normal 2 2 2 3 32 4" xfId="18673" xr:uid="{00000000-0005-0000-0000-0000CB480000}"/>
    <cellStyle name="Normal 2 2 2 3 32 4 10" xfId="18674" xr:uid="{00000000-0005-0000-0000-0000CC480000}"/>
    <cellStyle name="Normal 2 2 2 3 32 4 2" xfId="18675" xr:uid="{00000000-0005-0000-0000-0000CD480000}"/>
    <cellStyle name="Normal 2 2 2 3 32 4 3" xfId="18676" xr:uid="{00000000-0005-0000-0000-0000CE480000}"/>
    <cellStyle name="Normal 2 2 2 3 32 4 4" xfId="18677" xr:uid="{00000000-0005-0000-0000-0000CF480000}"/>
    <cellStyle name="Normal 2 2 2 3 32 4 5" xfId="18678" xr:uid="{00000000-0005-0000-0000-0000D0480000}"/>
    <cellStyle name="Normal 2 2 2 3 32 4 6" xfId="18679" xr:uid="{00000000-0005-0000-0000-0000D1480000}"/>
    <cellStyle name="Normal 2 2 2 3 32 4 7" xfId="18680" xr:uid="{00000000-0005-0000-0000-0000D2480000}"/>
    <cellStyle name="Normal 2 2 2 3 32 4 8" xfId="18681" xr:uid="{00000000-0005-0000-0000-0000D3480000}"/>
    <cellStyle name="Normal 2 2 2 3 32 4 9" xfId="18682" xr:uid="{00000000-0005-0000-0000-0000D4480000}"/>
    <cellStyle name="Normal 2 2 2 3 32 5" xfId="18683" xr:uid="{00000000-0005-0000-0000-0000D5480000}"/>
    <cellStyle name="Normal 2 2 2 3 32 5 10" xfId="18684" xr:uid="{00000000-0005-0000-0000-0000D6480000}"/>
    <cellStyle name="Normal 2 2 2 3 32 5 2" xfId="18685" xr:uid="{00000000-0005-0000-0000-0000D7480000}"/>
    <cellStyle name="Normal 2 2 2 3 32 5 3" xfId="18686" xr:uid="{00000000-0005-0000-0000-0000D8480000}"/>
    <cellStyle name="Normal 2 2 2 3 32 5 4" xfId="18687" xr:uid="{00000000-0005-0000-0000-0000D9480000}"/>
    <cellStyle name="Normal 2 2 2 3 32 5 5" xfId="18688" xr:uid="{00000000-0005-0000-0000-0000DA480000}"/>
    <cellStyle name="Normal 2 2 2 3 32 5 6" xfId="18689" xr:uid="{00000000-0005-0000-0000-0000DB480000}"/>
    <cellStyle name="Normal 2 2 2 3 32 5 7" xfId="18690" xr:uid="{00000000-0005-0000-0000-0000DC480000}"/>
    <cellStyle name="Normal 2 2 2 3 32 5 8" xfId="18691" xr:uid="{00000000-0005-0000-0000-0000DD480000}"/>
    <cellStyle name="Normal 2 2 2 3 32 5 9" xfId="18692" xr:uid="{00000000-0005-0000-0000-0000DE480000}"/>
    <cellStyle name="Normal 2 2 2 3 32 6" xfId="18693" xr:uid="{00000000-0005-0000-0000-0000DF480000}"/>
    <cellStyle name="Normal 2 2 2 3 32 7" xfId="18694" xr:uid="{00000000-0005-0000-0000-0000E0480000}"/>
    <cellStyle name="Normal 2 2 2 3 32 8" xfId="18695" xr:uid="{00000000-0005-0000-0000-0000E1480000}"/>
    <cellStyle name="Normal 2 2 2 3 32 9" xfId="18696" xr:uid="{00000000-0005-0000-0000-0000E2480000}"/>
    <cellStyle name="Normal 2 2 2 3 33" xfId="18697" xr:uid="{00000000-0005-0000-0000-0000E3480000}"/>
    <cellStyle name="Normal 2 2 2 3 33 10" xfId="18698" xr:uid="{00000000-0005-0000-0000-0000E4480000}"/>
    <cellStyle name="Normal 2 2 2 3 33 11" xfId="18699" xr:uid="{00000000-0005-0000-0000-0000E5480000}"/>
    <cellStyle name="Normal 2 2 2 3 33 12" xfId="18700" xr:uid="{00000000-0005-0000-0000-0000E6480000}"/>
    <cellStyle name="Normal 2 2 2 3 33 13" xfId="18701" xr:uid="{00000000-0005-0000-0000-0000E7480000}"/>
    <cellStyle name="Normal 2 2 2 3 33 14" xfId="18702" xr:uid="{00000000-0005-0000-0000-0000E8480000}"/>
    <cellStyle name="Normal 2 2 2 3 33 2" xfId="18703" xr:uid="{00000000-0005-0000-0000-0000E9480000}"/>
    <cellStyle name="Normal 2 2 2 3 33 2 10" xfId="18704" xr:uid="{00000000-0005-0000-0000-0000EA480000}"/>
    <cellStyle name="Normal 2 2 2 3 33 2 2" xfId="18705" xr:uid="{00000000-0005-0000-0000-0000EB480000}"/>
    <cellStyle name="Normal 2 2 2 3 33 2 3" xfId="18706" xr:uid="{00000000-0005-0000-0000-0000EC480000}"/>
    <cellStyle name="Normal 2 2 2 3 33 2 4" xfId="18707" xr:uid="{00000000-0005-0000-0000-0000ED480000}"/>
    <cellStyle name="Normal 2 2 2 3 33 2 5" xfId="18708" xr:uid="{00000000-0005-0000-0000-0000EE480000}"/>
    <cellStyle name="Normal 2 2 2 3 33 2 6" xfId="18709" xr:uid="{00000000-0005-0000-0000-0000EF480000}"/>
    <cellStyle name="Normal 2 2 2 3 33 2 7" xfId="18710" xr:uid="{00000000-0005-0000-0000-0000F0480000}"/>
    <cellStyle name="Normal 2 2 2 3 33 2 8" xfId="18711" xr:uid="{00000000-0005-0000-0000-0000F1480000}"/>
    <cellStyle name="Normal 2 2 2 3 33 2 9" xfId="18712" xr:uid="{00000000-0005-0000-0000-0000F2480000}"/>
    <cellStyle name="Normal 2 2 2 3 33 3" xfId="18713" xr:uid="{00000000-0005-0000-0000-0000F3480000}"/>
    <cellStyle name="Normal 2 2 2 3 33 3 10" xfId="18714" xr:uid="{00000000-0005-0000-0000-0000F4480000}"/>
    <cellStyle name="Normal 2 2 2 3 33 3 2" xfId="18715" xr:uid="{00000000-0005-0000-0000-0000F5480000}"/>
    <cellStyle name="Normal 2 2 2 3 33 3 3" xfId="18716" xr:uid="{00000000-0005-0000-0000-0000F6480000}"/>
    <cellStyle name="Normal 2 2 2 3 33 3 4" xfId="18717" xr:uid="{00000000-0005-0000-0000-0000F7480000}"/>
    <cellStyle name="Normal 2 2 2 3 33 3 5" xfId="18718" xr:uid="{00000000-0005-0000-0000-0000F8480000}"/>
    <cellStyle name="Normal 2 2 2 3 33 3 6" xfId="18719" xr:uid="{00000000-0005-0000-0000-0000F9480000}"/>
    <cellStyle name="Normal 2 2 2 3 33 3 7" xfId="18720" xr:uid="{00000000-0005-0000-0000-0000FA480000}"/>
    <cellStyle name="Normal 2 2 2 3 33 3 8" xfId="18721" xr:uid="{00000000-0005-0000-0000-0000FB480000}"/>
    <cellStyle name="Normal 2 2 2 3 33 3 9" xfId="18722" xr:uid="{00000000-0005-0000-0000-0000FC480000}"/>
    <cellStyle name="Normal 2 2 2 3 33 4" xfId="18723" xr:uid="{00000000-0005-0000-0000-0000FD480000}"/>
    <cellStyle name="Normal 2 2 2 3 33 4 10" xfId="18724" xr:uid="{00000000-0005-0000-0000-0000FE480000}"/>
    <cellStyle name="Normal 2 2 2 3 33 4 2" xfId="18725" xr:uid="{00000000-0005-0000-0000-0000FF480000}"/>
    <cellStyle name="Normal 2 2 2 3 33 4 3" xfId="18726" xr:uid="{00000000-0005-0000-0000-000000490000}"/>
    <cellStyle name="Normal 2 2 2 3 33 4 4" xfId="18727" xr:uid="{00000000-0005-0000-0000-000001490000}"/>
    <cellStyle name="Normal 2 2 2 3 33 4 5" xfId="18728" xr:uid="{00000000-0005-0000-0000-000002490000}"/>
    <cellStyle name="Normal 2 2 2 3 33 4 6" xfId="18729" xr:uid="{00000000-0005-0000-0000-000003490000}"/>
    <cellStyle name="Normal 2 2 2 3 33 4 7" xfId="18730" xr:uid="{00000000-0005-0000-0000-000004490000}"/>
    <cellStyle name="Normal 2 2 2 3 33 4 8" xfId="18731" xr:uid="{00000000-0005-0000-0000-000005490000}"/>
    <cellStyle name="Normal 2 2 2 3 33 4 9" xfId="18732" xr:uid="{00000000-0005-0000-0000-000006490000}"/>
    <cellStyle name="Normal 2 2 2 3 33 5" xfId="18733" xr:uid="{00000000-0005-0000-0000-000007490000}"/>
    <cellStyle name="Normal 2 2 2 3 33 5 10" xfId="18734" xr:uid="{00000000-0005-0000-0000-000008490000}"/>
    <cellStyle name="Normal 2 2 2 3 33 5 2" xfId="18735" xr:uid="{00000000-0005-0000-0000-000009490000}"/>
    <cellStyle name="Normal 2 2 2 3 33 5 3" xfId="18736" xr:uid="{00000000-0005-0000-0000-00000A490000}"/>
    <cellStyle name="Normal 2 2 2 3 33 5 4" xfId="18737" xr:uid="{00000000-0005-0000-0000-00000B490000}"/>
    <cellStyle name="Normal 2 2 2 3 33 5 5" xfId="18738" xr:uid="{00000000-0005-0000-0000-00000C490000}"/>
    <cellStyle name="Normal 2 2 2 3 33 5 6" xfId="18739" xr:uid="{00000000-0005-0000-0000-00000D490000}"/>
    <cellStyle name="Normal 2 2 2 3 33 5 7" xfId="18740" xr:uid="{00000000-0005-0000-0000-00000E490000}"/>
    <cellStyle name="Normal 2 2 2 3 33 5 8" xfId="18741" xr:uid="{00000000-0005-0000-0000-00000F490000}"/>
    <cellStyle name="Normal 2 2 2 3 33 5 9" xfId="18742" xr:uid="{00000000-0005-0000-0000-000010490000}"/>
    <cellStyle name="Normal 2 2 2 3 33 6" xfId="18743" xr:uid="{00000000-0005-0000-0000-000011490000}"/>
    <cellStyle name="Normal 2 2 2 3 33 7" xfId="18744" xr:uid="{00000000-0005-0000-0000-000012490000}"/>
    <cellStyle name="Normal 2 2 2 3 33 8" xfId="18745" xr:uid="{00000000-0005-0000-0000-000013490000}"/>
    <cellStyle name="Normal 2 2 2 3 33 9" xfId="18746" xr:uid="{00000000-0005-0000-0000-000014490000}"/>
    <cellStyle name="Normal 2 2 2 3 34" xfId="18747" xr:uid="{00000000-0005-0000-0000-000015490000}"/>
    <cellStyle name="Normal 2 2 2 3 34 10" xfId="18748" xr:uid="{00000000-0005-0000-0000-000016490000}"/>
    <cellStyle name="Normal 2 2 2 3 34 2" xfId="18749" xr:uid="{00000000-0005-0000-0000-000017490000}"/>
    <cellStyle name="Normal 2 2 2 3 34 3" xfId="18750" xr:uid="{00000000-0005-0000-0000-000018490000}"/>
    <cellStyle name="Normal 2 2 2 3 34 4" xfId="18751" xr:uid="{00000000-0005-0000-0000-000019490000}"/>
    <cellStyle name="Normal 2 2 2 3 34 5" xfId="18752" xr:uid="{00000000-0005-0000-0000-00001A490000}"/>
    <cellStyle name="Normal 2 2 2 3 34 6" xfId="18753" xr:uid="{00000000-0005-0000-0000-00001B490000}"/>
    <cellStyle name="Normal 2 2 2 3 34 7" xfId="18754" xr:uid="{00000000-0005-0000-0000-00001C490000}"/>
    <cellStyle name="Normal 2 2 2 3 34 8" xfId="18755" xr:uid="{00000000-0005-0000-0000-00001D490000}"/>
    <cellStyle name="Normal 2 2 2 3 34 9" xfId="18756" xr:uid="{00000000-0005-0000-0000-00001E490000}"/>
    <cellStyle name="Normal 2 2 2 3 35" xfId="18757" xr:uid="{00000000-0005-0000-0000-00001F490000}"/>
    <cellStyle name="Normal 2 2 2 3 35 10" xfId="18758" xr:uid="{00000000-0005-0000-0000-000020490000}"/>
    <cellStyle name="Normal 2 2 2 3 35 2" xfId="18759" xr:uid="{00000000-0005-0000-0000-000021490000}"/>
    <cellStyle name="Normal 2 2 2 3 35 3" xfId="18760" xr:uid="{00000000-0005-0000-0000-000022490000}"/>
    <cellStyle name="Normal 2 2 2 3 35 4" xfId="18761" xr:uid="{00000000-0005-0000-0000-000023490000}"/>
    <cellStyle name="Normal 2 2 2 3 35 5" xfId="18762" xr:uid="{00000000-0005-0000-0000-000024490000}"/>
    <cellStyle name="Normal 2 2 2 3 35 6" xfId="18763" xr:uid="{00000000-0005-0000-0000-000025490000}"/>
    <cellStyle name="Normal 2 2 2 3 35 7" xfId="18764" xr:uid="{00000000-0005-0000-0000-000026490000}"/>
    <cellStyle name="Normal 2 2 2 3 35 8" xfId="18765" xr:uid="{00000000-0005-0000-0000-000027490000}"/>
    <cellStyle name="Normal 2 2 2 3 35 9" xfId="18766" xr:uid="{00000000-0005-0000-0000-000028490000}"/>
    <cellStyle name="Normal 2 2 2 3 36" xfId="18767" xr:uid="{00000000-0005-0000-0000-000029490000}"/>
    <cellStyle name="Normal 2 2 2 3 36 10" xfId="18768" xr:uid="{00000000-0005-0000-0000-00002A490000}"/>
    <cellStyle name="Normal 2 2 2 3 36 2" xfId="18769" xr:uid="{00000000-0005-0000-0000-00002B490000}"/>
    <cellStyle name="Normal 2 2 2 3 36 3" xfId="18770" xr:uid="{00000000-0005-0000-0000-00002C490000}"/>
    <cellStyle name="Normal 2 2 2 3 36 4" xfId="18771" xr:uid="{00000000-0005-0000-0000-00002D490000}"/>
    <cellStyle name="Normal 2 2 2 3 36 5" xfId="18772" xr:uid="{00000000-0005-0000-0000-00002E490000}"/>
    <cellStyle name="Normal 2 2 2 3 36 6" xfId="18773" xr:uid="{00000000-0005-0000-0000-00002F490000}"/>
    <cellStyle name="Normal 2 2 2 3 36 7" xfId="18774" xr:uid="{00000000-0005-0000-0000-000030490000}"/>
    <cellStyle name="Normal 2 2 2 3 36 8" xfId="18775" xr:uid="{00000000-0005-0000-0000-000031490000}"/>
    <cellStyle name="Normal 2 2 2 3 36 9" xfId="18776" xr:uid="{00000000-0005-0000-0000-000032490000}"/>
    <cellStyle name="Normal 2 2 2 3 37" xfId="18777" xr:uid="{00000000-0005-0000-0000-000033490000}"/>
    <cellStyle name="Normal 2 2 2 3 37 10" xfId="18778" xr:uid="{00000000-0005-0000-0000-000034490000}"/>
    <cellStyle name="Normal 2 2 2 3 37 2" xfId="18779" xr:uid="{00000000-0005-0000-0000-000035490000}"/>
    <cellStyle name="Normal 2 2 2 3 37 3" xfId="18780" xr:uid="{00000000-0005-0000-0000-000036490000}"/>
    <cellStyle name="Normal 2 2 2 3 37 4" xfId="18781" xr:uid="{00000000-0005-0000-0000-000037490000}"/>
    <cellStyle name="Normal 2 2 2 3 37 5" xfId="18782" xr:uid="{00000000-0005-0000-0000-000038490000}"/>
    <cellStyle name="Normal 2 2 2 3 37 6" xfId="18783" xr:uid="{00000000-0005-0000-0000-000039490000}"/>
    <cellStyle name="Normal 2 2 2 3 37 7" xfId="18784" xr:uid="{00000000-0005-0000-0000-00003A490000}"/>
    <cellStyle name="Normal 2 2 2 3 37 8" xfId="18785" xr:uid="{00000000-0005-0000-0000-00003B490000}"/>
    <cellStyle name="Normal 2 2 2 3 37 9" xfId="18786" xr:uid="{00000000-0005-0000-0000-00003C490000}"/>
    <cellStyle name="Normal 2 2 2 3 38" xfId="18787" xr:uid="{00000000-0005-0000-0000-00003D490000}"/>
    <cellStyle name="Normal 2 2 2 3 39" xfId="18788" xr:uid="{00000000-0005-0000-0000-00003E490000}"/>
    <cellStyle name="Normal 2 2 2 3 4" xfId="18789" xr:uid="{00000000-0005-0000-0000-00003F490000}"/>
    <cellStyle name="Normal 2 2 2 3 4 10" xfId="18790" xr:uid="{00000000-0005-0000-0000-000040490000}"/>
    <cellStyle name="Normal 2 2 2 3 4 11" xfId="18791" xr:uid="{00000000-0005-0000-0000-000041490000}"/>
    <cellStyle name="Normal 2 2 2 3 4 12" xfId="18792" xr:uid="{00000000-0005-0000-0000-000042490000}"/>
    <cellStyle name="Normal 2 2 2 3 4 13" xfId="18793" xr:uid="{00000000-0005-0000-0000-000043490000}"/>
    <cellStyle name="Normal 2 2 2 3 4 14" xfId="18794" xr:uid="{00000000-0005-0000-0000-000044490000}"/>
    <cellStyle name="Normal 2 2 2 3 4 15" xfId="18795" xr:uid="{00000000-0005-0000-0000-000045490000}"/>
    <cellStyle name="Normal 2 2 2 3 4 16" xfId="18796" xr:uid="{00000000-0005-0000-0000-000046490000}"/>
    <cellStyle name="Normal 2 2 2 3 4 2" xfId="18797" xr:uid="{00000000-0005-0000-0000-000047490000}"/>
    <cellStyle name="Normal 2 2 2 3 4 2 10" xfId="18798" xr:uid="{00000000-0005-0000-0000-000048490000}"/>
    <cellStyle name="Normal 2 2 2 3 4 2 2" xfId="18799" xr:uid="{00000000-0005-0000-0000-000049490000}"/>
    <cellStyle name="Normal 2 2 2 3 4 2 3" xfId="18800" xr:uid="{00000000-0005-0000-0000-00004A490000}"/>
    <cellStyle name="Normal 2 2 2 3 4 2 4" xfId="18801" xr:uid="{00000000-0005-0000-0000-00004B490000}"/>
    <cellStyle name="Normal 2 2 2 3 4 2 5" xfId="18802" xr:uid="{00000000-0005-0000-0000-00004C490000}"/>
    <cellStyle name="Normal 2 2 2 3 4 2 6" xfId="18803" xr:uid="{00000000-0005-0000-0000-00004D490000}"/>
    <cellStyle name="Normal 2 2 2 3 4 2 7" xfId="18804" xr:uid="{00000000-0005-0000-0000-00004E490000}"/>
    <cellStyle name="Normal 2 2 2 3 4 2 8" xfId="18805" xr:uid="{00000000-0005-0000-0000-00004F490000}"/>
    <cellStyle name="Normal 2 2 2 3 4 2 9" xfId="18806" xr:uid="{00000000-0005-0000-0000-000050490000}"/>
    <cellStyle name="Normal 2 2 2 3 4 3" xfId="18807" xr:uid="{00000000-0005-0000-0000-000051490000}"/>
    <cellStyle name="Normal 2 2 2 3 4 3 10" xfId="18808" xr:uid="{00000000-0005-0000-0000-000052490000}"/>
    <cellStyle name="Normal 2 2 2 3 4 3 2" xfId="18809" xr:uid="{00000000-0005-0000-0000-000053490000}"/>
    <cellStyle name="Normal 2 2 2 3 4 3 3" xfId="18810" xr:uid="{00000000-0005-0000-0000-000054490000}"/>
    <cellStyle name="Normal 2 2 2 3 4 3 4" xfId="18811" xr:uid="{00000000-0005-0000-0000-000055490000}"/>
    <cellStyle name="Normal 2 2 2 3 4 3 5" xfId="18812" xr:uid="{00000000-0005-0000-0000-000056490000}"/>
    <cellStyle name="Normal 2 2 2 3 4 3 6" xfId="18813" xr:uid="{00000000-0005-0000-0000-000057490000}"/>
    <cellStyle name="Normal 2 2 2 3 4 3 7" xfId="18814" xr:uid="{00000000-0005-0000-0000-000058490000}"/>
    <cellStyle name="Normal 2 2 2 3 4 3 8" xfId="18815" xr:uid="{00000000-0005-0000-0000-000059490000}"/>
    <cellStyle name="Normal 2 2 2 3 4 3 9" xfId="18816" xr:uid="{00000000-0005-0000-0000-00005A490000}"/>
    <cellStyle name="Normal 2 2 2 3 4 4" xfId="18817" xr:uid="{00000000-0005-0000-0000-00005B490000}"/>
    <cellStyle name="Normal 2 2 2 3 4 4 10" xfId="18818" xr:uid="{00000000-0005-0000-0000-00005C490000}"/>
    <cellStyle name="Normal 2 2 2 3 4 4 2" xfId="18819" xr:uid="{00000000-0005-0000-0000-00005D490000}"/>
    <cellStyle name="Normal 2 2 2 3 4 4 3" xfId="18820" xr:uid="{00000000-0005-0000-0000-00005E490000}"/>
    <cellStyle name="Normal 2 2 2 3 4 4 4" xfId="18821" xr:uid="{00000000-0005-0000-0000-00005F490000}"/>
    <cellStyle name="Normal 2 2 2 3 4 4 5" xfId="18822" xr:uid="{00000000-0005-0000-0000-000060490000}"/>
    <cellStyle name="Normal 2 2 2 3 4 4 6" xfId="18823" xr:uid="{00000000-0005-0000-0000-000061490000}"/>
    <cellStyle name="Normal 2 2 2 3 4 4 7" xfId="18824" xr:uid="{00000000-0005-0000-0000-000062490000}"/>
    <cellStyle name="Normal 2 2 2 3 4 4 8" xfId="18825" xr:uid="{00000000-0005-0000-0000-000063490000}"/>
    <cellStyle name="Normal 2 2 2 3 4 4 9" xfId="18826" xr:uid="{00000000-0005-0000-0000-000064490000}"/>
    <cellStyle name="Normal 2 2 2 3 4 5" xfId="18827" xr:uid="{00000000-0005-0000-0000-000065490000}"/>
    <cellStyle name="Normal 2 2 2 3 4 5 10" xfId="18828" xr:uid="{00000000-0005-0000-0000-000066490000}"/>
    <cellStyle name="Normal 2 2 2 3 4 5 2" xfId="18829" xr:uid="{00000000-0005-0000-0000-000067490000}"/>
    <cellStyle name="Normal 2 2 2 3 4 5 3" xfId="18830" xr:uid="{00000000-0005-0000-0000-000068490000}"/>
    <cellStyle name="Normal 2 2 2 3 4 5 4" xfId="18831" xr:uid="{00000000-0005-0000-0000-000069490000}"/>
    <cellStyle name="Normal 2 2 2 3 4 5 5" xfId="18832" xr:uid="{00000000-0005-0000-0000-00006A490000}"/>
    <cellStyle name="Normal 2 2 2 3 4 5 6" xfId="18833" xr:uid="{00000000-0005-0000-0000-00006B490000}"/>
    <cellStyle name="Normal 2 2 2 3 4 5 7" xfId="18834" xr:uid="{00000000-0005-0000-0000-00006C490000}"/>
    <cellStyle name="Normal 2 2 2 3 4 5 8" xfId="18835" xr:uid="{00000000-0005-0000-0000-00006D490000}"/>
    <cellStyle name="Normal 2 2 2 3 4 5 9" xfId="18836" xr:uid="{00000000-0005-0000-0000-00006E490000}"/>
    <cellStyle name="Normal 2 2 2 3 4 6" xfId="18837" xr:uid="{00000000-0005-0000-0000-00006F490000}"/>
    <cellStyle name="Normal 2 2 2 3 4 7" xfId="18838" xr:uid="{00000000-0005-0000-0000-000070490000}"/>
    <cellStyle name="Normal 2 2 2 3 4 8" xfId="18839" xr:uid="{00000000-0005-0000-0000-000071490000}"/>
    <cellStyle name="Normal 2 2 2 3 4 9" xfId="18840" xr:uid="{00000000-0005-0000-0000-000072490000}"/>
    <cellStyle name="Normal 2 2 2 3 40" xfId="18841" xr:uid="{00000000-0005-0000-0000-000073490000}"/>
    <cellStyle name="Normal 2 2 2 3 41" xfId="18842" xr:uid="{00000000-0005-0000-0000-000074490000}"/>
    <cellStyle name="Normal 2 2 2 3 42" xfId="18843" xr:uid="{00000000-0005-0000-0000-000075490000}"/>
    <cellStyle name="Normal 2 2 2 3 43" xfId="18844" xr:uid="{00000000-0005-0000-0000-000076490000}"/>
    <cellStyle name="Normal 2 2 2 3 44" xfId="18845" xr:uid="{00000000-0005-0000-0000-000077490000}"/>
    <cellStyle name="Normal 2 2 2 3 45" xfId="18846" xr:uid="{00000000-0005-0000-0000-000078490000}"/>
    <cellStyle name="Normal 2 2 2 3 46" xfId="18847" xr:uid="{00000000-0005-0000-0000-000079490000}"/>
    <cellStyle name="Normal 2 2 2 3 47" xfId="18848" xr:uid="{00000000-0005-0000-0000-00007A490000}"/>
    <cellStyle name="Normal 2 2 2 3 48" xfId="18849" xr:uid="{00000000-0005-0000-0000-00007B490000}"/>
    <cellStyle name="Normal 2 2 2 3 49" xfId="30" xr:uid="{00000000-0005-0000-0000-00007C490000}"/>
    <cellStyle name="Normal 2 2 2 3 5" xfId="18850" xr:uid="{00000000-0005-0000-0000-00007D490000}"/>
    <cellStyle name="Normal 2 2 2 3 5 10" xfId="18851" xr:uid="{00000000-0005-0000-0000-00007E490000}"/>
    <cellStyle name="Normal 2 2 2 3 5 11" xfId="18852" xr:uid="{00000000-0005-0000-0000-00007F490000}"/>
    <cellStyle name="Normal 2 2 2 3 5 12" xfId="18853" xr:uid="{00000000-0005-0000-0000-000080490000}"/>
    <cellStyle name="Normal 2 2 2 3 5 13" xfId="18854" xr:uid="{00000000-0005-0000-0000-000081490000}"/>
    <cellStyle name="Normal 2 2 2 3 5 14" xfId="18855" xr:uid="{00000000-0005-0000-0000-000082490000}"/>
    <cellStyle name="Normal 2 2 2 3 5 15" xfId="18856" xr:uid="{00000000-0005-0000-0000-000083490000}"/>
    <cellStyle name="Normal 2 2 2 3 5 2" xfId="18857" xr:uid="{00000000-0005-0000-0000-000084490000}"/>
    <cellStyle name="Normal 2 2 2 3 5 2 10" xfId="18858" xr:uid="{00000000-0005-0000-0000-000085490000}"/>
    <cellStyle name="Normal 2 2 2 3 5 2 2" xfId="18859" xr:uid="{00000000-0005-0000-0000-000086490000}"/>
    <cellStyle name="Normal 2 2 2 3 5 2 3" xfId="18860" xr:uid="{00000000-0005-0000-0000-000087490000}"/>
    <cellStyle name="Normal 2 2 2 3 5 2 4" xfId="18861" xr:uid="{00000000-0005-0000-0000-000088490000}"/>
    <cellStyle name="Normal 2 2 2 3 5 2 5" xfId="18862" xr:uid="{00000000-0005-0000-0000-000089490000}"/>
    <cellStyle name="Normal 2 2 2 3 5 2 6" xfId="18863" xr:uid="{00000000-0005-0000-0000-00008A490000}"/>
    <cellStyle name="Normal 2 2 2 3 5 2 7" xfId="18864" xr:uid="{00000000-0005-0000-0000-00008B490000}"/>
    <cellStyle name="Normal 2 2 2 3 5 2 8" xfId="18865" xr:uid="{00000000-0005-0000-0000-00008C490000}"/>
    <cellStyle name="Normal 2 2 2 3 5 2 9" xfId="18866" xr:uid="{00000000-0005-0000-0000-00008D490000}"/>
    <cellStyle name="Normal 2 2 2 3 5 3" xfId="18867" xr:uid="{00000000-0005-0000-0000-00008E490000}"/>
    <cellStyle name="Normal 2 2 2 3 5 3 10" xfId="18868" xr:uid="{00000000-0005-0000-0000-00008F490000}"/>
    <cellStyle name="Normal 2 2 2 3 5 3 2" xfId="18869" xr:uid="{00000000-0005-0000-0000-000090490000}"/>
    <cellStyle name="Normal 2 2 2 3 5 3 3" xfId="18870" xr:uid="{00000000-0005-0000-0000-000091490000}"/>
    <cellStyle name="Normal 2 2 2 3 5 3 4" xfId="18871" xr:uid="{00000000-0005-0000-0000-000092490000}"/>
    <cellStyle name="Normal 2 2 2 3 5 3 5" xfId="18872" xr:uid="{00000000-0005-0000-0000-000093490000}"/>
    <cellStyle name="Normal 2 2 2 3 5 3 6" xfId="18873" xr:uid="{00000000-0005-0000-0000-000094490000}"/>
    <cellStyle name="Normal 2 2 2 3 5 3 7" xfId="18874" xr:uid="{00000000-0005-0000-0000-000095490000}"/>
    <cellStyle name="Normal 2 2 2 3 5 3 8" xfId="18875" xr:uid="{00000000-0005-0000-0000-000096490000}"/>
    <cellStyle name="Normal 2 2 2 3 5 3 9" xfId="18876" xr:uid="{00000000-0005-0000-0000-000097490000}"/>
    <cellStyle name="Normal 2 2 2 3 5 4" xfId="18877" xr:uid="{00000000-0005-0000-0000-000098490000}"/>
    <cellStyle name="Normal 2 2 2 3 5 4 10" xfId="18878" xr:uid="{00000000-0005-0000-0000-000099490000}"/>
    <cellStyle name="Normal 2 2 2 3 5 4 2" xfId="18879" xr:uid="{00000000-0005-0000-0000-00009A490000}"/>
    <cellStyle name="Normal 2 2 2 3 5 4 3" xfId="18880" xr:uid="{00000000-0005-0000-0000-00009B490000}"/>
    <cellStyle name="Normal 2 2 2 3 5 4 4" xfId="18881" xr:uid="{00000000-0005-0000-0000-00009C490000}"/>
    <cellStyle name="Normal 2 2 2 3 5 4 5" xfId="18882" xr:uid="{00000000-0005-0000-0000-00009D490000}"/>
    <cellStyle name="Normal 2 2 2 3 5 4 6" xfId="18883" xr:uid="{00000000-0005-0000-0000-00009E490000}"/>
    <cellStyle name="Normal 2 2 2 3 5 4 7" xfId="18884" xr:uid="{00000000-0005-0000-0000-00009F490000}"/>
    <cellStyle name="Normal 2 2 2 3 5 4 8" xfId="18885" xr:uid="{00000000-0005-0000-0000-0000A0490000}"/>
    <cellStyle name="Normal 2 2 2 3 5 4 9" xfId="18886" xr:uid="{00000000-0005-0000-0000-0000A1490000}"/>
    <cellStyle name="Normal 2 2 2 3 5 5" xfId="18887" xr:uid="{00000000-0005-0000-0000-0000A2490000}"/>
    <cellStyle name="Normal 2 2 2 3 5 5 10" xfId="18888" xr:uid="{00000000-0005-0000-0000-0000A3490000}"/>
    <cellStyle name="Normal 2 2 2 3 5 5 2" xfId="18889" xr:uid="{00000000-0005-0000-0000-0000A4490000}"/>
    <cellStyle name="Normal 2 2 2 3 5 5 3" xfId="18890" xr:uid="{00000000-0005-0000-0000-0000A5490000}"/>
    <cellStyle name="Normal 2 2 2 3 5 5 4" xfId="18891" xr:uid="{00000000-0005-0000-0000-0000A6490000}"/>
    <cellStyle name="Normal 2 2 2 3 5 5 5" xfId="18892" xr:uid="{00000000-0005-0000-0000-0000A7490000}"/>
    <cellStyle name="Normal 2 2 2 3 5 5 6" xfId="18893" xr:uid="{00000000-0005-0000-0000-0000A8490000}"/>
    <cellStyle name="Normal 2 2 2 3 5 5 7" xfId="18894" xr:uid="{00000000-0005-0000-0000-0000A9490000}"/>
    <cellStyle name="Normal 2 2 2 3 5 5 8" xfId="18895" xr:uid="{00000000-0005-0000-0000-0000AA490000}"/>
    <cellStyle name="Normal 2 2 2 3 5 5 9" xfId="18896" xr:uid="{00000000-0005-0000-0000-0000AB490000}"/>
    <cellStyle name="Normal 2 2 2 3 5 6" xfId="18897" xr:uid="{00000000-0005-0000-0000-0000AC490000}"/>
    <cellStyle name="Normal 2 2 2 3 5 7" xfId="18898" xr:uid="{00000000-0005-0000-0000-0000AD490000}"/>
    <cellStyle name="Normal 2 2 2 3 5 8" xfId="18899" xr:uid="{00000000-0005-0000-0000-0000AE490000}"/>
    <cellStyle name="Normal 2 2 2 3 5 9" xfId="18900" xr:uid="{00000000-0005-0000-0000-0000AF490000}"/>
    <cellStyle name="Normal 2 2 2 3 6" xfId="18901" xr:uid="{00000000-0005-0000-0000-0000B0490000}"/>
    <cellStyle name="Normal 2 2 2 3 6 10" xfId="18902" xr:uid="{00000000-0005-0000-0000-0000B1490000}"/>
    <cellStyle name="Normal 2 2 2 3 6 11" xfId="18903" xr:uid="{00000000-0005-0000-0000-0000B2490000}"/>
    <cellStyle name="Normal 2 2 2 3 6 12" xfId="18904" xr:uid="{00000000-0005-0000-0000-0000B3490000}"/>
    <cellStyle name="Normal 2 2 2 3 6 13" xfId="18905" xr:uid="{00000000-0005-0000-0000-0000B4490000}"/>
    <cellStyle name="Normal 2 2 2 3 6 14" xfId="18906" xr:uid="{00000000-0005-0000-0000-0000B5490000}"/>
    <cellStyle name="Normal 2 2 2 3 6 15" xfId="18907" xr:uid="{00000000-0005-0000-0000-0000B6490000}"/>
    <cellStyle name="Normal 2 2 2 3 6 2" xfId="18908" xr:uid="{00000000-0005-0000-0000-0000B7490000}"/>
    <cellStyle name="Normal 2 2 2 3 6 2 10" xfId="18909" xr:uid="{00000000-0005-0000-0000-0000B8490000}"/>
    <cellStyle name="Normal 2 2 2 3 6 2 2" xfId="18910" xr:uid="{00000000-0005-0000-0000-0000B9490000}"/>
    <cellStyle name="Normal 2 2 2 3 6 2 3" xfId="18911" xr:uid="{00000000-0005-0000-0000-0000BA490000}"/>
    <cellStyle name="Normal 2 2 2 3 6 2 4" xfId="18912" xr:uid="{00000000-0005-0000-0000-0000BB490000}"/>
    <cellStyle name="Normal 2 2 2 3 6 2 5" xfId="18913" xr:uid="{00000000-0005-0000-0000-0000BC490000}"/>
    <cellStyle name="Normal 2 2 2 3 6 2 6" xfId="18914" xr:uid="{00000000-0005-0000-0000-0000BD490000}"/>
    <cellStyle name="Normal 2 2 2 3 6 2 7" xfId="18915" xr:uid="{00000000-0005-0000-0000-0000BE490000}"/>
    <cellStyle name="Normal 2 2 2 3 6 2 8" xfId="18916" xr:uid="{00000000-0005-0000-0000-0000BF490000}"/>
    <cellStyle name="Normal 2 2 2 3 6 2 9" xfId="18917" xr:uid="{00000000-0005-0000-0000-0000C0490000}"/>
    <cellStyle name="Normal 2 2 2 3 6 3" xfId="18918" xr:uid="{00000000-0005-0000-0000-0000C1490000}"/>
    <cellStyle name="Normal 2 2 2 3 6 3 10" xfId="18919" xr:uid="{00000000-0005-0000-0000-0000C2490000}"/>
    <cellStyle name="Normal 2 2 2 3 6 3 2" xfId="18920" xr:uid="{00000000-0005-0000-0000-0000C3490000}"/>
    <cellStyle name="Normal 2 2 2 3 6 3 3" xfId="18921" xr:uid="{00000000-0005-0000-0000-0000C4490000}"/>
    <cellStyle name="Normal 2 2 2 3 6 3 4" xfId="18922" xr:uid="{00000000-0005-0000-0000-0000C5490000}"/>
    <cellStyle name="Normal 2 2 2 3 6 3 5" xfId="18923" xr:uid="{00000000-0005-0000-0000-0000C6490000}"/>
    <cellStyle name="Normal 2 2 2 3 6 3 6" xfId="18924" xr:uid="{00000000-0005-0000-0000-0000C7490000}"/>
    <cellStyle name="Normal 2 2 2 3 6 3 7" xfId="18925" xr:uid="{00000000-0005-0000-0000-0000C8490000}"/>
    <cellStyle name="Normal 2 2 2 3 6 3 8" xfId="18926" xr:uid="{00000000-0005-0000-0000-0000C9490000}"/>
    <cellStyle name="Normal 2 2 2 3 6 3 9" xfId="18927" xr:uid="{00000000-0005-0000-0000-0000CA490000}"/>
    <cellStyle name="Normal 2 2 2 3 6 4" xfId="18928" xr:uid="{00000000-0005-0000-0000-0000CB490000}"/>
    <cellStyle name="Normal 2 2 2 3 6 4 10" xfId="18929" xr:uid="{00000000-0005-0000-0000-0000CC490000}"/>
    <cellStyle name="Normal 2 2 2 3 6 4 2" xfId="18930" xr:uid="{00000000-0005-0000-0000-0000CD490000}"/>
    <cellStyle name="Normal 2 2 2 3 6 4 3" xfId="18931" xr:uid="{00000000-0005-0000-0000-0000CE490000}"/>
    <cellStyle name="Normal 2 2 2 3 6 4 4" xfId="18932" xr:uid="{00000000-0005-0000-0000-0000CF490000}"/>
    <cellStyle name="Normal 2 2 2 3 6 4 5" xfId="18933" xr:uid="{00000000-0005-0000-0000-0000D0490000}"/>
    <cellStyle name="Normal 2 2 2 3 6 4 6" xfId="18934" xr:uid="{00000000-0005-0000-0000-0000D1490000}"/>
    <cellStyle name="Normal 2 2 2 3 6 4 7" xfId="18935" xr:uid="{00000000-0005-0000-0000-0000D2490000}"/>
    <cellStyle name="Normal 2 2 2 3 6 4 8" xfId="18936" xr:uid="{00000000-0005-0000-0000-0000D3490000}"/>
    <cellStyle name="Normal 2 2 2 3 6 4 9" xfId="18937" xr:uid="{00000000-0005-0000-0000-0000D4490000}"/>
    <cellStyle name="Normal 2 2 2 3 6 5" xfId="18938" xr:uid="{00000000-0005-0000-0000-0000D5490000}"/>
    <cellStyle name="Normal 2 2 2 3 6 5 10" xfId="18939" xr:uid="{00000000-0005-0000-0000-0000D6490000}"/>
    <cellStyle name="Normal 2 2 2 3 6 5 2" xfId="18940" xr:uid="{00000000-0005-0000-0000-0000D7490000}"/>
    <cellStyle name="Normal 2 2 2 3 6 5 3" xfId="18941" xr:uid="{00000000-0005-0000-0000-0000D8490000}"/>
    <cellStyle name="Normal 2 2 2 3 6 5 4" xfId="18942" xr:uid="{00000000-0005-0000-0000-0000D9490000}"/>
    <cellStyle name="Normal 2 2 2 3 6 5 5" xfId="18943" xr:uid="{00000000-0005-0000-0000-0000DA490000}"/>
    <cellStyle name="Normal 2 2 2 3 6 5 6" xfId="18944" xr:uid="{00000000-0005-0000-0000-0000DB490000}"/>
    <cellStyle name="Normal 2 2 2 3 6 5 7" xfId="18945" xr:uid="{00000000-0005-0000-0000-0000DC490000}"/>
    <cellStyle name="Normal 2 2 2 3 6 5 8" xfId="18946" xr:uid="{00000000-0005-0000-0000-0000DD490000}"/>
    <cellStyle name="Normal 2 2 2 3 6 5 9" xfId="18947" xr:uid="{00000000-0005-0000-0000-0000DE490000}"/>
    <cellStyle name="Normal 2 2 2 3 6 6" xfId="18948" xr:uid="{00000000-0005-0000-0000-0000DF490000}"/>
    <cellStyle name="Normal 2 2 2 3 6 7" xfId="18949" xr:uid="{00000000-0005-0000-0000-0000E0490000}"/>
    <cellStyle name="Normal 2 2 2 3 6 8" xfId="18950" xr:uid="{00000000-0005-0000-0000-0000E1490000}"/>
    <cellStyle name="Normal 2 2 2 3 6 9" xfId="18951" xr:uid="{00000000-0005-0000-0000-0000E2490000}"/>
    <cellStyle name="Normal 2 2 2 3 7" xfId="18952" xr:uid="{00000000-0005-0000-0000-0000E3490000}"/>
    <cellStyle name="Normal 2 2 2 3 7 10" xfId="18953" xr:uid="{00000000-0005-0000-0000-0000E4490000}"/>
    <cellStyle name="Normal 2 2 2 3 7 11" xfId="18954" xr:uid="{00000000-0005-0000-0000-0000E5490000}"/>
    <cellStyle name="Normal 2 2 2 3 7 12" xfId="18955" xr:uid="{00000000-0005-0000-0000-0000E6490000}"/>
    <cellStyle name="Normal 2 2 2 3 7 13" xfId="18956" xr:uid="{00000000-0005-0000-0000-0000E7490000}"/>
    <cellStyle name="Normal 2 2 2 3 7 14" xfId="18957" xr:uid="{00000000-0005-0000-0000-0000E8490000}"/>
    <cellStyle name="Normal 2 2 2 3 7 15" xfId="18958" xr:uid="{00000000-0005-0000-0000-0000E9490000}"/>
    <cellStyle name="Normal 2 2 2 3 7 2" xfId="18959" xr:uid="{00000000-0005-0000-0000-0000EA490000}"/>
    <cellStyle name="Normal 2 2 2 3 7 2 10" xfId="18960" xr:uid="{00000000-0005-0000-0000-0000EB490000}"/>
    <cellStyle name="Normal 2 2 2 3 7 2 2" xfId="18961" xr:uid="{00000000-0005-0000-0000-0000EC490000}"/>
    <cellStyle name="Normal 2 2 2 3 7 2 3" xfId="18962" xr:uid="{00000000-0005-0000-0000-0000ED490000}"/>
    <cellStyle name="Normal 2 2 2 3 7 2 4" xfId="18963" xr:uid="{00000000-0005-0000-0000-0000EE490000}"/>
    <cellStyle name="Normal 2 2 2 3 7 2 5" xfId="18964" xr:uid="{00000000-0005-0000-0000-0000EF490000}"/>
    <cellStyle name="Normal 2 2 2 3 7 2 6" xfId="18965" xr:uid="{00000000-0005-0000-0000-0000F0490000}"/>
    <cellStyle name="Normal 2 2 2 3 7 2 7" xfId="18966" xr:uid="{00000000-0005-0000-0000-0000F1490000}"/>
    <cellStyle name="Normal 2 2 2 3 7 2 8" xfId="18967" xr:uid="{00000000-0005-0000-0000-0000F2490000}"/>
    <cellStyle name="Normal 2 2 2 3 7 2 9" xfId="18968" xr:uid="{00000000-0005-0000-0000-0000F3490000}"/>
    <cellStyle name="Normal 2 2 2 3 7 3" xfId="18969" xr:uid="{00000000-0005-0000-0000-0000F4490000}"/>
    <cellStyle name="Normal 2 2 2 3 7 3 10" xfId="18970" xr:uid="{00000000-0005-0000-0000-0000F5490000}"/>
    <cellStyle name="Normal 2 2 2 3 7 3 2" xfId="18971" xr:uid="{00000000-0005-0000-0000-0000F6490000}"/>
    <cellStyle name="Normal 2 2 2 3 7 3 3" xfId="18972" xr:uid="{00000000-0005-0000-0000-0000F7490000}"/>
    <cellStyle name="Normal 2 2 2 3 7 3 4" xfId="18973" xr:uid="{00000000-0005-0000-0000-0000F8490000}"/>
    <cellStyle name="Normal 2 2 2 3 7 3 5" xfId="18974" xr:uid="{00000000-0005-0000-0000-0000F9490000}"/>
    <cellStyle name="Normal 2 2 2 3 7 3 6" xfId="18975" xr:uid="{00000000-0005-0000-0000-0000FA490000}"/>
    <cellStyle name="Normal 2 2 2 3 7 3 7" xfId="18976" xr:uid="{00000000-0005-0000-0000-0000FB490000}"/>
    <cellStyle name="Normal 2 2 2 3 7 3 8" xfId="18977" xr:uid="{00000000-0005-0000-0000-0000FC490000}"/>
    <cellStyle name="Normal 2 2 2 3 7 3 9" xfId="18978" xr:uid="{00000000-0005-0000-0000-0000FD490000}"/>
    <cellStyle name="Normal 2 2 2 3 7 4" xfId="18979" xr:uid="{00000000-0005-0000-0000-0000FE490000}"/>
    <cellStyle name="Normal 2 2 2 3 7 4 10" xfId="18980" xr:uid="{00000000-0005-0000-0000-0000FF490000}"/>
    <cellStyle name="Normal 2 2 2 3 7 4 2" xfId="18981" xr:uid="{00000000-0005-0000-0000-0000004A0000}"/>
    <cellStyle name="Normal 2 2 2 3 7 4 3" xfId="18982" xr:uid="{00000000-0005-0000-0000-0000014A0000}"/>
    <cellStyle name="Normal 2 2 2 3 7 4 4" xfId="18983" xr:uid="{00000000-0005-0000-0000-0000024A0000}"/>
    <cellStyle name="Normal 2 2 2 3 7 4 5" xfId="18984" xr:uid="{00000000-0005-0000-0000-0000034A0000}"/>
    <cellStyle name="Normal 2 2 2 3 7 4 6" xfId="18985" xr:uid="{00000000-0005-0000-0000-0000044A0000}"/>
    <cellStyle name="Normal 2 2 2 3 7 4 7" xfId="18986" xr:uid="{00000000-0005-0000-0000-0000054A0000}"/>
    <cellStyle name="Normal 2 2 2 3 7 4 8" xfId="18987" xr:uid="{00000000-0005-0000-0000-0000064A0000}"/>
    <cellStyle name="Normal 2 2 2 3 7 4 9" xfId="18988" xr:uid="{00000000-0005-0000-0000-0000074A0000}"/>
    <cellStyle name="Normal 2 2 2 3 7 5" xfId="18989" xr:uid="{00000000-0005-0000-0000-0000084A0000}"/>
    <cellStyle name="Normal 2 2 2 3 7 5 10" xfId="18990" xr:uid="{00000000-0005-0000-0000-0000094A0000}"/>
    <cellStyle name="Normal 2 2 2 3 7 5 2" xfId="18991" xr:uid="{00000000-0005-0000-0000-00000A4A0000}"/>
    <cellStyle name="Normal 2 2 2 3 7 5 3" xfId="18992" xr:uid="{00000000-0005-0000-0000-00000B4A0000}"/>
    <cellStyle name="Normal 2 2 2 3 7 5 4" xfId="18993" xr:uid="{00000000-0005-0000-0000-00000C4A0000}"/>
    <cellStyle name="Normal 2 2 2 3 7 5 5" xfId="18994" xr:uid="{00000000-0005-0000-0000-00000D4A0000}"/>
    <cellStyle name="Normal 2 2 2 3 7 5 6" xfId="18995" xr:uid="{00000000-0005-0000-0000-00000E4A0000}"/>
    <cellStyle name="Normal 2 2 2 3 7 5 7" xfId="18996" xr:uid="{00000000-0005-0000-0000-00000F4A0000}"/>
    <cellStyle name="Normal 2 2 2 3 7 5 8" xfId="18997" xr:uid="{00000000-0005-0000-0000-0000104A0000}"/>
    <cellStyle name="Normal 2 2 2 3 7 5 9" xfId="18998" xr:uid="{00000000-0005-0000-0000-0000114A0000}"/>
    <cellStyle name="Normal 2 2 2 3 7 6" xfId="18999" xr:uid="{00000000-0005-0000-0000-0000124A0000}"/>
    <cellStyle name="Normal 2 2 2 3 7 7" xfId="19000" xr:uid="{00000000-0005-0000-0000-0000134A0000}"/>
    <cellStyle name="Normal 2 2 2 3 7 8" xfId="19001" xr:uid="{00000000-0005-0000-0000-0000144A0000}"/>
    <cellStyle name="Normal 2 2 2 3 7 9" xfId="19002" xr:uid="{00000000-0005-0000-0000-0000154A0000}"/>
    <cellStyle name="Normal 2 2 2 3 8" xfId="19003" xr:uid="{00000000-0005-0000-0000-0000164A0000}"/>
    <cellStyle name="Normal 2 2 2 3 8 10" xfId="19004" xr:uid="{00000000-0005-0000-0000-0000174A0000}"/>
    <cellStyle name="Normal 2 2 2 3 8 11" xfId="19005" xr:uid="{00000000-0005-0000-0000-0000184A0000}"/>
    <cellStyle name="Normal 2 2 2 3 8 12" xfId="19006" xr:uid="{00000000-0005-0000-0000-0000194A0000}"/>
    <cellStyle name="Normal 2 2 2 3 8 13" xfId="19007" xr:uid="{00000000-0005-0000-0000-00001A4A0000}"/>
    <cellStyle name="Normal 2 2 2 3 8 14" xfId="19008" xr:uid="{00000000-0005-0000-0000-00001B4A0000}"/>
    <cellStyle name="Normal 2 2 2 3 8 2" xfId="19009" xr:uid="{00000000-0005-0000-0000-00001C4A0000}"/>
    <cellStyle name="Normal 2 2 2 3 8 2 10" xfId="19010" xr:uid="{00000000-0005-0000-0000-00001D4A0000}"/>
    <cellStyle name="Normal 2 2 2 3 8 2 2" xfId="19011" xr:uid="{00000000-0005-0000-0000-00001E4A0000}"/>
    <cellStyle name="Normal 2 2 2 3 8 2 3" xfId="19012" xr:uid="{00000000-0005-0000-0000-00001F4A0000}"/>
    <cellStyle name="Normal 2 2 2 3 8 2 4" xfId="19013" xr:uid="{00000000-0005-0000-0000-0000204A0000}"/>
    <cellStyle name="Normal 2 2 2 3 8 2 5" xfId="19014" xr:uid="{00000000-0005-0000-0000-0000214A0000}"/>
    <cellStyle name="Normal 2 2 2 3 8 2 6" xfId="19015" xr:uid="{00000000-0005-0000-0000-0000224A0000}"/>
    <cellStyle name="Normal 2 2 2 3 8 2 7" xfId="19016" xr:uid="{00000000-0005-0000-0000-0000234A0000}"/>
    <cellStyle name="Normal 2 2 2 3 8 2 8" xfId="19017" xr:uid="{00000000-0005-0000-0000-0000244A0000}"/>
    <cellStyle name="Normal 2 2 2 3 8 2 9" xfId="19018" xr:uid="{00000000-0005-0000-0000-0000254A0000}"/>
    <cellStyle name="Normal 2 2 2 3 8 3" xfId="19019" xr:uid="{00000000-0005-0000-0000-0000264A0000}"/>
    <cellStyle name="Normal 2 2 2 3 8 3 10" xfId="19020" xr:uid="{00000000-0005-0000-0000-0000274A0000}"/>
    <cellStyle name="Normal 2 2 2 3 8 3 2" xfId="19021" xr:uid="{00000000-0005-0000-0000-0000284A0000}"/>
    <cellStyle name="Normal 2 2 2 3 8 3 3" xfId="19022" xr:uid="{00000000-0005-0000-0000-0000294A0000}"/>
    <cellStyle name="Normal 2 2 2 3 8 3 4" xfId="19023" xr:uid="{00000000-0005-0000-0000-00002A4A0000}"/>
    <cellStyle name="Normal 2 2 2 3 8 3 5" xfId="19024" xr:uid="{00000000-0005-0000-0000-00002B4A0000}"/>
    <cellStyle name="Normal 2 2 2 3 8 3 6" xfId="19025" xr:uid="{00000000-0005-0000-0000-00002C4A0000}"/>
    <cellStyle name="Normal 2 2 2 3 8 3 7" xfId="19026" xr:uid="{00000000-0005-0000-0000-00002D4A0000}"/>
    <cellStyle name="Normal 2 2 2 3 8 3 8" xfId="19027" xr:uid="{00000000-0005-0000-0000-00002E4A0000}"/>
    <cellStyle name="Normal 2 2 2 3 8 3 9" xfId="19028" xr:uid="{00000000-0005-0000-0000-00002F4A0000}"/>
    <cellStyle name="Normal 2 2 2 3 8 4" xfId="19029" xr:uid="{00000000-0005-0000-0000-0000304A0000}"/>
    <cellStyle name="Normal 2 2 2 3 8 4 10" xfId="19030" xr:uid="{00000000-0005-0000-0000-0000314A0000}"/>
    <cellStyle name="Normal 2 2 2 3 8 4 2" xfId="19031" xr:uid="{00000000-0005-0000-0000-0000324A0000}"/>
    <cellStyle name="Normal 2 2 2 3 8 4 3" xfId="19032" xr:uid="{00000000-0005-0000-0000-0000334A0000}"/>
    <cellStyle name="Normal 2 2 2 3 8 4 4" xfId="19033" xr:uid="{00000000-0005-0000-0000-0000344A0000}"/>
    <cellStyle name="Normal 2 2 2 3 8 4 5" xfId="19034" xr:uid="{00000000-0005-0000-0000-0000354A0000}"/>
    <cellStyle name="Normal 2 2 2 3 8 4 6" xfId="19035" xr:uid="{00000000-0005-0000-0000-0000364A0000}"/>
    <cellStyle name="Normal 2 2 2 3 8 4 7" xfId="19036" xr:uid="{00000000-0005-0000-0000-0000374A0000}"/>
    <cellStyle name="Normal 2 2 2 3 8 4 8" xfId="19037" xr:uid="{00000000-0005-0000-0000-0000384A0000}"/>
    <cellStyle name="Normal 2 2 2 3 8 4 9" xfId="19038" xr:uid="{00000000-0005-0000-0000-0000394A0000}"/>
    <cellStyle name="Normal 2 2 2 3 8 5" xfId="19039" xr:uid="{00000000-0005-0000-0000-00003A4A0000}"/>
    <cellStyle name="Normal 2 2 2 3 8 5 10" xfId="19040" xr:uid="{00000000-0005-0000-0000-00003B4A0000}"/>
    <cellStyle name="Normal 2 2 2 3 8 5 2" xfId="19041" xr:uid="{00000000-0005-0000-0000-00003C4A0000}"/>
    <cellStyle name="Normal 2 2 2 3 8 5 3" xfId="19042" xr:uid="{00000000-0005-0000-0000-00003D4A0000}"/>
    <cellStyle name="Normal 2 2 2 3 8 5 4" xfId="19043" xr:uid="{00000000-0005-0000-0000-00003E4A0000}"/>
    <cellStyle name="Normal 2 2 2 3 8 5 5" xfId="19044" xr:uid="{00000000-0005-0000-0000-00003F4A0000}"/>
    <cellStyle name="Normal 2 2 2 3 8 5 6" xfId="19045" xr:uid="{00000000-0005-0000-0000-0000404A0000}"/>
    <cellStyle name="Normal 2 2 2 3 8 5 7" xfId="19046" xr:uid="{00000000-0005-0000-0000-0000414A0000}"/>
    <cellStyle name="Normal 2 2 2 3 8 5 8" xfId="19047" xr:uid="{00000000-0005-0000-0000-0000424A0000}"/>
    <cellStyle name="Normal 2 2 2 3 8 5 9" xfId="19048" xr:uid="{00000000-0005-0000-0000-0000434A0000}"/>
    <cellStyle name="Normal 2 2 2 3 8 6" xfId="19049" xr:uid="{00000000-0005-0000-0000-0000444A0000}"/>
    <cellStyle name="Normal 2 2 2 3 8 7" xfId="19050" xr:uid="{00000000-0005-0000-0000-0000454A0000}"/>
    <cellStyle name="Normal 2 2 2 3 8 8" xfId="19051" xr:uid="{00000000-0005-0000-0000-0000464A0000}"/>
    <cellStyle name="Normal 2 2 2 3 8 9" xfId="19052" xr:uid="{00000000-0005-0000-0000-0000474A0000}"/>
    <cellStyle name="Normal 2 2 2 3 9" xfId="19053" xr:uid="{00000000-0005-0000-0000-0000484A0000}"/>
    <cellStyle name="Normal 2 2 2 3 9 10" xfId="19054" xr:uid="{00000000-0005-0000-0000-0000494A0000}"/>
    <cellStyle name="Normal 2 2 2 3 9 11" xfId="19055" xr:uid="{00000000-0005-0000-0000-00004A4A0000}"/>
    <cellStyle name="Normal 2 2 2 3 9 12" xfId="19056" xr:uid="{00000000-0005-0000-0000-00004B4A0000}"/>
    <cellStyle name="Normal 2 2 2 3 9 13" xfId="19057" xr:uid="{00000000-0005-0000-0000-00004C4A0000}"/>
    <cellStyle name="Normal 2 2 2 3 9 14" xfId="19058" xr:uid="{00000000-0005-0000-0000-00004D4A0000}"/>
    <cellStyle name="Normal 2 2 2 3 9 2" xfId="19059" xr:uid="{00000000-0005-0000-0000-00004E4A0000}"/>
    <cellStyle name="Normal 2 2 2 3 9 2 10" xfId="19060" xr:uid="{00000000-0005-0000-0000-00004F4A0000}"/>
    <cellStyle name="Normal 2 2 2 3 9 2 2" xfId="19061" xr:uid="{00000000-0005-0000-0000-0000504A0000}"/>
    <cellStyle name="Normal 2 2 2 3 9 2 3" xfId="19062" xr:uid="{00000000-0005-0000-0000-0000514A0000}"/>
    <cellStyle name="Normal 2 2 2 3 9 2 4" xfId="19063" xr:uid="{00000000-0005-0000-0000-0000524A0000}"/>
    <cellStyle name="Normal 2 2 2 3 9 2 5" xfId="19064" xr:uid="{00000000-0005-0000-0000-0000534A0000}"/>
    <cellStyle name="Normal 2 2 2 3 9 2 6" xfId="19065" xr:uid="{00000000-0005-0000-0000-0000544A0000}"/>
    <cellStyle name="Normal 2 2 2 3 9 2 7" xfId="19066" xr:uid="{00000000-0005-0000-0000-0000554A0000}"/>
    <cellStyle name="Normal 2 2 2 3 9 2 8" xfId="19067" xr:uid="{00000000-0005-0000-0000-0000564A0000}"/>
    <cellStyle name="Normal 2 2 2 3 9 2 9" xfId="19068" xr:uid="{00000000-0005-0000-0000-0000574A0000}"/>
    <cellStyle name="Normal 2 2 2 3 9 3" xfId="19069" xr:uid="{00000000-0005-0000-0000-0000584A0000}"/>
    <cellStyle name="Normal 2 2 2 3 9 3 10" xfId="19070" xr:uid="{00000000-0005-0000-0000-0000594A0000}"/>
    <cellStyle name="Normal 2 2 2 3 9 3 2" xfId="19071" xr:uid="{00000000-0005-0000-0000-00005A4A0000}"/>
    <cellStyle name="Normal 2 2 2 3 9 3 3" xfId="19072" xr:uid="{00000000-0005-0000-0000-00005B4A0000}"/>
    <cellStyle name="Normal 2 2 2 3 9 3 4" xfId="19073" xr:uid="{00000000-0005-0000-0000-00005C4A0000}"/>
    <cellStyle name="Normal 2 2 2 3 9 3 5" xfId="19074" xr:uid="{00000000-0005-0000-0000-00005D4A0000}"/>
    <cellStyle name="Normal 2 2 2 3 9 3 6" xfId="19075" xr:uid="{00000000-0005-0000-0000-00005E4A0000}"/>
    <cellStyle name="Normal 2 2 2 3 9 3 7" xfId="19076" xr:uid="{00000000-0005-0000-0000-00005F4A0000}"/>
    <cellStyle name="Normal 2 2 2 3 9 3 8" xfId="19077" xr:uid="{00000000-0005-0000-0000-0000604A0000}"/>
    <cellStyle name="Normal 2 2 2 3 9 3 9" xfId="19078" xr:uid="{00000000-0005-0000-0000-0000614A0000}"/>
    <cellStyle name="Normal 2 2 2 3 9 4" xfId="19079" xr:uid="{00000000-0005-0000-0000-0000624A0000}"/>
    <cellStyle name="Normal 2 2 2 3 9 4 10" xfId="19080" xr:uid="{00000000-0005-0000-0000-0000634A0000}"/>
    <cellStyle name="Normal 2 2 2 3 9 4 2" xfId="19081" xr:uid="{00000000-0005-0000-0000-0000644A0000}"/>
    <cellStyle name="Normal 2 2 2 3 9 4 3" xfId="19082" xr:uid="{00000000-0005-0000-0000-0000654A0000}"/>
    <cellStyle name="Normal 2 2 2 3 9 4 4" xfId="19083" xr:uid="{00000000-0005-0000-0000-0000664A0000}"/>
    <cellStyle name="Normal 2 2 2 3 9 4 5" xfId="19084" xr:uid="{00000000-0005-0000-0000-0000674A0000}"/>
    <cellStyle name="Normal 2 2 2 3 9 4 6" xfId="19085" xr:uid="{00000000-0005-0000-0000-0000684A0000}"/>
    <cellStyle name="Normal 2 2 2 3 9 4 7" xfId="19086" xr:uid="{00000000-0005-0000-0000-0000694A0000}"/>
    <cellStyle name="Normal 2 2 2 3 9 4 8" xfId="19087" xr:uid="{00000000-0005-0000-0000-00006A4A0000}"/>
    <cellStyle name="Normal 2 2 2 3 9 4 9" xfId="19088" xr:uid="{00000000-0005-0000-0000-00006B4A0000}"/>
    <cellStyle name="Normal 2 2 2 3 9 5" xfId="19089" xr:uid="{00000000-0005-0000-0000-00006C4A0000}"/>
    <cellStyle name="Normal 2 2 2 3 9 5 10" xfId="19090" xr:uid="{00000000-0005-0000-0000-00006D4A0000}"/>
    <cellStyle name="Normal 2 2 2 3 9 5 2" xfId="19091" xr:uid="{00000000-0005-0000-0000-00006E4A0000}"/>
    <cellStyle name="Normal 2 2 2 3 9 5 3" xfId="19092" xr:uid="{00000000-0005-0000-0000-00006F4A0000}"/>
    <cellStyle name="Normal 2 2 2 3 9 5 4" xfId="19093" xr:uid="{00000000-0005-0000-0000-0000704A0000}"/>
    <cellStyle name="Normal 2 2 2 3 9 5 5" xfId="19094" xr:uid="{00000000-0005-0000-0000-0000714A0000}"/>
    <cellStyle name="Normal 2 2 2 3 9 5 6" xfId="19095" xr:uid="{00000000-0005-0000-0000-0000724A0000}"/>
    <cellStyle name="Normal 2 2 2 3 9 5 7" xfId="19096" xr:uid="{00000000-0005-0000-0000-0000734A0000}"/>
    <cellStyle name="Normal 2 2 2 3 9 5 8" xfId="19097" xr:uid="{00000000-0005-0000-0000-0000744A0000}"/>
    <cellStyle name="Normal 2 2 2 3 9 5 9" xfId="19098" xr:uid="{00000000-0005-0000-0000-0000754A0000}"/>
    <cellStyle name="Normal 2 2 2 3 9 6" xfId="19099" xr:uid="{00000000-0005-0000-0000-0000764A0000}"/>
    <cellStyle name="Normal 2 2 2 3 9 7" xfId="19100" xr:uid="{00000000-0005-0000-0000-0000774A0000}"/>
    <cellStyle name="Normal 2 2 2 3 9 8" xfId="19101" xr:uid="{00000000-0005-0000-0000-0000784A0000}"/>
    <cellStyle name="Normal 2 2 2 3 9 9" xfId="19102" xr:uid="{00000000-0005-0000-0000-0000794A0000}"/>
    <cellStyle name="Normal 2 2 2 30" xfId="19103" xr:uid="{00000000-0005-0000-0000-00007A4A0000}"/>
    <cellStyle name="Normal 2 2 2 30 10" xfId="19104" xr:uid="{00000000-0005-0000-0000-00007B4A0000}"/>
    <cellStyle name="Normal 2 2 2 30 11" xfId="19105" xr:uid="{00000000-0005-0000-0000-00007C4A0000}"/>
    <cellStyle name="Normal 2 2 2 30 12" xfId="19106" xr:uid="{00000000-0005-0000-0000-00007D4A0000}"/>
    <cellStyle name="Normal 2 2 2 30 13" xfId="19107" xr:uid="{00000000-0005-0000-0000-00007E4A0000}"/>
    <cellStyle name="Normal 2 2 2 30 14" xfId="19108" xr:uid="{00000000-0005-0000-0000-00007F4A0000}"/>
    <cellStyle name="Normal 2 2 2 30 2" xfId="19109" xr:uid="{00000000-0005-0000-0000-0000804A0000}"/>
    <cellStyle name="Normal 2 2 2 30 2 10" xfId="19110" xr:uid="{00000000-0005-0000-0000-0000814A0000}"/>
    <cellStyle name="Normal 2 2 2 30 2 2" xfId="19111" xr:uid="{00000000-0005-0000-0000-0000824A0000}"/>
    <cellStyle name="Normal 2 2 2 30 2 3" xfId="19112" xr:uid="{00000000-0005-0000-0000-0000834A0000}"/>
    <cellStyle name="Normal 2 2 2 30 2 4" xfId="19113" xr:uid="{00000000-0005-0000-0000-0000844A0000}"/>
    <cellStyle name="Normal 2 2 2 30 2 5" xfId="19114" xr:uid="{00000000-0005-0000-0000-0000854A0000}"/>
    <cellStyle name="Normal 2 2 2 30 2 6" xfId="19115" xr:uid="{00000000-0005-0000-0000-0000864A0000}"/>
    <cellStyle name="Normal 2 2 2 30 2 7" xfId="19116" xr:uid="{00000000-0005-0000-0000-0000874A0000}"/>
    <cellStyle name="Normal 2 2 2 30 2 8" xfId="19117" xr:uid="{00000000-0005-0000-0000-0000884A0000}"/>
    <cellStyle name="Normal 2 2 2 30 2 9" xfId="19118" xr:uid="{00000000-0005-0000-0000-0000894A0000}"/>
    <cellStyle name="Normal 2 2 2 30 3" xfId="19119" xr:uid="{00000000-0005-0000-0000-00008A4A0000}"/>
    <cellStyle name="Normal 2 2 2 30 3 10" xfId="19120" xr:uid="{00000000-0005-0000-0000-00008B4A0000}"/>
    <cellStyle name="Normal 2 2 2 30 3 2" xfId="19121" xr:uid="{00000000-0005-0000-0000-00008C4A0000}"/>
    <cellStyle name="Normal 2 2 2 30 3 3" xfId="19122" xr:uid="{00000000-0005-0000-0000-00008D4A0000}"/>
    <cellStyle name="Normal 2 2 2 30 3 4" xfId="19123" xr:uid="{00000000-0005-0000-0000-00008E4A0000}"/>
    <cellStyle name="Normal 2 2 2 30 3 5" xfId="19124" xr:uid="{00000000-0005-0000-0000-00008F4A0000}"/>
    <cellStyle name="Normal 2 2 2 30 3 6" xfId="19125" xr:uid="{00000000-0005-0000-0000-0000904A0000}"/>
    <cellStyle name="Normal 2 2 2 30 3 7" xfId="19126" xr:uid="{00000000-0005-0000-0000-0000914A0000}"/>
    <cellStyle name="Normal 2 2 2 30 3 8" xfId="19127" xr:uid="{00000000-0005-0000-0000-0000924A0000}"/>
    <cellStyle name="Normal 2 2 2 30 3 9" xfId="19128" xr:uid="{00000000-0005-0000-0000-0000934A0000}"/>
    <cellStyle name="Normal 2 2 2 30 4" xfId="19129" xr:uid="{00000000-0005-0000-0000-0000944A0000}"/>
    <cellStyle name="Normal 2 2 2 30 4 10" xfId="19130" xr:uid="{00000000-0005-0000-0000-0000954A0000}"/>
    <cellStyle name="Normal 2 2 2 30 4 2" xfId="19131" xr:uid="{00000000-0005-0000-0000-0000964A0000}"/>
    <cellStyle name="Normal 2 2 2 30 4 3" xfId="19132" xr:uid="{00000000-0005-0000-0000-0000974A0000}"/>
    <cellStyle name="Normal 2 2 2 30 4 4" xfId="19133" xr:uid="{00000000-0005-0000-0000-0000984A0000}"/>
    <cellStyle name="Normal 2 2 2 30 4 5" xfId="19134" xr:uid="{00000000-0005-0000-0000-0000994A0000}"/>
    <cellStyle name="Normal 2 2 2 30 4 6" xfId="19135" xr:uid="{00000000-0005-0000-0000-00009A4A0000}"/>
    <cellStyle name="Normal 2 2 2 30 4 7" xfId="19136" xr:uid="{00000000-0005-0000-0000-00009B4A0000}"/>
    <cellStyle name="Normal 2 2 2 30 4 8" xfId="19137" xr:uid="{00000000-0005-0000-0000-00009C4A0000}"/>
    <cellStyle name="Normal 2 2 2 30 4 9" xfId="19138" xr:uid="{00000000-0005-0000-0000-00009D4A0000}"/>
    <cellStyle name="Normal 2 2 2 30 5" xfId="19139" xr:uid="{00000000-0005-0000-0000-00009E4A0000}"/>
    <cellStyle name="Normal 2 2 2 30 5 10" xfId="19140" xr:uid="{00000000-0005-0000-0000-00009F4A0000}"/>
    <cellStyle name="Normal 2 2 2 30 5 2" xfId="19141" xr:uid="{00000000-0005-0000-0000-0000A04A0000}"/>
    <cellStyle name="Normal 2 2 2 30 5 3" xfId="19142" xr:uid="{00000000-0005-0000-0000-0000A14A0000}"/>
    <cellStyle name="Normal 2 2 2 30 5 4" xfId="19143" xr:uid="{00000000-0005-0000-0000-0000A24A0000}"/>
    <cellStyle name="Normal 2 2 2 30 5 5" xfId="19144" xr:uid="{00000000-0005-0000-0000-0000A34A0000}"/>
    <cellStyle name="Normal 2 2 2 30 5 6" xfId="19145" xr:uid="{00000000-0005-0000-0000-0000A44A0000}"/>
    <cellStyle name="Normal 2 2 2 30 5 7" xfId="19146" xr:uid="{00000000-0005-0000-0000-0000A54A0000}"/>
    <cellStyle name="Normal 2 2 2 30 5 8" xfId="19147" xr:uid="{00000000-0005-0000-0000-0000A64A0000}"/>
    <cellStyle name="Normal 2 2 2 30 5 9" xfId="19148" xr:uid="{00000000-0005-0000-0000-0000A74A0000}"/>
    <cellStyle name="Normal 2 2 2 30 6" xfId="19149" xr:uid="{00000000-0005-0000-0000-0000A84A0000}"/>
    <cellStyle name="Normal 2 2 2 30 7" xfId="19150" xr:uid="{00000000-0005-0000-0000-0000A94A0000}"/>
    <cellStyle name="Normal 2 2 2 30 8" xfId="19151" xr:uid="{00000000-0005-0000-0000-0000AA4A0000}"/>
    <cellStyle name="Normal 2 2 2 30 9" xfId="19152" xr:uid="{00000000-0005-0000-0000-0000AB4A0000}"/>
    <cellStyle name="Normal 2 2 2 31" xfId="19153" xr:uid="{00000000-0005-0000-0000-0000AC4A0000}"/>
    <cellStyle name="Normal 2 2 2 31 10" xfId="19154" xr:uid="{00000000-0005-0000-0000-0000AD4A0000}"/>
    <cellStyle name="Normal 2 2 2 31 11" xfId="19155" xr:uid="{00000000-0005-0000-0000-0000AE4A0000}"/>
    <cellStyle name="Normal 2 2 2 31 12" xfId="19156" xr:uid="{00000000-0005-0000-0000-0000AF4A0000}"/>
    <cellStyle name="Normal 2 2 2 31 13" xfId="19157" xr:uid="{00000000-0005-0000-0000-0000B04A0000}"/>
    <cellStyle name="Normal 2 2 2 31 14" xfId="19158" xr:uid="{00000000-0005-0000-0000-0000B14A0000}"/>
    <cellStyle name="Normal 2 2 2 31 2" xfId="19159" xr:uid="{00000000-0005-0000-0000-0000B24A0000}"/>
    <cellStyle name="Normal 2 2 2 31 2 10" xfId="19160" xr:uid="{00000000-0005-0000-0000-0000B34A0000}"/>
    <cellStyle name="Normal 2 2 2 31 2 2" xfId="19161" xr:uid="{00000000-0005-0000-0000-0000B44A0000}"/>
    <cellStyle name="Normal 2 2 2 31 2 3" xfId="19162" xr:uid="{00000000-0005-0000-0000-0000B54A0000}"/>
    <cellStyle name="Normal 2 2 2 31 2 4" xfId="19163" xr:uid="{00000000-0005-0000-0000-0000B64A0000}"/>
    <cellStyle name="Normal 2 2 2 31 2 5" xfId="19164" xr:uid="{00000000-0005-0000-0000-0000B74A0000}"/>
    <cellStyle name="Normal 2 2 2 31 2 6" xfId="19165" xr:uid="{00000000-0005-0000-0000-0000B84A0000}"/>
    <cellStyle name="Normal 2 2 2 31 2 7" xfId="19166" xr:uid="{00000000-0005-0000-0000-0000B94A0000}"/>
    <cellStyle name="Normal 2 2 2 31 2 8" xfId="19167" xr:uid="{00000000-0005-0000-0000-0000BA4A0000}"/>
    <cellStyle name="Normal 2 2 2 31 2 9" xfId="19168" xr:uid="{00000000-0005-0000-0000-0000BB4A0000}"/>
    <cellStyle name="Normal 2 2 2 31 3" xfId="19169" xr:uid="{00000000-0005-0000-0000-0000BC4A0000}"/>
    <cellStyle name="Normal 2 2 2 31 3 10" xfId="19170" xr:uid="{00000000-0005-0000-0000-0000BD4A0000}"/>
    <cellStyle name="Normal 2 2 2 31 3 2" xfId="19171" xr:uid="{00000000-0005-0000-0000-0000BE4A0000}"/>
    <cellStyle name="Normal 2 2 2 31 3 3" xfId="19172" xr:uid="{00000000-0005-0000-0000-0000BF4A0000}"/>
    <cellStyle name="Normal 2 2 2 31 3 4" xfId="19173" xr:uid="{00000000-0005-0000-0000-0000C04A0000}"/>
    <cellStyle name="Normal 2 2 2 31 3 5" xfId="19174" xr:uid="{00000000-0005-0000-0000-0000C14A0000}"/>
    <cellStyle name="Normal 2 2 2 31 3 6" xfId="19175" xr:uid="{00000000-0005-0000-0000-0000C24A0000}"/>
    <cellStyle name="Normal 2 2 2 31 3 7" xfId="19176" xr:uid="{00000000-0005-0000-0000-0000C34A0000}"/>
    <cellStyle name="Normal 2 2 2 31 3 8" xfId="19177" xr:uid="{00000000-0005-0000-0000-0000C44A0000}"/>
    <cellStyle name="Normal 2 2 2 31 3 9" xfId="19178" xr:uid="{00000000-0005-0000-0000-0000C54A0000}"/>
    <cellStyle name="Normal 2 2 2 31 4" xfId="19179" xr:uid="{00000000-0005-0000-0000-0000C64A0000}"/>
    <cellStyle name="Normal 2 2 2 31 4 10" xfId="19180" xr:uid="{00000000-0005-0000-0000-0000C74A0000}"/>
    <cellStyle name="Normal 2 2 2 31 4 2" xfId="19181" xr:uid="{00000000-0005-0000-0000-0000C84A0000}"/>
    <cellStyle name="Normal 2 2 2 31 4 3" xfId="19182" xr:uid="{00000000-0005-0000-0000-0000C94A0000}"/>
    <cellStyle name="Normal 2 2 2 31 4 4" xfId="19183" xr:uid="{00000000-0005-0000-0000-0000CA4A0000}"/>
    <cellStyle name="Normal 2 2 2 31 4 5" xfId="19184" xr:uid="{00000000-0005-0000-0000-0000CB4A0000}"/>
    <cellStyle name="Normal 2 2 2 31 4 6" xfId="19185" xr:uid="{00000000-0005-0000-0000-0000CC4A0000}"/>
    <cellStyle name="Normal 2 2 2 31 4 7" xfId="19186" xr:uid="{00000000-0005-0000-0000-0000CD4A0000}"/>
    <cellStyle name="Normal 2 2 2 31 4 8" xfId="19187" xr:uid="{00000000-0005-0000-0000-0000CE4A0000}"/>
    <cellStyle name="Normal 2 2 2 31 4 9" xfId="19188" xr:uid="{00000000-0005-0000-0000-0000CF4A0000}"/>
    <cellStyle name="Normal 2 2 2 31 5" xfId="19189" xr:uid="{00000000-0005-0000-0000-0000D04A0000}"/>
    <cellStyle name="Normal 2 2 2 31 5 10" xfId="19190" xr:uid="{00000000-0005-0000-0000-0000D14A0000}"/>
    <cellStyle name="Normal 2 2 2 31 5 2" xfId="19191" xr:uid="{00000000-0005-0000-0000-0000D24A0000}"/>
    <cellStyle name="Normal 2 2 2 31 5 3" xfId="19192" xr:uid="{00000000-0005-0000-0000-0000D34A0000}"/>
    <cellStyle name="Normal 2 2 2 31 5 4" xfId="19193" xr:uid="{00000000-0005-0000-0000-0000D44A0000}"/>
    <cellStyle name="Normal 2 2 2 31 5 5" xfId="19194" xr:uid="{00000000-0005-0000-0000-0000D54A0000}"/>
    <cellStyle name="Normal 2 2 2 31 5 6" xfId="19195" xr:uid="{00000000-0005-0000-0000-0000D64A0000}"/>
    <cellStyle name="Normal 2 2 2 31 5 7" xfId="19196" xr:uid="{00000000-0005-0000-0000-0000D74A0000}"/>
    <cellStyle name="Normal 2 2 2 31 5 8" xfId="19197" xr:uid="{00000000-0005-0000-0000-0000D84A0000}"/>
    <cellStyle name="Normal 2 2 2 31 5 9" xfId="19198" xr:uid="{00000000-0005-0000-0000-0000D94A0000}"/>
    <cellStyle name="Normal 2 2 2 31 6" xfId="19199" xr:uid="{00000000-0005-0000-0000-0000DA4A0000}"/>
    <cellStyle name="Normal 2 2 2 31 7" xfId="19200" xr:uid="{00000000-0005-0000-0000-0000DB4A0000}"/>
    <cellStyle name="Normal 2 2 2 31 8" xfId="19201" xr:uid="{00000000-0005-0000-0000-0000DC4A0000}"/>
    <cellStyle name="Normal 2 2 2 31 9" xfId="19202" xr:uid="{00000000-0005-0000-0000-0000DD4A0000}"/>
    <cellStyle name="Normal 2 2 2 32" xfId="19203" xr:uid="{00000000-0005-0000-0000-0000DE4A0000}"/>
    <cellStyle name="Normal 2 2 2 32 10" xfId="19204" xr:uid="{00000000-0005-0000-0000-0000DF4A0000}"/>
    <cellStyle name="Normal 2 2 2 32 11" xfId="19205" xr:uid="{00000000-0005-0000-0000-0000E04A0000}"/>
    <cellStyle name="Normal 2 2 2 32 12" xfId="19206" xr:uid="{00000000-0005-0000-0000-0000E14A0000}"/>
    <cellStyle name="Normal 2 2 2 32 13" xfId="19207" xr:uid="{00000000-0005-0000-0000-0000E24A0000}"/>
    <cellStyle name="Normal 2 2 2 32 14" xfId="19208" xr:uid="{00000000-0005-0000-0000-0000E34A0000}"/>
    <cellStyle name="Normal 2 2 2 32 2" xfId="19209" xr:uid="{00000000-0005-0000-0000-0000E44A0000}"/>
    <cellStyle name="Normal 2 2 2 32 2 10" xfId="19210" xr:uid="{00000000-0005-0000-0000-0000E54A0000}"/>
    <cellStyle name="Normal 2 2 2 32 2 2" xfId="19211" xr:uid="{00000000-0005-0000-0000-0000E64A0000}"/>
    <cellStyle name="Normal 2 2 2 32 2 3" xfId="19212" xr:uid="{00000000-0005-0000-0000-0000E74A0000}"/>
    <cellStyle name="Normal 2 2 2 32 2 4" xfId="19213" xr:uid="{00000000-0005-0000-0000-0000E84A0000}"/>
    <cellStyle name="Normal 2 2 2 32 2 5" xfId="19214" xr:uid="{00000000-0005-0000-0000-0000E94A0000}"/>
    <cellStyle name="Normal 2 2 2 32 2 6" xfId="19215" xr:uid="{00000000-0005-0000-0000-0000EA4A0000}"/>
    <cellStyle name="Normal 2 2 2 32 2 7" xfId="19216" xr:uid="{00000000-0005-0000-0000-0000EB4A0000}"/>
    <cellStyle name="Normal 2 2 2 32 2 8" xfId="19217" xr:uid="{00000000-0005-0000-0000-0000EC4A0000}"/>
    <cellStyle name="Normal 2 2 2 32 2 9" xfId="19218" xr:uid="{00000000-0005-0000-0000-0000ED4A0000}"/>
    <cellStyle name="Normal 2 2 2 32 3" xfId="19219" xr:uid="{00000000-0005-0000-0000-0000EE4A0000}"/>
    <cellStyle name="Normal 2 2 2 32 3 10" xfId="19220" xr:uid="{00000000-0005-0000-0000-0000EF4A0000}"/>
    <cellStyle name="Normal 2 2 2 32 3 2" xfId="19221" xr:uid="{00000000-0005-0000-0000-0000F04A0000}"/>
    <cellStyle name="Normal 2 2 2 32 3 3" xfId="19222" xr:uid="{00000000-0005-0000-0000-0000F14A0000}"/>
    <cellStyle name="Normal 2 2 2 32 3 4" xfId="19223" xr:uid="{00000000-0005-0000-0000-0000F24A0000}"/>
    <cellStyle name="Normal 2 2 2 32 3 5" xfId="19224" xr:uid="{00000000-0005-0000-0000-0000F34A0000}"/>
    <cellStyle name="Normal 2 2 2 32 3 6" xfId="19225" xr:uid="{00000000-0005-0000-0000-0000F44A0000}"/>
    <cellStyle name="Normal 2 2 2 32 3 7" xfId="19226" xr:uid="{00000000-0005-0000-0000-0000F54A0000}"/>
    <cellStyle name="Normal 2 2 2 32 3 8" xfId="19227" xr:uid="{00000000-0005-0000-0000-0000F64A0000}"/>
    <cellStyle name="Normal 2 2 2 32 3 9" xfId="19228" xr:uid="{00000000-0005-0000-0000-0000F74A0000}"/>
    <cellStyle name="Normal 2 2 2 32 4" xfId="19229" xr:uid="{00000000-0005-0000-0000-0000F84A0000}"/>
    <cellStyle name="Normal 2 2 2 32 4 10" xfId="19230" xr:uid="{00000000-0005-0000-0000-0000F94A0000}"/>
    <cellStyle name="Normal 2 2 2 32 4 2" xfId="19231" xr:uid="{00000000-0005-0000-0000-0000FA4A0000}"/>
    <cellStyle name="Normal 2 2 2 32 4 3" xfId="19232" xr:uid="{00000000-0005-0000-0000-0000FB4A0000}"/>
    <cellStyle name="Normal 2 2 2 32 4 4" xfId="19233" xr:uid="{00000000-0005-0000-0000-0000FC4A0000}"/>
    <cellStyle name="Normal 2 2 2 32 4 5" xfId="19234" xr:uid="{00000000-0005-0000-0000-0000FD4A0000}"/>
    <cellStyle name="Normal 2 2 2 32 4 6" xfId="19235" xr:uid="{00000000-0005-0000-0000-0000FE4A0000}"/>
    <cellStyle name="Normal 2 2 2 32 4 7" xfId="19236" xr:uid="{00000000-0005-0000-0000-0000FF4A0000}"/>
    <cellStyle name="Normal 2 2 2 32 4 8" xfId="19237" xr:uid="{00000000-0005-0000-0000-0000004B0000}"/>
    <cellStyle name="Normal 2 2 2 32 4 9" xfId="19238" xr:uid="{00000000-0005-0000-0000-0000014B0000}"/>
    <cellStyle name="Normal 2 2 2 32 5" xfId="19239" xr:uid="{00000000-0005-0000-0000-0000024B0000}"/>
    <cellStyle name="Normal 2 2 2 32 5 10" xfId="19240" xr:uid="{00000000-0005-0000-0000-0000034B0000}"/>
    <cellStyle name="Normal 2 2 2 32 5 2" xfId="19241" xr:uid="{00000000-0005-0000-0000-0000044B0000}"/>
    <cellStyle name="Normal 2 2 2 32 5 3" xfId="19242" xr:uid="{00000000-0005-0000-0000-0000054B0000}"/>
    <cellStyle name="Normal 2 2 2 32 5 4" xfId="19243" xr:uid="{00000000-0005-0000-0000-0000064B0000}"/>
    <cellStyle name="Normal 2 2 2 32 5 5" xfId="19244" xr:uid="{00000000-0005-0000-0000-0000074B0000}"/>
    <cellStyle name="Normal 2 2 2 32 5 6" xfId="19245" xr:uid="{00000000-0005-0000-0000-0000084B0000}"/>
    <cellStyle name="Normal 2 2 2 32 5 7" xfId="19246" xr:uid="{00000000-0005-0000-0000-0000094B0000}"/>
    <cellStyle name="Normal 2 2 2 32 5 8" xfId="19247" xr:uid="{00000000-0005-0000-0000-00000A4B0000}"/>
    <cellStyle name="Normal 2 2 2 32 5 9" xfId="19248" xr:uid="{00000000-0005-0000-0000-00000B4B0000}"/>
    <cellStyle name="Normal 2 2 2 32 6" xfId="19249" xr:uid="{00000000-0005-0000-0000-00000C4B0000}"/>
    <cellStyle name="Normal 2 2 2 32 7" xfId="19250" xr:uid="{00000000-0005-0000-0000-00000D4B0000}"/>
    <cellStyle name="Normal 2 2 2 32 8" xfId="19251" xr:uid="{00000000-0005-0000-0000-00000E4B0000}"/>
    <cellStyle name="Normal 2 2 2 32 9" xfId="19252" xr:uid="{00000000-0005-0000-0000-00000F4B0000}"/>
    <cellStyle name="Normal 2 2 2 33" xfId="19253" xr:uid="{00000000-0005-0000-0000-0000104B0000}"/>
    <cellStyle name="Normal 2 2 2 33 10" xfId="19254" xr:uid="{00000000-0005-0000-0000-0000114B0000}"/>
    <cellStyle name="Normal 2 2 2 33 11" xfId="19255" xr:uid="{00000000-0005-0000-0000-0000124B0000}"/>
    <cellStyle name="Normal 2 2 2 33 12" xfId="19256" xr:uid="{00000000-0005-0000-0000-0000134B0000}"/>
    <cellStyle name="Normal 2 2 2 33 13" xfId="19257" xr:uid="{00000000-0005-0000-0000-0000144B0000}"/>
    <cellStyle name="Normal 2 2 2 33 14" xfId="19258" xr:uid="{00000000-0005-0000-0000-0000154B0000}"/>
    <cellStyle name="Normal 2 2 2 33 2" xfId="19259" xr:uid="{00000000-0005-0000-0000-0000164B0000}"/>
    <cellStyle name="Normal 2 2 2 33 2 10" xfId="19260" xr:uid="{00000000-0005-0000-0000-0000174B0000}"/>
    <cellStyle name="Normal 2 2 2 33 2 2" xfId="19261" xr:uid="{00000000-0005-0000-0000-0000184B0000}"/>
    <cellStyle name="Normal 2 2 2 33 2 3" xfId="19262" xr:uid="{00000000-0005-0000-0000-0000194B0000}"/>
    <cellStyle name="Normal 2 2 2 33 2 4" xfId="19263" xr:uid="{00000000-0005-0000-0000-00001A4B0000}"/>
    <cellStyle name="Normal 2 2 2 33 2 5" xfId="19264" xr:uid="{00000000-0005-0000-0000-00001B4B0000}"/>
    <cellStyle name="Normal 2 2 2 33 2 6" xfId="19265" xr:uid="{00000000-0005-0000-0000-00001C4B0000}"/>
    <cellStyle name="Normal 2 2 2 33 2 7" xfId="19266" xr:uid="{00000000-0005-0000-0000-00001D4B0000}"/>
    <cellStyle name="Normal 2 2 2 33 2 8" xfId="19267" xr:uid="{00000000-0005-0000-0000-00001E4B0000}"/>
    <cellStyle name="Normal 2 2 2 33 2 9" xfId="19268" xr:uid="{00000000-0005-0000-0000-00001F4B0000}"/>
    <cellStyle name="Normal 2 2 2 33 3" xfId="19269" xr:uid="{00000000-0005-0000-0000-0000204B0000}"/>
    <cellStyle name="Normal 2 2 2 33 3 10" xfId="19270" xr:uid="{00000000-0005-0000-0000-0000214B0000}"/>
    <cellStyle name="Normal 2 2 2 33 3 2" xfId="19271" xr:uid="{00000000-0005-0000-0000-0000224B0000}"/>
    <cellStyle name="Normal 2 2 2 33 3 3" xfId="19272" xr:uid="{00000000-0005-0000-0000-0000234B0000}"/>
    <cellStyle name="Normal 2 2 2 33 3 4" xfId="19273" xr:uid="{00000000-0005-0000-0000-0000244B0000}"/>
    <cellStyle name="Normal 2 2 2 33 3 5" xfId="19274" xr:uid="{00000000-0005-0000-0000-0000254B0000}"/>
    <cellStyle name="Normal 2 2 2 33 3 6" xfId="19275" xr:uid="{00000000-0005-0000-0000-0000264B0000}"/>
    <cellStyle name="Normal 2 2 2 33 3 7" xfId="19276" xr:uid="{00000000-0005-0000-0000-0000274B0000}"/>
    <cellStyle name="Normal 2 2 2 33 3 8" xfId="19277" xr:uid="{00000000-0005-0000-0000-0000284B0000}"/>
    <cellStyle name="Normal 2 2 2 33 3 9" xfId="19278" xr:uid="{00000000-0005-0000-0000-0000294B0000}"/>
    <cellStyle name="Normal 2 2 2 33 4" xfId="19279" xr:uid="{00000000-0005-0000-0000-00002A4B0000}"/>
    <cellStyle name="Normal 2 2 2 33 4 10" xfId="19280" xr:uid="{00000000-0005-0000-0000-00002B4B0000}"/>
    <cellStyle name="Normal 2 2 2 33 4 2" xfId="19281" xr:uid="{00000000-0005-0000-0000-00002C4B0000}"/>
    <cellStyle name="Normal 2 2 2 33 4 3" xfId="19282" xr:uid="{00000000-0005-0000-0000-00002D4B0000}"/>
    <cellStyle name="Normal 2 2 2 33 4 4" xfId="19283" xr:uid="{00000000-0005-0000-0000-00002E4B0000}"/>
    <cellStyle name="Normal 2 2 2 33 4 5" xfId="19284" xr:uid="{00000000-0005-0000-0000-00002F4B0000}"/>
    <cellStyle name="Normal 2 2 2 33 4 6" xfId="19285" xr:uid="{00000000-0005-0000-0000-0000304B0000}"/>
    <cellStyle name="Normal 2 2 2 33 4 7" xfId="19286" xr:uid="{00000000-0005-0000-0000-0000314B0000}"/>
    <cellStyle name="Normal 2 2 2 33 4 8" xfId="19287" xr:uid="{00000000-0005-0000-0000-0000324B0000}"/>
    <cellStyle name="Normal 2 2 2 33 4 9" xfId="19288" xr:uid="{00000000-0005-0000-0000-0000334B0000}"/>
    <cellStyle name="Normal 2 2 2 33 5" xfId="19289" xr:uid="{00000000-0005-0000-0000-0000344B0000}"/>
    <cellStyle name="Normal 2 2 2 33 5 10" xfId="19290" xr:uid="{00000000-0005-0000-0000-0000354B0000}"/>
    <cellStyle name="Normal 2 2 2 33 5 2" xfId="19291" xr:uid="{00000000-0005-0000-0000-0000364B0000}"/>
    <cellStyle name="Normal 2 2 2 33 5 3" xfId="19292" xr:uid="{00000000-0005-0000-0000-0000374B0000}"/>
    <cellStyle name="Normal 2 2 2 33 5 4" xfId="19293" xr:uid="{00000000-0005-0000-0000-0000384B0000}"/>
    <cellStyle name="Normal 2 2 2 33 5 5" xfId="19294" xr:uid="{00000000-0005-0000-0000-0000394B0000}"/>
    <cellStyle name="Normal 2 2 2 33 5 6" xfId="19295" xr:uid="{00000000-0005-0000-0000-00003A4B0000}"/>
    <cellStyle name="Normal 2 2 2 33 5 7" xfId="19296" xr:uid="{00000000-0005-0000-0000-00003B4B0000}"/>
    <cellStyle name="Normal 2 2 2 33 5 8" xfId="19297" xr:uid="{00000000-0005-0000-0000-00003C4B0000}"/>
    <cellStyle name="Normal 2 2 2 33 5 9" xfId="19298" xr:uid="{00000000-0005-0000-0000-00003D4B0000}"/>
    <cellStyle name="Normal 2 2 2 33 6" xfId="19299" xr:uid="{00000000-0005-0000-0000-00003E4B0000}"/>
    <cellStyle name="Normal 2 2 2 33 7" xfId="19300" xr:uid="{00000000-0005-0000-0000-00003F4B0000}"/>
    <cellStyle name="Normal 2 2 2 33 8" xfId="19301" xr:uid="{00000000-0005-0000-0000-0000404B0000}"/>
    <cellStyle name="Normal 2 2 2 33 9" xfId="19302" xr:uid="{00000000-0005-0000-0000-0000414B0000}"/>
    <cellStyle name="Normal 2 2 2 34" xfId="19303" xr:uid="{00000000-0005-0000-0000-0000424B0000}"/>
    <cellStyle name="Normal 2 2 2 34 10" xfId="19304" xr:uid="{00000000-0005-0000-0000-0000434B0000}"/>
    <cellStyle name="Normal 2 2 2 34 11" xfId="19305" xr:uid="{00000000-0005-0000-0000-0000444B0000}"/>
    <cellStyle name="Normal 2 2 2 34 12" xfId="19306" xr:uid="{00000000-0005-0000-0000-0000454B0000}"/>
    <cellStyle name="Normal 2 2 2 34 13" xfId="19307" xr:uid="{00000000-0005-0000-0000-0000464B0000}"/>
    <cellStyle name="Normal 2 2 2 34 14" xfId="19308" xr:uid="{00000000-0005-0000-0000-0000474B0000}"/>
    <cellStyle name="Normal 2 2 2 34 2" xfId="19309" xr:uid="{00000000-0005-0000-0000-0000484B0000}"/>
    <cellStyle name="Normal 2 2 2 34 2 10" xfId="19310" xr:uid="{00000000-0005-0000-0000-0000494B0000}"/>
    <cellStyle name="Normal 2 2 2 34 2 2" xfId="19311" xr:uid="{00000000-0005-0000-0000-00004A4B0000}"/>
    <cellStyle name="Normal 2 2 2 34 2 3" xfId="19312" xr:uid="{00000000-0005-0000-0000-00004B4B0000}"/>
    <cellStyle name="Normal 2 2 2 34 2 4" xfId="19313" xr:uid="{00000000-0005-0000-0000-00004C4B0000}"/>
    <cellStyle name="Normal 2 2 2 34 2 5" xfId="19314" xr:uid="{00000000-0005-0000-0000-00004D4B0000}"/>
    <cellStyle name="Normal 2 2 2 34 2 6" xfId="19315" xr:uid="{00000000-0005-0000-0000-00004E4B0000}"/>
    <cellStyle name="Normal 2 2 2 34 2 7" xfId="19316" xr:uid="{00000000-0005-0000-0000-00004F4B0000}"/>
    <cellStyle name="Normal 2 2 2 34 2 8" xfId="19317" xr:uid="{00000000-0005-0000-0000-0000504B0000}"/>
    <cellStyle name="Normal 2 2 2 34 2 9" xfId="19318" xr:uid="{00000000-0005-0000-0000-0000514B0000}"/>
    <cellStyle name="Normal 2 2 2 34 3" xfId="19319" xr:uid="{00000000-0005-0000-0000-0000524B0000}"/>
    <cellStyle name="Normal 2 2 2 34 3 10" xfId="19320" xr:uid="{00000000-0005-0000-0000-0000534B0000}"/>
    <cellStyle name="Normal 2 2 2 34 3 2" xfId="19321" xr:uid="{00000000-0005-0000-0000-0000544B0000}"/>
    <cellStyle name="Normal 2 2 2 34 3 3" xfId="19322" xr:uid="{00000000-0005-0000-0000-0000554B0000}"/>
    <cellStyle name="Normal 2 2 2 34 3 4" xfId="19323" xr:uid="{00000000-0005-0000-0000-0000564B0000}"/>
    <cellStyle name="Normal 2 2 2 34 3 5" xfId="19324" xr:uid="{00000000-0005-0000-0000-0000574B0000}"/>
    <cellStyle name="Normal 2 2 2 34 3 6" xfId="19325" xr:uid="{00000000-0005-0000-0000-0000584B0000}"/>
    <cellStyle name="Normal 2 2 2 34 3 7" xfId="19326" xr:uid="{00000000-0005-0000-0000-0000594B0000}"/>
    <cellStyle name="Normal 2 2 2 34 3 8" xfId="19327" xr:uid="{00000000-0005-0000-0000-00005A4B0000}"/>
    <cellStyle name="Normal 2 2 2 34 3 9" xfId="19328" xr:uid="{00000000-0005-0000-0000-00005B4B0000}"/>
    <cellStyle name="Normal 2 2 2 34 4" xfId="19329" xr:uid="{00000000-0005-0000-0000-00005C4B0000}"/>
    <cellStyle name="Normal 2 2 2 34 4 10" xfId="19330" xr:uid="{00000000-0005-0000-0000-00005D4B0000}"/>
    <cellStyle name="Normal 2 2 2 34 4 2" xfId="19331" xr:uid="{00000000-0005-0000-0000-00005E4B0000}"/>
    <cellStyle name="Normal 2 2 2 34 4 3" xfId="19332" xr:uid="{00000000-0005-0000-0000-00005F4B0000}"/>
    <cellStyle name="Normal 2 2 2 34 4 4" xfId="19333" xr:uid="{00000000-0005-0000-0000-0000604B0000}"/>
    <cellStyle name="Normal 2 2 2 34 4 5" xfId="19334" xr:uid="{00000000-0005-0000-0000-0000614B0000}"/>
    <cellStyle name="Normal 2 2 2 34 4 6" xfId="19335" xr:uid="{00000000-0005-0000-0000-0000624B0000}"/>
    <cellStyle name="Normal 2 2 2 34 4 7" xfId="19336" xr:uid="{00000000-0005-0000-0000-0000634B0000}"/>
    <cellStyle name="Normal 2 2 2 34 4 8" xfId="19337" xr:uid="{00000000-0005-0000-0000-0000644B0000}"/>
    <cellStyle name="Normal 2 2 2 34 4 9" xfId="19338" xr:uid="{00000000-0005-0000-0000-0000654B0000}"/>
    <cellStyle name="Normal 2 2 2 34 5" xfId="19339" xr:uid="{00000000-0005-0000-0000-0000664B0000}"/>
    <cellStyle name="Normal 2 2 2 34 5 10" xfId="19340" xr:uid="{00000000-0005-0000-0000-0000674B0000}"/>
    <cellStyle name="Normal 2 2 2 34 5 2" xfId="19341" xr:uid="{00000000-0005-0000-0000-0000684B0000}"/>
    <cellStyle name="Normal 2 2 2 34 5 3" xfId="19342" xr:uid="{00000000-0005-0000-0000-0000694B0000}"/>
    <cellStyle name="Normal 2 2 2 34 5 4" xfId="19343" xr:uid="{00000000-0005-0000-0000-00006A4B0000}"/>
    <cellStyle name="Normal 2 2 2 34 5 5" xfId="19344" xr:uid="{00000000-0005-0000-0000-00006B4B0000}"/>
    <cellStyle name="Normal 2 2 2 34 5 6" xfId="19345" xr:uid="{00000000-0005-0000-0000-00006C4B0000}"/>
    <cellStyle name="Normal 2 2 2 34 5 7" xfId="19346" xr:uid="{00000000-0005-0000-0000-00006D4B0000}"/>
    <cellStyle name="Normal 2 2 2 34 5 8" xfId="19347" xr:uid="{00000000-0005-0000-0000-00006E4B0000}"/>
    <cellStyle name="Normal 2 2 2 34 5 9" xfId="19348" xr:uid="{00000000-0005-0000-0000-00006F4B0000}"/>
    <cellStyle name="Normal 2 2 2 34 6" xfId="19349" xr:uid="{00000000-0005-0000-0000-0000704B0000}"/>
    <cellStyle name="Normal 2 2 2 34 7" xfId="19350" xr:uid="{00000000-0005-0000-0000-0000714B0000}"/>
    <cellStyle name="Normal 2 2 2 34 8" xfId="19351" xr:uid="{00000000-0005-0000-0000-0000724B0000}"/>
    <cellStyle name="Normal 2 2 2 34 9" xfId="19352" xr:uid="{00000000-0005-0000-0000-0000734B0000}"/>
    <cellStyle name="Normal 2 2 2 35" xfId="19353" xr:uid="{00000000-0005-0000-0000-0000744B0000}"/>
    <cellStyle name="Normal 2 2 2 35 10" xfId="19354" xr:uid="{00000000-0005-0000-0000-0000754B0000}"/>
    <cellStyle name="Normal 2 2 2 35 11" xfId="19355" xr:uid="{00000000-0005-0000-0000-0000764B0000}"/>
    <cellStyle name="Normal 2 2 2 35 12" xfId="19356" xr:uid="{00000000-0005-0000-0000-0000774B0000}"/>
    <cellStyle name="Normal 2 2 2 35 13" xfId="19357" xr:uid="{00000000-0005-0000-0000-0000784B0000}"/>
    <cellStyle name="Normal 2 2 2 35 14" xfId="19358" xr:uid="{00000000-0005-0000-0000-0000794B0000}"/>
    <cellStyle name="Normal 2 2 2 35 2" xfId="19359" xr:uid="{00000000-0005-0000-0000-00007A4B0000}"/>
    <cellStyle name="Normal 2 2 2 35 2 10" xfId="19360" xr:uid="{00000000-0005-0000-0000-00007B4B0000}"/>
    <cellStyle name="Normal 2 2 2 35 2 2" xfId="19361" xr:uid="{00000000-0005-0000-0000-00007C4B0000}"/>
    <cellStyle name="Normal 2 2 2 35 2 3" xfId="19362" xr:uid="{00000000-0005-0000-0000-00007D4B0000}"/>
    <cellStyle name="Normal 2 2 2 35 2 4" xfId="19363" xr:uid="{00000000-0005-0000-0000-00007E4B0000}"/>
    <cellStyle name="Normal 2 2 2 35 2 5" xfId="19364" xr:uid="{00000000-0005-0000-0000-00007F4B0000}"/>
    <cellStyle name="Normal 2 2 2 35 2 6" xfId="19365" xr:uid="{00000000-0005-0000-0000-0000804B0000}"/>
    <cellStyle name="Normal 2 2 2 35 2 7" xfId="19366" xr:uid="{00000000-0005-0000-0000-0000814B0000}"/>
    <cellStyle name="Normal 2 2 2 35 2 8" xfId="19367" xr:uid="{00000000-0005-0000-0000-0000824B0000}"/>
    <cellStyle name="Normal 2 2 2 35 2 9" xfId="19368" xr:uid="{00000000-0005-0000-0000-0000834B0000}"/>
    <cellStyle name="Normal 2 2 2 35 3" xfId="19369" xr:uid="{00000000-0005-0000-0000-0000844B0000}"/>
    <cellStyle name="Normal 2 2 2 35 3 10" xfId="19370" xr:uid="{00000000-0005-0000-0000-0000854B0000}"/>
    <cellStyle name="Normal 2 2 2 35 3 2" xfId="19371" xr:uid="{00000000-0005-0000-0000-0000864B0000}"/>
    <cellStyle name="Normal 2 2 2 35 3 3" xfId="19372" xr:uid="{00000000-0005-0000-0000-0000874B0000}"/>
    <cellStyle name="Normal 2 2 2 35 3 4" xfId="19373" xr:uid="{00000000-0005-0000-0000-0000884B0000}"/>
    <cellStyle name="Normal 2 2 2 35 3 5" xfId="19374" xr:uid="{00000000-0005-0000-0000-0000894B0000}"/>
    <cellStyle name="Normal 2 2 2 35 3 6" xfId="19375" xr:uid="{00000000-0005-0000-0000-00008A4B0000}"/>
    <cellStyle name="Normal 2 2 2 35 3 7" xfId="19376" xr:uid="{00000000-0005-0000-0000-00008B4B0000}"/>
    <cellStyle name="Normal 2 2 2 35 3 8" xfId="19377" xr:uid="{00000000-0005-0000-0000-00008C4B0000}"/>
    <cellStyle name="Normal 2 2 2 35 3 9" xfId="19378" xr:uid="{00000000-0005-0000-0000-00008D4B0000}"/>
    <cellStyle name="Normal 2 2 2 35 4" xfId="19379" xr:uid="{00000000-0005-0000-0000-00008E4B0000}"/>
    <cellStyle name="Normal 2 2 2 35 4 10" xfId="19380" xr:uid="{00000000-0005-0000-0000-00008F4B0000}"/>
    <cellStyle name="Normal 2 2 2 35 4 2" xfId="19381" xr:uid="{00000000-0005-0000-0000-0000904B0000}"/>
    <cellStyle name="Normal 2 2 2 35 4 3" xfId="19382" xr:uid="{00000000-0005-0000-0000-0000914B0000}"/>
    <cellStyle name="Normal 2 2 2 35 4 4" xfId="19383" xr:uid="{00000000-0005-0000-0000-0000924B0000}"/>
    <cellStyle name="Normal 2 2 2 35 4 5" xfId="19384" xr:uid="{00000000-0005-0000-0000-0000934B0000}"/>
    <cellStyle name="Normal 2 2 2 35 4 6" xfId="19385" xr:uid="{00000000-0005-0000-0000-0000944B0000}"/>
    <cellStyle name="Normal 2 2 2 35 4 7" xfId="19386" xr:uid="{00000000-0005-0000-0000-0000954B0000}"/>
    <cellStyle name="Normal 2 2 2 35 4 8" xfId="19387" xr:uid="{00000000-0005-0000-0000-0000964B0000}"/>
    <cellStyle name="Normal 2 2 2 35 4 9" xfId="19388" xr:uid="{00000000-0005-0000-0000-0000974B0000}"/>
    <cellStyle name="Normal 2 2 2 35 5" xfId="19389" xr:uid="{00000000-0005-0000-0000-0000984B0000}"/>
    <cellStyle name="Normal 2 2 2 35 5 10" xfId="19390" xr:uid="{00000000-0005-0000-0000-0000994B0000}"/>
    <cellStyle name="Normal 2 2 2 35 5 2" xfId="19391" xr:uid="{00000000-0005-0000-0000-00009A4B0000}"/>
    <cellStyle name="Normal 2 2 2 35 5 3" xfId="19392" xr:uid="{00000000-0005-0000-0000-00009B4B0000}"/>
    <cellStyle name="Normal 2 2 2 35 5 4" xfId="19393" xr:uid="{00000000-0005-0000-0000-00009C4B0000}"/>
    <cellStyle name="Normal 2 2 2 35 5 5" xfId="19394" xr:uid="{00000000-0005-0000-0000-00009D4B0000}"/>
    <cellStyle name="Normal 2 2 2 35 5 6" xfId="19395" xr:uid="{00000000-0005-0000-0000-00009E4B0000}"/>
    <cellStyle name="Normal 2 2 2 35 5 7" xfId="19396" xr:uid="{00000000-0005-0000-0000-00009F4B0000}"/>
    <cellStyle name="Normal 2 2 2 35 5 8" xfId="19397" xr:uid="{00000000-0005-0000-0000-0000A04B0000}"/>
    <cellStyle name="Normal 2 2 2 35 5 9" xfId="19398" xr:uid="{00000000-0005-0000-0000-0000A14B0000}"/>
    <cellStyle name="Normal 2 2 2 35 6" xfId="19399" xr:uid="{00000000-0005-0000-0000-0000A24B0000}"/>
    <cellStyle name="Normal 2 2 2 35 7" xfId="19400" xr:uid="{00000000-0005-0000-0000-0000A34B0000}"/>
    <cellStyle name="Normal 2 2 2 35 8" xfId="19401" xr:uid="{00000000-0005-0000-0000-0000A44B0000}"/>
    <cellStyle name="Normal 2 2 2 35 9" xfId="19402" xr:uid="{00000000-0005-0000-0000-0000A54B0000}"/>
    <cellStyle name="Normal 2 2 2 36" xfId="19403" xr:uid="{00000000-0005-0000-0000-0000A64B0000}"/>
    <cellStyle name="Normal 2 2 2 36 10" xfId="19404" xr:uid="{00000000-0005-0000-0000-0000A74B0000}"/>
    <cellStyle name="Normal 2 2 2 36 2" xfId="19405" xr:uid="{00000000-0005-0000-0000-0000A84B0000}"/>
    <cellStyle name="Normal 2 2 2 36 3" xfId="19406" xr:uid="{00000000-0005-0000-0000-0000A94B0000}"/>
    <cellStyle name="Normal 2 2 2 36 4" xfId="19407" xr:uid="{00000000-0005-0000-0000-0000AA4B0000}"/>
    <cellStyle name="Normal 2 2 2 36 5" xfId="19408" xr:uid="{00000000-0005-0000-0000-0000AB4B0000}"/>
    <cellStyle name="Normal 2 2 2 36 6" xfId="19409" xr:uid="{00000000-0005-0000-0000-0000AC4B0000}"/>
    <cellStyle name="Normal 2 2 2 36 7" xfId="19410" xr:uid="{00000000-0005-0000-0000-0000AD4B0000}"/>
    <cellStyle name="Normal 2 2 2 36 8" xfId="19411" xr:uid="{00000000-0005-0000-0000-0000AE4B0000}"/>
    <cellStyle name="Normal 2 2 2 36 9" xfId="19412" xr:uid="{00000000-0005-0000-0000-0000AF4B0000}"/>
    <cellStyle name="Normal 2 2 2 37" xfId="19413" xr:uid="{00000000-0005-0000-0000-0000B04B0000}"/>
    <cellStyle name="Normal 2 2 2 37 10" xfId="19414" xr:uid="{00000000-0005-0000-0000-0000B14B0000}"/>
    <cellStyle name="Normal 2 2 2 37 2" xfId="19415" xr:uid="{00000000-0005-0000-0000-0000B24B0000}"/>
    <cellStyle name="Normal 2 2 2 37 3" xfId="19416" xr:uid="{00000000-0005-0000-0000-0000B34B0000}"/>
    <cellStyle name="Normal 2 2 2 37 4" xfId="19417" xr:uid="{00000000-0005-0000-0000-0000B44B0000}"/>
    <cellStyle name="Normal 2 2 2 37 5" xfId="19418" xr:uid="{00000000-0005-0000-0000-0000B54B0000}"/>
    <cellStyle name="Normal 2 2 2 37 6" xfId="19419" xr:uid="{00000000-0005-0000-0000-0000B64B0000}"/>
    <cellStyle name="Normal 2 2 2 37 7" xfId="19420" xr:uid="{00000000-0005-0000-0000-0000B74B0000}"/>
    <cellStyle name="Normal 2 2 2 37 8" xfId="19421" xr:uid="{00000000-0005-0000-0000-0000B84B0000}"/>
    <cellStyle name="Normal 2 2 2 37 9" xfId="19422" xr:uid="{00000000-0005-0000-0000-0000B94B0000}"/>
    <cellStyle name="Normal 2 2 2 38" xfId="19423" xr:uid="{00000000-0005-0000-0000-0000BA4B0000}"/>
    <cellStyle name="Normal 2 2 2 38 10" xfId="19424" xr:uid="{00000000-0005-0000-0000-0000BB4B0000}"/>
    <cellStyle name="Normal 2 2 2 38 2" xfId="19425" xr:uid="{00000000-0005-0000-0000-0000BC4B0000}"/>
    <cellStyle name="Normal 2 2 2 38 3" xfId="19426" xr:uid="{00000000-0005-0000-0000-0000BD4B0000}"/>
    <cellStyle name="Normal 2 2 2 38 4" xfId="19427" xr:uid="{00000000-0005-0000-0000-0000BE4B0000}"/>
    <cellStyle name="Normal 2 2 2 38 5" xfId="19428" xr:uid="{00000000-0005-0000-0000-0000BF4B0000}"/>
    <cellStyle name="Normal 2 2 2 38 6" xfId="19429" xr:uid="{00000000-0005-0000-0000-0000C04B0000}"/>
    <cellStyle name="Normal 2 2 2 38 7" xfId="19430" xr:uid="{00000000-0005-0000-0000-0000C14B0000}"/>
    <cellStyle name="Normal 2 2 2 38 8" xfId="19431" xr:uid="{00000000-0005-0000-0000-0000C24B0000}"/>
    <cellStyle name="Normal 2 2 2 38 9" xfId="19432" xr:uid="{00000000-0005-0000-0000-0000C34B0000}"/>
    <cellStyle name="Normal 2 2 2 39" xfId="19433" xr:uid="{00000000-0005-0000-0000-0000C44B0000}"/>
    <cellStyle name="Normal 2 2 2 39 10" xfId="19434" xr:uid="{00000000-0005-0000-0000-0000C54B0000}"/>
    <cellStyle name="Normal 2 2 2 39 2" xfId="19435" xr:uid="{00000000-0005-0000-0000-0000C64B0000}"/>
    <cellStyle name="Normal 2 2 2 39 3" xfId="19436" xr:uid="{00000000-0005-0000-0000-0000C74B0000}"/>
    <cellStyle name="Normal 2 2 2 39 4" xfId="19437" xr:uid="{00000000-0005-0000-0000-0000C84B0000}"/>
    <cellStyle name="Normal 2 2 2 39 5" xfId="19438" xr:uid="{00000000-0005-0000-0000-0000C94B0000}"/>
    <cellStyle name="Normal 2 2 2 39 6" xfId="19439" xr:uid="{00000000-0005-0000-0000-0000CA4B0000}"/>
    <cellStyle name="Normal 2 2 2 39 7" xfId="19440" xr:uid="{00000000-0005-0000-0000-0000CB4B0000}"/>
    <cellStyle name="Normal 2 2 2 39 8" xfId="19441" xr:uid="{00000000-0005-0000-0000-0000CC4B0000}"/>
    <cellStyle name="Normal 2 2 2 39 9" xfId="19442" xr:uid="{00000000-0005-0000-0000-0000CD4B0000}"/>
    <cellStyle name="Normal 2 2 2 4" xfId="19443" xr:uid="{00000000-0005-0000-0000-0000CE4B0000}"/>
    <cellStyle name="Normal 2 2 2 4 10" xfId="19444" xr:uid="{00000000-0005-0000-0000-0000CF4B0000}"/>
    <cellStyle name="Normal 2 2 2 4 11" xfId="19445" xr:uid="{00000000-0005-0000-0000-0000D04B0000}"/>
    <cellStyle name="Normal 2 2 2 4 12" xfId="19446" xr:uid="{00000000-0005-0000-0000-0000D14B0000}"/>
    <cellStyle name="Normal 2 2 2 4 13" xfId="19447" xr:uid="{00000000-0005-0000-0000-0000D24B0000}"/>
    <cellStyle name="Normal 2 2 2 4 14" xfId="19448" xr:uid="{00000000-0005-0000-0000-0000D34B0000}"/>
    <cellStyle name="Normal 2 2 2 4 15" xfId="19449" xr:uid="{00000000-0005-0000-0000-0000D44B0000}"/>
    <cellStyle name="Normal 2 2 2 4 16" xfId="19450" xr:uid="{00000000-0005-0000-0000-0000D54B0000}"/>
    <cellStyle name="Normal 2 2 2 4 17" xfId="19451" xr:uid="{00000000-0005-0000-0000-0000D64B0000}"/>
    <cellStyle name="Normal 2 2 2 4 18" xfId="19452" xr:uid="{00000000-0005-0000-0000-0000D74B0000}"/>
    <cellStyle name="Normal 2 2 2 4 19" xfId="19453" xr:uid="{00000000-0005-0000-0000-0000D84B0000}"/>
    <cellStyle name="Normal 2 2 2 4 2" xfId="19454" xr:uid="{00000000-0005-0000-0000-0000D94B0000}"/>
    <cellStyle name="Normal 2 2 2 4 2 10" xfId="19455" xr:uid="{00000000-0005-0000-0000-0000DA4B0000}"/>
    <cellStyle name="Normal 2 2 2 4 2 10 10" xfId="19456" xr:uid="{00000000-0005-0000-0000-0000DB4B0000}"/>
    <cellStyle name="Normal 2 2 2 4 2 10 11" xfId="19457" xr:uid="{00000000-0005-0000-0000-0000DC4B0000}"/>
    <cellStyle name="Normal 2 2 2 4 2 10 12" xfId="19458" xr:uid="{00000000-0005-0000-0000-0000DD4B0000}"/>
    <cellStyle name="Normal 2 2 2 4 2 10 13" xfId="19459" xr:uid="{00000000-0005-0000-0000-0000DE4B0000}"/>
    <cellStyle name="Normal 2 2 2 4 2 10 14" xfId="19460" xr:uid="{00000000-0005-0000-0000-0000DF4B0000}"/>
    <cellStyle name="Normal 2 2 2 4 2 10 2" xfId="19461" xr:uid="{00000000-0005-0000-0000-0000E04B0000}"/>
    <cellStyle name="Normal 2 2 2 4 2 10 2 10" xfId="19462" xr:uid="{00000000-0005-0000-0000-0000E14B0000}"/>
    <cellStyle name="Normal 2 2 2 4 2 10 2 2" xfId="19463" xr:uid="{00000000-0005-0000-0000-0000E24B0000}"/>
    <cellStyle name="Normal 2 2 2 4 2 10 2 3" xfId="19464" xr:uid="{00000000-0005-0000-0000-0000E34B0000}"/>
    <cellStyle name="Normal 2 2 2 4 2 10 2 4" xfId="19465" xr:uid="{00000000-0005-0000-0000-0000E44B0000}"/>
    <cellStyle name="Normal 2 2 2 4 2 10 2 5" xfId="19466" xr:uid="{00000000-0005-0000-0000-0000E54B0000}"/>
    <cellStyle name="Normal 2 2 2 4 2 10 2 6" xfId="19467" xr:uid="{00000000-0005-0000-0000-0000E64B0000}"/>
    <cellStyle name="Normal 2 2 2 4 2 10 2 7" xfId="19468" xr:uid="{00000000-0005-0000-0000-0000E74B0000}"/>
    <cellStyle name="Normal 2 2 2 4 2 10 2 8" xfId="19469" xr:uid="{00000000-0005-0000-0000-0000E84B0000}"/>
    <cellStyle name="Normal 2 2 2 4 2 10 2 9" xfId="19470" xr:uid="{00000000-0005-0000-0000-0000E94B0000}"/>
    <cellStyle name="Normal 2 2 2 4 2 10 3" xfId="19471" xr:uid="{00000000-0005-0000-0000-0000EA4B0000}"/>
    <cellStyle name="Normal 2 2 2 4 2 10 3 10" xfId="19472" xr:uid="{00000000-0005-0000-0000-0000EB4B0000}"/>
    <cellStyle name="Normal 2 2 2 4 2 10 3 2" xfId="19473" xr:uid="{00000000-0005-0000-0000-0000EC4B0000}"/>
    <cellStyle name="Normal 2 2 2 4 2 10 3 3" xfId="19474" xr:uid="{00000000-0005-0000-0000-0000ED4B0000}"/>
    <cellStyle name="Normal 2 2 2 4 2 10 3 4" xfId="19475" xr:uid="{00000000-0005-0000-0000-0000EE4B0000}"/>
    <cellStyle name="Normal 2 2 2 4 2 10 3 5" xfId="19476" xr:uid="{00000000-0005-0000-0000-0000EF4B0000}"/>
    <cellStyle name="Normal 2 2 2 4 2 10 3 6" xfId="19477" xr:uid="{00000000-0005-0000-0000-0000F04B0000}"/>
    <cellStyle name="Normal 2 2 2 4 2 10 3 7" xfId="19478" xr:uid="{00000000-0005-0000-0000-0000F14B0000}"/>
    <cellStyle name="Normal 2 2 2 4 2 10 3 8" xfId="19479" xr:uid="{00000000-0005-0000-0000-0000F24B0000}"/>
    <cellStyle name="Normal 2 2 2 4 2 10 3 9" xfId="19480" xr:uid="{00000000-0005-0000-0000-0000F34B0000}"/>
    <cellStyle name="Normal 2 2 2 4 2 10 4" xfId="19481" xr:uid="{00000000-0005-0000-0000-0000F44B0000}"/>
    <cellStyle name="Normal 2 2 2 4 2 10 4 10" xfId="19482" xr:uid="{00000000-0005-0000-0000-0000F54B0000}"/>
    <cellStyle name="Normal 2 2 2 4 2 10 4 2" xfId="19483" xr:uid="{00000000-0005-0000-0000-0000F64B0000}"/>
    <cellStyle name="Normal 2 2 2 4 2 10 4 3" xfId="19484" xr:uid="{00000000-0005-0000-0000-0000F74B0000}"/>
    <cellStyle name="Normal 2 2 2 4 2 10 4 4" xfId="19485" xr:uid="{00000000-0005-0000-0000-0000F84B0000}"/>
    <cellStyle name="Normal 2 2 2 4 2 10 4 5" xfId="19486" xr:uid="{00000000-0005-0000-0000-0000F94B0000}"/>
    <cellStyle name="Normal 2 2 2 4 2 10 4 6" xfId="19487" xr:uid="{00000000-0005-0000-0000-0000FA4B0000}"/>
    <cellStyle name="Normal 2 2 2 4 2 10 4 7" xfId="19488" xr:uid="{00000000-0005-0000-0000-0000FB4B0000}"/>
    <cellStyle name="Normal 2 2 2 4 2 10 4 8" xfId="19489" xr:uid="{00000000-0005-0000-0000-0000FC4B0000}"/>
    <cellStyle name="Normal 2 2 2 4 2 10 4 9" xfId="19490" xr:uid="{00000000-0005-0000-0000-0000FD4B0000}"/>
    <cellStyle name="Normal 2 2 2 4 2 10 5" xfId="19491" xr:uid="{00000000-0005-0000-0000-0000FE4B0000}"/>
    <cellStyle name="Normal 2 2 2 4 2 10 5 10" xfId="19492" xr:uid="{00000000-0005-0000-0000-0000FF4B0000}"/>
    <cellStyle name="Normal 2 2 2 4 2 10 5 2" xfId="19493" xr:uid="{00000000-0005-0000-0000-0000004C0000}"/>
    <cellStyle name="Normal 2 2 2 4 2 10 5 3" xfId="19494" xr:uid="{00000000-0005-0000-0000-0000014C0000}"/>
    <cellStyle name="Normal 2 2 2 4 2 10 5 4" xfId="19495" xr:uid="{00000000-0005-0000-0000-0000024C0000}"/>
    <cellStyle name="Normal 2 2 2 4 2 10 5 5" xfId="19496" xr:uid="{00000000-0005-0000-0000-0000034C0000}"/>
    <cellStyle name="Normal 2 2 2 4 2 10 5 6" xfId="19497" xr:uid="{00000000-0005-0000-0000-0000044C0000}"/>
    <cellStyle name="Normal 2 2 2 4 2 10 5 7" xfId="19498" xr:uid="{00000000-0005-0000-0000-0000054C0000}"/>
    <cellStyle name="Normal 2 2 2 4 2 10 5 8" xfId="19499" xr:uid="{00000000-0005-0000-0000-0000064C0000}"/>
    <cellStyle name="Normal 2 2 2 4 2 10 5 9" xfId="19500" xr:uid="{00000000-0005-0000-0000-0000074C0000}"/>
    <cellStyle name="Normal 2 2 2 4 2 10 6" xfId="19501" xr:uid="{00000000-0005-0000-0000-0000084C0000}"/>
    <cellStyle name="Normal 2 2 2 4 2 10 7" xfId="19502" xr:uid="{00000000-0005-0000-0000-0000094C0000}"/>
    <cellStyle name="Normal 2 2 2 4 2 10 8" xfId="19503" xr:uid="{00000000-0005-0000-0000-00000A4C0000}"/>
    <cellStyle name="Normal 2 2 2 4 2 10 9" xfId="19504" xr:uid="{00000000-0005-0000-0000-00000B4C0000}"/>
    <cellStyle name="Normal 2 2 2 4 2 11" xfId="19505" xr:uid="{00000000-0005-0000-0000-00000C4C0000}"/>
    <cellStyle name="Normal 2 2 2 4 2 11 10" xfId="19506" xr:uid="{00000000-0005-0000-0000-00000D4C0000}"/>
    <cellStyle name="Normal 2 2 2 4 2 11 11" xfId="19507" xr:uid="{00000000-0005-0000-0000-00000E4C0000}"/>
    <cellStyle name="Normal 2 2 2 4 2 11 12" xfId="19508" xr:uid="{00000000-0005-0000-0000-00000F4C0000}"/>
    <cellStyle name="Normal 2 2 2 4 2 11 13" xfId="19509" xr:uid="{00000000-0005-0000-0000-0000104C0000}"/>
    <cellStyle name="Normal 2 2 2 4 2 11 14" xfId="19510" xr:uid="{00000000-0005-0000-0000-0000114C0000}"/>
    <cellStyle name="Normal 2 2 2 4 2 11 2" xfId="19511" xr:uid="{00000000-0005-0000-0000-0000124C0000}"/>
    <cellStyle name="Normal 2 2 2 4 2 11 2 10" xfId="19512" xr:uid="{00000000-0005-0000-0000-0000134C0000}"/>
    <cellStyle name="Normal 2 2 2 4 2 11 2 2" xfId="19513" xr:uid="{00000000-0005-0000-0000-0000144C0000}"/>
    <cellStyle name="Normal 2 2 2 4 2 11 2 3" xfId="19514" xr:uid="{00000000-0005-0000-0000-0000154C0000}"/>
    <cellStyle name="Normal 2 2 2 4 2 11 2 4" xfId="19515" xr:uid="{00000000-0005-0000-0000-0000164C0000}"/>
    <cellStyle name="Normal 2 2 2 4 2 11 2 5" xfId="19516" xr:uid="{00000000-0005-0000-0000-0000174C0000}"/>
    <cellStyle name="Normal 2 2 2 4 2 11 2 6" xfId="19517" xr:uid="{00000000-0005-0000-0000-0000184C0000}"/>
    <cellStyle name="Normal 2 2 2 4 2 11 2 7" xfId="19518" xr:uid="{00000000-0005-0000-0000-0000194C0000}"/>
    <cellStyle name="Normal 2 2 2 4 2 11 2 8" xfId="19519" xr:uid="{00000000-0005-0000-0000-00001A4C0000}"/>
    <cellStyle name="Normal 2 2 2 4 2 11 2 9" xfId="19520" xr:uid="{00000000-0005-0000-0000-00001B4C0000}"/>
    <cellStyle name="Normal 2 2 2 4 2 11 3" xfId="19521" xr:uid="{00000000-0005-0000-0000-00001C4C0000}"/>
    <cellStyle name="Normal 2 2 2 4 2 11 3 10" xfId="19522" xr:uid="{00000000-0005-0000-0000-00001D4C0000}"/>
    <cellStyle name="Normal 2 2 2 4 2 11 3 2" xfId="19523" xr:uid="{00000000-0005-0000-0000-00001E4C0000}"/>
    <cellStyle name="Normal 2 2 2 4 2 11 3 3" xfId="19524" xr:uid="{00000000-0005-0000-0000-00001F4C0000}"/>
    <cellStyle name="Normal 2 2 2 4 2 11 3 4" xfId="19525" xr:uid="{00000000-0005-0000-0000-0000204C0000}"/>
    <cellStyle name="Normal 2 2 2 4 2 11 3 5" xfId="19526" xr:uid="{00000000-0005-0000-0000-0000214C0000}"/>
    <cellStyle name="Normal 2 2 2 4 2 11 3 6" xfId="19527" xr:uid="{00000000-0005-0000-0000-0000224C0000}"/>
    <cellStyle name="Normal 2 2 2 4 2 11 3 7" xfId="19528" xr:uid="{00000000-0005-0000-0000-0000234C0000}"/>
    <cellStyle name="Normal 2 2 2 4 2 11 3 8" xfId="19529" xr:uid="{00000000-0005-0000-0000-0000244C0000}"/>
    <cellStyle name="Normal 2 2 2 4 2 11 3 9" xfId="19530" xr:uid="{00000000-0005-0000-0000-0000254C0000}"/>
    <cellStyle name="Normal 2 2 2 4 2 11 4" xfId="19531" xr:uid="{00000000-0005-0000-0000-0000264C0000}"/>
    <cellStyle name="Normal 2 2 2 4 2 11 4 10" xfId="19532" xr:uid="{00000000-0005-0000-0000-0000274C0000}"/>
    <cellStyle name="Normal 2 2 2 4 2 11 4 2" xfId="19533" xr:uid="{00000000-0005-0000-0000-0000284C0000}"/>
    <cellStyle name="Normal 2 2 2 4 2 11 4 3" xfId="19534" xr:uid="{00000000-0005-0000-0000-0000294C0000}"/>
    <cellStyle name="Normal 2 2 2 4 2 11 4 4" xfId="19535" xr:uid="{00000000-0005-0000-0000-00002A4C0000}"/>
    <cellStyle name="Normal 2 2 2 4 2 11 4 5" xfId="19536" xr:uid="{00000000-0005-0000-0000-00002B4C0000}"/>
    <cellStyle name="Normal 2 2 2 4 2 11 4 6" xfId="19537" xr:uid="{00000000-0005-0000-0000-00002C4C0000}"/>
    <cellStyle name="Normal 2 2 2 4 2 11 4 7" xfId="19538" xr:uid="{00000000-0005-0000-0000-00002D4C0000}"/>
    <cellStyle name="Normal 2 2 2 4 2 11 4 8" xfId="19539" xr:uid="{00000000-0005-0000-0000-00002E4C0000}"/>
    <cellStyle name="Normal 2 2 2 4 2 11 4 9" xfId="19540" xr:uid="{00000000-0005-0000-0000-00002F4C0000}"/>
    <cellStyle name="Normal 2 2 2 4 2 11 5" xfId="19541" xr:uid="{00000000-0005-0000-0000-0000304C0000}"/>
    <cellStyle name="Normal 2 2 2 4 2 11 5 10" xfId="19542" xr:uid="{00000000-0005-0000-0000-0000314C0000}"/>
    <cellStyle name="Normal 2 2 2 4 2 11 5 2" xfId="19543" xr:uid="{00000000-0005-0000-0000-0000324C0000}"/>
    <cellStyle name="Normal 2 2 2 4 2 11 5 3" xfId="19544" xr:uid="{00000000-0005-0000-0000-0000334C0000}"/>
    <cellStyle name="Normal 2 2 2 4 2 11 5 4" xfId="19545" xr:uid="{00000000-0005-0000-0000-0000344C0000}"/>
    <cellStyle name="Normal 2 2 2 4 2 11 5 5" xfId="19546" xr:uid="{00000000-0005-0000-0000-0000354C0000}"/>
    <cellStyle name="Normal 2 2 2 4 2 11 5 6" xfId="19547" xr:uid="{00000000-0005-0000-0000-0000364C0000}"/>
    <cellStyle name="Normal 2 2 2 4 2 11 5 7" xfId="19548" xr:uid="{00000000-0005-0000-0000-0000374C0000}"/>
    <cellStyle name="Normal 2 2 2 4 2 11 5 8" xfId="19549" xr:uid="{00000000-0005-0000-0000-0000384C0000}"/>
    <cellStyle name="Normal 2 2 2 4 2 11 5 9" xfId="19550" xr:uid="{00000000-0005-0000-0000-0000394C0000}"/>
    <cellStyle name="Normal 2 2 2 4 2 11 6" xfId="19551" xr:uid="{00000000-0005-0000-0000-00003A4C0000}"/>
    <cellStyle name="Normal 2 2 2 4 2 11 7" xfId="19552" xr:uid="{00000000-0005-0000-0000-00003B4C0000}"/>
    <cellStyle name="Normal 2 2 2 4 2 11 8" xfId="19553" xr:uid="{00000000-0005-0000-0000-00003C4C0000}"/>
    <cellStyle name="Normal 2 2 2 4 2 11 9" xfId="19554" xr:uid="{00000000-0005-0000-0000-00003D4C0000}"/>
    <cellStyle name="Normal 2 2 2 4 2 12" xfId="19555" xr:uid="{00000000-0005-0000-0000-00003E4C0000}"/>
    <cellStyle name="Normal 2 2 2 4 2 12 10" xfId="19556" xr:uid="{00000000-0005-0000-0000-00003F4C0000}"/>
    <cellStyle name="Normal 2 2 2 4 2 12 11" xfId="19557" xr:uid="{00000000-0005-0000-0000-0000404C0000}"/>
    <cellStyle name="Normal 2 2 2 4 2 12 12" xfId="19558" xr:uid="{00000000-0005-0000-0000-0000414C0000}"/>
    <cellStyle name="Normal 2 2 2 4 2 12 13" xfId="19559" xr:uid="{00000000-0005-0000-0000-0000424C0000}"/>
    <cellStyle name="Normal 2 2 2 4 2 12 14" xfId="19560" xr:uid="{00000000-0005-0000-0000-0000434C0000}"/>
    <cellStyle name="Normal 2 2 2 4 2 12 2" xfId="19561" xr:uid="{00000000-0005-0000-0000-0000444C0000}"/>
    <cellStyle name="Normal 2 2 2 4 2 12 2 10" xfId="19562" xr:uid="{00000000-0005-0000-0000-0000454C0000}"/>
    <cellStyle name="Normal 2 2 2 4 2 12 2 2" xfId="19563" xr:uid="{00000000-0005-0000-0000-0000464C0000}"/>
    <cellStyle name="Normal 2 2 2 4 2 12 2 3" xfId="19564" xr:uid="{00000000-0005-0000-0000-0000474C0000}"/>
    <cellStyle name="Normal 2 2 2 4 2 12 2 4" xfId="19565" xr:uid="{00000000-0005-0000-0000-0000484C0000}"/>
    <cellStyle name="Normal 2 2 2 4 2 12 2 5" xfId="19566" xr:uid="{00000000-0005-0000-0000-0000494C0000}"/>
    <cellStyle name="Normal 2 2 2 4 2 12 2 6" xfId="19567" xr:uid="{00000000-0005-0000-0000-00004A4C0000}"/>
    <cellStyle name="Normal 2 2 2 4 2 12 2 7" xfId="19568" xr:uid="{00000000-0005-0000-0000-00004B4C0000}"/>
    <cellStyle name="Normal 2 2 2 4 2 12 2 8" xfId="19569" xr:uid="{00000000-0005-0000-0000-00004C4C0000}"/>
    <cellStyle name="Normal 2 2 2 4 2 12 2 9" xfId="19570" xr:uid="{00000000-0005-0000-0000-00004D4C0000}"/>
    <cellStyle name="Normal 2 2 2 4 2 12 3" xfId="19571" xr:uid="{00000000-0005-0000-0000-00004E4C0000}"/>
    <cellStyle name="Normal 2 2 2 4 2 12 3 10" xfId="19572" xr:uid="{00000000-0005-0000-0000-00004F4C0000}"/>
    <cellStyle name="Normal 2 2 2 4 2 12 3 2" xfId="19573" xr:uid="{00000000-0005-0000-0000-0000504C0000}"/>
    <cellStyle name="Normal 2 2 2 4 2 12 3 3" xfId="19574" xr:uid="{00000000-0005-0000-0000-0000514C0000}"/>
    <cellStyle name="Normal 2 2 2 4 2 12 3 4" xfId="19575" xr:uid="{00000000-0005-0000-0000-0000524C0000}"/>
    <cellStyle name="Normal 2 2 2 4 2 12 3 5" xfId="19576" xr:uid="{00000000-0005-0000-0000-0000534C0000}"/>
    <cellStyle name="Normal 2 2 2 4 2 12 3 6" xfId="19577" xr:uid="{00000000-0005-0000-0000-0000544C0000}"/>
    <cellStyle name="Normal 2 2 2 4 2 12 3 7" xfId="19578" xr:uid="{00000000-0005-0000-0000-0000554C0000}"/>
    <cellStyle name="Normal 2 2 2 4 2 12 3 8" xfId="19579" xr:uid="{00000000-0005-0000-0000-0000564C0000}"/>
    <cellStyle name="Normal 2 2 2 4 2 12 3 9" xfId="19580" xr:uid="{00000000-0005-0000-0000-0000574C0000}"/>
    <cellStyle name="Normal 2 2 2 4 2 12 4" xfId="19581" xr:uid="{00000000-0005-0000-0000-0000584C0000}"/>
    <cellStyle name="Normal 2 2 2 4 2 12 4 10" xfId="19582" xr:uid="{00000000-0005-0000-0000-0000594C0000}"/>
    <cellStyle name="Normal 2 2 2 4 2 12 4 2" xfId="19583" xr:uid="{00000000-0005-0000-0000-00005A4C0000}"/>
    <cellStyle name="Normal 2 2 2 4 2 12 4 3" xfId="19584" xr:uid="{00000000-0005-0000-0000-00005B4C0000}"/>
    <cellStyle name="Normal 2 2 2 4 2 12 4 4" xfId="19585" xr:uid="{00000000-0005-0000-0000-00005C4C0000}"/>
    <cellStyle name="Normal 2 2 2 4 2 12 4 5" xfId="19586" xr:uid="{00000000-0005-0000-0000-00005D4C0000}"/>
    <cellStyle name="Normal 2 2 2 4 2 12 4 6" xfId="19587" xr:uid="{00000000-0005-0000-0000-00005E4C0000}"/>
    <cellStyle name="Normal 2 2 2 4 2 12 4 7" xfId="19588" xr:uid="{00000000-0005-0000-0000-00005F4C0000}"/>
    <cellStyle name="Normal 2 2 2 4 2 12 4 8" xfId="19589" xr:uid="{00000000-0005-0000-0000-0000604C0000}"/>
    <cellStyle name="Normal 2 2 2 4 2 12 4 9" xfId="19590" xr:uid="{00000000-0005-0000-0000-0000614C0000}"/>
    <cellStyle name="Normal 2 2 2 4 2 12 5" xfId="19591" xr:uid="{00000000-0005-0000-0000-0000624C0000}"/>
    <cellStyle name="Normal 2 2 2 4 2 12 5 10" xfId="19592" xr:uid="{00000000-0005-0000-0000-0000634C0000}"/>
    <cellStyle name="Normal 2 2 2 4 2 12 5 2" xfId="19593" xr:uid="{00000000-0005-0000-0000-0000644C0000}"/>
    <cellStyle name="Normal 2 2 2 4 2 12 5 3" xfId="19594" xr:uid="{00000000-0005-0000-0000-0000654C0000}"/>
    <cellStyle name="Normal 2 2 2 4 2 12 5 4" xfId="19595" xr:uid="{00000000-0005-0000-0000-0000664C0000}"/>
    <cellStyle name="Normal 2 2 2 4 2 12 5 5" xfId="19596" xr:uid="{00000000-0005-0000-0000-0000674C0000}"/>
    <cellStyle name="Normal 2 2 2 4 2 12 5 6" xfId="19597" xr:uid="{00000000-0005-0000-0000-0000684C0000}"/>
    <cellStyle name="Normal 2 2 2 4 2 12 5 7" xfId="19598" xr:uid="{00000000-0005-0000-0000-0000694C0000}"/>
    <cellStyle name="Normal 2 2 2 4 2 12 5 8" xfId="19599" xr:uid="{00000000-0005-0000-0000-00006A4C0000}"/>
    <cellStyle name="Normal 2 2 2 4 2 12 5 9" xfId="19600" xr:uid="{00000000-0005-0000-0000-00006B4C0000}"/>
    <cellStyle name="Normal 2 2 2 4 2 12 6" xfId="19601" xr:uid="{00000000-0005-0000-0000-00006C4C0000}"/>
    <cellStyle name="Normal 2 2 2 4 2 12 7" xfId="19602" xr:uid="{00000000-0005-0000-0000-00006D4C0000}"/>
    <cellStyle name="Normal 2 2 2 4 2 12 8" xfId="19603" xr:uid="{00000000-0005-0000-0000-00006E4C0000}"/>
    <cellStyle name="Normal 2 2 2 4 2 12 9" xfId="19604" xr:uid="{00000000-0005-0000-0000-00006F4C0000}"/>
    <cellStyle name="Normal 2 2 2 4 2 13" xfId="19605" xr:uid="{00000000-0005-0000-0000-0000704C0000}"/>
    <cellStyle name="Normal 2 2 2 4 2 13 10" xfId="19606" xr:uid="{00000000-0005-0000-0000-0000714C0000}"/>
    <cellStyle name="Normal 2 2 2 4 2 13 11" xfId="19607" xr:uid="{00000000-0005-0000-0000-0000724C0000}"/>
    <cellStyle name="Normal 2 2 2 4 2 13 12" xfId="19608" xr:uid="{00000000-0005-0000-0000-0000734C0000}"/>
    <cellStyle name="Normal 2 2 2 4 2 13 13" xfId="19609" xr:uid="{00000000-0005-0000-0000-0000744C0000}"/>
    <cellStyle name="Normal 2 2 2 4 2 13 14" xfId="19610" xr:uid="{00000000-0005-0000-0000-0000754C0000}"/>
    <cellStyle name="Normal 2 2 2 4 2 13 2" xfId="19611" xr:uid="{00000000-0005-0000-0000-0000764C0000}"/>
    <cellStyle name="Normal 2 2 2 4 2 13 2 10" xfId="19612" xr:uid="{00000000-0005-0000-0000-0000774C0000}"/>
    <cellStyle name="Normal 2 2 2 4 2 13 2 2" xfId="19613" xr:uid="{00000000-0005-0000-0000-0000784C0000}"/>
    <cellStyle name="Normal 2 2 2 4 2 13 2 3" xfId="19614" xr:uid="{00000000-0005-0000-0000-0000794C0000}"/>
    <cellStyle name="Normal 2 2 2 4 2 13 2 4" xfId="19615" xr:uid="{00000000-0005-0000-0000-00007A4C0000}"/>
    <cellStyle name="Normal 2 2 2 4 2 13 2 5" xfId="19616" xr:uid="{00000000-0005-0000-0000-00007B4C0000}"/>
    <cellStyle name="Normal 2 2 2 4 2 13 2 6" xfId="19617" xr:uid="{00000000-0005-0000-0000-00007C4C0000}"/>
    <cellStyle name="Normal 2 2 2 4 2 13 2 7" xfId="19618" xr:uid="{00000000-0005-0000-0000-00007D4C0000}"/>
    <cellStyle name="Normal 2 2 2 4 2 13 2 8" xfId="19619" xr:uid="{00000000-0005-0000-0000-00007E4C0000}"/>
    <cellStyle name="Normal 2 2 2 4 2 13 2 9" xfId="19620" xr:uid="{00000000-0005-0000-0000-00007F4C0000}"/>
    <cellStyle name="Normal 2 2 2 4 2 13 3" xfId="19621" xr:uid="{00000000-0005-0000-0000-0000804C0000}"/>
    <cellStyle name="Normal 2 2 2 4 2 13 3 10" xfId="19622" xr:uid="{00000000-0005-0000-0000-0000814C0000}"/>
    <cellStyle name="Normal 2 2 2 4 2 13 3 2" xfId="19623" xr:uid="{00000000-0005-0000-0000-0000824C0000}"/>
    <cellStyle name="Normal 2 2 2 4 2 13 3 3" xfId="19624" xr:uid="{00000000-0005-0000-0000-0000834C0000}"/>
    <cellStyle name="Normal 2 2 2 4 2 13 3 4" xfId="19625" xr:uid="{00000000-0005-0000-0000-0000844C0000}"/>
    <cellStyle name="Normal 2 2 2 4 2 13 3 5" xfId="19626" xr:uid="{00000000-0005-0000-0000-0000854C0000}"/>
    <cellStyle name="Normal 2 2 2 4 2 13 3 6" xfId="19627" xr:uid="{00000000-0005-0000-0000-0000864C0000}"/>
    <cellStyle name="Normal 2 2 2 4 2 13 3 7" xfId="19628" xr:uid="{00000000-0005-0000-0000-0000874C0000}"/>
    <cellStyle name="Normal 2 2 2 4 2 13 3 8" xfId="19629" xr:uid="{00000000-0005-0000-0000-0000884C0000}"/>
    <cellStyle name="Normal 2 2 2 4 2 13 3 9" xfId="19630" xr:uid="{00000000-0005-0000-0000-0000894C0000}"/>
    <cellStyle name="Normal 2 2 2 4 2 13 4" xfId="19631" xr:uid="{00000000-0005-0000-0000-00008A4C0000}"/>
    <cellStyle name="Normal 2 2 2 4 2 13 4 10" xfId="19632" xr:uid="{00000000-0005-0000-0000-00008B4C0000}"/>
    <cellStyle name="Normal 2 2 2 4 2 13 4 2" xfId="19633" xr:uid="{00000000-0005-0000-0000-00008C4C0000}"/>
    <cellStyle name="Normal 2 2 2 4 2 13 4 3" xfId="19634" xr:uid="{00000000-0005-0000-0000-00008D4C0000}"/>
    <cellStyle name="Normal 2 2 2 4 2 13 4 4" xfId="19635" xr:uid="{00000000-0005-0000-0000-00008E4C0000}"/>
    <cellStyle name="Normal 2 2 2 4 2 13 4 5" xfId="19636" xr:uid="{00000000-0005-0000-0000-00008F4C0000}"/>
    <cellStyle name="Normal 2 2 2 4 2 13 4 6" xfId="19637" xr:uid="{00000000-0005-0000-0000-0000904C0000}"/>
    <cellStyle name="Normal 2 2 2 4 2 13 4 7" xfId="19638" xr:uid="{00000000-0005-0000-0000-0000914C0000}"/>
    <cellStyle name="Normal 2 2 2 4 2 13 4 8" xfId="19639" xr:uid="{00000000-0005-0000-0000-0000924C0000}"/>
    <cellStyle name="Normal 2 2 2 4 2 13 4 9" xfId="19640" xr:uid="{00000000-0005-0000-0000-0000934C0000}"/>
    <cellStyle name="Normal 2 2 2 4 2 13 5" xfId="19641" xr:uid="{00000000-0005-0000-0000-0000944C0000}"/>
    <cellStyle name="Normal 2 2 2 4 2 13 5 10" xfId="19642" xr:uid="{00000000-0005-0000-0000-0000954C0000}"/>
    <cellStyle name="Normal 2 2 2 4 2 13 5 2" xfId="19643" xr:uid="{00000000-0005-0000-0000-0000964C0000}"/>
    <cellStyle name="Normal 2 2 2 4 2 13 5 3" xfId="19644" xr:uid="{00000000-0005-0000-0000-0000974C0000}"/>
    <cellStyle name="Normal 2 2 2 4 2 13 5 4" xfId="19645" xr:uid="{00000000-0005-0000-0000-0000984C0000}"/>
    <cellStyle name="Normal 2 2 2 4 2 13 5 5" xfId="19646" xr:uid="{00000000-0005-0000-0000-0000994C0000}"/>
    <cellStyle name="Normal 2 2 2 4 2 13 5 6" xfId="19647" xr:uid="{00000000-0005-0000-0000-00009A4C0000}"/>
    <cellStyle name="Normal 2 2 2 4 2 13 5 7" xfId="19648" xr:uid="{00000000-0005-0000-0000-00009B4C0000}"/>
    <cellStyle name="Normal 2 2 2 4 2 13 5 8" xfId="19649" xr:uid="{00000000-0005-0000-0000-00009C4C0000}"/>
    <cellStyle name="Normal 2 2 2 4 2 13 5 9" xfId="19650" xr:uid="{00000000-0005-0000-0000-00009D4C0000}"/>
    <cellStyle name="Normal 2 2 2 4 2 13 6" xfId="19651" xr:uid="{00000000-0005-0000-0000-00009E4C0000}"/>
    <cellStyle name="Normal 2 2 2 4 2 13 7" xfId="19652" xr:uid="{00000000-0005-0000-0000-00009F4C0000}"/>
    <cellStyle name="Normal 2 2 2 4 2 13 8" xfId="19653" xr:uid="{00000000-0005-0000-0000-0000A04C0000}"/>
    <cellStyle name="Normal 2 2 2 4 2 13 9" xfId="19654" xr:uid="{00000000-0005-0000-0000-0000A14C0000}"/>
    <cellStyle name="Normal 2 2 2 4 2 14" xfId="19655" xr:uid="{00000000-0005-0000-0000-0000A24C0000}"/>
    <cellStyle name="Normal 2 2 2 4 2 14 10" xfId="19656" xr:uid="{00000000-0005-0000-0000-0000A34C0000}"/>
    <cellStyle name="Normal 2 2 2 4 2 14 11" xfId="19657" xr:uid="{00000000-0005-0000-0000-0000A44C0000}"/>
    <cellStyle name="Normal 2 2 2 4 2 14 12" xfId="19658" xr:uid="{00000000-0005-0000-0000-0000A54C0000}"/>
    <cellStyle name="Normal 2 2 2 4 2 14 13" xfId="19659" xr:uid="{00000000-0005-0000-0000-0000A64C0000}"/>
    <cellStyle name="Normal 2 2 2 4 2 14 14" xfId="19660" xr:uid="{00000000-0005-0000-0000-0000A74C0000}"/>
    <cellStyle name="Normal 2 2 2 4 2 14 2" xfId="19661" xr:uid="{00000000-0005-0000-0000-0000A84C0000}"/>
    <cellStyle name="Normal 2 2 2 4 2 14 2 10" xfId="19662" xr:uid="{00000000-0005-0000-0000-0000A94C0000}"/>
    <cellStyle name="Normal 2 2 2 4 2 14 2 2" xfId="19663" xr:uid="{00000000-0005-0000-0000-0000AA4C0000}"/>
    <cellStyle name="Normal 2 2 2 4 2 14 2 3" xfId="19664" xr:uid="{00000000-0005-0000-0000-0000AB4C0000}"/>
    <cellStyle name="Normal 2 2 2 4 2 14 2 4" xfId="19665" xr:uid="{00000000-0005-0000-0000-0000AC4C0000}"/>
    <cellStyle name="Normal 2 2 2 4 2 14 2 5" xfId="19666" xr:uid="{00000000-0005-0000-0000-0000AD4C0000}"/>
    <cellStyle name="Normal 2 2 2 4 2 14 2 6" xfId="19667" xr:uid="{00000000-0005-0000-0000-0000AE4C0000}"/>
    <cellStyle name="Normal 2 2 2 4 2 14 2 7" xfId="19668" xr:uid="{00000000-0005-0000-0000-0000AF4C0000}"/>
    <cellStyle name="Normal 2 2 2 4 2 14 2 8" xfId="19669" xr:uid="{00000000-0005-0000-0000-0000B04C0000}"/>
    <cellStyle name="Normal 2 2 2 4 2 14 2 9" xfId="19670" xr:uid="{00000000-0005-0000-0000-0000B14C0000}"/>
    <cellStyle name="Normal 2 2 2 4 2 14 3" xfId="19671" xr:uid="{00000000-0005-0000-0000-0000B24C0000}"/>
    <cellStyle name="Normal 2 2 2 4 2 14 3 10" xfId="19672" xr:uid="{00000000-0005-0000-0000-0000B34C0000}"/>
    <cellStyle name="Normal 2 2 2 4 2 14 3 2" xfId="19673" xr:uid="{00000000-0005-0000-0000-0000B44C0000}"/>
    <cellStyle name="Normal 2 2 2 4 2 14 3 3" xfId="19674" xr:uid="{00000000-0005-0000-0000-0000B54C0000}"/>
    <cellStyle name="Normal 2 2 2 4 2 14 3 4" xfId="19675" xr:uid="{00000000-0005-0000-0000-0000B64C0000}"/>
    <cellStyle name="Normal 2 2 2 4 2 14 3 5" xfId="19676" xr:uid="{00000000-0005-0000-0000-0000B74C0000}"/>
    <cellStyle name="Normal 2 2 2 4 2 14 3 6" xfId="19677" xr:uid="{00000000-0005-0000-0000-0000B84C0000}"/>
    <cellStyle name="Normal 2 2 2 4 2 14 3 7" xfId="19678" xr:uid="{00000000-0005-0000-0000-0000B94C0000}"/>
    <cellStyle name="Normal 2 2 2 4 2 14 3 8" xfId="19679" xr:uid="{00000000-0005-0000-0000-0000BA4C0000}"/>
    <cellStyle name="Normal 2 2 2 4 2 14 3 9" xfId="19680" xr:uid="{00000000-0005-0000-0000-0000BB4C0000}"/>
    <cellStyle name="Normal 2 2 2 4 2 14 4" xfId="19681" xr:uid="{00000000-0005-0000-0000-0000BC4C0000}"/>
    <cellStyle name="Normal 2 2 2 4 2 14 4 10" xfId="19682" xr:uid="{00000000-0005-0000-0000-0000BD4C0000}"/>
    <cellStyle name="Normal 2 2 2 4 2 14 4 2" xfId="19683" xr:uid="{00000000-0005-0000-0000-0000BE4C0000}"/>
    <cellStyle name="Normal 2 2 2 4 2 14 4 3" xfId="19684" xr:uid="{00000000-0005-0000-0000-0000BF4C0000}"/>
    <cellStyle name="Normal 2 2 2 4 2 14 4 4" xfId="19685" xr:uid="{00000000-0005-0000-0000-0000C04C0000}"/>
    <cellStyle name="Normal 2 2 2 4 2 14 4 5" xfId="19686" xr:uid="{00000000-0005-0000-0000-0000C14C0000}"/>
    <cellStyle name="Normal 2 2 2 4 2 14 4 6" xfId="19687" xr:uid="{00000000-0005-0000-0000-0000C24C0000}"/>
    <cellStyle name="Normal 2 2 2 4 2 14 4 7" xfId="19688" xr:uid="{00000000-0005-0000-0000-0000C34C0000}"/>
    <cellStyle name="Normal 2 2 2 4 2 14 4 8" xfId="19689" xr:uid="{00000000-0005-0000-0000-0000C44C0000}"/>
    <cellStyle name="Normal 2 2 2 4 2 14 4 9" xfId="19690" xr:uid="{00000000-0005-0000-0000-0000C54C0000}"/>
    <cellStyle name="Normal 2 2 2 4 2 14 5" xfId="19691" xr:uid="{00000000-0005-0000-0000-0000C64C0000}"/>
    <cellStyle name="Normal 2 2 2 4 2 14 5 10" xfId="19692" xr:uid="{00000000-0005-0000-0000-0000C74C0000}"/>
    <cellStyle name="Normal 2 2 2 4 2 14 5 2" xfId="19693" xr:uid="{00000000-0005-0000-0000-0000C84C0000}"/>
    <cellStyle name="Normal 2 2 2 4 2 14 5 3" xfId="19694" xr:uid="{00000000-0005-0000-0000-0000C94C0000}"/>
    <cellStyle name="Normal 2 2 2 4 2 14 5 4" xfId="19695" xr:uid="{00000000-0005-0000-0000-0000CA4C0000}"/>
    <cellStyle name="Normal 2 2 2 4 2 14 5 5" xfId="19696" xr:uid="{00000000-0005-0000-0000-0000CB4C0000}"/>
    <cellStyle name="Normal 2 2 2 4 2 14 5 6" xfId="19697" xr:uid="{00000000-0005-0000-0000-0000CC4C0000}"/>
    <cellStyle name="Normal 2 2 2 4 2 14 5 7" xfId="19698" xr:uid="{00000000-0005-0000-0000-0000CD4C0000}"/>
    <cellStyle name="Normal 2 2 2 4 2 14 5 8" xfId="19699" xr:uid="{00000000-0005-0000-0000-0000CE4C0000}"/>
    <cellStyle name="Normal 2 2 2 4 2 14 5 9" xfId="19700" xr:uid="{00000000-0005-0000-0000-0000CF4C0000}"/>
    <cellStyle name="Normal 2 2 2 4 2 14 6" xfId="19701" xr:uid="{00000000-0005-0000-0000-0000D04C0000}"/>
    <cellStyle name="Normal 2 2 2 4 2 14 7" xfId="19702" xr:uid="{00000000-0005-0000-0000-0000D14C0000}"/>
    <cellStyle name="Normal 2 2 2 4 2 14 8" xfId="19703" xr:uid="{00000000-0005-0000-0000-0000D24C0000}"/>
    <cellStyle name="Normal 2 2 2 4 2 14 9" xfId="19704" xr:uid="{00000000-0005-0000-0000-0000D34C0000}"/>
    <cellStyle name="Normal 2 2 2 4 2 15" xfId="19705" xr:uid="{00000000-0005-0000-0000-0000D44C0000}"/>
    <cellStyle name="Normal 2 2 2 4 2 15 10" xfId="19706" xr:uid="{00000000-0005-0000-0000-0000D54C0000}"/>
    <cellStyle name="Normal 2 2 2 4 2 15 11" xfId="19707" xr:uid="{00000000-0005-0000-0000-0000D64C0000}"/>
    <cellStyle name="Normal 2 2 2 4 2 15 12" xfId="19708" xr:uid="{00000000-0005-0000-0000-0000D74C0000}"/>
    <cellStyle name="Normal 2 2 2 4 2 15 13" xfId="19709" xr:uid="{00000000-0005-0000-0000-0000D84C0000}"/>
    <cellStyle name="Normal 2 2 2 4 2 15 14" xfId="19710" xr:uid="{00000000-0005-0000-0000-0000D94C0000}"/>
    <cellStyle name="Normal 2 2 2 4 2 15 2" xfId="19711" xr:uid="{00000000-0005-0000-0000-0000DA4C0000}"/>
    <cellStyle name="Normal 2 2 2 4 2 15 2 10" xfId="19712" xr:uid="{00000000-0005-0000-0000-0000DB4C0000}"/>
    <cellStyle name="Normal 2 2 2 4 2 15 2 2" xfId="19713" xr:uid="{00000000-0005-0000-0000-0000DC4C0000}"/>
    <cellStyle name="Normal 2 2 2 4 2 15 2 3" xfId="19714" xr:uid="{00000000-0005-0000-0000-0000DD4C0000}"/>
    <cellStyle name="Normal 2 2 2 4 2 15 2 4" xfId="19715" xr:uid="{00000000-0005-0000-0000-0000DE4C0000}"/>
    <cellStyle name="Normal 2 2 2 4 2 15 2 5" xfId="19716" xr:uid="{00000000-0005-0000-0000-0000DF4C0000}"/>
    <cellStyle name="Normal 2 2 2 4 2 15 2 6" xfId="19717" xr:uid="{00000000-0005-0000-0000-0000E04C0000}"/>
    <cellStyle name="Normal 2 2 2 4 2 15 2 7" xfId="19718" xr:uid="{00000000-0005-0000-0000-0000E14C0000}"/>
    <cellStyle name="Normal 2 2 2 4 2 15 2 8" xfId="19719" xr:uid="{00000000-0005-0000-0000-0000E24C0000}"/>
    <cellStyle name="Normal 2 2 2 4 2 15 2 9" xfId="19720" xr:uid="{00000000-0005-0000-0000-0000E34C0000}"/>
    <cellStyle name="Normal 2 2 2 4 2 15 3" xfId="19721" xr:uid="{00000000-0005-0000-0000-0000E44C0000}"/>
    <cellStyle name="Normal 2 2 2 4 2 15 3 10" xfId="19722" xr:uid="{00000000-0005-0000-0000-0000E54C0000}"/>
    <cellStyle name="Normal 2 2 2 4 2 15 3 2" xfId="19723" xr:uid="{00000000-0005-0000-0000-0000E64C0000}"/>
    <cellStyle name="Normal 2 2 2 4 2 15 3 3" xfId="19724" xr:uid="{00000000-0005-0000-0000-0000E74C0000}"/>
    <cellStyle name="Normal 2 2 2 4 2 15 3 4" xfId="19725" xr:uid="{00000000-0005-0000-0000-0000E84C0000}"/>
    <cellStyle name="Normal 2 2 2 4 2 15 3 5" xfId="19726" xr:uid="{00000000-0005-0000-0000-0000E94C0000}"/>
    <cellStyle name="Normal 2 2 2 4 2 15 3 6" xfId="19727" xr:uid="{00000000-0005-0000-0000-0000EA4C0000}"/>
    <cellStyle name="Normal 2 2 2 4 2 15 3 7" xfId="19728" xr:uid="{00000000-0005-0000-0000-0000EB4C0000}"/>
    <cellStyle name="Normal 2 2 2 4 2 15 3 8" xfId="19729" xr:uid="{00000000-0005-0000-0000-0000EC4C0000}"/>
    <cellStyle name="Normal 2 2 2 4 2 15 3 9" xfId="19730" xr:uid="{00000000-0005-0000-0000-0000ED4C0000}"/>
    <cellStyle name="Normal 2 2 2 4 2 15 4" xfId="19731" xr:uid="{00000000-0005-0000-0000-0000EE4C0000}"/>
    <cellStyle name="Normal 2 2 2 4 2 15 4 10" xfId="19732" xr:uid="{00000000-0005-0000-0000-0000EF4C0000}"/>
    <cellStyle name="Normal 2 2 2 4 2 15 4 2" xfId="19733" xr:uid="{00000000-0005-0000-0000-0000F04C0000}"/>
    <cellStyle name="Normal 2 2 2 4 2 15 4 3" xfId="19734" xr:uid="{00000000-0005-0000-0000-0000F14C0000}"/>
    <cellStyle name="Normal 2 2 2 4 2 15 4 4" xfId="19735" xr:uid="{00000000-0005-0000-0000-0000F24C0000}"/>
    <cellStyle name="Normal 2 2 2 4 2 15 4 5" xfId="19736" xr:uid="{00000000-0005-0000-0000-0000F34C0000}"/>
    <cellStyle name="Normal 2 2 2 4 2 15 4 6" xfId="19737" xr:uid="{00000000-0005-0000-0000-0000F44C0000}"/>
    <cellStyle name="Normal 2 2 2 4 2 15 4 7" xfId="19738" xr:uid="{00000000-0005-0000-0000-0000F54C0000}"/>
    <cellStyle name="Normal 2 2 2 4 2 15 4 8" xfId="19739" xr:uid="{00000000-0005-0000-0000-0000F64C0000}"/>
    <cellStyle name="Normal 2 2 2 4 2 15 4 9" xfId="19740" xr:uid="{00000000-0005-0000-0000-0000F74C0000}"/>
    <cellStyle name="Normal 2 2 2 4 2 15 5" xfId="19741" xr:uid="{00000000-0005-0000-0000-0000F84C0000}"/>
    <cellStyle name="Normal 2 2 2 4 2 15 5 10" xfId="19742" xr:uid="{00000000-0005-0000-0000-0000F94C0000}"/>
    <cellStyle name="Normal 2 2 2 4 2 15 5 2" xfId="19743" xr:uid="{00000000-0005-0000-0000-0000FA4C0000}"/>
    <cellStyle name="Normal 2 2 2 4 2 15 5 3" xfId="19744" xr:uid="{00000000-0005-0000-0000-0000FB4C0000}"/>
    <cellStyle name="Normal 2 2 2 4 2 15 5 4" xfId="19745" xr:uid="{00000000-0005-0000-0000-0000FC4C0000}"/>
    <cellStyle name="Normal 2 2 2 4 2 15 5 5" xfId="19746" xr:uid="{00000000-0005-0000-0000-0000FD4C0000}"/>
    <cellStyle name="Normal 2 2 2 4 2 15 5 6" xfId="19747" xr:uid="{00000000-0005-0000-0000-0000FE4C0000}"/>
    <cellStyle name="Normal 2 2 2 4 2 15 5 7" xfId="19748" xr:uid="{00000000-0005-0000-0000-0000FF4C0000}"/>
    <cellStyle name="Normal 2 2 2 4 2 15 5 8" xfId="19749" xr:uid="{00000000-0005-0000-0000-0000004D0000}"/>
    <cellStyle name="Normal 2 2 2 4 2 15 5 9" xfId="19750" xr:uid="{00000000-0005-0000-0000-0000014D0000}"/>
    <cellStyle name="Normal 2 2 2 4 2 15 6" xfId="19751" xr:uid="{00000000-0005-0000-0000-0000024D0000}"/>
    <cellStyle name="Normal 2 2 2 4 2 15 7" xfId="19752" xr:uid="{00000000-0005-0000-0000-0000034D0000}"/>
    <cellStyle name="Normal 2 2 2 4 2 15 8" xfId="19753" xr:uid="{00000000-0005-0000-0000-0000044D0000}"/>
    <cellStyle name="Normal 2 2 2 4 2 15 9" xfId="19754" xr:uid="{00000000-0005-0000-0000-0000054D0000}"/>
    <cellStyle name="Normal 2 2 2 4 2 16" xfId="19755" xr:uid="{00000000-0005-0000-0000-0000064D0000}"/>
    <cellStyle name="Normal 2 2 2 4 2 16 10" xfId="19756" xr:uid="{00000000-0005-0000-0000-0000074D0000}"/>
    <cellStyle name="Normal 2 2 2 4 2 16 11" xfId="19757" xr:uid="{00000000-0005-0000-0000-0000084D0000}"/>
    <cellStyle name="Normal 2 2 2 4 2 16 12" xfId="19758" xr:uid="{00000000-0005-0000-0000-0000094D0000}"/>
    <cellStyle name="Normal 2 2 2 4 2 16 13" xfId="19759" xr:uid="{00000000-0005-0000-0000-00000A4D0000}"/>
    <cellStyle name="Normal 2 2 2 4 2 16 14" xfId="19760" xr:uid="{00000000-0005-0000-0000-00000B4D0000}"/>
    <cellStyle name="Normal 2 2 2 4 2 16 2" xfId="19761" xr:uid="{00000000-0005-0000-0000-00000C4D0000}"/>
    <cellStyle name="Normal 2 2 2 4 2 16 2 10" xfId="19762" xr:uid="{00000000-0005-0000-0000-00000D4D0000}"/>
    <cellStyle name="Normal 2 2 2 4 2 16 2 2" xfId="19763" xr:uid="{00000000-0005-0000-0000-00000E4D0000}"/>
    <cellStyle name="Normal 2 2 2 4 2 16 2 3" xfId="19764" xr:uid="{00000000-0005-0000-0000-00000F4D0000}"/>
    <cellStyle name="Normal 2 2 2 4 2 16 2 4" xfId="19765" xr:uid="{00000000-0005-0000-0000-0000104D0000}"/>
    <cellStyle name="Normal 2 2 2 4 2 16 2 5" xfId="19766" xr:uid="{00000000-0005-0000-0000-0000114D0000}"/>
    <cellStyle name="Normal 2 2 2 4 2 16 2 6" xfId="19767" xr:uid="{00000000-0005-0000-0000-0000124D0000}"/>
    <cellStyle name="Normal 2 2 2 4 2 16 2 7" xfId="19768" xr:uid="{00000000-0005-0000-0000-0000134D0000}"/>
    <cellStyle name="Normal 2 2 2 4 2 16 2 8" xfId="19769" xr:uid="{00000000-0005-0000-0000-0000144D0000}"/>
    <cellStyle name="Normal 2 2 2 4 2 16 2 9" xfId="19770" xr:uid="{00000000-0005-0000-0000-0000154D0000}"/>
    <cellStyle name="Normal 2 2 2 4 2 16 3" xfId="19771" xr:uid="{00000000-0005-0000-0000-0000164D0000}"/>
    <cellStyle name="Normal 2 2 2 4 2 16 3 10" xfId="19772" xr:uid="{00000000-0005-0000-0000-0000174D0000}"/>
    <cellStyle name="Normal 2 2 2 4 2 16 3 2" xfId="19773" xr:uid="{00000000-0005-0000-0000-0000184D0000}"/>
    <cellStyle name="Normal 2 2 2 4 2 16 3 3" xfId="19774" xr:uid="{00000000-0005-0000-0000-0000194D0000}"/>
    <cellStyle name="Normal 2 2 2 4 2 16 3 4" xfId="19775" xr:uid="{00000000-0005-0000-0000-00001A4D0000}"/>
    <cellStyle name="Normal 2 2 2 4 2 16 3 5" xfId="19776" xr:uid="{00000000-0005-0000-0000-00001B4D0000}"/>
    <cellStyle name="Normal 2 2 2 4 2 16 3 6" xfId="19777" xr:uid="{00000000-0005-0000-0000-00001C4D0000}"/>
    <cellStyle name="Normal 2 2 2 4 2 16 3 7" xfId="19778" xr:uid="{00000000-0005-0000-0000-00001D4D0000}"/>
    <cellStyle name="Normal 2 2 2 4 2 16 3 8" xfId="19779" xr:uid="{00000000-0005-0000-0000-00001E4D0000}"/>
    <cellStyle name="Normal 2 2 2 4 2 16 3 9" xfId="19780" xr:uid="{00000000-0005-0000-0000-00001F4D0000}"/>
    <cellStyle name="Normal 2 2 2 4 2 16 4" xfId="19781" xr:uid="{00000000-0005-0000-0000-0000204D0000}"/>
    <cellStyle name="Normal 2 2 2 4 2 16 4 10" xfId="19782" xr:uid="{00000000-0005-0000-0000-0000214D0000}"/>
    <cellStyle name="Normal 2 2 2 4 2 16 4 2" xfId="19783" xr:uid="{00000000-0005-0000-0000-0000224D0000}"/>
    <cellStyle name="Normal 2 2 2 4 2 16 4 3" xfId="19784" xr:uid="{00000000-0005-0000-0000-0000234D0000}"/>
    <cellStyle name="Normal 2 2 2 4 2 16 4 4" xfId="19785" xr:uid="{00000000-0005-0000-0000-0000244D0000}"/>
    <cellStyle name="Normal 2 2 2 4 2 16 4 5" xfId="19786" xr:uid="{00000000-0005-0000-0000-0000254D0000}"/>
    <cellStyle name="Normal 2 2 2 4 2 16 4 6" xfId="19787" xr:uid="{00000000-0005-0000-0000-0000264D0000}"/>
    <cellStyle name="Normal 2 2 2 4 2 16 4 7" xfId="19788" xr:uid="{00000000-0005-0000-0000-0000274D0000}"/>
    <cellStyle name="Normal 2 2 2 4 2 16 4 8" xfId="19789" xr:uid="{00000000-0005-0000-0000-0000284D0000}"/>
    <cellStyle name="Normal 2 2 2 4 2 16 4 9" xfId="19790" xr:uid="{00000000-0005-0000-0000-0000294D0000}"/>
    <cellStyle name="Normal 2 2 2 4 2 16 5" xfId="19791" xr:uid="{00000000-0005-0000-0000-00002A4D0000}"/>
    <cellStyle name="Normal 2 2 2 4 2 16 5 10" xfId="19792" xr:uid="{00000000-0005-0000-0000-00002B4D0000}"/>
    <cellStyle name="Normal 2 2 2 4 2 16 5 2" xfId="19793" xr:uid="{00000000-0005-0000-0000-00002C4D0000}"/>
    <cellStyle name="Normal 2 2 2 4 2 16 5 3" xfId="19794" xr:uid="{00000000-0005-0000-0000-00002D4D0000}"/>
    <cellStyle name="Normal 2 2 2 4 2 16 5 4" xfId="19795" xr:uid="{00000000-0005-0000-0000-00002E4D0000}"/>
    <cellStyle name="Normal 2 2 2 4 2 16 5 5" xfId="19796" xr:uid="{00000000-0005-0000-0000-00002F4D0000}"/>
    <cellStyle name="Normal 2 2 2 4 2 16 5 6" xfId="19797" xr:uid="{00000000-0005-0000-0000-0000304D0000}"/>
    <cellStyle name="Normal 2 2 2 4 2 16 5 7" xfId="19798" xr:uid="{00000000-0005-0000-0000-0000314D0000}"/>
    <cellStyle name="Normal 2 2 2 4 2 16 5 8" xfId="19799" xr:uid="{00000000-0005-0000-0000-0000324D0000}"/>
    <cellStyle name="Normal 2 2 2 4 2 16 5 9" xfId="19800" xr:uid="{00000000-0005-0000-0000-0000334D0000}"/>
    <cellStyle name="Normal 2 2 2 4 2 16 6" xfId="19801" xr:uid="{00000000-0005-0000-0000-0000344D0000}"/>
    <cellStyle name="Normal 2 2 2 4 2 16 7" xfId="19802" xr:uid="{00000000-0005-0000-0000-0000354D0000}"/>
    <cellStyle name="Normal 2 2 2 4 2 16 8" xfId="19803" xr:uid="{00000000-0005-0000-0000-0000364D0000}"/>
    <cellStyle name="Normal 2 2 2 4 2 16 9" xfId="19804" xr:uid="{00000000-0005-0000-0000-0000374D0000}"/>
    <cellStyle name="Normal 2 2 2 4 2 17" xfId="19805" xr:uid="{00000000-0005-0000-0000-0000384D0000}"/>
    <cellStyle name="Normal 2 2 2 4 2 17 10" xfId="19806" xr:uid="{00000000-0005-0000-0000-0000394D0000}"/>
    <cellStyle name="Normal 2 2 2 4 2 17 11" xfId="19807" xr:uid="{00000000-0005-0000-0000-00003A4D0000}"/>
    <cellStyle name="Normal 2 2 2 4 2 17 12" xfId="19808" xr:uid="{00000000-0005-0000-0000-00003B4D0000}"/>
    <cellStyle name="Normal 2 2 2 4 2 17 13" xfId="19809" xr:uid="{00000000-0005-0000-0000-00003C4D0000}"/>
    <cellStyle name="Normal 2 2 2 4 2 17 14" xfId="19810" xr:uid="{00000000-0005-0000-0000-00003D4D0000}"/>
    <cellStyle name="Normal 2 2 2 4 2 17 2" xfId="19811" xr:uid="{00000000-0005-0000-0000-00003E4D0000}"/>
    <cellStyle name="Normal 2 2 2 4 2 17 2 10" xfId="19812" xr:uid="{00000000-0005-0000-0000-00003F4D0000}"/>
    <cellStyle name="Normal 2 2 2 4 2 17 2 2" xfId="19813" xr:uid="{00000000-0005-0000-0000-0000404D0000}"/>
    <cellStyle name="Normal 2 2 2 4 2 17 2 3" xfId="19814" xr:uid="{00000000-0005-0000-0000-0000414D0000}"/>
    <cellStyle name="Normal 2 2 2 4 2 17 2 4" xfId="19815" xr:uid="{00000000-0005-0000-0000-0000424D0000}"/>
    <cellStyle name="Normal 2 2 2 4 2 17 2 5" xfId="19816" xr:uid="{00000000-0005-0000-0000-0000434D0000}"/>
    <cellStyle name="Normal 2 2 2 4 2 17 2 6" xfId="19817" xr:uid="{00000000-0005-0000-0000-0000444D0000}"/>
    <cellStyle name="Normal 2 2 2 4 2 17 2 7" xfId="19818" xr:uid="{00000000-0005-0000-0000-0000454D0000}"/>
    <cellStyle name="Normal 2 2 2 4 2 17 2 8" xfId="19819" xr:uid="{00000000-0005-0000-0000-0000464D0000}"/>
    <cellStyle name="Normal 2 2 2 4 2 17 2 9" xfId="19820" xr:uid="{00000000-0005-0000-0000-0000474D0000}"/>
    <cellStyle name="Normal 2 2 2 4 2 17 3" xfId="19821" xr:uid="{00000000-0005-0000-0000-0000484D0000}"/>
    <cellStyle name="Normal 2 2 2 4 2 17 3 10" xfId="19822" xr:uid="{00000000-0005-0000-0000-0000494D0000}"/>
    <cellStyle name="Normal 2 2 2 4 2 17 3 2" xfId="19823" xr:uid="{00000000-0005-0000-0000-00004A4D0000}"/>
    <cellStyle name="Normal 2 2 2 4 2 17 3 3" xfId="19824" xr:uid="{00000000-0005-0000-0000-00004B4D0000}"/>
    <cellStyle name="Normal 2 2 2 4 2 17 3 4" xfId="19825" xr:uid="{00000000-0005-0000-0000-00004C4D0000}"/>
    <cellStyle name="Normal 2 2 2 4 2 17 3 5" xfId="19826" xr:uid="{00000000-0005-0000-0000-00004D4D0000}"/>
    <cellStyle name="Normal 2 2 2 4 2 17 3 6" xfId="19827" xr:uid="{00000000-0005-0000-0000-00004E4D0000}"/>
    <cellStyle name="Normal 2 2 2 4 2 17 3 7" xfId="19828" xr:uid="{00000000-0005-0000-0000-00004F4D0000}"/>
    <cellStyle name="Normal 2 2 2 4 2 17 3 8" xfId="19829" xr:uid="{00000000-0005-0000-0000-0000504D0000}"/>
    <cellStyle name="Normal 2 2 2 4 2 17 3 9" xfId="19830" xr:uid="{00000000-0005-0000-0000-0000514D0000}"/>
    <cellStyle name="Normal 2 2 2 4 2 17 4" xfId="19831" xr:uid="{00000000-0005-0000-0000-0000524D0000}"/>
    <cellStyle name="Normal 2 2 2 4 2 17 4 10" xfId="19832" xr:uid="{00000000-0005-0000-0000-0000534D0000}"/>
    <cellStyle name="Normal 2 2 2 4 2 17 4 2" xfId="19833" xr:uid="{00000000-0005-0000-0000-0000544D0000}"/>
    <cellStyle name="Normal 2 2 2 4 2 17 4 3" xfId="19834" xr:uid="{00000000-0005-0000-0000-0000554D0000}"/>
    <cellStyle name="Normal 2 2 2 4 2 17 4 4" xfId="19835" xr:uid="{00000000-0005-0000-0000-0000564D0000}"/>
    <cellStyle name="Normal 2 2 2 4 2 17 4 5" xfId="19836" xr:uid="{00000000-0005-0000-0000-0000574D0000}"/>
    <cellStyle name="Normal 2 2 2 4 2 17 4 6" xfId="19837" xr:uid="{00000000-0005-0000-0000-0000584D0000}"/>
    <cellStyle name="Normal 2 2 2 4 2 17 4 7" xfId="19838" xr:uid="{00000000-0005-0000-0000-0000594D0000}"/>
    <cellStyle name="Normal 2 2 2 4 2 17 4 8" xfId="19839" xr:uid="{00000000-0005-0000-0000-00005A4D0000}"/>
    <cellStyle name="Normal 2 2 2 4 2 17 4 9" xfId="19840" xr:uid="{00000000-0005-0000-0000-00005B4D0000}"/>
    <cellStyle name="Normal 2 2 2 4 2 17 5" xfId="19841" xr:uid="{00000000-0005-0000-0000-00005C4D0000}"/>
    <cellStyle name="Normal 2 2 2 4 2 17 5 10" xfId="19842" xr:uid="{00000000-0005-0000-0000-00005D4D0000}"/>
    <cellStyle name="Normal 2 2 2 4 2 17 5 2" xfId="19843" xr:uid="{00000000-0005-0000-0000-00005E4D0000}"/>
    <cellStyle name="Normal 2 2 2 4 2 17 5 3" xfId="19844" xr:uid="{00000000-0005-0000-0000-00005F4D0000}"/>
    <cellStyle name="Normal 2 2 2 4 2 17 5 4" xfId="19845" xr:uid="{00000000-0005-0000-0000-0000604D0000}"/>
    <cellStyle name="Normal 2 2 2 4 2 17 5 5" xfId="19846" xr:uid="{00000000-0005-0000-0000-0000614D0000}"/>
    <cellStyle name="Normal 2 2 2 4 2 17 5 6" xfId="19847" xr:uid="{00000000-0005-0000-0000-0000624D0000}"/>
    <cellStyle name="Normal 2 2 2 4 2 17 5 7" xfId="19848" xr:uid="{00000000-0005-0000-0000-0000634D0000}"/>
    <cellStyle name="Normal 2 2 2 4 2 17 5 8" xfId="19849" xr:uid="{00000000-0005-0000-0000-0000644D0000}"/>
    <cellStyle name="Normal 2 2 2 4 2 17 5 9" xfId="19850" xr:uid="{00000000-0005-0000-0000-0000654D0000}"/>
    <cellStyle name="Normal 2 2 2 4 2 17 6" xfId="19851" xr:uid="{00000000-0005-0000-0000-0000664D0000}"/>
    <cellStyle name="Normal 2 2 2 4 2 17 7" xfId="19852" xr:uid="{00000000-0005-0000-0000-0000674D0000}"/>
    <cellStyle name="Normal 2 2 2 4 2 17 8" xfId="19853" xr:uid="{00000000-0005-0000-0000-0000684D0000}"/>
    <cellStyle name="Normal 2 2 2 4 2 17 9" xfId="19854" xr:uid="{00000000-0005-0000-0000-0000694D0000}"/>
    <cellStyle name="Normal 2 2 2 4 2 18" xfId="19855" xr:uid="{00000000-0005-0000-0000-00006A4D0000}"/>
    <cellStyle name="Normal 2 2 2 4 2 18 10" xfId="19856" xr:uid="{00000000-0005-0000-0000-00006B4D0000}"/>
    <cellStyle name="Normal 2 2 2 4 2 18 11" xfId="19857" xr:uid="{00000000-0005-0000-0000-00006C4D0000}"/>
    <cellStyle name="Normal 2 2 2 4 2 18 12" xfId="19858" xr:uid="{00000000-0005-0000-0000-00006D4D0000}"/>
    <cellStyle name="Normal 2 2 2 4 2 18 13" xfId="19859" xr:uid="{00000000-0005-0000-0000-00006E4D0000}"/>
    <cellStyle name="Normal 2 2 2 4 2 18 14" xfId="19860" xr:uid="{00000000-0005-0000-0000-00006F4D0000}"/>
    <cellStyle name="Normal 2 2 2 4 2 18 2" xfId="19861" xr:uid="{00000000-0005-0000-0000-0000704D0000}"/>
    <cellStyle name="Normal 2 2 2 4 2 18 2 10" xfId="19862" xr:uid="{00000000-0005-0000-0000-0000714D0000}"/>
    <cellStyle name="Normal 2 2 2 4 2 18 2 2" xfId="19863" xr:uid="{00000000-0005-0000-0000-0000724D0000}"/>
    <cellStyle name="Normal 2 2 2 4 2 18 2 3" xfId="19864" xr:uid="{00000000-0005-0000-0000-0000734D0000}"/>
    <cellStyle name="Normal 2 2 2 4 2 18 2 4" xfId="19865" xr:uid="{00000000-0005-0000-0000-0000744D0000}"/>
    <cellStyle name="Normal 2 2 2 4 2 18 2 5" xfId="19866" xr:uid="{00000000-0005-0000-0000-0000754D0000}"/>
    <cellStyle name="Normal 2 2 2 4 2 18 2 6" xfId="19867" xr:uid="{00000000-0005-0000-0000-0000764D0000}"/>
    <cellStyle name="Normal 2 2 2 4 2 18 2 7" xfId="19868" xr:uid="{00000000-0005-0000-0000-0000774D0000}"/>
    <cellStyle name="Normal 2 2 2 4 2 18 2 8" xfId="19869" xr:uid="{00000000-0005-0000-0000-0000784D0000}"/>
    <cellStyle name="Normal 2 2 2 4 2 18 2 9" xfId="19870" xr:uid="{00000000-0005-0000-0000-0000794D0000}"/>
    <cellStyle name="Normal 2 2 2 4 2 18 3" xfId="19871" xr:uid="{00000000-0005-0000-0000-00007A4D0000}"/>
    <cellStyle name="Normal 2 2 2 4 2 18 3 10" xfId="19872" xr:uid="{00000000-0005-0000-0000-00007B4D0000}"/>
    <cellStyle name="Normal 2 2 2 4 2 18 3 2" xfId="19873" xr:uid="{00000000-0005-0000-0000-00007C4D0000}"/>
    <cellStyle name="Normal 2 2 2 4 2 18 3 3" xfId="19874" xr:uid="{00000000-0005-0000-0000-00007D4D0000}"/>
    <cellStyle name="Normal 2 2 2 4 2 18 3 4" xfId="19875" xr:uid="{00000000-0005-0000-0000-00007E4D0000}"/>
    <cellStyle name="Normal 2 2 2 4 2 18 3 5" xfId="19876" xr:uid="{00000000-0005-0000-0000-00007F4D0000}"/>
    <cellStyle name="Normal 2 2 2 4 2 18 3 6" xfId="19877" xr:uid="{00000000-0005-0000-0000-0000804D0000}"/>
    <cellStyle name="Normal 2 2 2 4 2 18 3 7" xfId="19878" xr:uid="{00000000-0005-0000-0000-0000814D0000}"/>
    <cellStyle name="Normal 2 2 2 4 2 18 3 8" xfId="19879" xr:uid="{00000000-0005-0000-0000-0000824D0000}"/>
    <cellStyle name="Normal 2 2 2 4 2 18 3 9" xfId="19880" xr:uid="{00000000-0005-0000-0000-0000834D0000}"/>
    <cellStyle name="Normal 2 2 2 4 2 18 4" xfId="19881" xr:uid="{00000000-0005-0000-0000-0000844D0000}"/>
    <cellStyle name="Normal 2 2 2 4 2 18 4 10" xfId="19882" xr:uid="{00000000-0005-0000-0000-0000854D0000}"/>
    <cellStyle name="Normal 2 2 2 4 2 18 4 2" xfId="19883" xr:uid="{00000000-0005-0000-0000-0000864D0000}"/>
    <cellStyle name="Normal 2 2 2 4 2 18 4 3" xfId="19884" xr:uid="{00000000-0005-0000-0000-0000874D0000}"/>
    <cellStyle name="Normal 2 2 2 4 2 18 4 4" xfId="19885" xr:uid="{00000000-0005-0000-0000-0000884D0000}"/>
    <cellStyle name="Normal 2 2 2 4 2 18 4 5" xfId="19886" xr:uid="{00000000-0005-0000-0000-0000894D0000}"/>
    <cellStyle name="Normal 2 2 2 4 2 18 4 6" xfId="19887" xr:uid="{00000000-0005-0000-0000-00008A4D0000}"/>
    <cellStyle name="Normal 2 2 2 4 2 18 4 7" xfId="19888" xr:uid="{00000000-0005-0000-0000-00008B4D0000}"/>
    <cellStyle name="Normal 2 2 2 4 2 18 4 8" xfId="19889" xr:uid="{00000000-0005-0000-0000-00008C4D0000}"/>
    <cellStyle name="Normal 2 2 2 4 2 18 4 9" xfId="19890" xr:uid="{00000000-0005-0000-0000-00008D4D0000}"/>
    <cellStyle name="Normal 2 2 2 4 2 18 5" xfId="19891" xr:uid="{00000000-0005-0000-0000-00008E4D0000}"/>
    <cellStyle name="Normal 2 2 2 4 2 18 5 10" xfId="19892" xr:uid="{00000000-0005-0000-0000-00008F4D0000}"/>
    <cellStyle name="Normal 2 2 2 4 2 18 5 2" xfId="19893" xr:uid="{00000000-0005-0000-0000-0000904D0000}"/>
    <cellStyle name="Normal 2 2 2 4 2 18 5 3" xfId="19894" xr:uid="{00000000-0005-0000-0000-0000914D0000}"/>
    <cellStyle name="Normal 2 2 2 4 2 18 5 4" xfId="19895" xr:uid="{00000000-0005-0000-0000-0000924D0000}"/>
    <cellStyle name="Normal 2 2 2 4 2 18 5 5" xfId="19896" xr:uid="{00000000-0005-0000-0000-0000934D0000}"/>
    <cellStyle name="Normal 2 2 2 4 2 18 5 6" xfId="19897" xr:uid="{00000000-0005-0000-0000-0000944D0000}"/>
    <cellStyle name="Normal 2 2 2 4 2 18 5 7" xfId="19898" xr:uid="{00000000-0005-0000-0000-0000954D0000}"/>
    <cellStyle name="Normal 2 2 2 4 2 18 5 8" xfId="19899" xr:uid="{00000000-0005-0000-0000-0000964D0000}"/>
    <cellStyle name="Normal 2 2 2 4 2 18 5 9" xfId="19900" xr:uid="{00000000-0005-0000-0000-0000974D0000}"/>
    <cellStyle name="Normal 2 2 2 4 2 18 6" xfId="19901" xr:uid="{00000000-0005-0000-0000-0000984D0000}"/>
    <cellStyle name="Normal 2 2 2 4 2 18 7" xfId="19902" xr:uid="{00000000-0005-0000-0000-0000994D0000}"/>
    <cellStyle name="Normal 2 2 2 4 2 18 8" xfId="19903" xr:uid="{00000000-0005-0000-0000-00009A4D0000}"/>
    <cellStyle name="Normal 2 2 2 4 2 18 9" xfId="19904" xr:uid="{00000000-0005-0000-0000-00009B4D0000}"/>
    <cellStyle name="Normal 2 2 2 4 2 19" xfId="19905" xr:uid="{00000000-0005-0000-0000-00009C4D0000}"/>
    <cellStyle name="Normal 2 2 2 4 2 19 10" xfId="19906" xr:uid="{00000000-0005-0000-0000-00009D4D0000}"/>
    <cellStyle name="Normal 2 2 2 4 2 19 11" xfId="19907" xr:uid="{00000000-0005-0000-0000-00009E4D0000}"/>
    <cellStyle name="Normal 2 2 2 4 2 19 12" xfId="19908" xr:uid="{00000000-0005-0000-0000-00009F4D0000}"/>
    <cellStyle name="Normal 2 2 2 4 2 19 13" xfId="19909" xr:uid="{00000000-0005-0000-0000-0000A04D0000}"/>
    <cellStyle name="Normal 2 2 2 4 2 19 14" xfId="19910" xr:uid="{00000000-0005-0000-0000-0000A14D0000}"/>
    <cellStyle name="Normal 2 2 2 4 2 19 2" xfId="19911" xr:uid="{00000000-0005-0000-0000-0000A24D0000}"/>
    <cellStyle name="Normal 2 2 2 4 2 19 2 10" xfId="19912" xr:uid="{00000000-0005-0000-0000-0000A34D0000}"/>
    <cellStyle name="Normal 2 2 2 4 2 19 2 2" xfId="19913" xr:uid="{00000000-0005-0000-0000-0000A44D0000}"/>
    <cellStyle name="Normal 2 2 2 4 2 19 2 3" xfId="19914" xr:uid="{00000000-0005-0000-0000-0000A54D0000}"/>
    <cellStyle name="Normal 2 2 2 4 2 19 2 4" xfId="19915" xr:uid="{00000000-0005-0000-0000-0000A64D0000}"/>
    <cellStyle name="Normal 2 2 2 4 2 19 2 5" xfId="19916" xr:uid="{00000000-0005-0000-0000-0000A74D0000}"/>
    <cellStyle name="Normal 2 2 2 4 2 19 2 6" xfId="19917" xr:uid="{00000000-0005-0000-0000-0000A84D0000}"/>
    <cellStyle name="Normal 2 2 2 4 2 19 2 7" xfId="19918" xr:uid="{00000000-0005-0000-0000-0000A94D0000}"/>
    <cellStyle name="Normal 2 2 2 4 2 19 2 8" xfId="19919" xr:uid="{00000000-0005-0000-0000-0000AA4D0000}"/>
    <cellStyle name="Normal 2 2 2 4 2 19 2 9" xfId="19920" xr:uid="{00000000-0005-0000-0000-0000AB4D0000}"/>
    <cellStyle name="Normal 2 2 2 4 2 19 3" xfId="19921" xr:uid="{00000000-0005-0000-0000-0000AC4D0000}"/>
    <cellStyle name="Normal 2 2 2 4 2 19 3 10" xfId="19922" xr:uid="{00000000-0005-0000-0000-0000AD4D0000}"/>
    <cellStyle name="Normal 2 2 2 4 2 19 3 2" xfId="19923" xr:uid="{00000000-0005-0000-0000-0000AE4D0000}"/>
    <cellStyle name="Normal 2 2 2 4 2 19 3 3" xfId="19924" xr:uid="{00000000-0005-0000-0000-0000AF4D0000}"/>
    <cellStyle name="Normal 2 2 2 4 2 19 3 4" xfId="19925" xr:uid="{00000000-0005-0000-0000-0000B04D0000}"/>
    <cellStyle name="Normal 2 2 2 4 2 19 3 5" xfId="19926" xr:uid="{00000000-0005-0000-0000-0000B14D0000}"/>
    <cellStyle name="Normal 2 2 2 4 2 19 3 6" xfId="19927" xr:uid="{00000000-0005-0000-0000-0000B24D0000}"/>
    <cellStyle name="Normal 2 2 2 4 2 19 3 7" xfId="19928" xr:uid="{00000000-0005-0000-0000-0000B34D0000}"/>
    <cellStyle name="Normal 2 2 2 4 2 19 3 8" xfId="19929" xr:uid="{00000000-0005-0000-0000-0000B44D0000}"/>
    <cellStyle name="Normal 2 2 2 4 2 19 3 9" xfId="19930" xr:uid="{00000000-0005-0000-0000-0000B54D0000}"/>
    <cellStyle name="Normal 2 2 2 4 2 19 4" xfId="19931" xr:uid="{00000000-0005-0000-0000-0000B64D0000}"/>
    <cellStyle name="Normal 2 2 2 4 2 19 4 10" xfId="19932" xr:uid="{00000000-0005-0000-0000-0000B74D0000}"/>
    <cellStyle name="Normal 2 2 2 4 2 19 4 2" xfId="19933" xr:uid="{00000000-0005-0000-0000-0000B84D0000}"/>
    <cellStyle name="Normal 2 2 2 4 2 19 4 3" xfId="19934" xr:uid="{00000000-0005-0000-0000-0000B94D0000}"/>
    <cellStyle name="Normal 2 2 2 4 2 19 4 4" xfId="19935" xr:uid="{00000000-0005-0000-0000-0000BA4D0000}"/>
    <cellStyle name="Normal 2 2 2 4 2 19 4 5" xfId="19936" xr:uid="{00000000-0005-0000-0000-0000BB4D0000}"/>
    <cellStyle name="Normal 2 2 2 4 2 19 4 6" xfId="19937" xr:uid="{00000000-0005-0000-0000-0000BC4D0000}"/>
    <cellStyle name="Normal 2 2 2 4 2 19 4 7" xfId="19938" xr:uid="{00000000-0005-0000-0000-0000BD4D0000}"/>
    <cellStyle name="Normal 2 2 2 4 2 19 4 8" xfId="19939" xr:uid="{00000000-0005-0000-0000-0000BE4D0000}"/>
    <cellStyle name="Normal 2 2 2 4 2 19 4 9" xfId="19940" xr:uid="{00000000-0005-0000-0000-0000BF4D0000}"/>
    <cellStyle name="Normal 2 2 2 4 2 19 5" xfId="19941" xr:uid="{00000000-0005-0000-0000-0000C04D0000}"/>
    <cellStyle name="Normal 2 2 2 4 2 19 5 10" xfId="19942" xr:uid="{00000000-0005-0000-0000-0000C14D0000}"/>
    <cellStyle name="Normal 2 2 2 4 2 19 5 2" xfId="19943" xr:uid="{00000000-0005-0000-0000-0000C24D0000}"/>
    <cellStyle name="Normal 2 2 2 4 2 19 5 3" xfId="19944" xr:uid="{00000000-0005-0000-0000-0000C34D0000}"/>
    <cellStyle name="Normal 2 2 2 4 2 19 5 4" xfId="19945" xr:uid="{00000000-0005-0000-0000-0000C44D0000}"/>
    <cellStyle name="Normal 2 2 2 4 2 19 5 5" xfId="19946" xr:uid="{00000000-0005-0000-0000-0000C54D0000}"/>
    <cellStyle name="Normal 2 2 2 4 2 19 5 6" xfId="19947" xr:uid="{00000000-0005-0000-0000-0000C64D0000}"/>
    <cellStyle name="Normal 2 2 2 4 2 19 5 7" xfId="19948" xr:uid="{00000000-0005-0000-0000-0000C74D0000}"/>
    <cellStyle name="Normal 2 2 2 4 2 19 5 8" xfId="19949" xr:uid="{00000000-0005-0000-0000-0000C84D0000}"/>
    <cellStyle name="Normal 2 2 2 4 2 19 5 9" xfId="19950" xr:uid="{00000000-0005-0000-0000-0000C94D0000}"/>
    <cellStyle name="Normal 2 2 2 4 2 19 6" xfId="19951" xr:uid="{00000000-0005-0000-0000-0000CA4D0000}"/>
    <cellStyle name="Normal 2 2 2 4 2 19 7" xfId="19952" xr:uid="{00000000-0005-0000-0000-0000CB4D0000}"/>
    <cellStyle name="Normal 2 2 2 4 2 19 8" xfId="19953" xr:uid="{00000000-0005-0000-0000-0000CC4D0000}"/>
    <cellStyle name="Normal 2 2 2 4 2 19 9" xfId="19954" xr:uid="{00000000-0005-0000-0000-0000CD4D0000}"/>
    <cellStyle name="Normal 2 2 2 4 2 2" xfId="19955" xr:uid="{00000000-0005-0000-0000-0000CE4D0000}"/>
    <cellStyle name="Normal 2 2 2 4 2 2 10" xfId="19956" xr:uid="{00000000-0005-0000-0000-0000CF4D0000}"/>
    <cellStyle name="Normal 2 2 2 4 2 2 11" xfId="19957" xr:uid="{00000000-0005-0000-0000-0000D04D0000}"/>
    <cellStyle name="Normal 2 2 2 4 2 2 12" xfId="19958" xr:uid="{00000000-0005-0000-0000-0000D14D0000}"/>
    <cellStyle name="Normal 2 2 2 4 2 2 13" xfId="19959" xr:uid="{00000000-0005-0000-0000-0000D24D0000}"/>
    <cellStyle name="Normal 2 2 2 4 2 2 14" xfId="19960" xr:uid="{00000000-0005-0000-0000-0000D34D0000}"/>
    <cellStyle name="Normal 2 2 2 4 2 2 15" xfId="19961" xr:uid="{00000000-0005-0000-0000-0000D44D0000}"/>
    <cellStyle name="Normal 2 2 2 4 2 2 16" xfId="19962" xr:uid="{00000000-0005-0000-0000-0000D54D0000}"/>
    <cellStyle name="Normal 2 2 2 4 2 2 17" xfId="19963" xr:uid="{00000000-0005-0000-0000-0000D64D0000}"/>
    <cellStyle name="Normal 2 2 2 4 2 2 18" xfId="19964" xr:uid="{00000000-0005-0000-0000-0000D74D0000}"/>
    <cellStyle name="Normal 2 2 2 4 2 2 19" xfId="19965" xr:uid="{00000000-0005-0000-0000-0000D84D0000}"/>
    <cellStyle name="Normal 2 2 2 4 2 2 2" xfId="19966" xr:uid="{00000000-0005-0000-0000-0000D94D0000}"/>
    <cellStyle name="Normal 2 2 2 4 2 2 20" xfId="19967" xr:uid="{00000000-0005-0000-0000-0000DA4D0000}"/>
    <cellStyle name="Normal 2 2 2 4 2 2 21" xfId="19968" xr:uid="{00000000-0005-0000-0000-0000DB4D0000}"/>
    <cellStyle name="Normal 2 2 2 4 2 2 21 10" xfId="19969" xr:uid="{00000000-0005-0000-0000-0000DC4D0000}"/>
    <cellStyle name="Normal 2 2 2 4 2 2 21 2" xfId="19970" xr:uid="{00000000-0005-0000-0000-0000DD4D0000}"/>
    <cellStyle name="Normal 2 2 2 4 2 2 21 3" xfId="19971" xr:uid="{00000000-0005-0000-0000-0000DE4D0000}"/>
    <cellStyle name="Normal 2 2 2 4 2 2 21 4" xfId="19972" xr:uid="{00000000-0005-0000-0000-0000DF4D0000}"/>
    <cellStyle name="Normal 2 2 2 4 2 2 21 5" xfId="19973" xr:uid="{00000000-0005-0000-0000-0000E04D0000}"/>
    <cellStyle name="Normal 2 2 2 4 2 2 21 6" xfId="19974" xr:uid="{00000000-0005-0000-0000-0000E14D0000}"/>
    <cellStyle name="Normal 2 2 2 4 2 2 21 7" xfId="19975" xr:uid="{00000000-0005-0000-0000-0000E24D0000}"/>
    <cellStyle name="Normal 2 2 2 4 2 2 21 8" xfId="19976" xr:uid="{00000000-0005-0000-0000-0000E34D0000}"/>
    <cellStyle name="Normal 2 2 2 4 2 2 21 9" xfId="19977" xr:uid="{00000000-0005-0000-0000-0000E44D0000}"/>
    <cellStyle name="Normal 2 2 2 4 2 2 22" xfId="19978" xr:uid="{00000000-0005-0000-0000-0000E54D0000}"/>
    <cellStyle name="Normal 2 2 2 4 2 2 22 10" xfId="19979" xr:uid="{00000000-0005-0000-0000-0000E64D0000}"/>
    <cellStyle name="Normal 2 2 2 4 2 2 22 2" xfId="19980" xr:uid="{00000000-0005-0000-0000-0000E74D0000}"/>
    <cellStyle name="Normal 2 2 2 4 2 2 22 3" xfId="19981" xr:uid="{00000000-0005-0000-0000-0000E84D0000}"/>
    <cellStyle name="Normal 2 2 2 4 2 2 22 4" xfId="19982" xr:uid="{00000000-0005-0000-0000-0000E94D0000}"/>
    <cellStyle name="Normal 2 2 2 4 2 2 22 5" xfId="19983" xr:uid="{00000000-0005-0000-0000-0000EA4D0000}"/>
    <cellStyle name="Normal 2 2 2 4 2 2 22 6" xfId="19984" xr:uid="{00000000-0005-0000-0000-0000EB4D0000}"/>
    <cellStyle name="Normal 2 2 2 4 2 2 22 7" xfId="19985" xr:uid="{00000000-0005-0000-0000-0000EC4D0000}"/>
    <cellStyle name="Normal 2 2 2 4 2 2 22 8" xfId="19986" xr:uid="{00000000-0005-0000-0000-0000ED4D0000}"/>
    <cellStyle name="Normal 2 2 2 4 2 2 22 9" xfId="19987" xr:uid="{00000000-0005-0000-0000-0000EE4D0000}"/>
    <cellStyle name="Normal 2 2 2 4 2 2 23" xfId="19988" xr:uid="{00000000-0005-0000-0000-0000EF4D0000}"/>
    <cellStyle name="Normal 2 2 2 4 2 2 23 10" xfId="19989" xr:uid="{00000000-0005-0000-0000-0000F04D0000}"/>
    <cellStyle name="Normal 2 2 2 4 2 2 23 2" xfId="19990" xr:uid="{00000000-0005-0000-0000-0000F14D0000}"/>
    <cellStyle name="Normal 2 2 2 4 2 2 23 3" xfId="19991" xr:uid="{00000000-0005-0000-0000-0000F24D0000}"/>
    <cellStyle name="Normal 2 2 2 4 2 2 23 4" xfId="19992" xr:uid="{00000000-0005-0000-0000-0000F34D0000}"/>
    <cellStyle name="Normal 2 2 2 4 2 2 23 5" xfId="19993" xr:uid="{00000000-0005-0000-0000-0000F44D0000}"/>
    <cellStyle name="Normal 2 2 2 4 2 2 23 6" xfId="19994" xr:uid="{00000000-0005-0000-0000-0000F54D0000}"/>
    <cellStyle name="Normal 2 2 2 4 2 2 23 7" xfId="19995" xr:uid="{00000000-0005-0000-0000-0000F64D0000}"/>
    <cellStyle name="Normal 2 2 2 4 2 2 23 8" xfId="19996" xr:uid="{00000000-0005-0000-0000-0000F74D0000}"/>
    <cellStyle name="Normal 2 2 2 4 2 2 23 9" xfId="19997" xr:uid="{00000000-0005-0000-0000-0000F84D0000}"/>
    <cellStyle name="Normal 2 2 2 4 2 2 24" xfId="19998" xr:uid="{00000000-0005-0000-0000-0000F94D0000}"/>
    <cellStyle name="Normal 2 2 2 4 2 2 24 10" xfId="19999" xr:uid="{00000000-0005-0000-0000-0000FA4D0000}"/>
    <cellStyle name="Normal 2 2 2 4 2 2 24 2" xfId="20000" xr:uid="{00000000-0005-0000-0000-0000FB4D0000}"/>
    <cellStyle name="Normal 2 2 2 4 2 2 24 3" xfId="20001" xr:uid="{00000000-0005-0000-0000-0000FC4D0000}"/>
    <cellStyle name="Normal 2 2 2 4 2 2 24 4" xfId="20002" xr:uid="{00000000-0005-0000-0000-0000FD4D0000}"/>
    <cellStyle name="Normal 2 2 2 4 2 2 24 5" xfId="20003" xr:uid="{00000000-0005-0000-0000-0000FE4D0000}"/>
    <cellStyle name="Normal 2 2 2 4 2 2 24 6" xfId="20004" xr:uid="{00000000-0005-0000-0000-0000FF4D0000}"/>
    <cellStyle name="Normal 2 2 2 4 2 2 24 7" xfId="20005" xr:uid="{00000000-0005-0000-0000-0000004E0000}"/>
    <cellStyle name="Normal 2 2 2 4 2 2 24 8" xfId="20006" xr:uid="{00000000-0005-0000-0000-0000014E0000}"/>
    <cellStyle name="Normal 2 2 2 4 2 2 24 9" xfId="20007" xr:uid="{00000000-0005-0000-0000-0000024E0000}"/>
    <cellStyle name="Normal 2 2 2 4 2 2 25" xfId="20008" xr:uid="{00000000-0005-0000-0000-0000034E0000}"/>
    <cellStyle name="Normal 2 2 2 4 2 2 26" xfId="20009" xr:uid="{00000000-0005-0000-0000-0000044E0000}"/>
    <cellStyle name="Normal 2 2 2 4 2 2 27" xfId="20010" xr:uid="{00000000-0005-0000-0000-0000054E0000}"/>
    <cellStyle name="Normal 2 2 2 4 2 2 28" xfId="20011" xr:uid="{00000000-0005-0000-0000-0000064E0000}"/>
    <cellStyle name="Normal 2 2 2 4 2 2 29" xfId="20012" xr:uid="{00000000-0005-0000-0000-0000074E0000}"/>
    <cellStyle name="Normal 2 2 2 4 2 2 3" xfId="20013" xr:uid="{00000000-0005-0000-0000-0000084E0000}"/>
    <cellStyle name="Normal 2 2 2 4 2 2 30" xfId="20014" xr:uid="{00000000-0005-0000-0000-0000094E0000}"/>
    <cellStyle name="Normal 2 2 2 4 2 2 31" xfId="20015" xr:uid="{00000000-0005-0000-0000-00000A4E0000}"/>
    <cellStyle name="Normal 2 2 2 4 2 2 32" xfId="20016" xr:uid="{00000000-0005-0000-0000-00000B4E0000}"/>
    <cellStyle name="Normal 2 2 2 4 2 2 33" xfId="20017" xr:uid="{00000000-0005-0000-0000-00000C4E0000}"/>
    <cellStyle name="Normal 2 2 2 4 2 2 34" xfId="20018" xr:uid="{00000000-0005-0000-0000-00000D4E0000}"/>
    <cellStyle name="Normal 2 2 2 4 2 2 35" xfId="20019" xr:uid="{00000000-0005-0000-0000-00000E4E0000}"/>
    <cellStyle name="Normal 2 2 2 4 2 2 4" xfId="20020" xr:uid="{00000000-0005-0000-0000-00000F4E0000}"/>
    <cellStyle name="Normal 2 2 2 4 2 2 5" xfId="20021" xr:uid="{00000000-0005-0000-0000-0000104E0000}"/>
    <cellStyle name="Normal 2 2 2 4 2 2 6" xfId="20022" xr:uid="{00000000-0005-0000-0000-0000114E0000}"/>
    <cellStyle name="Normal 2 2 2 4 2 2 7" xfId="20023" xr:uid="{00000000-0005-0000-0000-0000124E0000}"/>
    <cellStyle name="Normal 2 2 2 4 2 2 8" xfId="20024" xr:uid="{00000000-0005-0000-0000-0000134E0000}"/>
    <cellStyle name="Normal 2 2 2 4 2 2 9" xfId="20025" xr:uid="{00000000-0005-0000-0000-0000144E0000}"/>
    <cellStyle name="Normal 2 2 2 4 2 20" xfId="20026" xr:uid="{00000000-0005-0000-0000-0000154E0000}"/>
    <cellStyle name="Normal 2 2 2 4 2 20 10" xfId="20027" xr:uid="{00000000-0005-0000-0000-0000164E0000}"/>
    <cellStyle name="Normal 2 2 2 4 2 20 11" xfId="20028" xr:uid="{00000000-0005-0000-0000-0000174E0000}"/>
    <cellStyle name="Normal 2 2 2 4 2 20 12" xfId="20029" xr:uid="{00000000-0005-0000-0000-0000184E0000}"/>
    <cellStyle name="Normal 2 2 2 4 2 20 13" xfId="20030" xr:uid="{00000000-0005-0000-0000-0000194E0000}"/>
    <cellStyle name="Normal 2 2 2 4 2 20 14" xfId="20031" xr:uid="{00000000-0005-0000-0000-00001A4E0000}"/>
    <cellStyle name="Normal 2 2 2 4 2 20 2" xfId="20032" xr:uid="{00000000-0005-0000-0000-00001B4E0000}"/>
    <cellStyle name="Normal 2 2 2 4 2 20 2 10" xfId="20033" xr:uid="{00000000-0005-0000-0000-00001C4E0000}"/>
    <cellStyle name="Normal 2 2 2 4 2 20 2 2" xfId="20034" xr:uid="{00000000-0005-0000-0000-00001D4E0000}"/>
    <cellStyle name="Normal 2 2 2 4 2 20 2 3" xfId="20035" xr:uid="{00000000-0005-0000-0000-00001E4E0000}"/>
    <cellStyle name="Normal 2 2 2 4 2 20 2 4" xfId="20036" xr:uid="{00000000-0005-0000-0000-00001F4E0000}"/>
    <cellStyle name="Normal 2 2 2 4 2 20 2 5" xfId="20037" xr:uid="{00000000-0005-0000-0000-0000204E0000}"/>
    <cellStyle name="Normal 2 2 2 4 2 20 2 6" xfId="20038" xr:uid="{00000000-0005-0000-0000-0000214E0000}"/>
    <cellStyle name="Normal 2 2 2 4 2 20 2 7" xfId="20039" xr:uid="{00000000-0005-0000-0000-0000224E0000}"/>
    <cellStyle name="Normal 2 2 2 4 2 20 2 8" xfId="20040" xr:uid="{00000000-0005-0000-0000-0000234E0000}"/>
    <cellStyle name="Normal 2 2 2 4 2 20 2 9" xfId="20041" xr:uid="{00000000-0005-0000-0000-0000244E0000}"/>
    <cellStyle name="Normal 2 2 2 4 2 20 3" xfId="20042" xr:uid="{00000000-0005-0000-0000-0000254E0000}"/>
    <cellStyle name="Normal 2 2 2 4 2 20 3 10" xfId="20043" xr:uid="{00000000-0005-0000-0000-0000264E0000}"/>
    <cellStyle name="Normal 2 2 2 4 2 20 3 2" xfId="20044" xr:uid="{00000000-0005-0000-0000-0000274E0000}"/>
    <cellStyle name="Normal 2 2 2 4 2 20 3 3" xfId="20045" xr:uid="{00000000-0005-0000-0000-0000284E0000}"/>
    <cellStyle name="Normal 2 2 2 4 2 20 3 4" xfId="20046" xr:uid="{00000000-0005-0000-0000-0000294E0000}"/>
    <cellStyle name="Normal 2 2 2 4 2 20 3 5" xfId="20047" xr:uid="{00000000-0005-0000-0000-00002A4E0000}"/>
    <cellStyle name="Normal 2 2 2 4 2 20 3 6" xfId="20048" xr:uid="{00000000-0005-0000-0000-00002B4E0000}"/>
    <cellStyle name="Normal 2 2 2 4 2 20 3 7" xfId="20049" xr:uid="{00000000-0005-0000-0000-00002C4E0000}"/>
    <cellStyle name="Normal 2 2 2 4 2 20 3 8" xfId="20050" xr:uid="{00000000-0005-0000-0000-00002D4E0000}"/>
    <cellStyle name="Normal 2 2 2 4 2 20 3 9" xfId="20051" xr:uid="{00000000-0005-0000-0000-00002E4E0000}"/>
    <cellStyle name="Normal 2 2 2 4 2 20 4" xfId="20052" xr:uid="{00000000-0005-0000-0000-00002F4E0000}"/>
    <cellStyle name="Normal 2 2 2 4 2 20 4 10" xfId="20053" xr:uid="{00000000-0005-0000-0000-0000304E0000}"/>
    <cellStyle name="Normal 2 2 2 4 2 20 4 2" xfId="20054" xr:uid="{00000000-0005-0000-0000-0000314E0000}"/>
    <cellStyle name="Normal 2 2 2 4 2 20 4 3" xfId="20055" xr:uid="{00000000-0005-0000-0000-0000324E0000}"/>
    <cellStyle name="Normal 2 2 2 4 2 20 4 4" xfId="20056" xr:uid="{00000000-0005-0000-0000-0000334E0000}"/>
    <cellStyle name="Normal 2 2 2 4 2 20 4 5" xfId="20057" xr:uid="{00000000-0005-0000-0000-0000344E0000}"/>
    <cellStyle name="Normal 2 2 2 4 2 20 4 6" xfId="20058" xr:uid="{00000000-0005-0000-0000-0000354E0000}"/>
    <cellStyle name="Normal 2 2 2 4 2 20 4 7" xfId="20059" xr:uid="{00000000-0005-0000-0000-0000364E0000}"/>
    <cellStyle name="Normal 2 2 2 4 2 20 4 8" xfId="20060" xr:uid="{00000000-0005-0000-0000-0000374E0000}"/>
    <cellStyle name="Normal 2 2 2 4 2 20 4 9" xfId="20061" xr:uid="{00000000-0005-0000-0000-0000384E0000}"/>
    <cellStyle name="Normal 2 2 2 4 2 20 5" xfId="20062" xr:uid="{00000000-0005-0000-0000-0000394E0000}"/>
    <cellStyle name="Normal 2 2 2 4 2 20 5 10" xfId="20063" xr:uid="{00000000-0005-0000-0000-00003A4E0000}"/>
    <cellStyle name="Normal 2 2 2 4 2 20 5 2" xfId="20064" xr:uid="{00000000-0005-0000-0000-00003B4E0000}"/>
    <cellStyle name="Normal 2 2 2 4 2 20 5 3" xfId="20065" xr:uid="{00000000-0005-0000-0000-00003C4E0000}"/>
    <cellStyle name="Normal 2 2 2 4 2 20 5 4" xfId="20066" xr:uid="{00000000-0005-0000-0000-00003D4E0000}"/>
    <cellStyle name="Normal 2 2 2 4 2 20 5 5" xfId="20067" xr:uid="{00000000-0005-0000-0000-00003E4E0000}"/>
    <cellStyle name="Normal 2 2 2 4 2 20 5 6" xfId="20068" xr:uid="{00000000-0005-0000-0000-00003F4E0000}"/>
    <cellStyle name="Normal 2 2 2 4 2 20 5 7" xfId="20069" xr:uid="{00000000-0005-0000-0000-0000404E0000}"/>
    <cellStyle name="Normal 2 2 2 4 2 20 5 8" xfId="20070" xr:uid="{00000000-0005-0000-0000-0000414E0000}"/>
    <cellStyle name="Normal 2 2 2 4 2 20 5 9" xfId="20071" xr:uid="{00000000-0005-0000-0000-0000424E0000}"/>
    <cellStyle name="Normal 2 2 2 4 2 20 6" xfId="20072" xr:uid="{00000000-0005-0000-0000-0000434E0000}"/>
    <cellStyle name="Normal 2 2 2 4 2 20 7" xfId="20073" xr:uid="{00000000-0005-0000-0000-0000444E0000}"/>
    <cellStyle name="Normal 2 2 2 4 2 20 8" xfId="20074" xr:uid="{00000000-0005-0000-0000-0000454E0000}"/>
    <cellStyle name="Normal 2 2 2 4 2 20 9" xfId="20075" xr:uid="{00000000-0005-0000-0000-0000464E0000}"/>
    <cellStyle name="Normal 2 2 2 4 2 21" xfId="20076" xr:uid="{00000000-0005-0000-0000-0000474E0000}"/>
    <cellStyle name="Normal 2 2 2 4 2 22" xfId="20077" xr:uid="{00000000-0005-0000-0000-0000484E0000}"/>
    <cellStyle name="Normal 2 2 2 4 2 3" xfId="20078" xr:uid="{00000000-0005-0000-0000-0000494E0000}"/>
    <cellStyle name="Normal 2 2 2 4 2 3 10" xfId="20079" xr:uid="{00000000-0005-0000-0000-00004A4E0000}"/>
    <cellStyle name="Normal 2 2 2 4 2 3 11" xfId="20080" xr:uid="{00000000-0005-0000-0000-00004B4E0000}"/>
    <cellStyle name="Normal 2 2 2 4 2 3 12" xfId="20081" xr:uid="{00000000-0005-0000-0000-00004C4E0000}"/>
    <cellStyle name="Normal 2 2 2 4 2 3 13" xfId="20082" xr:uid="{00000000-0005-0000-0000-00004D4E0000}"/>
    <cellStyle name="Normal 2 2 2 4 2 3 14" xfId="20083" xr:uid="{00000000-0005-0000-0000-00004E4E0000}"/>
    <cellStyle name="Normal 2 2 2 4 2 3 2" xfId="20084" xr:uid="{00000000-0005-0000-0000-00004F4E0000}"/>
    <cellStyle name="Normal 2 2 2 4 2 3 2 10" xfId="20085" xr:uid="{00000000-0005-0000-0000-0000504E0000}"/>
    <cellStyle name="Normal 2 2 2 4 2 3 2 2" xfId="20086" xr:uid="{00000000-0005-0000-0000-0000514E0000}"/>
    <cellStyle name="Normal 2 2 2 4 2 3 2 3" xfId="20087" xr:uid="{00000000-0005-0000-0000-0000524E0000}"/>
    <cellStyle name="Normal 2 2 2 4 2 3 2 4" xfId="20088" xr:uid="{00000000-0005-0000-0000-0000534E0000}"/>
    <cellStyle name="Normal 2 2 2 4 2 3 2 5" xfId="20089" xr:uid="{00000000-0005-0000-0000-0000544E0000}"/>
    <cellStyle name="Normal 2 2 2 4 2 3 2 6" xfId="20090" xr:uid="{00000000-0005-0000-0000-0000554E0000}"/>
    <cellStyle name="Normal 2 2 2 4 2 3 2 7" xfId="20091" xr:uid="{00000000-0005-0000-0000-0000564E0000}"/>
    <cellStyle name="Normal 2 2 2 4 2 3 2 8" xfId="20092" xr:uid="{00000000-0005-0000-0000-0000574E0000}"/>
    <cellStyle name="Normal 2 2 2 4 2 3 2 9" xfId="20093" xr:uid="{00000000-0005-0000-0000-0000584E0000}"/>
    <cellStyle name="Normal 2 2 2 4 2 3 3" xfId="20094" xr:uid="{00000000-0005-0000-0000-0000594E0000}"/>
    <cellStyle name="Normal 2 2 2 4 2 3 3 10" xfId="20095" xr:uid="{00000000-0005-0000-0000-00005A4E0000}"/>
    <cellStyle name="Normal 2 2 2 4 2 3 3 2" xfId="20096" xr:uid="{00000000-0005-0000-0000-00005B4E0000}"/>
    <cellStyle name="Normal 2 2 2 4 2 3 3 3" xfId="20097" xr:uid="{00000000-0005-0000-0000-00005C4E0000}"/>
    <cellStyle name="Normal 2 2 2 4 2 3 3 4" xfId="20098" xr:uid="{00000000-0005-0000-0000-00005D4E0000}"/>
    <cellStyle name="Normal 2 2 2 4 2 3 3 5" xfId="20099" xr:uid="{00000000-0005-0000-0000-00005E4E0000}"/>
    <cellStyle name="Normal 2 2 2 4 2 3 3 6" xfId="20100" xr:uid="{00000000-0005-0000-0000-00005F4E0000}"/>
    <cellStyle name="Normal 2 2 2 4 2 3 3 7" xfId="20101" xr:uid="{00000000-0005-0000-0000-0000604E0000}"/>
    <cellStyle name="Normal 2 2 2 4 2 3 3 8" xfId="20102" xr:uid="{00000000-0005-0000-0000-0000614E0000}"/>
    <cellStyle name="Normal 2 2 2 4 2 3 3 9" xfId="20103" xr:uid="{00000000-0005-0000-0000-0000624E0000}"/>
    <cellStyle name="Normal 2 2 2 4 2 3 4" xfId="20104" xr:uid="{00000000-0005-0000-0000-0000634E0000}"/>
    <cellStyle name="Normal 2 2 2 4 2 3 4 10" xfId="20105" xr:uid="{00000000-0005-0000-0000-0000644E0000}"/>
    <cellStyle name="Normal 2 2 2 4 2 3 4 2" xfId="20106" xr:uid="{00000000-0005-0000-0000-0000654E0000}"/>
    <cellStyle name="Normal 2 2 2 4 2 3 4 3" xfId="20107" xr:uid="{00000000-0005-0000-0000-0000664E0000}"/>
    <cellStyle name="Normal 2 2 2 4 2 3 4 4" xfId="20108" xr:uid="{00000000-0005-0000-0000-0000674E0000}"/>
    <cellStyle name="Normal 2 2 2 4 2 3 4 5" xfId="20109" xr:uid="{00000000-0005-0000-0000-0000684E0000}"/>
    <cellStyle name="Normal 2 2 2 4 2 3 4 6" xfId="20110" xr:uid="{00000000-0005-0000-0000-0000694E0000}"/>
    <cellStyle name="Normal 2 2 2 4 2 3 4 7" xfId="20111" xr:uid="{00000000-0005-0000-0000-00006A4E0000}"/>
    <cellStyle name="Normal 2 2 2 4 2 3 4 8" xfId="20112" xr:uid="{00000000-0005-0000-0000-00006B4E0000}"/>
    <cellStyle name="Normal 2 2 2 4 2 3 4 9" xfId="20113" xr:uid="{00000000-0005-0000-0000-00006C4E0000}"/>
    <cellStyle name="Normal 2 2 2 4 2 3 5" xfId="20114" xr:uid="{00000000-0005-0000-0000-00006D4E0000}"/>
    <cellStyle name="Normal 2 2 2 4 2 3 5 10" xfId="20115" xr:uid="{00000000-0005-0000-0000-00006E4E0000}"/>
    <cellStyle name="Normal 2 2 2 4 2 3 5 2" xfId="20116" xr:uid="{00000000-0005-0000-0000-00006F4E0000}"/>
    <cellStyle name="Normal 2 2 2 4 2 3 5 3" xfId="20117" xr:uid="{00000000-0005-0000-0000-0000704E0000}"/>
    <cellStyle name="Normal 2 2 2 4 2 3 5 4" xfId="20118" xr:uid="{00000000-0005-0000-0000-0000714E0000}"/>
    <cellStyle name="Normal 2 2 2 4 2 3 5 5" xfId="20119" xr:uid="{00000000-0005-0000-0000-0000724E0000}"/>
    <cellStyle name="Normal 2 2 2 4 2 3 5 6" xfId="20120" xr:uid="{00000000-0005-0000-0000-0000734E0000}"/>
    <cellStyle name="Normal 2 2 2 4 2 3 5 7" xfId="20121" xr:uid="{00000000-0005-0000-0000-0000744E0000}"/>
    <cellStyle name="Normal 2 2 2 4 2 3 5 8" xfId="20122" xr:uid="{00000000-0005-0000-0000-0000754E0000}"/>
    <cellStyle name="Normal 2 2 2 4 2 3 5 9" xfId="20123" xr:uid="{00000000-0005-0000-0000-0000764E0000}"/>
    <cellStyle name="Normal 2 2 2 4 2 3 6" xfId="20124" xr:uid="{00000000-0005-0000-0000-0000774E0000}"/>
    <cellStyle name="Normal 2 2 2 4 2 3 7" xfId="20125" xr:uid="{00000000-0005-0000-0000-0000784E0000}"/>
    <cellStyle name="Normal 2 2 2 4 2 3 8" xfId="20126" xr:uid="{00000000-0005-0000-0000-0000794E0000}"/>
    <cellStyle name="Normal 2 2 2 4 2 3 9" xfId="20127" xr:uid="{00000000-0005-0000-0000-00007A4E0000}"/>
    <cellStyle name="Normal 2 2 2 4 2 4" xfId="20128" xr:uid="{00000000-0005-0000-0000-00007B4E0000}"/>
    <cellStyle name="Normal 2 2 2 4 2 4 10" xfId="20129" xr:uid="{00000000-0005-0000-0000-00007C4E0000}"/>
    <cellStyle name="Normal 2 2 2 4 2 4 11" xfId="20130" xr:uid="{00000000-0005-0000-0000-00007D4E0000}"/>
    <cellStyle name="Normal 2 2 2 4 2 4 12" xfId="20131" xr:uid="{00000000-0005-0000-0000-00007E4E0000}"/>
    <cellStyle name="Normal 2 2 2 4 2 4 13" xfId="20132" xr:uid="{00000000-0005-0000-0000-00007F4E0000}"/>
    <cellStyle name="Normal 2 2 2 4 2 4 14" xfId="20133" xr:uid="{00000000-0005-0000-0000-0000804E0000}"/>
    <cellStyle name="Normal 2 2 2 4 2 4 2" xfId="20134" xr:uid="{00000000-0005-0000-0000-0000814E0000}"/>
    <cellStyle name="Normal 2 2 2 4 2 4 2 10" xfId="20135" xr:uid="{00000000-0005-0000-0000-0000824E0000}"/>
    <cellStyle name="Normal 2 2 2 4 2 4 2 2" xfId="20136" xr:uid="{00000000-0005-0000-0000-0000834E0000}"/>
    <cellStyle name="Normal 2 2 2 4 2 4 2 3" xfId="20137" xr:uid="{00000000-0005-0000-0000-0000844E0000}"/>
    <cellStyle name="Normal 2 2 2 4 2 4 2 4" xfId="20138" xr:uid="{00000000-0005-0000-0000-0000854E0000}"/>
    <cellStyle name="Normal 2 2 2 4 2 4 2 5" xfId="20139" xr:uid="{00000000-0005-0000-0000-0000864E0000}"/>
    <cellStyle name="Normal 2 2 2 4 2 4 2 6" xfId="20140" xr:uid="{00000000-0005-0000-0000-0000874E0000}"/>
    <cellStyle name="Normal 2 2 2 4 2 4 2 7" xfId="20141" xr:uid="{00000000-0005-0000-0000-0000884E0000}"/>
    <cellStyle name="Normal 2 2 2 4 2 4 2 8" xfId="20142" xr:uid="{00000000-0005-0000-0000-0000894E0000}"/>
    <cellStyle name="Normal 2 2 2 4 2 4 2 9" xfId="20143" xr:uid="{00000000-0005-0000-0000-00008A4E0000}"/>
    <cellStyle name="Normal 2 2 2 4 2 4 3" xfId="20144" xr:uid="{00000000-0005-0000-0000-00008B4E0000}"/>
    <cellStyle name="Normal 2 2 2 4 2 4 3 10" xfId="20145" xr:uid="{00000000-0005-0000-0000-00008C4E0000}"/>
    <cellStyle name="Normal 2 2 2 4 2 4 3 2" xfId="20146" xr:uid="{00000000-0005-0000-0000-00008D4E0000}"/>
    <cellStyle name="Normal 2 2 2 4 2 4 3 3" xfId="20147" xr:uid="{00000000-0005-0000-0000-00008E4E0000}"/>
    <cellStyle name="Normal 2 2 2 4 2 4 3 4" xfId="20148" xr:uid="{00000000-0005-0000-0000-00008F4E0000}"/>
    <cellStyle name="Normal 2 2 2 4 2 4 3 5" xfId="20149" xr:uid="{00000000-0005-0000-0000-0000904E0000}"/>
    <cellStyle name="Normal 2 2 2 4 2 4 3 6" xfId="20150" xr:uid="{00000000-0005-0000-0000-0000914E0000}"/>
    <cellStyle name="Normal 2 2 2 4 2 4 3 7" xfId="20151" xr:uid="{00000000-0005-0000-0000-0000924E0000}"/>
    <cellStyle name="Normal 2 2 2 4 2 4 3 8" xfId="20152" xr:uid="{00000000-0005-0000-0000-0000934E0000}"/>
    <cellStyle name="Normal 2 2 2 4 2 4 3 9" xfId="20153" xr:uid="{00000000-0005-0000-0000-0000944E0000}"/>
    <cellStyle name="Normal 2 2 2 4 2 4 4" xfId="20154" xr:uid="{00000000-0005-0000-0000-0000954E0000}"/>
    <cellStyle name="Normal 2 2 2 4 2 4 4 10" xfId="20155" xr:uid="{00000000-0005-0000-0000-0000964E0000}"/>
    <cellStyle name="Normal 2 2 2 4 2 4 4 2" xfId="20156" xr:uid="{00000000-0005-0000-0000-0000974E0000}"/>
    <cellStyle name="Normal 2 2 2 4 2 4 4 3" xfId="20157" xr:uid="{00000000-0005-0000-0000-0000984E0000}"/>
    <cellStyle name="Normal 2 2 2 4 2 4 4 4" xfId="20158" xr:uid="{00000000-0005-0000-0000-0000994E0000}"/>
    <cellStyle name="Normal 2 2 2 4 2 4 4 5" xfId="20159" xr:uid="{00000000-0005-0000-0000-00009A4E0000}"/>
    <cellStyle name="Normal 2 2 2 4 2 4 4 6" xfId="20160" xr:uid="{00000000-0005-0000-0000-00009B4E0000}"/>
    <cellStyle name="Normal 2 2 2 4 2 4 4 7" xfId="20161" xr:uid="{00000000-0005-0000-0000-00009C4E0000}"/>
    <cellStyle name="Normal 2 2 2 4 2 4 4 8" xfId="20162" xr:uid="{00000000-0005-0000-0000-00009D4E0000}"/>
    <cellStyle name="Normal 2 2 2 4 2 4 4 9" xfId="20163" xr:uid="{00000000-0005-0000-0000-00009E4E0000}"/>
    <cellStyle name="Normal 2 2 2 4 2 4 5" xfId="20164" xr:uid="{00000000-0005-0000-0000-00009F4E0000}"/>
    <cellStyle name="Normal 2 2 2 4 2 4 5 10" xfId="20165" xr:uid="{00000000-0005-0000-0000-0000A04E0000}"/>
    <cellStyle name="Normal 2 2 2 4 2 4 5 2" xfId="20166" xr:uid="{00000000-0005-0000-0000-0000A14E0000}"/>
    <cellStyle name="Normal 2 2 2 4 2 4 5 3" xfId="20167" xr:uid="{00000000-0005-0000-0000-0000A24E0000}"/>
    <cellStyle name="Normal 2 2 2 4 2 4 5 4" xfId="20168" xr:uid="{00000000-0005-0000-0000-0000A34E0000}"/>
    <cellStyle name="Normal 2 2 2 4 2 4 5 5" xfId="20169" xr:uid="{00000000-0005-0000-0000-0000A44E0000}"/>
    <cellStyle name="Normal 2 2 2 4 2 4 5 6" xfId="20170" xr:uid="{00000000-0005-0000-0000-0000A54E0000}"/>
    <cellStyle name="Normal 2 2 2 4 2 4 5 7" xfId="20171" xr:uid="{00000000-0005-0000-0000-0000A64E0000}"/>
    <cellStyle name="Normal 2 2 2 4 2 4 5 8" xfId="20172" xr:uid="{00000000-0005-0000-0000-0000A74E0000}"/>
    <cellStyle name="Normal 2 2 2 4 2 4 5 9" xfId="20173" xr:uid="{00000000-0005-0000-0000-0000A84E0000}"/>
    <cellStyle name="Normal 2 2 2 4 2 4 6" xfId="20174" xr:uid="{00000000-0005-0000-0000-0000A94E0000}"/>
    <cellStyle name="Normal 2 2 2 4 2 4 7" xfId="20175" xr:uid="{00000000-0005-0000-0000-0000AA4E0000}"/>
    <cellStyle name="Normal 2 2 2 4 2 4 8" xfId="20176" xr:uid="{00000000-0005-0000-0000-0000AB4E0000}"/>
    <cellStyle name="Normal 2 2 2 4 2 4 9" xfId="20177" xr:uid="{00000000-0005-0000-0000-0000AC4E0000}"/>
    <cellStyle name="Normal 2 2 2 4 2 5" xfId="20178" xr:uid="{00000000-0005-0000-0000-0000AD4E0000}"/>
    <cellStyle name="Normal 2 2 2 4 2 5 10" xfId="20179" xr:uid="{00000000-0005-0000-0000-0000AE4E0000}"/>
    <cellStyle name="Normal 2 2 2 4 2 5 11" xfId="20180" xr:uid="{00000000-0005-0000-0000-0000AF4E0000}"/>
    <cellStyle name="Normal 2 2 2 4 2 5 12" xfId="20181" xr:uid="{00000000-0005-0000-0000-0000B04E0000}"/>
    <cellStyle name="Normal 2 2 2 4 2 5 13" xfId="20182" xr:uid="{00000000-0005-0000-0000-0000B14E0000}"/>
    <cellStyle name="Normal 2 2 2 4 2 5 14" xfId="20183" xr:uid="{00000000-0005-0000-0000-0000B24E0000}"/>
    <cellStyle name="Normal 2 2 2 4 2 5 2" xfId="20184" xr:uid="{00000000-0005-0000-0000-0000B34E0000}"/>
    <cellStyle name="Normal 2 2 2 4 2 5 2 10" xfId="20185" xr:uid="{00000000-0005-0000-0000-0000B44E0000}"/>
    <cellStyle name="Normal 2 2 2 4 2 5 2 2" xfId="20186" xr:uid="{00000000-0005-0000-0000-0000B54E0000}"/>
    <cellStyle name="Normal 2 2 2 4 2 5 2 3" xfId="20187" xr:uid="{00000000-0005-0000-0000-0000B64E0000}"/>
    <cellStyle name="Normal 2 2 2 4 2 5 2 4" xfId="20188" xr:uid="{00000000-0005-0000-0000-0000B74E0000}"/>
    <cellStyle name="Normal 2 2 2 4 2 5 2 5" xfId="20189" xr:uid="{00000000-0005-0000-0000-0000B84E0000}"/>
    <cellStyle name="Normal 2 2 2 4 2 5 2 6" xfId="20190" xr:uid="{00000000-0005-0000-0000-0000B94E0000}"/>
    <cellStyle name="Normal 2 2 2 4 2 5 2 7" xfId="20191" xr:uid="{00000000-0005-0000-0000-0000BA4E0000}"/>
    <cellStyle name="Normal 2 2 2 4 2 5 2 8" xfId="20192" xr:uid="{00000000-0005-0000-0000-0000BB4E0000}"/>
    <cellStyle name="Normal 2 2 2 4 2 5 2 9" xfId="20193" xr:uid="{00000000-0005-0000-0000-0000BC4E0000}"/>
    <cellStyle name="Normal 2 2 2 4 2 5 3" xfId="20194" xr:uid="{00000000-0005-0000-0000-0000BD4E0000}"/>
    <cellStyle name="Normal 2 2 2 4 2 5 3 10" xfId="20195" xr:uid="{00000000-0005-0000-0000-0000BE4E0000}"/>
    <cellStyle name="Normal 2 2 2 4 2 5 3 2" xfId="20196" xr:uid="{00000000-0005-0000-0000-0000BF4E0000}"/>
    <cellStyle name="Normal 2 2 2 4 2 5 3 3" xfId="20197" xr:uid="{00000000-0005-0000-0000-0000C04E0000}"/>
    <cellStyle name="Normal 2 2 2 4 2 5 3 4" xfId="20198" xr:uid="{00000000-0005-0000-0000-0000C14E0000}"/>
    <cellStyle name="Normal 2 2 2 4 2 5 3 5" xfId="20199" xr:uid="{00000000-0005-0000-0000-0000C24E0000}"/>
    <cellStyle name="Normal 2 2 2 4 2 5 3 6" xfId="20200" xr:uid="{00000000-0005-0000-0000-0000C34E0000}"/>
    <cellStyle name="Normal 2 2 2 4 2 5 3 7" xfId="20201" xr:uid="{00000000-0005-0000-0000-0000C44E0000}"/>
    <cellStyle name="Normal 2 2 2 4 2 5 3 8" xfId="20202" xr:uid="{00000000-0005-0000-0000-0000C54E0000}"/>
    <cellStyle name="Normal 2 2 2 4 2 5 3 9" xfId="20203" xr:uid="{00000000-0005-0000-0000-0000C64E0000}"/>
    <cellStyle name="Normal 2 2 2 4 2 5 4" xfId="20204" xr:uid="{00000000-0005-0000-0000-0000C74E0000}"/>
    <cellStyle name="Normal 2 2 2 4 2 5 4 10" xfId="20205" xr:uid="{00000000-0005-0000-0000-0000C84E0000}"/>
    <cellStyle name="Normal 2 2 2 4 2 5 4 2" xfId="20206" xr:uid="{00000000-0005-0000-0000-0000C94E0000}"/>
    <cellStyle name="Normal 2 2 2 4 2 5 4 3" xfId="20207" xr:uid="{00000000-0005-0000-0000-0000CA4E0000}"/>
    <cellStyle name="Normal 2 2 2 4 2 5 4 4" xfId="20208" xr:uid="{00000000-0005-0000-0000-0000CB4E0000}"/>
    <cellStyle name="Normal 2 2 2 4 2 5 4 5" xfId="20209" xr:uid="{00000000-0005-0000-0000-0000CC4E0000}"/>
    <cellStyle name="Normal 2 2 2 4 2 5 4 6" xfId="20210" xr:uid="{00000000-0005-0000-0000-0000CD4E0000}"/>
    <cellStyle name="Normal 2 2 2 4 2 5 4 7" xfId="20211" xr:uid="{00000000-0005-0000-0000-0000CE4E0000}"/>
    <cellStyle name="Normal 2 2 2 4 2 5 4 8" xfId="20212" xr:uid="{00000000-0005-0000-0000-0000CF4E0000}"/>
    <cellStyle name="Normal 2 2 2 4 2 5 4 9" xfId="20213" xr:uid="{00000000-0005-0000-0000-0000D04E0000}"/>
    <cellStyle name="Normal 2 2 2 4 2 5 5" xfId="20214" xr:uid="{00000000-0005-0000-0000-0000D14E0000}"/>
    <cellStyle name="Normal 2 2 2 4 2 5 5 10" xfId="20215" xr:uid="{00000000-0005-0000-0000-0000D24E0000}"/>
    <cellStyle name="Normal 2 2 2 4 2 5 5 2" xfId="20216" xr:uid="{00000000-0005-0000-0000-0000D34E0000}"/>
    <cellStyle name="Normal 2 2 2 4 2 5 5 3" xfId="20217" xr:uid="{00000000-0005-0000-0000-0000D44E0000}"/>
    <cellStyle name="Normal 2 2 2 4 2 5 5 4" xfId="20218" xr:uid="{00000000-0005-0000-0000-0000D54E0000}"/>
    <cellStyle name="Normal 2 2 2 4 2 5 5 5" xfId="20219" xr:uid="{00000000-0005-0000-0000-0000D64E0000}"/>
    <cellStyle name="Normal 2 2 2 4 2 5 5 6" xfId="20220" xr:uid="{00000000-0005-0000-0000-0000D74E0000}"/>
    <cellStyle name="Normal 2 2 2 4 2 5 5 7" xfId="20221" xr:uid="{00000000-0005-0000-0000-0000D84E0000}"/>
    <cellStyle name="Normal 2 2 2 4 2 5 5 8" xfId="20222" xr:uid="{00000000-0005-0000-0000-0000D94E0000}"/>
    <cellStyle name="Normal 2 2 2 4 2 5 5 9" xfId="20223" xr:uid="{00000000-0005-0000-0000-0000DA4E0000}"/>
    <cellStyle name="Normal 2 2 2 4 2 5 6" xfId="20224" xr:uid="{00000000-0005-0000-0000-0000DB4E0000}"/>
    <cellStyle name="Normal 2 2 2 4 2 5 7" xfId="20225" xr:uid="{00000000-0005-0000-0000-0000DC4E0000}"/>
    <cellStyle name="Normal 2 2 2 4 2 5 8" xfId="20226" xr:uid="{00000000-0005-0000-0000-0000DD4E0000}"/>
    <cellStyle name="Normal 2 2 2 4 2 5 9" xfId="20227" xr:uid="{00000000-0005-0000-0000-0000DE4E0000}"/>
    <cellStyle name="Normal 2 2 2 4 2 6" xfId="20228" xr:uid="{00000000-0005-0000-0000-0000DF4E0000}"/>
    <cellStyle name="Normal 2 2 2 4 2 6 10" xfId="20229" xr:uid="{00000000-0005-0000-0000-0000E04E0000}"/>
    <cellStyle name="Normal 2 2 2 4 2 6 11" xfId="20230" xr:uid="{00000000-0005-0000-0000-0000E14E0000}"/>
    <cellStyle name="Normal 2 2 2 4 2 6 12" xfId="20231" xr:uid="{00000000-0005-0000-0000-0000E24E0000}"/>
    <cellStyle name="Normal 2 2 2 4 2 6 13" xfId="20232" xr:uid="{00000000-0005-0000-0000-0000E34E0000}"/>
    <cellStyle name="Normal 2 2 2 4 2 6 14" xfId="20233" xr:uid="{00000000-0005-0000-0000-0000E44E0000}"/>
    <cellStyle name="Normal 2 2 2 4 2 6 2" xfId="20234" xr:uid="{00000000-0005-0000-0000-0000E54E0000}"/>
    <cellStyle name="Normal 2 2 2 4 2 6 2 10" xfId="20235" xr:uid="{00000000-0005-0000-0000-0000E64E0000}"/>
    <cellStyle name="Normal 2 2 2 4 2 6 2 2" xfId="20236" xr:uid="{00000000-0005-0000-0000-0000E74E0000}"/>
    <cellStyle name="Normal 2 2 2 4 2 6 2 3" xfId="20237" xr:uid="{00000000-0005-0000-0000-0000E84E0000}"/>
    <cellStyle name="Normal 2 2 2 4 2 6 2 4" xfId="20238" xr:uid="{00000000-0005-0000-0000-0000E94E0000}"/>
    <cellStyle name="Normal 2 2 2 4 2 6 2 5" xfId="20239" xr:uid="{00000000-0005-0000-0000-0000EA4E0000}"/>
    <cellStyle name="Normal 2 2 2 4 2 6 2 6" xfId="20240" xr:uid="{00000000-0005-0000-0000-0000EB4E0000}"/>
    <cellStyle name="Normal 2 2 2 4 2 6 2 7" xfId="20241" xr:uid="{00000000-0005-0000-0000-0000EC4E0000}"/>
    <cellStyle name="Normal 2 2 2 4 2 6 2 8" xfId="20242" xr:uid="{00000000-0005-0000-0000-0000ED4E0000}"/>
    <cellStyle name="Normal 2 2 2 4 2 6 2 9" xfId="20243" xr:uid="{00000000-0005-0000-0000-0000EE4E0000}"/>
    <cellStyle name="Normal 2 2 2 4 2 6 3" xfId="20244" xr:uid="{00000000-0005-0000-0000-0000EF4E0000}"/>
    <cellStyle name="Normal 2 2 2 4 2 6 3 10" xfId="20245" xr:uid="{00000000-0005-0000-0000-0000F04E0000}"/>
    <cellStyle name="Normal 2 2 2 4 2 6 3 2" xfId="20246" xr:uid="{00000000-0005-0000-0000-0000F14E0000}"/>
    <cellStyle name="Normal 2 2 2 4 2 6 3 3" xfId="20247" xr:uid="{00000000-0005-0000-0000-0000F24E0000}"/>
    <cellStyle name="Normal 2 2 2 4 2 6 3 4" xfId="20248" xr:uid="{00000000-0005-0000-0000-0000F34E0000}"/>
    <cellStyle name="Normal 2 2 2 4 2 6 3 5" xfId="20249" xr:uid="{00000000-0005-0000-0000-0000F44E0000}"/>
    <cellStyle name="Normal 2 2 2 4 2 6 3 6" xfId="20250" xr:uid="{00000000-0005-0000-0000-0000F54E0000}"/>
    <cellStyle name="Normal 2 2 2 4 2 6 3 7" xfId="20251" xr:uid="{00000000-0005-0000-0000-0000F64E0000}"/>
    <cellStyle name="Normal 2 2 2 4 2 6 3 8" xfId="20252" xr:uid="{00000000-0005-0000-0000-0000F74E0000}"/>
    <cellStyle name="Normal 2 2 2 4 2 6 3 9" xfId="20253" xr:uid="{00000000-0005-0000-0000-0000F84E0000}"/>
    <cellStyle name="Normal 2 2 2 4 2 6 4" xfId="20254" xr:uid="{00000000-0005-0000-0000-0000F94E0000}"/>
    <cellStyle name="Normal 2 2 2 4 2 6 4 10" xfId="20255" xr:uid="{00000000-0005-0000-0000-0000FA4E0000}"/>
    <cellStyle name="Normal 2 2 2 4 2 6 4 2" xfId="20256" xr:uid="{00000000-0005-0000-0000-0000FB4E0000}"/>
    <cellStyle name="Normal 2 2 2 4 2 6 4 3" xfId="20257" xr:uid="{00000000-0005-0000-0000-0000FC4E0000}"/>
    <cellStyle name="Normal 2 2 2 4 2 6 4 4" xfId="20258" xr:uid="{00000000-0005-0000-0000-0000FD4E0000}"/>
    <cellStyle name="Normal 2 2 2 4 2 6 4 5" xfId="20259" xr:uid="{00000000-0005-0000-0000-0000FE4E0000}"/>
    <cellStyle name="Normal 2 2 2 4 2 6 4 6" xfId="20260" xr:uid="{00000000-0005-0000-0000-0000FF4E0000}"/>
    <cellStyle name="Normal 2 2 2 4 2 6 4 7" xfId="20261" xr:uid="{00000000-0005-0000-0000-0000004F0000}"/>
    <cellStyle name="Normal 2 2 2 4 2 6 4 8" xfId="20262" xr:uid="{00000000-0005-0000-0000-0000014F0000}"/>
    <cellStyle name="Normal 2 2 2 4 2 6 4 9" xfId="20263" xr:uid="{00000000-0005-0000-0000-0000024F0000}"/>
    <cellStyle name="Normal 2 2 2 4 2 6 5" xfId="20264" xr:uid="{00000000-0005-0000-0000-0000034F0000}"/>
    <cellStyle name="Normal 2 2 2 4 2 6 5 10" xfId="20265" xr:uid="{00000000-0005-0000-0000-0000044F0000}"/>
    <cellStyle name="Normal 2 2 2 4 2 6 5 2" xfId="20266" xr:uid="{00000000-0005-0000-0000-0000054F0000}"/>
    <cellStyle name="Normal 2 2 2 4 2 6 5 3" xfId="20267" xr:uid="{00000000-0005-0000-0000-0000064F0000}"/>
    <cellStyle name="Normal 2 2 2 4 2 6 5 4" xfId="20268" xr:uid="{00000000-0005-0000-0000-0000074F0000}"/>
    <cellStyle name="Normal 2 2 2 4 2 6 5 5" xfId="20269" xr:uid="{00000000-0005-0000-0000-0000084F0000}"/>
    <cellStyle name="Normal 2 2 2 4 2 6 5 6" xfId="20270" xr:uid="{00000000-0005-0000-0000-0000094F0000}"/>
    <cellStyle name="Normal 2 2 2 4 2 6 5 7" xfId="20271" xr:uid="{00000000-0005-0000-0000-00000A4F0000}"/>
    <cellStyle name="Normal 2 2 2 4 2 6 5 8" xfId="20272" xr:uid="{00000000-0005-0000-0000-00000B4F0000}"/>
    <cellStyle name="Normal 2 2 2 4 2 6 5 9" xfId="20273" xr:uid="{00000000-0005-0000-0000-00000C4F0000}"/>
    <cellStyle name="Normal 2 2 2 4 2 6 6" xfId="20274" xr:uid="{00000000-0005-0000-0000-00000D4F0000}"/>
    <cellStyle name="Normal 2 2 2 4 2 6 7" xfId="20275" xr:uid="{00000000-0005-0000-0000-00000E4F0000}"/>
    <cellStyle name="Normal 2 2 2 4 2 6 8" xfId="20276" xr:uid="{00000000-0005-0000-0000-00000F4F0000}"/>
    <cellStyle name="Normal 2 2 2 4 2 6 9" xfId="20277" xr:uid="{00000000-0005-0000-0000-0000104F0000}"/>
    <cellStyle name="Normal 2 2 2 4 2 7" xfId="20278" xr:uid="{00000000-0005-0000-0000-0000114F0000}"/>
    <cellStyle name="Normal 2 2 2 4 2 7 10" xfId="20279" xr:uid="{00000000-0005-0000-0000-0000124F0000}"/>
    <cellStyle name="Normal 2 2 2 4 2 7 11" xfId="20280" xr:uid="{00000000-0005-0000-0000-0000134F0000}"/>
    <cellStyle name="Normal 2 2 2 4 2 7 12" xfId="20281" xr:uid="{00000000-0005-0000-0000-0000144F0000}"/>
    <cellStyle name="Normal 2 2 2 4 2 7 13" xfId="20282" xr:uid="{00000000-0005-0000-0000-0000154F0000}"/>
    <cellStyle name="Normal 2 2 2 4 2 7 14" xfId="20283" xr:uid="{00000000-0005-0000-0000-0000164F0000}"/>
    <cellStyle name="Normal 2 2 2 4 2 7 2" xfId="20284" xr:uid="{00000000-0005-0000-0000-0000174F0000}"/>
    <cellStyle name="Normal 2 2 2 4 2 7 2 10" xfId="20285" xr:uid="{00000000-0005-0000-0000-0000184F0000}"/>
    <cellStyle name="Normal 2 2 2 4 2 7 2 2" xfId="20286" xr:uid="{00000000-0005-0000-0000-0000194F0000}"/>
    <cellStyle name="Normal 2 2 2 4 2 7 2 3" xfId="20287" xr:uid="{00000000-0005-0000-0000-00001A4F0000}"/>
    <cellStyle name="Normal 2 2 2 4 2 7 2 4" xfId="20288" xr:uid="{00000000-0005-0000-0000-00001B4F0000}"/>
    <cellStyle name="Normal 2 2 2 4 2 7 2 5" xfId="20289" xr:uid="{00000000-0005-0000-0000-00001C4F0000}"/>
    <cellStyle name="Normal 2 2 2 4 2 7 2 6" xfId="20290" xr:uid="{00000000-0005-0000-0000-00001D4F0000}"/>
    <cellStyle name="Normal 2 2 2 4 2 7 2 7" xfId="20291" xr:uid="{00000000-0005-0000-0000-00001E4F0000}"/>
    <cellStyle name="Normal 2 2 2 4 2 7 2 8" xfId="20292" xr:uid="{00000000-0005-0000-0000-00001F4F0000}"/>
    <cellStyle name="Normal 2 2 2 4 2 7 2 9" xfId="20293" xr:uid="{00000000-0005-0000-0000-0000204F0000}"/>
    <cellStyle name="Normal 2 2 2 4 2 7 3" xfId="20294" xr:uid="{00000000-0005-0000-0000-0000214F0000}"/>
    <cellStyle name="Normal 2 2 2 4 2 7 3 10" xfId="20295" xr:uid="{00000000-0005-0000-0000-0000224F0000}"/>
    <cellStyle name="Normal 2 2 2 4 2 7 3 2" xfId="20296" xr:uid="{00000000-0005-0000-0000-0000234F0000}"/>
    <cellStyle name="Normal 2 2 2 4 2 7 3 3" xfId="20297" xr:uid="{00000000-0005-0000-0000-0000244F0000}"/>
    <cellStyle name="Normal 2 2 2 4 2 7 3 4" xfId="20298" xr:uid="{00000000-0005-0000-0000-0000254F0000}"/>
    <cellStyle name="Normal 2 2 2 4 2 7 3 5" xfId="20299" xr:uid="{00000000-0005-0000-0000-0000264F0000}"/>
    <cellStyle name="Normal 2 2 2 4 2 7 3 6" xfId="20300" xr:uid="{00000000-0005-0000-0000-0000274F0000}"/>
    <cellStyle name="Normal 2 2 2 4 2 7 3 7" xfId="20301" xr:uid="{00000000-0005-0000-0000-0000284F0000}"/>
    <cellStyle name="Normal 2 2 2 4 2 7 3 8" xfId="20302" xr:uid="{00000000-0005-0000-0000-0000294F0000}"/>
    <cellStyle name="Normal 2 2 2 4 2 7 3 9" xfId="20303" xr:uid="{00000000-0005-0000-0000-00002A4F0000}"/>
    <cellStyle name="Normal 2 2 2 4 2 7 4" xfId="20304" xr:uid="{00000000-0005-0000-0000-00002B4F0000}"/>
    <cellStyle name="Normal 2 2 2 4 2 7 4 10" xfId="20305" xr:uid="{00000000-0005-0000-0000-00002C4F0000}"/>
    <cellStyle name="Normal 2 2 2 4 2 7 4 2" xfId="20306" xr:uid="{00000000-0005-0000-0000-00002D4F0000}"/>
    <cellStyle name="Normal 2 2 2 4 2 7 4 3" xfId="20307" xr:uid="{00000000-0005-0000-0000-00002E4F0000}"/>
    <cellStyle name="Normal 2 2 2 4 2 7 4 4" xfId="20308" xr:uid="{00000000-0005-0000-0000-00002F4F0000}"/>
    <cellStyle name="Normal 2 2 2 4 2 7 4 5" xfId="20309" xr:uid="{00000000-0005-0000-0000-0000304F0000}"/>
    <cellStyle name="Normal 2 2 2 4 2 7 4 6" xfId="20310" xr:uid="{00000000-0005-0000-0000-0000314F0000}"/>
    <cellStyle name="Normal 2 2 2 4 2 7 4 7" xfId="20311" xr:uid="{00000000-0005-0000-0000-0000324F0000}"/>
    <cellStyle name="Normal 2 2 2 4 2 7 4 8" xfId="20312" xr:uid="{00000000-0005-0000-0000-0000334F0000}"/>
    <cellStyle name="Normal 2 2 2 4 2 7 4 9" xfId="20313" xr:uid="{00000000-0005-0000-0000-0000344F0000}"/>
    <cellStyle name="Normal 2 2 2 4 2 7 5" xfId="20314" xr:uid="{00000000-0005-0000-0000-0000354F0000}"/>
    <cellStyle name="Normal 2 2 2 4 2 7 5 10" xfId="20315" xr:uid="{00000000-0005-0000-0000-0000364F0000}"/>
    <cellStyle name="Normal 2 2 2 4 2 7 5 2" xfId="20316" xr:uid="{00000000-0005-0000-0000-0000374F0000}"/>
    <cellStyle name="Normal 2 2 2 4 2 7 5 3" xfId="20317" xr:uid="{00000000-0005-0000-0000-0000384F0000}"/>
    <cellStyle name="Normal 2 2 2 4 2 7 5 4" xfId="20318" xr:uid="{00000000-0005-0000-0000-0000394F0000}"/>
    <cellStyle name="Normal 2 2 2 4 2 7 5 5" xfId="20319" xr:uid="{00000000-0005-0000-0000-00003A4F0000}"/>
    <cellStyle name="Normal 2 2 2 4 2 7 5 6" xfId="20320" xr:uid="{00000000-0005-0000-0000-00003B4F0000}"/>
    <cellStyle name="Normal 2 2 2 4 2 7 5 7" xfId="20321" xr:uid="{00000000-0005-0000-0000-00003C4F0000}"/>
    <cellStyle name="Normal 2 2 2 4 2 7 5 8" xfId="20322" xr:uid="{00000000-0005-0000-0000-00003D4F0000}"/>
    <cellStyle name="Normal 2 2 2 4 2 7 5 9" xfId="20323" xr:uid="{00000000-0005-0000-0000-00003E4F0000}"/>
    <cellStyle name="Normal 2 2 2 4 2 7 6" xfId="20324" xr:uid="{00000000-0005-0000-0000-00003F4F0000}"/>
    <cellStyle name="Normal 2 2 2 4 2 7 7" xfId="20325" xr:uid="{00000000-0005-0000-0000-0000404F0000}"/>
    <cellStyle name="Normal 2 2 2 4 2 7 8" xfId="20326" xr:uid="{00000000-0005-0000-0000-0000414F0000}"/>
    <cellStyle name="Normal 2 2 2 4 2 7 9" xfId="20327" xr:uid="{00000000-0005-0000-0000-0000424F0000}"/>
    <cellStyle name="Normal 2 2 2 4 2 8" xfId="20328" xr:uid="{00000000-0005-0000-0000-0000434F0000}"/>
    <cellStyle name="Normal 2 2 2 4 2 8 10" xfId="20329" xr:uid="{00000000-0005-0000-0000-0000444F0000}"/>
    <cellStyle name="Normal 2 2 2 4 2 8 11" xfId="20330" xr:uid="{00000000-0005-0000-0000-0000454F0000}"/>
    <cellStyle name="Normal 2 2 2 4 2 8 12" xfId="20331" xr:uid="{00000000-0005-0000-0000-0000464F0000}"/>
    <cellStyle name="Normal 2 2 2 4 2 8 13" xfId="20332" xr:uid="{00000000-0005-0000-0000-0000474F0000}"/>
    <cellStyle name="Normal 2 2 2 4 2 8 14" xfId="20333" xr:uid="{00000000-0005-0000-0000-0000484F0000}"/>
    <cellStyle name="Normal 2 2 2 4 2 8 2" xfId="20334" xr:uid="{00000000-0005-0000-0000-0000494F0000}"/>
    <cellStyle name="Normal 2 2 2 4 2 8 2 10" xfId="20335" xr:uid="{00000000-0005-0000-0000-00004A4F0000}"/>
    <cellStyle name="Normal 2 2 2 4 2 8 2 2" xfId="20336" xr:uid="{00000000-0005-0000-0000-00004B4F0000}"/>
    <cellStyle name="Normal 2 2 2 4 2 8 2 3" xfId="20337" xr:uid="{00000000-0005-0000-0000-00004C4F0000}"/>
    <cellStyle name="Normal 2 2 2 4 2 8 2 4" xfId="20338" xr:uid="{00000000-0005-0000-0000-00004D4F0000}"/>
    <cellStyle name="Normal 2 2 2 4 2 8 2 5" xfId="20339" xr:uid="{00000000-0005-0000-0000-00004E4F0000}"/>
    <cellStyle name="Normal 2 2 2 4 2 8 2 6" xfId="20340" xr:uid="{00000000-0005-0000-0000-00004F4F0000}"/>
    <cellStyle name="Normal 2 2 2 4 2 8 2 7" xfId="20341" xr:uid="{00000000-0005-0000-0000-0000504F0000}"/>
    <cellStyle name="Normal 2 2 2 4 2 8 2 8" xfId="20342" xr:uid="{00000000-0005-0000-0000-0000514F0000}"/>
    <cellStyle name="Normal 2 2 2 4 2 8 2 9" xfId="20343" xr:uid="{00000000-0005-0000-0000-0000524F0000}"/>
    <cellStyle name="Normal 2 2 2 4 2 8 3" xfId="20344" xr:uid="{00000000-0005-0000-0000-0000534F0000}"/>
    <cellStyle name="Normal 2 2 2 4 2 8 3 10" xfId="20345" xr:uid="{00000000-0005-0000-0000-0000544F0000}"/>
    <cellStyle name="Normal 2 2 2 4 2 8 3 2" xfId="20346" xr:uid="{00000000-0005-0000-0000-0000554F0000}"/>
    <cellStyle name="Normal 2 2 2 4 2 8 3 3" xfId="20347" xr:uid="{00000000-0005-0000-0000-0000564F0000}"/>
    <cellStyle name="Normal 2 2 2 4 2 8 3 4" xfId="20348" xr:uid="{00000000-0005-0000-0000-0000574F0000}"/>
    <cellStyle name="Normal 2 2 2 4 2 8 3 5" xfId="20349" xr:uid="{00000000-0005-0000-0000-0000584F0000}"/>
    <cellStyle name="Normal 2 2 2 4 2 8 3 6" xfId="20350" xr:uid="{00000000-0005-0000-0000-0000594F0000}"/>
    <cellStyle name="Normal 2 2 2 4 2 8 3 7" xfId="20351" xr:uid="{00000000-0005-0000-0000-00005A4F0000}"/>
    <cellStyle name="Normal 2 2 2 4 2 8 3 8" xfId="20352" xr:uid="{00000000-0005-0000-0000-00005B4F0000}"/>
    <cellStyle name="Normal 2 2 2 4 2 8 3 9" xfId="20353" xr:uid="{00000000-0005-0000-0000-00005C4F0000}"/>
    <cellStyle name="Normal 2 2 2 4 2 8 4" xfId="20354" xr:uid="{00000000-0005-0000-0000-00005D4F0000}"/>
    <cellStyle name="Normal 2 2 2 4 2 8 4 10" xfId="20355" xr:uid="{00000000-0005-0000-0000-00005E4F0000}"/>
    <cellStyle name="Normal 2 2 2 4 2 8 4 2" xfId="20356" xr:uid="{00000000-0005-0000-0000-00005F4F0000}"/>
    <cellStyle name="Normal 2 2 2 4 2 8 4 3" xfId="20357" xr:uid="{00000000-0005-0000-0000-0000604F0000}"/>
    <cellStyle name="Normal 2 2 2 4 2 8 4 4" xfId="20358" xr:uid="{00000000-0005-0000-0000-0000614F0000}"/>
    <cellStyle name="Normal 2 2 2 4 2 8 4 5" xfId="20359" xr:uid="{00000000-0005-0000-0000-0000624F0000}"/>
    <cellStyle name="Normal 2 2 2 4 2 8 4 6" xfId="20360" xr:uid="{00000000-0005-0000-0000-0000634F0000}"/>
    <cellStyle name="Normal 2 2 2 4 2 8 4 7" xfId="20361" xr:uid="{00000000-0005-0000-0000-0000644F0000}"/>
    <cellStyle name="Normal 2 2 2 4 2 8 4 8" xfId="20362" xr:uid="{00000000-0005-0000-0000-0000654F0000}"/>
    <cellStyle name="Normal 2 2 2 4 2 8 4 9" xfId="20363" xr:uid="{00000000-0005-0000-0000-0000664F0000}"/>
    <cellStyle name="Normal 2 2 2 4 2 8 5" xfId="20364" xr:uid="{00000000-0005-0000-0000-0000674F0000}"/>
    <cellStyle name="Normal 2 2 2 4 2 8 5 10" xfId="20365" xr:uid="{00000000-0005-0000-0000-0000684F0000}"/>
    <cellStyle name="Normal 2 2 2 4 2 8 5 2" xfId="20366" xr:uid="{00000000-0005-0000-0000-0000694F0000}"/>
    <cellStyle name="Normal 2 2 2 4 2 8 5 3" xfId="20367" xr:uid="{00000000-0005-0000-0000-00006A4F0000}"/>
    <cellStyle name="Normal 2 2 2 4 2 8 5 4" xfId="20368" xr:uid="{00000000-0005-0000-0000-00006B4F0000}"/>
    <cellStyle name="Normal 2 2 2 4 2 8 5 5" xfId="20369" xr:uid="{00000000-0005-0000-0000-00006C4F0000}"/>
    <cellStyle name="Normal 2 2 2 4 2 8 5 6" xfId="20370" xr:uid="{00000000-0005-0000-0000-00006D4F0000}"/>
    <cellStyle name="Normal 2 2 2 4 2 8 5 7" xfId="20371" xr:uid="{00000000-0005-0000-0000-00006E4F0000}"/>
    <cellStyle name="Normal 2 2 2 4 2 8 5 8" xfId="20372" xr:uid="{00000000-0005-0000-0000-00006F4F0000}"/>
    <cellStyle name="Normal 2 2 2 4 2 8 5 9" xfId="20373" xr:uid="{00000000-0005-0000-0000-0000704F0000}"/>
    <cellStyle name="Normal 2 2 2 4 2 8 6" xfId="20374" xr:uid="{00000000-0005-0000-0000-0000714F0000}"/>
    <cellStyle name="Normal 2 2 2 4 2 8 7" xfId="20375" xr:uid="{00000000-0005-0000-0000-0000724F0000}"/>
    <cellStyle name="Normal 2 2 2 4 2 8 8" xfId="20376" xr:uid="{00000000-0005-0000-0000-0000734F0000}"/>
    <cellStyle name="Normal 2 2 2 4 2 8 9" xfId="20377" xr:uid="{00000000-0005-0000-0000-0000744F0000}"/>
    <cellStyle name="Normal 2 2 2 4 2 9" xfId="20378" xr:uid="{00000000-0005-0000-0000-0000754F0000}"/>
    <cellStyle name="Normal 2 2 2 4 2 9 10" xfId="20379" xr:uid="{00000000-0005-0000-0000-0000764F0000}"/>
    <cellStyle name="Normal 2 2 2 4 2 9 11" xfId="20380" xr:uid="{00000000-0005-0000-0000-0000774F0000}"/>
    <cellStyle name="Normal 2 2 2 4 2 9 12" xfId="20381" xr:uid="{00000000-0005-0000-0000-0000784F0000}"/>
    <cellStyle name="Normal 2 2 2 4 2 9 13" xfId="20382" xr:uid="{00000000-0005-0000-0000-0000794F0000}"/>
    <cellStyle name="Normal 2 2 2 4 2 9 14" xfId="20383" xr:uid="{00000000-0005-0000-0000-00007A4F0000}"/>
    <cellStyle name="Normal 2 2 2 4 2 9 2" xfId="20384" xr:uid="{00000000-0005-0000-0000-00007B4F0000}"/>
    <cellStyle name="Normal 2 2 2 4 2 9 2 10" xfId="20385" xr:uid="{00000000-0005-0000-0000-00007C4F0000}"/>
    <cellStyle name="Normal 2 2 2 4 2 9 2 2" xfId="20386" xr:uid="{00000000-0005-0000-0000-00007D4F0000}"/>
    <cellStyle name="Normal 2 2 2 4 2 9 2 3" xfId="20387" xr:uid="{00000000-0005-0000-0000-00007E4F0000}"/>
    <cellStyle name="Normal 2 2 2 4 2 9 2 4" xfId="20388" xr:uid="{00000000-0005-0000-0000-00007F4F0000}"/>
    <cellStyle name="Normal 2 2 2 4 2 9 2 5" xfId="20389" xr:uid="{00000000-0005-0000-0000-0000804F0000}"/>
    <cellStyle name="Normal 2 2 2 4 2 9 2 6" xfId="20390" xr:uid="{00000000-0005-0000-0000-0000814F0000}"/>
    <cellStyle name="Normal 2 2 2 4 2 9 2 7" xfId="20391" xr:uid="{00000000-0005-0000-0000-0000824F0000}"/>
    <cellStyle name="Normal 2 2 2 4 2 9 2 8" xfId="20392" xr:uid="{00000000-0005-0000-0000-0000834F0000}"/>
    <cellStyle name="Normal 2 2 2 4 2 9 2 9" xfId="20393" xr:uid="{00000000-0005-0000-0000-0000844F0000}"/>
    <cellStyle name="Normal 2 2 2 4 2 9 3" xfId="20394" xr:uid="{00000000-0005-0000-0000-0000854F0000}"/>
    <cellStyle name="Normal 2 2 2 4 2 9 3 10" xfId="20395" xr:uid="{00000000-0005-0000-0000-0000864F0000}"/>
    <cellStyle name="Normal 2 2 2 4 2 9 3 2" xfId="20396" xr:uid="{00000000-0005-0000-0000-0000874F0000}"/>
    <cellStyle name="Normal 2 2 2 4 2 9 3 3" xfId="20397" xr:uid="{00000000-0005-0000-0000-0000884F0000}"/>
    <cellStyle name="Normal 2 2 2 4 2 9 3 4" xfId="20398" xr:uid="{00000000-0005-0000-0000-0000894F0000}"/>
    <cellStyle name="Normal 2 2 2 4 2 9 3 5" xfId="20399" xr:uid="{00000000-0005-0000-0000-00008A4F0000}"/>
    <cellStyle name="Normal 2 2 2 4 2 9 3 6" xfId="20400" xr:uid="{00000000-0005-0000-0000-00008B4F0000}"/>
    <cellStyle name="Normal 2 2 2 4 2 9 3 7" xfId="20401" xr:uid="{00000000-0005-0000-0000-00008C4F0000}"/>
    <cellStyle name="Normal 2 2 2 4 2 9 3 8" xfId="20402" xr:uid="{00000000-0005-0000-0000-00008D4F0000}"/>
    <cellStyle name="Normal 2 2 2 4 2 9 3 9" xfId="20403" xr:uid="{00000000-0005-0000-0000-00008E4F0000}"/>
    <cellStyle name="Normal 2 2 2 4 2 9 4" xfId="20404" xr:uid="{00000000-0005-0000-0000-00008F4F0000}"/>
    <cellStyle name="Normal 2 2 2 4 2 9 4 10" xfId="20405" xr:uid="{00000000-0005-0000-0000-0000904F0000}"/>
    <cellStyle name="Normal 2 2 2 4 2 9 4 2" xfId="20406" xr:uid="{00000000-0005-0000-0000-0000914F0000}"/>
    <cellStyle name="Normal 2 2 2 4 2 9 4 3" xfId="20407" xr:uid="{00000000-0005-0000-0000-0000924F0000}"/>
    <cellStyle name="Normal 2 2 2 4 2 9 4 4" xfId="20408" xr:uid="{00000000-0005-0000-0000-0000934F0000}"/>
    <cellStyle name="Normal 2 2 2 4 2 9 4 5" xfId="20409" xr:uid="{00000000-0005-0000-0000-0000944F0000}"/>
    <cellStyle name="Normal 2 2 2 4 2 9 4 6" xfId="20410" xr:uid="{00000000-0005-0000-0000-0000954F0000}"/>
    <cellStyle name="Normal 2 2 2 4 2 9 4 7" xfId="20411" xr:uid="{00000000-0005-0000-0000-0000964F0000}"/>
    <cellStyle name="Normal 2 2 2 4 2 9 4 8" xfId="20412" xr:uid="{00000000-0005-0000-0000-0000974F0000}"/>
    <cellStyle name="Normal 2 2 2 4 2 9 4 9" xfId="20413" xr:uid="{00000000-0005-0000-0000-0000984F0000}"/>
    <cellStyle name="Normal 2 2 2 4 2 9 5" xfId="20414" xr:uid="{00000000-0005-0000-0000-0000994F0000}"/>
    <cellStyle name="Normal 2 2 2 4 2 9 5 10" xfId="20415" xr:uid="{00000000-0005-0000-0000-00009A4F0000}"/>
    <cellStyle name="Normal 2 2 2 4 2 9 5 2" xfId="20416" xr:uid="{00000000-0005-0000-0000-00009B4F0000}"/>
    <cellStyle name="Normal 2 2 2 4 2 9 5 3" xfId="20417" xr:uid="{00000000-0005-0000-0000-00009C4F0000}"/>
    <cellStyle name="Normal 2 2 2 4 2 9 5 4" xfId="20418" xr:uid="{00000000-0005-0000-0000-00009D4F0000}"/>
    <cellStyle name="Normal 2 2 2 4 2 9 5 5" xfId="20419" xr:uid="{00000000-0005-0000-0000-00009E4F0000}"/>
    <cellStyle name="Normal 2 2 2 4 2 9 5 6" xfId="20420" xr:uid="{00000000-0005-0000-0000-00009F4F0000}"/>
    <cellStyle name="Normal 2 2 2 4 2 9 5 7" xfId="20421" xr:uid="{00000000-0005-0000-0000-0000A04F0000}"/>
    <cellStyle name="Normal 2 2 2 4 2 9 5 8" xfId="20422" xr:uid="{00000000-0005-0000-0000-0000A14F0000}"/>
    <cellStyle name="Normal 2 2 2 4 2 9 5 9" xfId="20423" xr:uid="{00000000-0005-0000-0000-0000A24F0000}"/>
    <cellStyle name="Normal 2 2 2 4 2 9 6" xfId="20424" xr:uid="{00000000-0005-0000-0000-0000A34F0000}"/>
    <cellStyle name="Normal 2 2 2 4 2 9 7" xfId="20425" xr:uid="{00000000-0005-0000-0000-0000A44F0000}"/>
    <cellStyle name="Normal 2 2 2 4 2 9 8" xfId="20426" xr:uid="{00000000-0005-0000-0000-0000A54F0000}"/>
    <cellStyle name="Normal 2 2 2 4 2 9 9" xfId="20427" xr:uid="{00000000-0005-0000-0000-0000A64F0000}"/>
    <cellStyle name="Normal 2 2 2 4 20" xfId="20428" xr:uid="{00000000-0005-0000-0000-0000A74F0000}"/>
    <cellStyle name="Normal 2 2 2 4 21" xfId="20429" xr:uid="{00000000-0005-0000-0000-0000A84F0000}"/>
    <cellStyle name="Normal 2 2 2 4 22" xfId="20430" xr:uid="{00000000-0005-0000-0000-0000A94F0000}"/>
    <cellStyle name="Normal 2 2 2 4 23" xfId="20431" xr:uid="{00000000-0005-0000-0000-0000AA4F0000}"/>
    <cellStyle name="Normal 2 2 2 4 24" xfId="20432" xr:uid="{00000000-0005-0000-0000-0000AB4F0000}"/>
    <cellStyle name="Normal 2 2 2 4 25" xfId="20433" xr:uid="{00000000-0005-0000-0000-0000AC4F0000}"/>
    <cellStyle name="Normal 2 2 2 4 26" xfId="20434" xr:uid="{00000000-0005-0000-0000-0000AD4F0000}"/>
    <cellStyle name="Normal 2 2 2 4 27" xfId="20435" xr:uid="{00000000-0005-0000-0000-0000AE4F0000}"/>
    <cellStyle name="Normal 2 2 2 4 28" xfId="20436" xr:uid="{00000000-0005-0000-0000-0000AF4F0000}"/>
    <cellStyle name="Normal 2 2 2 4 29" xfId="20437" xr:uid="{00000000-0005-0000-0000-0000B04F0000}"/>
    <cellStyle name="Normal 2 2 2 4 3" xfId="20438" xr:uid="{00000000-0005-0000-0000-0000B14F0000}"/>
    <cellStyle name="Normal 2 2 2 4 3 2" xfId="20439" xr:uid="{00000000-0005-0000-0000-0000B24F0000}"/>
    <cellStyle name="Normal 2 2 2 4 3 3" xfId="20440" xr:uid="{00000000-0005-0000-0000-0000B34F0000}"/>
    <cellStyle name="Normal 2 2 2 4 30" xfId="20441" xr:uid="{00000000-0005-0000-0000-0000B44F0000}"/>
    <cellStyle name="Normal 2 2 2 4 31" xfId="20442" xr:uid="{00000000-0005-0000-0000-0000B54F0000}"/>
    <cellStyle name="Normal 2 2 2 4 32" xfId="20443" xr:uid="{00000000-0005-0000-0000-0000B64F0000}"/>
    <cellStyle name="Normal 2 2 2 4 33" xfId="20444" xr:uid="{00000000-0005-0000-0000-0000B74F0000}"/>
    <cellStyle name="Normal 2 2 2 4 34" xfId="20445" xr:uid="{00000000-0005-0000-0000-0000B84F0000}"/>
    <cellStyle name="Normal 2 2 2 4 34 10" xfId="20446" xr:uid="{00000000-0005-0000-0000-0000B94F0000}"/>
    <cellStyle name="Normal 2 2 2 4 34 2" xfId="20447" xr:uid="{00000000-0005-0000-0000-0000BA4F0000}"/>
    <cellStyle name="Normal 2 2 2 4 34 3" xfId="20448" xr:uid="{00000000-0005-0000-0000-0000BB4F0000}"/>
    <cellStyle name="Normal 2 2 2 4 34 4" xfId="20449" xr:uid="{00000000-0005-0000-0000-0000BC4F0000}"/>
    <cellStyle name="Normal 2 2 2 4 34 5" xfId="20450" xr:uid="{00000000-0005-0000-0000-0000BD4F0000}"/>
    <cellStyle name="Normal 2 2 2 4 34 6" xfId="20451" xr:uid="{00000000-0005-0000-0000-0000BE4F0000}"/>
    <cellStyle name="Normal 2 2 2 4 34 7" xfId="20452" xr:uid="{00000000-0005-0000-0000-0000BF4F0000}"/>
    <cellStyle name="Normal 2 2 2 4 34 8" xfId="20453" xr:uid="{00000000-0005-0000-0000-0000C04F0000}"/>
    <cellStyle name="Normal 2 2 2 4 34 9" xfId="20454" xr:uid="{00000000-0005-0000-0000-0000C14F0000}"/>
    <cellStyle name="Normal 2 2 2 4 35" xfId="20455" xr:uid="{00000000-0005-0000-0000-0000C24F0000}"/>
    <cellStyle name="Normal 2 2 2 4 35 10" xfId="20456" xr:uid="{00000000-0005-0000-0000-0000C34F0000}"/>
    <cellStyle name="Normal 2 2 2 4 35 2" xfId="20457" xr:uid="{00000000-0005-0000-0000-0000C44F0000}"/>
    <cellStyle name="Normal 2 2 2 4 35 3" xfId="20458" xr:uid="{00000000-0005-0000-0000-0000C54F0000}"/>
    <cellStyle name="Normal 2 2 2 4 35 4" xfId="20459" xr:uid="{00000000-0005-0000-0000-0000C64F0000}"/>
    <cellStyle name="Normal 2 2 2 4 35 5" xfId="20460" xr:uid="{00000000-0005-0000-0000-0000C74F0000}"/>
    <cellStyle name="Normal 2 2 2 4 35 6" xfId="20461" xr:uid="{00000000-0005-0000-0000-0000C84F0000}"/>
    <cellStyle name="Normal 2 2 2 4 35 7" xfId="20462" xr:uid="{00000000-0005-0000-0000-0000C94F0000}"/>
    <cellStyle name="Normal 2 2 2 4 35 8" xfId="20463" xr:uid="{00000000-0005-0000-0000-0000CA4F0000}"/>
    <cellStyle name="Normal 2 2 2 4 35 9" xfId="20464" xr:uid="{00000000-0005-0000-0000-0000CB4F0000}"/>
    <cellStyle name="Normal 2 2 2 4 36" xfId="20465" xr:uid="{00000000-0005-0000-0000-0000CC4F0000}"/>
    <cellStyle name="Normal 2 2 2 4 36 10" xfId="20466" xr:uid="{00000000-0005-0000-0000-0000CD4F0000}"/>
    <cellStyle name="Normal 2 2 2 4 36 2" xfId="20467" xr:uid="{00000000-0005-0000-0000-0000CE4F0000}"/>
    <cellStyle name="Normal 2 2 2 4 36 3" xfId="20468" xr:uid="{00000000-0005-0000-0000-0000CF4F0000}"/>
    <cellStyle name="Normal 2 2 2 4 36 4" xfId="20469" xr:uid="{00000000-0005-0000-0000-0000D04F0000}"/>
    <cellStyle name="Normal 2 2 2 4 36 5" xfId="20470" xr:uid="{00000000-0005-0000-0000-0000D14F0000}"/>
    <cellStyle name="Normal 2 2 2 4 36 6" xfId="20471" xr:uid="{00000000-0005-0000-0000-0000D24F0000}"/>
    <cellStyle name="Normal 2 2 2 4 36 7" xfId="20472" xr:uid="{00000000-0005-0000-0000-0000D34F0000}"/>
    <cellStyle name="Normal 2 2 2 4 36 8" xfId="20473" xr:uid="{00000000-0005-0000-0000-0000D44F0000}"/>
    <cellStyle name="Normal 2 2 2 4 36 9" xfId="20474" xr:uid="{00000000-0005-0000-0000-0000D54F0000}"/>
    <cellStyle name="Normal 2 2 2 4 37" xfId="20475" xr:uid="{00000000-0005-0000-0000-0000D64F0000}"/>
    <cellStyle name="Normal 2 2 2 4 37 10" xfId="20476" xr:uid="{00000000-0005-0000-0000-0000D74F0000}"/>
    <cellStyle name="Normal 2 2 2 4 37 2" xfId="20477" xr:uid="{00000000-0005-0000-0000-0000D84F0000}"/>
    <cellStyle name="Normal 2 2 2 4 37 3" xfId="20478" xr:uid="{00000000-0005-0000-0000-0000D94F0000}"/>
    <cellStyle name="Normal 2 2 2 4 37 4" xfId="20479" xr:uid="{00000000-0005-0000-0000-0000DA4F0000}"/>
    <cellStyle name="Normal 2 2 2 4 37 5" xfId="20480" xr:uid="{00000000-0005-0000-0000-0000DB4F0000}"/>
    <cellStyle name="Normal 2 2 2 4 37 6" xfId="20481" xr:uid="{00000000-0005-0000-0000-0000DC4F0000}"/>
    <cellStyle name="Normal 2 2 2 4 37 7" xfId="20482" xr:uid="{00000000-0005-0000-0000-0000DD4F0000}"/>
    <cellStyle name="Normal 2 2 2 4 37 8" xfId="20483" xr:uid="{00000000-0005-0000-0000-0000DE4F0000}"/>
    <cellStyle name="Normal 2 2 2 4 37 9" xfId="20484" xr:uid="{00000000-0005-0000-0000-0000DF4F0000}"/>
    <cellStyle name="Normal 2 2 2 4 38" xfId="20485" xr:uid="{00000000-0005-0000-0000-0000E04F0000}"/>
    <cellStyle name="Normal 2 2 2 4 39" xfId="20486" xr:uid="{00000000-0005-0000-0000-0000E14F0000}"/>
    <cellStyle name="Normal 2 2 2 4 4" xfId="20487" xr:uid="{00000000-0005-0000-0000-0000E24F0000}"/>
    <cellStyle name="Normal 2 2 2 4 40" xfId="20488" xr:uid="{00000000-0005-0000-0000-0000E34F0000}"/>
    <cellStyle name="Normal 2 2 2 4 41" xfId="20489" xr:uid="{00000000-0005-0000-0000-0000E44F0000}"/>
    <cellStyle name="Normal 2 2 2 4 42" xfId="20490" xr:uid="{00000000-0005-0000-0000-0000E54F0000}"/>
    <cellStyle name="Normal 2 2 2 4 43" xfId="20491" xr:uid="{00000000-0005-0000-0000-0000E64F0000}"/>
    <cellStyle name="Normal 2 2 2 4 44" xfId="20492" xr:uid="{00000000-0005-0000-0000-0000E74F0000}"/>
    <cellStyle name="Normal 2 2 2 4 45" xfId="20493" xr:uid="{00000000-0005-0000-0000-0000E84F0000}"/>
    <cellStyle name="Normal 2 2 2 4 46" xfId="20494" xr:uid="{00000000-0005-0000-0000-0000E94F0000}"/>
    <cellStyle name="Normal 2 2 2 4 47" xfId="20495" xr:uid="{00000000-0005-0000-0000-0000EA4F0000}"/>
    <cellStyle name="Normal 2 2 2 4 48" xfId="20496" xr:uid="{00000000-0005-0000-0000-0000EB4F0000}"/>
    <cellStyle name="Normal 2 2 2 4 5" xfId="20497" xr:uid="{00000000-0005-0000-0000-0000EC4F0000}"/>
    <cellStyle name="Normal 2 2 2 4 6" xfId="20498" xr:uid="{00000000-0005-0000-0000-0000ED4F0000}"/>
    <cellStyle name="Normal 2 2 2 4 7" xfId="20499" xr:uid="{00000000-0005-0000-0000-0000EE4F0000}"/>
    <cellStyle name="Normal 2 2 2 4 8" xfId="20500" xr:uid="{00000000-0005-0000-0000-0000EF4F0000}"/>
    <cellStyle name="Normal 2 2 2 4 9" xfId="20501" xr:uid="{00000000-0005-0000-0000-0000F04F0000}"/>
    <cellStyle name="Normal 2 2 2 40" xfId="20502" xr:uid="{00000000-0005-0000-0000-0000F14F0000}"/>
    <cellStyle name="Normal 2 2 2 40 10" xfId="20503" xr:uid="{00000000-0005-0000-0000-0000F24F0000}"/>
    <cellStyle name="Normal 2 2 2 40 2" xfId="20504" xr:uid="{00000000-0005-0000-0000-0000F34F0000}"/>
    <cellStyle name="Normal 2 2 2 40 3" xfId="20505" xr:uid="{00000000-0005-0000-0000-0000F44F0000}"/>
    <cellStyle name="Normal 2 2 2 40 4" xfId="20506" xr:uid="{00000000-0005-0000-0000-0000F54F0000}"/>
    <cellStyle name="Normal 2 2 2 40 5" xfId="20507" xr:uid="{00000000-0005-0000-0000-0000F64F0000}"/>
    <cellStyle name="Normal 2 2 2 40 6" xfId="20508" xr:uid="{00000000-0005-0000-0000-0000F74F0000}"/>
    <cellStyle name="Normal 2 2 2 40 7" xfId="20509" xr:uid="{00000000-0005-0000-0000-0000F84F0000}"/>
    <cellStyle name="Normal 2 2 2 40 8" xfId="20510" xr:uid="{00000000-0005-0000-0000-0000F94F0000}"/>
    <cellStyle name="Normal 2 2 2 40 9" xfId="20511" xr:uid="{00000000-0005-0000-0000-0000FA4F0000}"/>
    <cellStyle name="Normal 2 2 2 41" xfId="20512" xr:uid="{00000000-0005-0000-0000-0000FB4F0000}"/>
    <cellStyle name="Normal 2 2 2 42" xfId="20513" xr:uid="{00000000-0005-0000-0000-0000FC4F0000}"/>
    <cellStyle name="Normal 2 2 2 43" xfId="20514" xr:uid="{00000000-0005-0000-0000-0000FD4F0000}"/>
    <cellStyle name="Normal 2 2 2 44" xfId="20515" xr:uid="{00000000-0005-0000-0000-0000FE4F0000}"/>
    <cellStyle name="Normal 2 2 2 45" xfId="20516" xr:uid="{00000000-0005-0000-0000-0000FF4F0000}"/>
    <cellStyle name="Normal 2 2 2 46" xfId="20517" xr:uid="{00000000-0005-0000-0000-000000500000}"/>
    <cellStyle name="Normal 2 2 2 47" xfId="20518" xr:uid="{00000000-0005-0000-0000-000001500000}"/>
    <cellStyle name="Normal 2 2 2 48" xfId="20519" xr:uid="{00000000-0005-0000-0000-000002500000}"/>
    <cellStyle name="Normal 2 2 2 49" xfId="20520" xr:uid="{00000000-0005-0000-0000-000003500000}"/>
    <cellStyle name="Normal 2 2 2 5" xfId="20521" xr:uid="{00000000-0005-0000-0000-000004500000}"/>
    <cellStyle name="Normal 2 2 2 5 10" xfId="20522" xr:uid="{00000000-0005-0000-0000-000005500000}"/>
    <cellStyle name="Normal 2 2 2 5 11" xfId="20523" xr:uid="{00000000-0005-0000-0000-000006500000}"/>
    <cellStyle name="Normal 2 2 2 5 12" xfId="20524" xr:uid="{00000000-0005-0000-0000-000007500000}"/>
    <cellStyle name="Normal 2 2 2 5 13" xfId="20525" xr:uid="{00000000-0005-0000-0000-000008500000}"/>
    <cellStyle name="Normal 2 2 2 5 14" xfId="20526" xr:uid="{00000000-0005-0000-0000-000009500000}"/>
    <cellStyle name="Normal 2 2 2 5 15" xfId="20527" xr:uid="{00000000-0005-0000-0000-00000A500000}"/>
    <cellStyle name="Normal 2 2 2 5 16" xfId="20528" xr:uid="{00000000-0005-0000-0000-00000B500000}"/>
    <cellStyle name="Normal 2 2 2 5 17" xfId="20529" xr:uid="{00000000-0005-0000-0000-00000C500000}"/>
    <cellStyle name="Normal 2 2 2 5 18" xfId="20530" xr:uid="{00000000-0005-0000-0000-00000D500000}"/>
    <cellStyle name="Normal 2 2 2 5 19" xfId="20531" xr:uid="{00000000-0005-0000-0000-00000E500000}"/>
    <cellStyle name="Normal 2 2 2 5 2" xfId="20532" xr:uid="{00000000-0005-0000-0000-00000F500000}"/>
    <cellStyle name="Normal 2 2 2 5 2 10" xfId="20533" xr:uid="{00000000-0005-0000-0000-000010500000}"/>
    <cellStyle name="Normal 2 2 2 5 2 10 10" xfId="20534" xr:uid="{00000000-0005-0000-0000-000011500000}"/>
    <cellStyle name="Normal 2 2 2 5 2 10 11" xfId="20535" xr:uid="{00000000-0005-0000-0000-000012500000}"/>
    <cellStyle name="Normal 2 2 2 5 2 10 12" xfId="20536" xr:uid="{00000000-0005-0000-0000-000013500000}"/>
    <cellStyle name="Normal 2 2 2 5 2 10 13" xfId="20537" xr:uid="{00000000-0005-0000-0000-000014500000}"/>
    <cellStyle name="Normal 2 2 2 5 2 10 14" xfId="20538" xr:uid="{00000000-0005-0000-0000-000015500000}"/>
    <cellStyle name="Normal 2 2 2 5 2 10 2" xfId="20539" xr:uid="{00000000-0005-0000-0000-000016500000}"/>
    <cellStyle name="Normal 2 2 2 5 2 10 2 10" xfId="20540" xr:uid="{00000000-0005-0000-0000-000017500000}"/>
    <cellStyle name="Normal 2 2 2 5 2 10 2 2" xfId="20541" xr:uid="{00000000-0005-0000-0000-000018500000}"/>
    <cellStyle name="Normal 2 2 2 5 2 10 2 3" xfId="20542" xr:uid="{00000000-0005-0000-0000-000019500000}"/>
    <cellStyle name="Normal 2 2 2 5 2 10 2 4" xfId="20543" xr:uid="{00000000-0005-0000-0000-00001A500000}"/>
    <cellStyle name="Normal 2 2 2 5 2 10 2 5" xfId="20544" xr:uid="{00000000-0005-0000-0000-00001B500000}"/>
    <cellStyle name="Normal 2 2 2 5 2 10 2 6" xfId="20545" xr:uid="{00000000-0005-0000-0000-00001C500000}"/>
    <cellStyle name="Normal 2 2 2 5 2 10 2 7" xfId="20546" xr:uid="{00000000-0005-0000-0000-00001D500000}"/>
    <cellStyle name="Normal 2 2 2 5 2 10 2 8" xfId="20547" xr:uid="{00000000-0005-0000-0000-00001E500000}"/>
    <cellStyle name="Normal 2 2 2 5 2 10 2 9" xfId="20548" xr:uid="{00000000-0005-0000-0000-00001F500000}"/>
    <cellStyle name="Normal 2 2 2 5 2 10 3" xfId="20549" xr:uid="{00000000-0005-0000-0000-000020500000}"/>
    <cellStyle name="Normal 2 2 2 5 2 10 3 10" xfId="20550" xr:uid="{00000000-0005-0000-0000-000021500000}"/>
    <cellStyle name="Normal 2 2 2 5 2 10 3 2" xfId="20551" xr:uid="{00000000-0005-0000-0000-000022500000}"/>
    <cellStyle name="Normal 2 2 2 5 2 10 3 3" xfId="20552" xr:uid="{00000000-0005-0000-0000-000023500000}"/>
    <cellStyle name="Normal 2 2 2 5 2 10 3 4" xfId="20553" xr:uid="{00000000-0005-0000-0000-000024500000}"/>
    <cellStyle name="Normal 2 2 2 5 2 10 3 5" xfId="20554" xr:uid="{00000000-0005-0000-0000-000025500000}"/>
    <cellStyle name="Normal 2 2 2 5 2 10 3 6" xfId="20555" xr:uid="{00000000-0005-0000-0000-000026500000}"/>
    <cellStyle name="Normal 2 2 2 5 2 10 3 7" xfId="20556" xr:uid="{00000000-0005-0000-0000-000027500000}"/>
    <cellStyle name="Normal 2 2 2 5 2 10 3 8" xfId="20557" xr:uid="{00000000-0005-0000-0000-000028500000}"/>
    <cellStyle name="Normal 2 2 2 5 2 10 3 9" xfId="20558" xr:uid="{00000000-0005-0000-0000-000029500000}"/>
    <cellStyle name="Normal 2 2 2 5 2 10 4" xfId="20559" xr:uid="{00000000-0005-0000-0000-00002A500000}"/>
    <cellStyle name="Normal 2 2 2 5 2 10 4 10" xfId="20560" xr:uid="{00000000-0005-0000-0000-00002B500000}"/>
    <cellStyle name="Normal 2 2 2 5 2 10 4 2" xfId="20561" xr:uid="{00000000-0005-0000-0000-00002C500000}"/>
    <cellStyle name="Normal 2 2 2 5 2 10 4 3" xfId="20562" xr:uid="{00000000-0005-0000-0000-00002D500000}"/>
    <cellStyle name="Normal 2 2 2 5 2 10 4 4" xfId="20563" xr:uid="{00000000-0005-0000-0000-00002E500000}"/>
    <cellStyle name="Normal 2 2 2 5 2 10 4 5" xfId="20564" xr:uid="{00000000-0005-0000-0000-00002F500000}"/>
    <cellStyle name="Normal 2 2 2 5 2 10 4 6" xfId="20565" xr:uid="{00000000-0005-0000-0000-000030500000}"/>
    <cellStyle name="Normal 2 2 2 5 2 10 4 7" xfId="20566" xr:uid="{00000000-0005-0000-0000-000031500000}"/>
    <cellStyle name="Normal 2 2 2 5 2 10 4 8" xfId="20567" xr:uid="{00000000-0005-0000-0000-000032500000}"/>
    <cellStyle name="Normal 2 2 2 5 2 10 4 9" xfId="20568" xr:uid="{00000000-0005-0000-0000-000033500000}"/>
    <cellStyle name="Normal 2 2 2 5 2 10 5" xfId="20569" xr:uid="{00000000-0005-0000-0000-000034500000}"/>
    <cellStyle name="Normal 2 2 2 5 2 10 5 10" xfId="20570" xr:uid="{00000000-0005-0000-0000-000035500000}"/>
    <cellStyle name="Normal 2 2 2 5 2 10 5 2" xfId="20571" xr:uid="{00000000-0005-0000-0000-000036500000}"/>
    <cellStyle name="Normal 2 2 2 5 2 10 5 3" xfId="20572" xr:uid="{00000000-0005-0000-0000-000037500000}"/>
    <cellStyle name="Normal 2 2 2 5 2 10 5 4" xfId="20573" xr:uid="{00000000-0005-0000-0000-000038500000}"/>
    <cellStyle name="Normal 2 2 2 5 2 10 5 5" xfId="20574" xr:uid="{00000000-0005-0000-0000-000039500000}"/>
    <cellStyle name="Normal 2 2 2 5 2 10 5 6" xfId="20575" xr:uid="{00000000-0005-0000-0000-00003A500000}"/>
    <cellStyle name="Normal 2 2 2 5 2 10 5 7" xfId="20576" xr:uid="{00000000-0005-0000-0000-00003B500000}"/>
    <cellStyle name="Normal 2 2 2 5 2 10 5 8" xfId="20577" xr:uid="{00000000-0005-0000-0000-00003C500000}"/>
    <cellStyle name="Normal 2 2 2 5 2 10 5 9" xfId="20578" xr:uid="{00000000-0005-0000-0000-00003D500000}"/>
    <cellStyle name="Normal 2 2 2 5 2 10 6" xfId="20579" xr:uid="{00000000-0005-0000-0000-00003E500000}"/>
    <cellStyle name="Normal 2 2 2 5 2 10 7" xfId="20580" xr:uid="{00000000-0005-0000-0000-00003F500000}"/>
    <cellStyle name="Normal 2 2 2 5 2 10 8" xfId="20581" xr:uid="{00000000-0005-0000-0000-000040500000}"/>
    <cellStyle name="Normal 2 2 2 5 2 10 9" xfId="20582" xr:uid="{00000000-0005-0000-0000-000041500000}"/>
    <cellStyle name="Normal 2 2 2 5 2 11" xfId="20583" xr:uid="{00000000-0005-0000-0000-000042500000}"/>
    <cellStyle name="Normal 2 2 2 5 2 11 10" xfId="20584" xr:uid="{00000000-0005-0000-0000-000043500000}"/>
    <cellStyle name="Normal 2 2 2 5 2 11 11" xfId="20585" xr:uid="{00000000-0005-0000-0000-000044500000}"/>
    <cellStyle name="Normal 2 2 2 5 2 11 12" xfId="20586" xr:uid="{00000000-0005-0000-0000-000045500000}"/>
    <cellStyle name="Normal 2 2 2 5 2 11 13" xfId="20587" xr:uid="{00000000-0005-0000-0000-000046500000}"/>
    <cellStyle name="Normal 2 2 2 5 2 11 14" xfId="20588" xr:uid="{00000000-0005-0000-0000-000047500000}"/>
    <cellStyle name="Normal 2 2 2 5 2 11 2" xfId="20589" xr:uid="{00000000-0005-0000-0000-000048500000}"/>
    <cellStyle name="Normal 2 2 2 5 2 11 2 10" xfId="20590" xr:uid="{00000000-0005-0000-0000-000049500000}"/>
    <cellStyle name="Normal 2 2 2 5 2 11 2 2" xfId="20591" xr:uid="{00000000-0005-0000-0000-00004A500000}"/>
    <cellStyle name="Normal 2 2 2 5 2 11 2 3" xfId="20592" xr:uid="{00000000-0005-0000-0000-00004B500000}"/>
    <cellStyle name="Normal 2 2 2 5 2 11 2 4" xfId="20593" xr:uid="{00000000-0005-0000-0000-00004C500000}"/>
    <cellStyle name="Normal 2 2 2 5 2 11 2 5" xfId="20594" xr:uid="{00000000-0005-0000-0000-00004D500000}"/>
    <cellStyle name="Normal 2 2 2 5 2 11 2 6" xfId="20595" xr:uid="{00000000-0005-0000-0000-00004E500000}"/>
    <cellStyle name="Normal 2 2 2 5 2 11 2 7" xfId="20596" xr:uid="{00000000-0005-0000-0000-00004F500000}"/>
    <cellStyle name="Normal 2 2 2 5 2 11 2 8" xfId="20597" xr:uid="{00000000-0005-0000-0000-000050500000}"/>
    <cellStyle name="Normal 2 2 2 5 2 11 2 9" xfId="20598" xr:uid="{00000000-0005-0000-0000-000051500000}"/>
    <cellStyle name="Normal 2 2 2 5 2 11 3" xfId="20599" xr:uid="{00000000-0005-0000-0000-000052500000}"/>
    <cellStyle name="Normal 2 2 2 5 2 11 3 10" xfId="20600" xr:uid="{00000000-0005-0000-0000-000053500000}"/>
    <cellStyle name="Normal 2 2 2 5 2 11 3 2" xfId="20601" xr:uid="{00000000-0005-0000-0000-000054500000}"/>
    <cellStyle name="Normal 2 2 2 5 2 11 3 3" xfId="20602" xr:uid="{00000000-0005-0000-0000-000055500000}"/>
    <cellStyle name="Normal 2 2 2 5 2 11 3 4" xfId="20603" xr:uid="{00000000-0005-0000-0000-000056500000}"/>
    <cellStyle name="Normal 2 2 2 5 2 11 3 5" xfId="20604" xr:uid="{00000000-0005-0000-0000-000057500000}"/>
    <cellStyle name="Normal 2 2 2 5 2 11 3 6" xfId="20605" xr:uid="{00000000-0005-0000-0000-000058500000}"/>
    <cellStyle name="Normal 2 2 2 5 2 11 3 7" xfId="20606" xr:uid="{00000000-0005-0000-0000-000059500000}"/>
    <cellStyle name="Normal 2 2 2 5 2 11 3 8" xfId="20607" xr:uid="{00000000-0005-0000-0000-00005A500000}"/>
    <cellStyle name="Normal 2 2 2 5 2 11 3 9" xfId="20608" xr:uid="{00000000-0005-0000-0000-00005B500000}"/>
    <cellStyle name="Normal 2 2 2 5 2 11 4" xfId="20609" xr:uid="{00000000-0005-0000-0000-00005C500000}"/>
    <cellStyle name="Normal 2 2 2 5 2 11 4 10" xfId="20610" xr:uid="{00000000-0005-0000-0000-00005D500000}"/>
    <cellStyle name="Normal 2 2 2 5 2 11 4 2" xfId="20611" xr:uid="{00000000-0005-0000-0000-00005E500000}"/>
    <cellStyle name="Normal 2 2 2 5 2 11 4 3" xfId="20612" xr:uid="{00000000-0005-0000-0000-00005F500000}"/>
    <cellStyle name="Normal 2 2 2 5 2 11 4 4" xfId="20613" xr:uid="{00000000-0005-0000-0000-000060500000}"/>
    <cellStyle name="Normal 2 2 2 5 2 11 4 5" xfId="20614" xr:uid="{00000000-0005-0000-0000-000061500000}"/>
    <cellStyle name="Normal 2 2 2 5 2 11 4 6" xfId="20615" xr:uid="{00000000-0005-0000-0000-000062500000}"/>
    <cellStyle name="Normal 2 2 2 5 2 11 4 7" xfId="20616" xr:uid="{00000000-0005-0000-0000-000063500000}"/>
    <cellStyle name="Normal 2 2 2 5 2 11 4 8" xfId="20617" xr:uid="{00000000-0005-0000-0000-000064500000}"/>
    <cellStyle name="Normal 2 2 2 5 2 11 4 9" xfId="20618" xr:uid="{00000000-0005-0000-0000-000065500000}"/>
    <cellStyle name="Normal 2 2 2 5 2 11 5" xfId="20619" xr:uid="{00000000-0005-0000-0000-000066500000}"/>
    <cellStyle name="Normal 2 2 2 5 2 11 5 10" xfId="20620" xr:uid="{00000000-0005-0000-0000-000067500000}"/>
    <cellStyle name="Normal 2 2 2 5 2 11 5 2" xfId="20621" xr:uid="{00000000-0005-0000-0000-000068500000}"/>
    <cellStyle name="Normal 2 2 2 5 2 11 5 3" xfId="20622" xr:uid="{00000000-0005-0000-0000-000069500000}"/>
    <cellStyle name="Normal 2 2 2 5 2 11 5 4" xfId="20623" xr:uid="{00000000-0005-0000-0000-00006A500000}"/>
    <cellStyle name="Normal 2 2 2 5 2 11 5 5" xfId="20624" xr:uid="{00000000-0005-0000-0000-00006B500000}"/>
    <cellStyle name="Normal 2 2 2 5 2 11 5 6" xfId="20625" xr:uid="{00000000-0005-0000-0000-00006C500000}"/>
    <cellStyle name="Normal 2 2 2 5 2 11 5 7" xfId="20626" xr:uid="{00000000-0005-0000-0000-00006D500000}"/>
    <cellStyle name="Normal 2 2 2 5 2 11 5 8" xfId="20627" xr:uid="{00000000-0005-0000-0000-00006E500000}"/>
    <cellStyle name="Normal 2 2 2 5 2 11 5 9" xfId="20628" xr:uid="{00000000-0005-0000-0000-00006F500000}"/>
    <cellStyle name="Normal 2 2 2 5 2 11 6" xfId="20629" xr:uid="{00000000-0005-0000-0000-000070500000}"/>
    <cellStyle name="Normal 2 2 2 5 2 11 7" xfId="20630" xr:uid="{00000000-0005-0000-0000-000071500000}"/>
    <cellStyle name="Normal 2 2 2 5 2 11 8" xfId="20631" xr:uid="{00000000-0005-0000-0000-000072500000}"/>
    <cellStyle name="Normal 2 2 2 5 2 11 9" xfId="20632" xr:uid="{00000000-0005-0000-0000-000073500000}"/>
    <cellStyle name="Normal 2 2 2 5 2 12" xfId="20633" xr:uid="{00000000-0005-0000-0000-000074500000}"/>
    <cellStyle name="Normal 2 2 2 5 2 12 10" xfId="20634" xr:uid="{00000000-0005-0000-0000-000075500000}"/>
    <cellStyle name="Normal 2 2 2 5 2 12 11" xfId="20635" xr:uid="{00000000-0005-0000-0000-000076500000}"/>
    <cellStyle name="Normal 2 2 2 5 2 12 12" xfId="20636" xr:uid="{00000000-0005-0000-0000-000077500000}"/>
    <cellStyle name="Normal 2 2 2 5 2 12 13" xfId="20637" xr:uid="{00000000-0005-0000-0000-000078500000}"/>
    <cellStyle name="Normal 2 2 2 5 2 12 14" xfId="20638" xr:uid="{00000000-0005-0000-0000-000079500000}"/>
    <cellStyle name="Normal 2 2 2 5 2 12 2" xfId="20639" xr:uid="{00000000-0005-0000-0000-00007A500000}"/>
    <cellStyle name="Normal 2 2 2 5 2 12 2 10" xfId="20640" xr:uid="{00000000-0005-0000-0000-00007B500000}"/>
    <cellStyle name="Normal 2 2 2 5 2 12 2 2" xfId="20641" xr:uid="{00000000-0005-0000-0000-00007C500000}"/>
    <cellStyle name="Normal 2 2 2 5 2 12 2 3" xfId="20642" xr:uid="{00000000-0005-0000-0000-00007D500000}"/>
    <cellStyle name="Normal 2 2 2 5 2 12 2 4" xfId="20643" xr:uid="{00000000-0005-0000-0000-00007E500000}"/>
    <cellStyle name="Normal 2 2 2 5 2 12 2 5" xfId="20644" xr:uid="{00000000-0005-0000-0000-00007F500000}"/>
    <cellStyle name="Normal 2 2 2 5 2 12 2 6" xfId="20645" xr:uid="{00000000-0005-0000-0000-000080500000}"/>
    <cellStyle name="Normal 2 2 2 5 2 12 2 7" xfId="20646" xr:uid="{00000000-0005-0000-0000-000081500000}"/>
    <cellStyle name="Normal 2 2 2 5 2 12 2 8" xfId="20647" xr:uid="{00000000-0005-0000-0000-000082500000}"/>
    <cellStyle name="Normal 2 2 2 5 2 12 2 9" xfId="20648" xr:uid="{00000000-0005-0000-0000-000083500000}"/>
    <cellStyle name="Normal 2 2 2 5 2 12 3" xfId="20649" xr:uid="{00000000-0005-0000-0000-000084500000}"/>
    <cellStyle name="Normal 2 2 2 5 2 12 3 10" xfId="20650" xr:uid="{00000000-0005-0000-0000-000085500000}"/>
    <cellStyle name="Normal 2 2 2 5 2 12 3 2" xfId="20651" xr:uid="{00000000-0005-0000-0000-000086500000}"/>
    <cellStyle name="Normal 2 2 2 5 2 12 3 3" xfId="20652" xr:uid="{00000000-0005-0000-0000-000087500000}"/>
    <cellStyle name="Normal 2 2 2 5 2 12 3 4" xfId="20653" xr:uid="{00000000-0005-0000-0000-000088500000}"/>
    <cellStyle name="Normal 2 2 2 5 2 12 3 5" xfId="20654" xr:uid="{00000000-0005-0000-0000-000089500000}"/>
    <cellStyle name="Normal 2 2 2 5 2 12 3 6" xfId="20655" xr:uid="{00000000-0005-0000-0000-00008A500000}"/>
    <cellStyle name="Normal 2 2 2 5 2 12 3 7" xfId="20656" xr:uid="{00000000-0005-0000-0000-00008B500000}"/>
    <cellStyle name="Normal 2 2 2 5 2 12 3 8" xfId="20657" xr:uid="{00000000-0005-0000-0000-00008C500000}"/>
    <cellStyle name="Normal 2 2 2 5 2 12 3 9" xfId="20658" xr:uid="{00000000-0005-0000-0000-00008D500000}"/>
    <cellStyle name="Normal 2 2 2 5 2 12 4" xfId="20659" xr:uid="{00000000-0005-0000-0000-00008E500000}"/>
    <cellStyle name="Normal 2 2 2 5 2 12 4 10" xfId="20660" xr:uid="{00000000-0005-0000-0000-00008F500000}"/>
    <cellStyle name="Normal 2 2 2 5 2 12 4 2" xfId="20661" xr:uid="{00000000-0005-0000-0000-000090500000}"/>
    <cellStyle name="Normal 2 2 2 5 2 12 4 3" xfId="20662" xr:uid="{00000000-0005-0000-0000-000091500000}"/>
    <cellStyle name="Normal 2 2 2 5 2 12 4 4" xfId="20663" xr:uid="{00000000-0005-0000-0000-000092500000}"/>
    <cellStyle name="Normal 2 2 2 5 2 12 4 5" xfId="20664" xr:uid="{00000000-0005-0000-0000-000093500000}"/>
    <cellStyle name="Normal 2 2 2 5 2 12 4 6" xfId="20665" xr:uid="{00000000-0005-0000-0000-000094500000}"/>
    <cellStyle name="Normal 2 2 2 5 2 12 4 7" xfId="20666" xr:uid="{00000000-0005-0000-0000-000095500000}"/>
    <cellStyle name="Normal 2 2 2 5 2 12 4 8" xfId="20667" xr:uid="{00000000-0005-0000-0000-000096500000}"/>
    <cellStyle name="Normal 2 2 2 5 2 12 4 9" xfId="20668" xr:uid="{00000000-0005-0000-0000-000097500000}"/>
    <cellStyle name="Normal 2 2 2 5 2 12 5" xfId="20669" xr:uid="{00000000-0005-0000-0000-000098500000}"/>
    <cellStyle name="Normal 2 2 2 5 2 12 5 10" xfId="20670" xr:uid="{00000000-0005-0000-0000-000099500000}"/>
    <cellStyle name="Normal 2 2 2 5 2 12 5 2" xfId="20671" xr:uid="{00000000-0005-0000-0000-00009A500000}"/>
    <cellStyle name="Normal 2 2 2 5 2 12 5 3" xfId="20672" xr:uid="{00000000-0005-0000-0000-00009B500000}"/>
    <cellStyle name="Normal 2 2 2 5 2 12 5 4" xfId="20673" xr:uid="{00000000-0005-0000-0000-00009C500000}"/>
    <cellStyle name="Normal 2 2 2 5 2 12 5 5" xfId="20674" xr:uid="{00000000-0005-0000-0000-00009D500000}"/>
    <cellStyle name="Normal 2 2 2 5 2 12 5 6" xfId="20675" xr:uid="{00000000-0005-0000-0000-00009E500000}"/>
    <cellStyle name="Normal 2 2 2 5 2 12 5 7" xfId="20676" xr:uid="{00000000-0005-0000-0000-00009F500000}"/>
    <cellStyle name="Normal 2 2 2 5 2 12 5 8" xfId="20677" xr:uid="{00000000-0005-0000-0000-0000A0500000}"/>
    <cellStyle name="Normal 2 2 2 5 2 12 5 9" xfId="20678" xr:uid="{00000000-0005-0000-0000-0000A1500000}"/>
    <cellStyle name="Normal 2 2 2 5 2 12 6" xfId="20679" xr:uid="{00000000-0005-0000-0000-0000A2500000}"/>
    <cellStyle name="Normal 2 2 2 5 2 12 7" xfId="20680" xr:uid="{00000000-0005-0000-0000-0000A3500000}"/>
    <cellStyle name="Normal 2 2 2 5 2 12 8" xfId="20681" xr:uid="{00000000-0005-0000-0000-0000A4500000}"/>
    <cellStyle name="Normal 2 2 2 5 2 12 9" xfId="20682" xr:uid="{00000000-0005-0000-0000-0000A5500000}"/>
    <cellStyle name="Normal 2 2 2 5 2 13" xfId="20683" xr:uid="{00000000-0005-0000-0000-0000A6500000}"/>
    <cellStyle name="Normal 2 2 2 5 2 13 10" xfId="20684" xr:uid="{00000000-0005-0000-0000-0000A7500000}"/>
    <cellStyle name="Normal 2 2 2 5 2 13 11" xfId="20685" xr:uid="{00000000-0005-0000-0000-0000A8500000}"/>
    <cellStyle name="Normal 2 2 2 5 2 13 12" xfId="20686" xr:uid="{00000000-0005-0000-0000-0000A9500000}"/>
    <cellStyle name="Normal 2 2 2 5 2 13 13" xfId="20687" xr:uid="{00000000-0005-0000-0000-0000AA500000}"/>
    <cellStyle name="Normal 2 2 2 5 2 13 14" xfId="20688" xr:uid="{00000000-0005-0000-0000-0000AB500000}"/>
    <cellStyle name="Normal 2 2 2 5 2 13 2" xfId="20689" xr:uid="{00000000-0005-0000-0000-0000AC500000}"/>
    <cellStyle name="Normal 2 2 2 5 2 13 2 10" xfId="20690" xr:uid="{00000000-0005-0000-0000-0000AD500000}"/>
    <cellStyle name="Normal 2 2 2 5 2 13 2 2" xfId="20691" xr:uid="{00000000-0005-0000-0000-0000AE500000}"/>
    <cellStyle name="Normal 2 2 2 5 2 13 2 3" xfId="20692" xr:uid="{00000000-0005-0000-0000-0000AF500000}"/>
    <cellStyle name="Normal 2 2 2 5 2 13 2 4" xfId="20693" xr:uid="{00000000-0005-0000-0000-0000B0500000}"/>
    <cellStyle name="Normal 2 2 2 5 2 13 2 5" xfId="20694" xr:uid="{00000000-0005-0000-0000-0000B1500000}"/>
    <cellStyle name="Normal 2 2 2 5 2 13 2 6" xfId="20695" xr:uid="{00000000-0005-0000-0000-0000B2500000}"/>
    <cellStyle name="Normal 2 2 2 5 2 13 2 7" xfId="20696" xr:uid="{00000000-0005-0000-0000-0000B3500000}"/>
    <cellStyle name="Normal 2 2 2 5 2 13 2 8" xfId="20697" xr:uid="{00000000-0005-0000-0000-0000B4500000}"/>
    <cellStyle name="Normal 2 2 2 5 2 13 2 9" xfId="20698" xr:uid="{00000000-0005-0000-0000-0000B5500000}"/>
    <cellStyle name="Normal 2 2 2 5 2 13 3" xfId="20699" xr:uid="{00000000-0005-0000-0000-0000B6500000}"/>
    <cellStyle name="Normal 2 2 2 5 2 13 3 10" xfId="20700" xr:uid="{00000000-0005-0000-0000-0000B7500000}"/>
    <cellStyle name="Normal 2 2 2 5 2 13 3 2" xfId="20701" xr:uid="{00000000-0005-0000-0000-0000B8500000}"/>
    <cellStyle name="Normal 2 2 2 5 2 13 3 3" xfId="20702" xr:uid="{00000000-0005-0000-0000-0000B9500000}"/>
    <cellStyle name="Normal 2 2 2 5 2 13 3 4" xfId="20703" xr:uid="{00000000-0005-0000-0000-0000BA500000}"/>
    <cellStyle name="Normal 2 2 2 5 2 13 3 5" xfId="20704" xr:uid="{00000000-0005-0000-0000-0000BB500000}"/>
    <cellStyle name="Normal 2 2 2 5 2 13 3 6" xfId="20705" xr:uid="{00000000-0005-0000-0000-0000BC500000}"/>
    <cellStyle name="Normal 2 2 2 5 2 13 3 7" xfId="20706" xr:uid="{00000000-0005-0000-0000-0000BD500000}"/>
    <cellStyle name="Normal 2 2 2 5 2 13 3 8" xfId="20707" xr:uid="{00000000-0005-0000-0000-0000BE500000}"/>
    <cellStyle name="Normal 2 2 2 5 2 13 3 9" xfId="20708" xr:uid="{00000000-0005-0000-0000-0000BF500000}"/>
    <cellStyle name="Normal 2 2 2 5 2 13 4" xfId="20709" xr:uid="{00000000-0005-0000-0000-0000C0500000}"/>
    <cellStyle name="Normal 2 2 2 5 2 13 4 10" xfId="20710" xr:uid="{00000000-0005-0000-0000-0000C1500000}"/>
    <cellStyle name="Normal 2 2 2 5 2 13 4 2" xfId="20711" xr:uid="{00000000-0005-0000-0000-0000C2500000}"/>
    <cellStyle name="Normal 2 2 2 5 2 13 4 3" xfId="20712" xr:uid="{00000000-0005-0000-0000-0000C3500000}"/>
    <cellStyle name="Normal 2 2 2 5 2 13 4 4" xfId="20713" xr:uid="{00000000-0005-0000-0000-0000C4500000}"/>
    <cellStyle name="Normal 2 2 2 5 2 13 4 5" xfId="20714" xr:uid="{00000000-0005-0000-0000-0000C5500000}"/>
    <cellStyle name="Normal 2 2 2 5 2 13 4 6" xfId="20715" xr:uid="{00000000-0005-0000-0000-0000C6500000}"/>
    <cellStyle name="Normal 2 2 2 5 2 13 4 7" xfId="20716" xr:uid="{00000000-0005-0000-0000-0000C7500000}"/>
    <cellStyle name="Normal 2 2 2 5 2 13 4 8" xfId="20717" xr:uid="{00000000-0005-0000-0000-0000C8500000}"/>
    <cellStyle name="Normal 2 2 2 5 2 13 4 9" xfId="20718" xr:uid="{00000000-0005-0000-0000-0000C9500000}"/>
    <cellStyle name="Normal 2 2 2 5 2 13 5" xfId="20719" xr:uid="{00000000-0005-0000-0000-0000CA500000}"/>
    <cellStyle name="Normal 2 2 2 5 2 13 5 10" xfId="20720" xr:uid="{00000000-0005-0000-0000-0000CB500000}"/>
    <cellStyle name="Normal 2 2 2 5 2 13 5 2" xfId="20721" xr:uid="{00000000-0005-0000-0000-0000CC500000}"/>
    <cellStyle name="Normal 2 2 2 5 2 13 5 3" xfId="20722" xr:uid="{00000000-0005-0000-0000-0000CD500000}"/>
    <cellStyle name="Normal 2 2 2 5 2 13 5 4" xfId="20723" xr:uid="{00000000-0005-0000-0000-0000CE500000}"/>
    <cellStyle name="Normal 2 2 2 5 2 13 5 5" xfId="20724" xr:uid="{00000000-0005-0000-0000-0000CF500000}"/>
    <cellStyle name="Normal 2 2 2 5 2 13 5 6" xfId="20725" xr:uid="{00000000-0005-0000-0000-0000D0500000}"/>
    <cellStyle name="Normal 2 2 2 5 2 13 5 7" xfId="20726" xr:uid="{00000000-0005-0000-0000-0000D1500000}"/>
    <cellStyle name="Normal 2 2 2 5 2 13 5 8" xfId="20727" xr:uid="{00000000-0005-0000-0000-0000D2500000}"/>
    <cellStyle name="Normal 2 2 2 5 2 13 5 9" xfId="20728" xr:uid="{00000000-0005-0000-0000-0000D3500000}"/>
    <cellStyle name="Normal 2 2 2 5 2 13 6" xfId="20729" xr:uid="{00000000-0005-0000-0000-0000D4500000}"/>
    <cellStyle name="Normal 2 2 2 5 2 13 7" xfId="20730" xr:uid="{00000000-0005-0000-0000-0000D5500000}"/>
    <cellStyle name="Normal 2 2 2 5 2 13 8" xfId="20731" xr:uid="{00000000-0005-0000-0000-0000D6500000}"/>
    <cellStyle name="Normal 2 2 2 5 2 13 9" xfId="20732" xr:uid="{00000000-0005-0000-0000-0000D7500000}"/>
    <cellStyle name="Normal 2 2 2 5 2 14" xfId="20733" xr:uid="{00000000-0005-0000-0000-0000D8500000}"/>
    <cellStyle name="Normal 2 2 2 5 2 14 10" xfId="20734" xr:uid="{00000000-0005-0000-0000-0000D9500000}"/>
    <cellStyle name="Normal 2 2 2 5 2 14 11" xfId="20735" xr:uid="{00000000-0005-0000-0000-0000DA500000}"/>
    <cellStyle name="Normal 2 2 2 5 2 14 12" xfId="20736" xr:uid="{00000000-0005-0000-0000-0000DB500000}"/>
    <cellStyle name="Normal 2 2 2 5 2 14 13" xfId="20737" xr:uid="{00000000-0005-0000-0000-0000DC500000}"/>
    <cellStyle name="Normal 2 2 2 5 2 14 14" xfId="20738" xr:uid="{00000000-0005-0000-0000-0000DD500000}"/>
    <cellStyle name="Normal 2 2 2 5 2 14 2" xfId="20739" xr:uid="{00000000-0005-0000-0000-0000DE500000}"/>
    <cellStyle name="Normal 2 2 2 5 2 14 2 10" xfId="20740" xr:uid="{00000000-0005-0000-0000-0000DF500000}"/>
    <cellStyle name="Normal 2 2 2 5 2 14 2 2" xfId="20741" xr:uid="{00000000-0005-0000-0000-0000E0500000}"/>
    <cellStyle name="Normal 2 2 2 5 2 14 2 3" xfId="20742" xr:uid="{00000000-0005-0000-0000-0000E1500000}"/>
    <cellStyle name="Normal 2 2 2 5 2 14 2 4" xfId="20743" xr:uid="{00000000-0005-0000-0000-0000E2500000}"/>
    <cellStyle name="Normal 2 2 2 5 2 14 2 5" xfId="20744" xr:uid="{00000000-0005-0000-0000-0000E3500000}"/>
    <cellStyle name="Normal 2 2 2 5 2 14 2 6" xfId="20745" xr:uid="{00000000-0005-0000-0000-0000E4500000}"/>
    <cellStyle name="Normal 2 2 2 5 2 14 2 7" xfId="20746" xr:uid="{00000000-0005-0000-0000-0000E5500000}"/>
    <cellStyle name="Normal 2 2 2 5 2 14 2 8" xfId="20747" xr:uid="{00000000-0005-0000-0000-0000E6500000}"/>
    <cellStyle name="Normal 2 2 2 5 2 14 2 9" xfId="20748" xr:uid="{00000000-0005-0000-0000-0000E7500000}"/>
    <cellStyle name="Normal 2 2 2 5 2 14 3" xfId="20749" xr:uid="{00000000-0005-0000-0000-0000E8500000}"/>
    <cellStyle name="Normal 2 2 2 5 2 14 3 10" xfId="20750" xr:uid="{00000000-0005-0000-0000-0000E9500000}"/>
    <cellStyle name="Normal 2 2 2 5 2 14 3 2" xfId="20751" xr:uid="{00000000-0005-0000-0000-0000EA500000}"/>
    <cellStyle name="Normal 2 2 2 5 2 14 3 3" xfId="20752" xr:uid="{00000000-0005-0000-0000-0000EB500000}"/>
    <cellStyle name="Normal 2 2 2 5 2 14 3 4" xfId="20753" xr:uid="{00000000-0005-0000-0000-0000EC500000}"/>
    <cellStyle name="Normal 2 2 2 5 2 14 3 5" xfId="20754" xr:uid="{00000000-0005-0000-0000-0000ED500000}"/>
    <cellStyle name="Normal 2 2 2 5 2 14 3 6" xfId="20755" xr:uid="{00000000-0005-0000-0000-0000EE500000}"/>
    <cellStyle name="Normal 2 2 2 5 2 14 3 7" xfId="20756" xr:uid="{00000000-0005-0000-0000-0000EF500000}"/>
    <cellStyle name="Normal 2 2 2 5 2 14 3 8" xfId="20757" xr:uid="{00000000-0005-0000-0000-0000F0500000}"/>
    <cellStyle name="Normal 2 2 2 5 2 14 3 9" xfId="20758" xr:uid="{00000000-0005-0000-0000-0000F1500000}"/>
    <cellStyle name="Normal 2 2 2 5 2 14 4" xfId="20759" xr:uid="{00000000-0005-0000-0000-0000F2500000}"/>
    <cellStyle name="Normal 2 2 2 5 2 14 4 10" xfId="20760" xr:uid="{00000000-0005-0000-0000-0000F3500000}"/>
    <cellStyle name="Normal 2 2 2 5 2 14 4 2" xfId="20761" xr:uid="{00000000-0005-0000-0000-0000F4500000}"/>
    <cellStyle name="Normal 2 2 2 5 2 14 4 3" xfId="20762" xr:uid="{00000000-0005-0000-0000-0000F5500000}"/>
    <cellStyle name="Normal 2 2 2 5 2 14 4 4" xfId="20763" xr:uid="{00000000-0005-0000-0000-0000F6500000}"/>
    <cellStyle name="Normal 2 2 2 5 2 14 4 5" xfId="20764" xr:uid="{00000000-0005-0000-0000-0000F7500000}"/>
    <cellStyle name="Normal 2 2 2 5 2 14 4 6" xfId="20765" xr:uid="{00000000-0005-0000-0000-0000F8500000}"/>
    <cellStyle name="Normal 2 2 2 5 2 14 4 7" xfId="20766" xr:uid="{00000000-0005-0000-0000-0000F9500000}"/>
    <cellStyle name="Normal 2 2 2 5 2 14 4 8" xfId="20767" xr:uid="{00000000-0005-0000-0000-0000FA500000}"/>
    <cellStyle name="Normal 2 2 2 5 2 14 4 9" xfId="20768" xr:uid="{00000000-0005-0000-0000-0000FB500000}"/>
    <cellStyle name="Normal 2 2 2 5 2 14 5" xfId="20769" xr:uid="{00000000-0005-0000-0000-0000FC500000}"/>
    <cellStyle name="Normal 2 2 2 5 2 14 5 10" xfId="20770" xr:uid="{00000000-0005-0000-0000-0000FD500000}"/>
    <cellStyle name="Normal 2 2 2 5 2 14 5 2" xfId="20771" xr:uid="{00000000-0005-0000-0000-0000FE500000}"/>
    <cellStyle name="Normal 2 2 2 5 2 14 5 3" xfId="20772" xr:uid="{00000000-0005-0000-0000-0000FF500000}"/>
    <cellStyle name="Normal 2 2 2 5 2 14 5 4" xfId="20773" xr:uid="{00000000-0005-0000-0000-000000510000}"/>
    <cellStyle name="Normal 2 2 2 5 2 14 5 5" xfId="20774" xr:uid="{00000000-0005-0000-0000-000001510000}"/>
    <cellStyle name="Normal 2 2 2 5 2 14 5 6" xfId="20775" xr:uid="{00000000-0005-0000-0000-000002510000}"/>
    <cellStyle name="Normal 2 2 2 5 2 14 5 7" xfId="20776" xr:uid="{00000000-0005-0000-0000-000003510000}"/>
    <cellStyle name="Normal 2 2 2 5 2 14 5 8" xfId="20777" xr:uid="{00000000-0005-0000-0000-000004510000}"/>
    <cellStyle name="Normal 2 2 2 5 2 14 5 9" xfId="20778" xr:uid="{00000000-0005-0000-0000-000005510000}"/>
    <cellStyle name="Normal 2 2 2 5 2 14 6" xfId="20779" xr:uid="{00000000-0005-0000-0000-000006510000}"/>
    <cellStyle name="Normal 2 2 2 5 2 14 7" xfId="20780" xr:uid="{00000000-0005-0000-0000-000007510000}"/>
    <cellStyle name="Normal 2 2 2 5 2 14 8" xfId="20781" xr:uid="{00000000-0005-0000-0000-000008510000}"/>
    <cellStyle name="Normal 2 2 2 5 2 14 9" xfId="20782" xr:uid="{00000000-0005-0000-0000-000009510000}"/>
    <cellStyle name="Normal 2 2 2 5 2 15" xfId="20783" xr:uid="{00000000-0005-0000-0000-00000A510000}"/>
    <cellStyle name="Normal 2 2 2 5 2 15 10" xfId="20784" xr:uid="{00000000-0005-0000-0000-00000B510000}"/>
    <cellStyle name="Normal 2 2 2 5 2 15 11" xfId="20785" xr:uid="{00000000-0005-0000-0000-00000C510000}"/>
    <cellStyle name="Normal 2 2 2 5 2 15 12" xfId="20786" xr:uid="{00000000-0005-0000-0000-00000D510000}"/>
    <cellStyle name="Normal 2 2 2 5 2 15 13" xfId="20787" xr:uid="{00000000-0005-0000-0000-00000E510000}"/>
    <cellStyle name="Normal 2 2 2 5 2 15 14" xfId="20788" xr:uid="{00000000-0005-0000-0000-00000F510000}"/>
    <cellStyle name="Normal 2 2 2 5 2 15 2" xfId="20789" xr:uid="{00000000-0005-0000-0000-000010510000}"/>
    <cellStyle name="Normal 2 2 2 5 2 15 2 10" xfId="20790" xr:uid="{00000000-0005-0000-0000-000011510000}"/>
    <cellStyle name="Normal 2 2 2 5 2 15 2 2" xfId="20791" xr:uid="{00000000-0005-0000-0000-000012510000}"/>
    <cellStyle name="Normal 2 2 2 5 2 15 2 3" xfId="20792" xr:uid="{00000000-0005-0000-0000-000013510000}"/>
    <cellStyle name="Normal 2 2 2 5 2 15 2 4" xfId="20793" xr:uid="{00000000-0005-0000-0000-000014510000}"/>
    <cellStyle name="Normal 2 2 2 5 2 15 2 5" xfId="20794" xr:uid="{00000000-0005-0000-0000-000015510000}"/>
    <cellStyle name="Normal 2 2 2 5 2 15 2 6" xfId="20795" xr:uid="{00000000-0005-0000-0000-000016510000}"/>
    <cellStyle name="Normal 2 2 2 5 2 15 2 7" xfId="20796" xr:uid="{00000000-0005-0000-0000-000017510000}"/>
    <cellStyle name="Normal 2 2 2 5 2 15 2 8" xfId="20797" xr:uid="{00000000-0005-0000-0000-000018510000}"/>
    <cellStyle name="Normal 2 2 2 5 2 15 2 9" xfId="20798" xr:uid="{00000000-0005-0000-0000-000019510000}"/>
    <cellStyle name="Normal 2 2 2 5 2 15 3" xfId="20799" xr:uid="{00000000-0005-0000-0000-00001A510000}"/>
    <cellStyle name="Normal 2 2 2 5 2 15 3 10" xfId="20800" xr:uid="{00000000-0005-0000-0000-00001B510000}"/>
    <cellStyle name="Normal 2 2 2 5 2 15 3 2" xfId="20801" xr:uid="{00000000-0005-0000-0000-00001C510000}"/>
    <cellStyle name="Normal 2 2 2 5 2 15 3 3" xfId="20802" xr:uid="{00000000-0005-0000-0000-00001D510000}"/>
    <cellStyle name="Normal 2 2 2 5 2 15 3 4" xfId="20803" xr:uid="{00000000-0005-0000-0000-00001E510000}"/>
    <cellStyle name="Normal 2 2 2 5 2 15 3 5" xfId="20804" xr:uid="{00000000-0005-0000-0000-00001F510000}"/>
    <cellStyle name="Normal 2 2 2 5 2 15 3 6" xfId="20805" xr:uid="{00000000-0005-0000-0000-000020510000}"/>
    <cellStyle name="Normal 2 2 2 5 2 15 3 7" xfId="20806" xr:uid="{00000000-0005-0000-0000-000021510000}"/>
    <cellStyle name="Normal 2 2 2 5 2 15 3 8" xfId="20807" xr:uid="{00000000-0005-0000-0000-000022510000}"/>
    <cellStyle name="Normal 2 2 2 5 2 15 3 9" xfId="20808" xr:uid="{00000000-0005-0000-0000-000023510000}"/>
    <cellStyle name="Normal 2 2 2 5 2 15 4" xfId="20809" xr:uid="{00000000-0005-0000-0000-000024510000}"/>
    <cellStyle name="Normal 2 2 2 5 2 15 4 10" xfId="20810" xr:uid="{00000000-0005-0000-0000-000025510000}"/>
    <cellStyle name="Normal 2 2 2 5 2 15 4 2" xfId="20811" xr:uid="{00000000-0005-0000-0000-000026510000}"/>
    <cellStyle name="Normal 2 2 2 5 2 15 4 3" xfId="20812" xr:uid="{00000000-0005-0000-0000-000027510000}"/>
    <cellStyle name="Normal 2 2 2 5 2 15 4 4" xfId="20813" xr:uid="{00000000-0005-0000-0000-000028510000}"/>
    <cellStyle name="Normal 2 2 2 5 2 15 4 5" xfId="20814" xr:uid="{00000000-0005-0000-0000-000029510000}"/>
    <cellStyle name="Normal 2 2 2 5 2 15 4 6" xfId="20815" xr:uid="{00000000-0005-0000-0000-00002A510000}"/>
    <cellStyle name="Normal 2 2 2 5 2 15 4 7" xfId="20816" xr:uid="{00000000-0005-0000-0000-00002B510000}"/>
    <cellStyle name="Normal 2 2 2 5 2 15 4 8" xfId="20817" xr:uid="{00000000-0005-0000-0000-00002C510000}"/>
    <cellStyle name="Normal 2 2 2 5 2 15 4 9" xfId="20818" xr:uid="{00000000-0005-0000-0000-00002D510000}"/>
    <cellStyle name="Normal 2 2 2 5 2 15 5" xfId="20819" xr:uid="{00000000-0005-0000-0000-00002E510000}"/>
    <cellStyle name="Normal 2 2 2 5 2 15 5 10" xfId="20820" xr:uid="{00000000-0005-0000-0000-00002F510000}"/>
    <cellStyle name="Normal 2 2 2 5 2 15 5 2" xfId="20821" xr:uid="{00000000-0005-0000-0000-000030510000}"/>
    <cellStyle name="Normal 2 2 2 5 2 15 5 3" xfId="20822" xr:uid="{00000000-0005-0000-0000-000031510000}"/>
    <cellStyle name="Normal 2 2 2 5 2 15 5 4" xfId="20823" xr:uid="{00000000-0005-0000-0000-000032510000}"/>
    <cellStyle name="Normal 2 2 2 5 2 15 5 5" xfId="20824" xr:uid="{00000000-0005-0000-0000-000033510000}"/>
    <cellStyle name="Normal 2 2 2 5 2 15 5 6" xfId="20825" xr:uid="{00000000-0005-0000-0000-000034510000}"/>
    <cellStyle name="Normal 2 2 2 5 2 15 5 7" xfId="20826" xr:uid="{00000000-0005-0000-0000-000035510000}"/>
    <cellStyle name="Normal 2 2 2 5 2 15 5 8" xfId="20827" xr:uid="{00000000-0005-0000-0000-000036510000}"/>
    <cellStyle name="Normal 2 2 2 5 2 15 5 9" xfId="20828" xr:uid="{00000000-0005-0000-0000-000037510000}"/>
    <cellStyle name="Normal 2 2 2 5 2 15 6" xfId="20829" xr:uid="{00000000-0005-0000-0000-000038510000}"/>
    <cellStyle name="Normal 2 2 2 5 2 15 7" xfId="20830" xr:uid="{00000000-0005-0000-0000-000039510000}"/>
    <cellStyle name="Normal 2 2 2 5 2 15 8" xfId="20831" xr:uid="{00000000-0005-0000-0000-00003A510000}"/>
    <cellStyle name="Normal 2 2 2 5 2 15 9" xfId="20832" xr:uid="{00000000-0005-0000-0000-00003B510000}"/>
    <cellStyle name="Normal 2 2 2 5 2 16" xfId="20833" xr:uid="{00000000-0005-0000-0000-00003C510000}"/>
    <cellStyle name="Normal 2 2 2 5 2 16 10" xfId="20834" xr:uid="{00000000-0005-0000-0000-00003D510000}"/>
    <cellStyle name="Normal 2 2 2 5 2 16 11" xfId="20835" xr:uid="{00000000-0005-0000-0000-00003E510000}"/>
    <cellStyle name="Normal 2 2 2 5 2 16 12" xfId="20836" xr:uid="{00000000-0005-0000-0000-00003F510000}"/>
    <cellStyle name="Normal 2 2 2 5 2 16 13" xfId="20837" xr:uid="{00000000-0005-0000-0000-000040510000}"/>
    <cellStyle name="Normal 2 2 2 5 2 16 14" xfId="20838" xr:uid="{00000000-0005-0000-0000-000041510000}"/>
    <cellStyle name="Normal 2 2 2 5 2 16 2" xfId="20839" xr:uid="{00000000-0005-0000-0000-000042510000}"/>
    <cellStyle name="Normal 2 2 2 5 2 16 2 10" xfId="20840" xr:uid="{00000000-0005-0000-0000-000043510000}"/>
    <cellStyle name="Normal 2 2 2 5 2 16 2 2" xfId="20841" xr:uid="{00000000-0005-0000-0000-000044510000}"/>
    <cellStyle name="Normal 2 2 2 5 2 16 2 3" xfId="20842" xr:uid="{00000000-0005-0000-0000-000045510000}"/>
    <cellStyle name="Normal 2 2 2 5 2 16 2 4" xfId="20843" xr:uid="{00000000-0005-0000-0000-000046510000}"/>
    <cellStyle name="Normal 2 2 2 5 2 16 2 5" xfId="20844" xr:uid="{00000000-0005-0000-0000-000047510000}"/>
    <cellStyle name="Normal 2 2 2 5 2 16 2 6" xfId="20845" xr:uid="{00000000-0005-0000-0000-000048510000}"/>
    <cellStyle name="Normal 2 2 2 5 2 16 2 7" xfId="20846" xr:uid="{00000000-0005-0000-0000-000049510000}"/>
    <cellStyle name="Normal 2 2 2 5 2 16 2 8" xfId="20847" xr:uid="{00000000-0005-0000-0000-00004A510000}"/>
    <cellStyle name="Normal 2 2 2 5 2 16 2 9" xfId="20848" xr:uid="{00000000-0005-0000-0000-00004B510000}"/>
    <cellStyle name="Normal 2 2 2 5 2 16 3" xfId="20849" xr:uid="{00000000-0005-0000-0000-00004C510000}"/>
    <cellStyle name="Normal 2 2 2 5 2 16 3 10" xfId="20850" xr:uid="{00000000-0005-0000-0000-00004D510000}"/>
    <cellStyle name="Normal 2 2 2 5 2 16 3 2" xfId="20851" xr:uid="{00000000-0005-0000-0000-00004E510000}"/>
    <cellStyle name="Normal 2 2 2 5 2 16 3 3" xfId="20852" xr:uid="{00000000-0005-0000-0000-00004F510000}"/>
    <cellStyle name="Normal 2 2 2 5 2 16 3 4" xfId="20853" xr:uid="{00000000-0005-0000-0000-000050510000}"/>
    <cellStyle name="Normal 2 2 2 5 2 16 3 5" xfId="20854" xr:uid="{00000000-0005-0000-0000-000051510000}"/>
    <cellStyle name="Normal 2 2 2 5 2 16 3 6" xfId="20855" xr:uid="{00000000-0005-0000-0000-000052510000}"/>
    <cellStyle name="Normal 2 2 2 5 2 16 3 7" xfId="20856" xr:uid="{00000000-0005-0000-0000-000053510000}"/>
    <cellStyle name="Normal 2 2 2 5 2 16 3 8" xfId="20857" xr:uid="{00000000-0005-0000-0000-000054510000}"/>
    <cellStyle name="Normal 2 2 2 5 2 16 3 9" xfId="20858" xr:uid="{00000000-0005-0000-0000-000055510000}"/>
    <cellStyle name="Normal 2 2 2 5 2 16 4" xfId="20859" xr:uid="{00000000-0005-0000-0000-000056510000}"/>
    <cellStyle name="Normal 2 2 2 5 2 16 4 10" xfId="20860" xr:uid="{00000000-0005-0000-0000-000057510000}"/>
    <cellStyle name="Normal 2 2 2 5 2 16 4 2" xfId="20861" xr:uid="{00000000-0005-0000-0000-000058510000}"/>
    <cellStyle name="Normal 2 2 2 5 2 16 4 3" xfId="20862" xr:uid="{00000000-0005-0000-0000-000059510000}"/>
    <cellStyle name="Normal 2 2 2 5 2 16 4 4" xfId="20863" xr:uid="{00000000-0005-0000-0000-00005A510000}"/>
    <cellStyle name="Normal 2 2 2 5 2 16 4 5" xfId="20864" xr:uid="{00000000-0005-0000-0000-00005B510000}"/>
    <cellStyle name="Normal 2 2 2 5 2 16 4 6" xfId="20865" xr:uid="{00000000-0005-0000-0000-00005C510000}"/>
    <cellStyle name="Normal 2 2 2 5 2 16 4 7" xfId="20866" xr:uid="{00000000-0005-0000-0000-00005D510000}"/>
    <cellStyle name="Normal 2 2 2 5 2 16 4 8" xfId="20867" xr:uid="{00000000-0005-0000-0000-00005E510000}"/>
    <cellStyle name="Normal 2 2 2 5 2 16 4 9" xfId="20868" xr:uid="{00000000-0005-0000-0000-00005F510000}"/>
    <cellStyle name="Normal 2 2 2 5 2 16 5" xfId="20869" xr:uid="{00000000-0005-0000-0000-000060510000}"/>
    <cellStyle name="Normal 2 2 2 5 2 16 5 10" xfId="20870" xr:uid="{00000000-0005-0000-0000-000061510000}"/>
    <cellStyle name="Normal 2 2 2 5 2 16 5 2" xfId="20871" xr:uid="{00000000-0005-0000-0000-000062510000}"/>
    <cellStyle name="Normal 2 2 2 5 2 16 5 3" xfId="20872" xr:uid="{00000000-0005-0000-0000-000063510000}"/>
    <cellStyle name="Normal 2 2 2 5 2 16 5 4" xfId="20873" xr:uid="{00000000-0005-0000-0000-000064510000}"/>
    <cellStyle name="Normal 2 2 2 5 2 16 5 5" xfId="20874" xr:uid="{00000000-0005-0000-0000-000065510000}"/>
    <cellStyle name="Normal 2 2 2 5 2 16 5 6" xfId="20875" xr:uid="{00000000-0005-0000-0000-000066510000}"/>
    <cellStyle name="Normal 2 2 2 5 2 16 5 7" xfId="20876" xr:uid="{00000000-0005-0000-0000-000067510000}"/>
    <cellStyle name="Normal 2 2 2 5 2 16 5 8" xfId="20877" xr:uid="{00000000-0005-0000-0000-000068510000}"/>
    <cellStyle name="Normal 2 2 2 5 2 16 5 9" xfId="20878" xr:uid="{00000000-0005-0000-0000-000069510000}"/>
    <cellStyle name="Normal 2 2 2 5 2 16 6" xfId="20879" xr:uid="{00000000-0005-0000-0000-00006A510000}"/>
    <cellStyle name="Normal 2 2 2 5 2 16 7" xfId="20880" xr:uid="{00000000-0005-0000-0000-00006B510000}"/>
    <cellStyle name="Normal 2 2 2 5 2 16 8" xfId="20881" xr:uid="{00000000-0005-0000-0000-00006C510000}"/>
    <cellStyle name="Normal 2 2 2 5 2 16 9" xfId="20882" xr:uid="{00000000-0005-0000-0000-00006D510000}"/>
    <cellStyle name="Normal 2 2 2 5 2 17" xfId="20883" xr:uid="{00000000-0005-0000-0000-00006E510000}"/>
    <cellStyle name="Normal 2 2 2 5 2 17 10" xfId="20884" xr:uid="{00000000-0005-0000-0000-00006F510000}"/>
    <cellStyle name="Normal 2 2 2 5 2 17 11" xfId="20885" xr:uid="{00000000-0005-0000-0000-000070510000}"/>
    <cellStyle name="Normal 2 2 2 5 2 17 12" xfId="20886" xr:uid="{00000000-0005-0000-0000-000071510000}"/>
    <cellStyle name="Normal 2 2 2 5 2 17 13" xfId="20887" xr:uid="{00000000-0005-0000-0000-000072510000}"/>
    <cellStyle name="Normal 2 2 2 5 2 17 14" xfId="20888" xr:uid="{00000000-0005-0000-0000-000073510000}"/>
    <cellStyle name="Normal 2 2 2 5 2 17 2" xfId="20889" xr:uid="{00000000-0005-0000-0000-000074510000}"/>
    <cellStyle name="Normal 2 2 2 5 2 17 2 10" xfId="20890" xr:uid="{00000000-0005-0000-0000-000075510000}"/>
    <cellStyle name="Normal 2 2 2 5 2 17 2 2" xfId="20891" xr:uid="{00000000-0005-0000-0000-000076510000}"/>
    <cellStyle name="Normal 2 2 2 5 2 17 2 3" xfId="20892" xr:uid="{00000000-0005-0000-0000-000077510000}"/>
    <cellStyle name="Normal 2 2 2 5 2 17 2 4" xfId="20893" xr:uid="{00000000-0005-0000-0000-000078510000}"/>
    <cellStyle name="Normal 2 2 2 5 2 17 2 5" xfId="20894" xr:uid="{00000000-0005-0000-0000-000079510000}"/>
    <cellStyle name="Normal 2 2 2 5 2 17 2 6" xfId="20895" xr:uid="{00000000-0005-0000-0000-00007A510000}"/>
    <cellStyle name="Normal 2 2 2 5 2 17 2 7" xfId="20896" xr:uid="{00000000-0005-0000-0000-00007B510000}"/>
    <cellStyle name="Normal 2 2 2 5 2 17 2 8" xfId="20897" xr:uid="{00000000-0005-0000-0000-00007C510000}"/>
    <cellStyle name="Normal 2 2 2 5 2 17 2 9" xfId="20898" xr:uid="{00000000-0005-0000-0000-00007D510000}"/>
    <cellStyle name="Normal 2 2 2 5 2 17 3" xfId="20899" xr:uid="{00000000-0005-0000-0000-00007E510000}"/>
    <cellStyle name="Normal 2 2 2 5 2 17 3 10" xfId="20900" xr:uid="{00000000-0005-0000-0000-00007F510000}"/>
    <cellStyle name="Normal 2 2 2 5 2 17 3 2" xfId="20901" xr:uid="{00000000-0005-0000-0000-000080510000}"/>
    <cellStyle name="Normal 2 2 2 5 2 17 3 3" xfId="20902" xr:uid="{00000000-0005-0000-0000-000081510000}"/>
    <cellStyle name="Normal 2 2 2 5 2 17 3 4" xfId="20903" xr:uid="{00000000-0005-0000-0000-000082510000}"/>
    <cellStyle name="Normal 2 2 2 5 2 17 3 5" xfId="20904" xr:uid="{00000000-0005-0000-0000-000083510000}"/>
    <cellStyle name="Normal 2 2 2 5 2 17 3 6" xfId="20905" xr:uid="{00000000-0005-0000-0000-000084510000}"/>
    <cellStyle name="Normal 2 2 2 5 2 17 3 7" xfId="20906" xr:uid="{00000000-0005-0000-0000-000085510000}"/>
    <cellStyle name="Normal 2 2 2 5 2 17 3 8" xfId="20907" xr:uid="{00000000-0005-0000-0000-000086510000}"/>
    <cellStyle name="Normal 2 2 2 5 2 17 3 9" xfId="20908" xr:uid="{00000000-0005-0000-0000-000087510000}"/>
    <cellStyle name="Normal 2 2 2 5 2 17 4" xfId="20909" xr:uid="{00000000-0005-0000-0000-000088510000}"/>
    <cellStyle name="Normal 2 2 2 5 2 17 4 10" xfId="20910" xr:uid="{00000000-0005-0000-0000-000089510000}"/>
    <cellStyle name="Normal 2 2 2 5 2 17 4 2" xfId="20911" xr:uid="{00000000-0005-0000-0000-00008A510000}"/>
    <cellStyle name="Normal 2 2 2 5 2 17 4 3" xfId="20912" xr:uid="{00000000-0005-0000-0000-00008B510000}"/>
    <cellStyle name="Normal 2 2 2 5 2 17 4 4" xfId="20913" xr:uid="{00000000-0005-0000-0000-00008C510000}"/>
    <cellStyle name="Normal 2 2 2 5 2 17 4 5" xfId="20914" xr:uid="{00000000-0005-0000-0000-00008D510000}"/>
    <cellStyle name="Normal 2 2 2 5 2 17 4 6" xfId="20915" xr:uid="{00000000-0005-0000-0000-00008E510000}"/>
    <cellStyle name="Normal 2 2 2 5 2 17 4 7" xfId="20916" xr:uid="{00000000-0005-0000-0000-00008F510000}"/>
    <cellStyle name="Normal 2 2 2 5 2 17 4 8" xfId="20917" xr:uid="{00000000-0005-0000-0000-000090510000}"/>
    <cellStyle name="Normal 2 2 2 5 2 17 4 9" xfId="20918" xr:uid="{00000000-0005-0000-0000-000091510000}"/>
    <cellStyle name="Normal 2 2 2 5 2 17 5" xfId="20919" xr:uid="{00000000-0005-0000-0000-000092510000}"/>
    <cellStyle name="Normal 2 2 2 5 2 17 5 10" xfId="20920" xr:uid="{00000000-0005-0000-0000-000093510000}"/>
    <cellStyle name="Normal 2 2 2 5 2 17 5 2" xfId="20921" xr:uid="{00000000-0005-0000-0000-000094510000}"/>
    <cellStyle name="Normal 2 2 2 5 2 17 5 3" xfId="20922" xr:uid="{00000000-0005-0000-0000-000095510000}"/>
    <cellStyle name="Normal 2 2 2 5 2 17 5 4" xfId="20923" xr:uid="{00000000-0005-0000-0000-000096510000}"/>
    <cellStyle name="Normal 2 2 2 5 2 17 5 5" xfId="20924" xr:uid="{00000000-0005-0000-0000-000097510000}"/>
    <cellStyle name="Normal 2 2 2 5 2 17 5 6" xfId="20925" xr:uid="{00000000-0005-0000-0000-000098510000}"/>
    <cellStyle name="Normal 2 2 2 5 2 17 5 7" xfId="20926" xr:uid="{00000000-0005-0000-0000-000099510000}"/>
    <cellStyle name="Normal 2 2 2 5 2 17 5 8" xfId="20927" xr:uid="{00000000-0005-0000-0000-00009A510000}"/>
    <cellStyle name="Normal 2 2 2 5 2 17 5 9" xfId="20928" xr:uid="{00000000-0005-0000-0000-00009B510000}"/>
    <cellStyle name="Normal 2 2 2 5 2 17 6" xfId="20929" xr:uid="{00000000-0005-0000-0000-00009C510000}"/>
    <cellStyle name="Normal 2 2 2 5 2 17 7" xfId="20930" xr:uid="{00000000-0005-0000-0000-00009D510000}"/>
    <cellStyle name="Normal 2 2 2 5 2 17 8" xfId="20931" xr:uid="{00000000-0005-0000-0000-00009E510000}"/>
    <cellStyle name="Normal 2 2 2 5 2 17 9" xfId="20932" xr:uid="{00000000-0005-0000-0000-00009F510000}"/>
    <cellStyle name="Normal 2 2 2 5 2 18" xfId="20933" xr:uid="{00000000-0005-0000-0000-0000A0510000}"/>
    <cellStyle name="Normal 2 2 2 5 2 18 10" xfId="20934" xr:uid="{00000000-0005-0000-0000-0000A1510000}"/>
    <cellStyle name="Normal 2 2 2 5 2 18 11" xfId="20935" xr:uid="{00000000-0005-0000-0000-0000A2510000}"/>
    <cellStyle name="Normal 2 2 2 5 2 18 12" xfId="20936" xr:uid="{00000000-0005-0000-0000-0000A3510000}"/>
    <cellStyle name="Normal 2 2 2 5 2 18 13" xfId="20937" xr:uid="{00000000-0005-0000-0000-0000A4510000}"/>
    <cellStyle name="Normal 2 2 2 5 2 18 14" xfId="20938" xr:uid="{00000000-0005-0000-0000-0000A5510000}"/>
    <cellStyle name="Normal 2 2 2 5 2 18 2" xfId="20939" xr:uid="{00000000-0005-0000-0000-0000A6510000}"/>
    <cellStyle name="Normal 2 2 2 5 2 18 2 10" xfId="20940" xr:uid="{00000000-0005-0000-0000-0000A7510000}"/>
    <cellStyle name="Normal 2 2 2 5 2 18 2 2" xfId="20941" xr:uid="{00000000-0005-0000-0000-0000A8510000}"/>
    <cellStyle name="Normal 2 2 2 5 2 18 2 3" xfId="20942" xr:uid="{00000000-0005-0000-0000-0000A9510000}"/>
    <cellStyle name="Normal 2 2 2 5 2 18 2 4" xfId="20943" xr:uid="{00000000-0005-0000-0000-0000AA510000}"/>
    <cellStyle name="Normal 2 2 2 5 2 18 2 5" xfId="20944" xr:uid="{00000000-0005-0000-0000-0000AB510000}"/>
    <cellStyle name="Normal 2 2 2 5 2 18 2 6" xfId="20945" xr:uid="{00000000-0005-0000-0000-0000AC510000}"/>
    <cellStyle name="Normal 2 2 2 5 2 18 2 7" xfId="20946" xr:uid="{00000000-0005-0000-0000-0000AD510000}"/>
    <cellStyle name="Normal 2 2 2 5 2 18 2 8" xfId="20947" xr:uid="{00000000-0005-0000-0000-0000AE510000}"/>
    <cellStyle name="Normal 2 2 2 5 2 18 2 9" xfId="20948" xr:uid="{00000000-0005-0000-0000-0000AF510000}"/>
    <cellStyle name="Normal 2 2 2 5 2 18 3" xfId="20949" xr:uid="{00000000-0005-0000-0000-0000B0510000}"/>
    <cellStyle name="Normal 2 2 2 5 2 18 3 10" xfId="20950" xr:uid="{00000000-0005-0000-0000-0000B1510000}"/>
    <cellStyle name="Normal 2 2 2 5 2 18 3 2" xfId="20951" xr:uid="{00000000-0005-0000-0000-0000B2510000}"/>
    <cellStyle name="Normal 2 2 2 5 2 18 3 3" xfId="20952" xr:uid="{00000000-0005-0000-0000-0000B3510000}"/>
    <cellStyle name="Normal 2 2 2 5 2 18 3 4" xfId="20953" xr:uid="{00000000-0005-0000-0000-0000B4510000}"/>
    <cellStyle name="Normal 2 2 2 5 2 18 3 5" xfId="20954" xr:uid="{00000000-0005-0000-0000-0000B5510000}"/>
    <cellStyle name="Normal 2 2 2 5 2 18 3 6" xfId="20955" xr:uid="{00000000-0005-0000-0000-0000B6510000}"/>
    <cellStyle name="Normal 2 2 2 5 2 18 3 7" xfId="20956" xr:uid="{00000000-0005-0000-0000-0000B7510000}"/>
    <cellStyle name="Normal 2 2 2 5 2 18 3 8" xfId="20957" xr:uid="{00000000-0005-0000-0000-0000B8510000}"/>
    <cellStyle name="Normal 2 2 2 5 2 18 3 9" xfId="20958" xr:uid="{00000000-0005-0000-0000-0000B9510000}"/>
    <cellStyle name="Normal 2 2 2 5 2 18 4" xfId="20959" xr:uid="{00000000-0005-0000-0000-0000BA510000}"/>
    <cellStyle name="Normal 2 2 2 5 2 18 4 10" xfId="20960" xr:uid="{00000000-0005-0000-0000-0000BB510000}"/>
    <cellStyle name="Normal 2 2 2 5 2 18 4 2" xfId="20961" xr:uid="{00000000-0005-0000-0000-0000BC510000}"/>
    <cellStyle name="Normal 2 2 2 5 2 18 4 3" xfId="20962" xr:uid="{00000000-0005-0000-0000-0000BD510000}"/>
    <cellStyle name="Normal 2 2 2 5 2 18 4 4" xfId="20963" xr:uid="{00000000-0005-0000-0000-0000BE510000}"/>
    <cellStyle name="Normal 2 2 2 5 2 18 4 5" xfId="20964" xr:uid="{00000000-0005-0000-0000-0000BF510000}"/>
    <cellStyle name="Normal 2 2 2 5 2 18 4 6" xfId="20965" xr:uid="{00000000-0005-0000-0000-0000C0510000}"/>
    <cellStyle name="Normal 2 2 2 5 2 18 4 7" xfId="20966" xr:uid="{00000000-0005-0000-0000-0000C1510000}"/>
    <cellStyle name="Normal 2 2 2 5 2 18 4 8" xfId="20967" xr:uid="{00000000-0005-0000-0000-0000C2510000}"/>
    <cellStyle name="Normal 2 2 2 5 2 18 4 9" xfId="20968" xr:uid="{00000000-0005-0000-0000-0000C3510000}"/>
    <cellStyle name="Normal 2 2 2 5 2 18 5" xfId="20969" xr:uid="{00000000-0005-0000-0000-0000C4510000}"/>
    <cellStyle name="Normal 2 2 2 5 2 18 5 10" xfId="20970" xr:uid="{00000000-0005-0000-0000-0000C5510000}"/>
    <cellStyle name="Normal 2 2 2 5 2 18 5 2" xfId="20971" xr:uid="{00000000-0005-0000-0000-0000C6510000}"/>
    <cellStyle name="Normal 2 2 2 5 2 18 5 3" xfId="20972" xr:uid="{00000000-0005-0000-0000-0000C7510000}"/>
    <cellStyle name="Normal 2 2 2 5 2 18 5 4" xfId="20973" xr:uid="{00000000-0005-0000-0000-0000C8510000}"/>
    <cellStyle name="Normal 2 2 2 5 2 18 5 5" xfId="20974" xr:uid="{00000000-0005-0000-0000-0000C9510000}"/>
    <cellStyle name="Normal 2 2 2 5 2 18 5 6" xfId="20975" xr:uid="{00000000-0005-0000-0000-0000CA510000}"/>
    <cellStyle name="Normal 2 2 2 5 2 18 5 7" xfId="20976" xr:uid="{00000000-0005-0000-0000-0000CB510000}"/>
    <cellStyle name="Normal 2 2 2 5 2 18 5 8" xfId="20977" xr:uid="{00000000-0005-0000-0000-0000CC510000}"/>
    <cellStyle name="Normal 2 2 2 5 2 18 5 9" xfId="20978" xr:uid="{00000000-0005-0000-0000-0000CD510000}"/>
    <cellStyle name="Normal 2 2 2 5 2 18 6" xfId="20979" xr:uid="{00000000-0005-0000-0000-0000CE510000}"/>
    <cellStyle name="Normal 2 2 2 5 2 18 7" xfId="20980" xr:uid="{00000000-0005-0000-0000-0000CF510000}"/>
    <cellStyle name="Normal 2 2 2 5 2 18 8" xfId="20981" xr:uid="{00000000-0005-0000-0000-0000D0510000}"/>
    <cellStyle name="Normal 2 2 2 5 2 18 9" xfId="20982" xr:uid="{00000000-0005-0000-0000-0000D1510000}"/>
    <cellStyle name="Normal 2 2 2 5 2 19" xfId="20983" xr:uid="{00000000-0005-0000-0000-0000D2510000}"/>
    <cellStyle name="Normal 2 2 2 5 2 19 10" xfId="20984" xr:uid="{00000000-0005-0000-0000-0000D3510000}"/>
    <cellStyle name="Normal 2 2 2 5 2 19 11" xfId="20985" xr:uid="{00000000-0005-0000-0000-0000D4510000}"/>
    <cellStyle name="Normal 2 2 2 5 2 19 12" xfId="20986" xr:uid="{00000000-0005-0000-0000-0000D5510000}"/>
    <cellStyle name="Normal 2 2 2 5 2 19 13" xfId="20987" xr:uid="{00000000-0005-0000-0000-0000D6510000}"/>
    <cellStyle name="Normal 2 2 2 5 2 19 14" xfId="20988" xr:uid="{00000000-0005-0000-0000-0000D7510000}"/>
    <cellStyle name="Normal 2 2 2 5 2 19 2" xfId="20989" xr:uid="{00000000-0005-0000-0000-0000D8510000}"/>
    <cellStyle name="Normal 2 2 2 5 2 19 2 10" xfId="20990" xr:uid="{00000000-0005-0000-0000-0000D9510000}"/>
    <cellStyle name="Normal 2 2 2 5 2 19 2 2" xfId="20991" xr:uid="{00000000-0005-0000-0000-0000DA510000}"/>
    <cellStyle name="Normal 2 2 2 5 2 19 2 3" xfId="20992" xr:uid="{00000000-0005-0000-0000-0000DB510000}"/>
    <cellStyle name="Normal 2 2 2 5 2 19 2 4" xfId="20993" xr:uid="{00000000-0005-0000-0000-0000DC510000}"/>
    <cellStyle name="Normal 2 2 2 5 2 19 2 5" xfId="20994" xr:uid="{00000000-0005-0000-0000-0000DD510000}"/>
    <cellStyle name="Normal 2 2 2 5 2 19 2 6" xfId="20995" xr:uid="{00000000-0005-0000-0000-0000DE510000}"/>
    <cellStyle name="Normal 2 2 2 5 2 19 2 7" xfId="20996" xr:uid="{00000000-0005-0000-0000-0000DF510000}"/>
    <cellStyle name="Normal 2 2 2 5 2 19 2 8" xfId="20997" xr:uid="{00000000-0005-0000-0000-0000E0510000}"/>
    <cellStyle name="Normal 2 2 2 5 2 19 2 9" xfId="20998" xr:uid="{00000000-0005-0000-0000-0000E1510000}"/>
    <cellStyle name="Normal 2 2 2 5 2 19 3" xfId="20999" xr:uid="{00000000-0005-0000-0000-0000E2510000}"/>
    <cellStyle name="Normal 2 2 2 5 2 19 3 10" xfId="21000" xr:uid="{00000000-0005-0000-0000-0000E3510000}"/>
    <cellStyle name="Normal 2 2 2 5 2 19 3 2" xfId="21001" xr:uid="{00000000-0005-0000-0000-0000E4510000}"/>
    <cellStyle name="Normal 2 2 2 5 2 19 3 3" xfId="21002" xr:uid="{00000000-0005-0000-0000-0000E5510000}"/>
    <cellStyle name="Normal 2 2 2 5 2 19 3 4" xfId="21003" xr:uid="{00000000-0005-0000-0000-0000E6510000}"/>
    <cellStyle name="Normal 2 2 2 5 2 19 3 5" xfId="21004" xr:uid="{00000000-0005-0000-0000-0000E7510000}"/>
    <cellStyle name="Normal 2 2 2 5 2 19 3 6" xfId="21005" xr:uid="{00000000-0005-0000-0000-0000E8510000}"/>
    <cellStyle name="Normal 2 2 2 5 2 19 3 7" xfId="21006" xr:uid="{00000000-0005-0000-0000-0000E9510000}"/>
    <cellStyle name="Normal 2 2 2 5 2 19 3 8" xfId="21007" xr:uid="{00000000-0005-0000-0000-0000EA510000}"/>
    <cellStyle name="Normal 2 2 2 5 2 19 3 9" xfId="21008" xr:uid="{00000000-0005-0000-0000-0000EB510000}"/>
    <cellStyle name="Normal 2 2 2 5 2 19 4" xfId="21009" xr:uid="{00000000-0005-0000-0000-0000EC510000}"/>
    <cellStyle name="Normal 2 2 2 5 2 19 4 10" xfId="21010" xr:uid="{00000000-0005-0000-0000-0000ED510000}"/>
    <cellStyle name="Normal 2 2 2 5 2 19 4 2" xfId="21011" xr:uid="{00000000-0005-0000-0000-0000EE510000}"/>
    <cellStyle name="Normal 2 2 2 5 2 19 4 3" xfId="21012" xr:uid="{00000000-0005-0000-0000-0000EF510000}"/>
    <cellStyle name="Normal 2 2 2 5 2 19 4 4" xfId="21013" xr:uid="{00000000-0005-0000-0000-0000F0510000}"/>
    <cellStyle name="Normal 2 2 2 5 2 19 4 5" xfId="21014" xr:uid="{00000000-0005-0000-0000-0000F1510000}"/>
    <cellStyle name="Normal 2 2 2 5 2 19 4 6" xfId="21015" xr:uid="{00000000-0005-0000-0000-0000F2510000}"/>
    <cellStyle name="Normal 2 2 2 5 2 19 4 7" xfId="21016" xr:uid="{00000000-0005-0000-0000-0000F3510000}"/>
    <cellStyle name="Normal 2 2 2 5 2 19 4 8" xfId="21017" xr:uid="{00000000-0005-0000-0000-0000F4510000}"/>
    <cellStyle name="Normal 2 2 2 5 2 19 4 9" xfId="21018" xr:uid="{00000000-0005-0000-0000-0000F5510000}"/>
    <cellStyle name="Normal 2 2 2 5 2 19 5" xfId="21019" xr:uid="{00000000-0005-0000-0000-0000F6510000}"/>
    <cellStyle name="Normal 2 2 2 5 2 19 5 10" xfId="21020" xr:uid="{00000000-0005-0000-0000-0000F7510000}"/>
    <cellStyle name="Normal 2 2 2 5 2 19 5 2" xfId="21021" xr:uid="{00000000-0005-0000-0000-0000F8510000}"/>
    <cellStyle name="Normal 2 2 2 5 2 19 5 3" xfId="21022" xr:uid="{00000000-0005-0000-0000-0000F9510000}"/>
    <cellStyle name="Normal 2 2 2 5 2 19 5 4" xfId="21023" xr:uid="{00000000-0005-0000-0000-0000FA510000}"/>
    <cellStyle name="Normal 2 2 2 5 2 19 5 5" xfId="21024" xr:uid="{00000000-0005-0000-0000-0000FB510000}"/>
    <cellStyle name="Normal 2 2 2 5 2 19 5 6" xfId="21025" xr:uid="{00000000-0005-0000-0000-0000FC510000}"/>
    <cellStyle name="Normal 2 2 2 5 2 19 5 7" xfId="21026" xr:uid="{00000000-0005-0000-0000-0000FD510000}"/>
    <cellStyle name="Normal 2 2 2 5 2 19 5 8" xfId="21027" xr:uid="{00000000-0005-0000-0000-0000FE510000}"/>
    <cellStyle name="Normal 2 2 2 5 2 19 5 9" xfId="21028" xr:uid="{00000000-0005-0000-0000-0000FF510000}"/>
    <cellStyle name="Normal 2 2 2 5 2 19 6" xfId="21029" xr:uid="{00000000-0005-0000-0000-000000520000}"/>
    <cellStyle name="Normal 2 2 2 5 2 19 7" xfId="21030" xr:uid="{00000000-0005-0000-0000-000001520000}"/>
    <cellStyle name="Normal 2 2 2 5 2 19 8" xfId="21031" xr:uid="{00000000-0005-0000-0000-000002520000}"/>
    <cellStyle name="Normal 2 2 2 5 2 19 9" xfId="21032" xr:uid="{00000000-0005-0000-0000-000003520000}"/>
    <cellStyle name="Normal 2 2 2 5 2 2" xfId="21033" xr:uid="{00000000-0005-0000-0000-000004520000}"/>
    <cellStyle name="Normal 2 2 2 5 2 2 10" xfId="21034" xr:uid="{00000000-0005-0000-0000-000005520000}"/>
    <cellStyle name="Normal 2 2 2 5 2 2 11" xfId="21035" xr:uid="{00000000-0005-0000-0000-000006520000}"/>
    <cellStyle name="Normal 2 2 2 5 2 2 12" xfId="21036" xr:uid="{00000000-0005-0000-0000-000007520000}"/>
    <cellStyle name="Normal 2 2 2 5 2 2 13" xfId="21037" xr:uid="{00000000-0005-0000-0000-000008520000}"/>
    <cellStyle name="Normal 2 2 2 5 2 2 14" xfId="21038" xr:uid="{00000000-0005-0000-0000-000009520000}"/>
    <cellStyle name="Normal 2 2 2 5 2 2 2" xfId="21039" xr:uid="{00000000-0005-0000-0000-00000A520000}"/>
    <cellStyle name="Normal 2 2 2 5 2 2 2 10" xfId="21040" xr:uid="{00000000-0005-0000-0000-00000B520000}"/>
    <cellStyle name="Normal 2 2 2 5 2 2 2 2" xfId="21041" xr:uid="{00000000-0005-0000-0000-00000C520000}"/>
    <cellStyle name="Normal 2 2 2 5 2 2 2 3" xfId="21042" xr:uid="{00000000-0005-0000-0000-00000D520000}"/>
    <cellStyle name="Normal 2 2 2 5 2 2 2 4" xfId="21043" xr:uid="{00000000-0005-0000-0000-00000E520000}"/>
    <cellStyle name="Normal 2 2 2 5 2 2 2 5" xfId="21044" xr:uid="{00000000-0005-0000-0000-00000F520000}"/>
    <cellStyle name="Normal 2 2 2 5 2 2 2 6" xfId="21045" xr:uid="{00000000-0005-0000-0000-000010520000}"/>
    <cellStyle name="Normal 2 2 2 5 2 2 2 7" xfId="21046" xr:uid="{00000000-0005-0000-0000-000011520000}"/>
    <cellStyle name="Normal 2 2 2 5 2 2 2 8" xfId="21047" xr:uid="{00000000-0005-0000-0000-000012520000}"/>
    <cellStyle name="Normal 2 2 2 5 2 2 2 9" xfId="21048" xr:uid="{00000000-0005-0000-0000-000013520000}"/>
    <cellStyle name="Normal 2 2 2 5 2 2 3" xfId="21049" xr:uid="{00000000-0005-0000-0000-000014520000}"/>
    <cellStyle name="Normal 2 2 2 5 2 2 3 10" xfId="21050" xr:uid="{00000000-0005-0000-0000-000015520000}"/>
    <cellStyle name="Normal 2 2 2 5 2 2 3 2" xfId="21051" xr:uid="{00000000-0005-0000-0000-000016520000}"/>
    <cellStyle name="Normal 2 2 2 5 2 2 3 3" xfId="21052" xr:uid="{00000000-0005-0000-0000-000017520000}"/>
    <cellStyle name="Normal 2 2 2 5 2 2 3 4" xfId="21053" xr:uid="{00000000-0005-0000-0000-000018520000}"/>
    <cellStyle name="Normal 2 2 2 5 2 2 3 5" xfId="21054" xr:uid="{00000000-0005-0000-0000-000019520000}"/>
    <cellStyle name="Normal 2 2 2 5 2 2 3 6" xfId="21055" xr:uid="{00000000-0005-0000-0000-00001A520000}"/>
    <cellStyle name="Normal 2 2 2 5 2 2 3 7" xfId="21056" xr:uid="{00000000-0005-0000-0000-00001B520000}"/>
    <cellStyle name="Normal 2 2 2 5 2 2 3 8" xfId="21057" xr:uid="{00000000-0005-0000-0000-00001C520000}"/>
    <cellStyle name="Normal 2 2 2 5 2 2 3 9" xfId="21058" xr:uid="{00000000-0005-0000-0000-00001D520000}"/>
    <cellStyle name="Normal 2 2 2 5 2 2 4" xfId="21059" xr:uid="{00000000-0005-0000-0000-00001E520000}"/>
    <cellStyle name="Normal 2 2 2 5 2 2 4 10" xfId="21060" xr:uid="{00000000-0005-0000-0000-00001F520000}"/>
    <cellStyle name="Normal 2 2 2 5 2 2 4 2" xfId="21061" xr:uid="{00000000-0005-0000-0000-000020520000}"/>
    <cellStyle name="Normal 2 2 2 5 2 2 4 3" xfId="21062" xr:uid="{00000000-0005-0000-0000-000021520000}"/>
    <cellStyle name="Normal 2 2 2 5 2 2 4 4" xfId="21063" xr:uid="{00000000-0005-0000-0000-000022520000}"/>
    <cellStyle name="Normal 2 2 2 5 2 2 4 5" xfId="21064" xr:uid="{00000000-0005-0000-0000-000023520000}"/>
    <cellStyle name="Normal 2 2 2 5 2 2 4 6" xfId="21065" xr:uid="{00000000-0005-0000-0000-000024520000}"/>
    <cellStyle name="Normal 2 2 2 5 2 2 4 7" xfId="21066" xr:uid="{00000000-0005-0000-0000-000025520000}"/>
    <cellStyle name="Normal 2 2 2 5 2 2 4 8" xfId="21067" xr:uid="{00000000-0005-0000-0000-000026520000}"/>
    <cellStyle name="Normal 2 2 2 5 2 2 4 9" xfId="21068" xr:uid="{00000000-0005-0000-0000-000027520000}"/>
    <cellStyle name="Normal 2 2 2 5 2 2 5" xfId="21069" xr:uid="{00000000-0005-0000-0000-000028520000}"/>
    <cellStyle name="Normal 2 2 2 5 2 2 5 10" xfId="21070" xr:uid="{00000000-0005-0000-0000-000029520000}"/>
    <cellStyle name="Normal 2 2 2 5 2 2 5 2" xfId="21071" xr:uid="{00000000-0005-0000-0000-00002A520000}"/>
    <cellStyle name="Normal 2 2 2 5 2 2 5 3" xfId="21072" xr:uid="{00000000-0005-0000-0000-00002B520000}"/>
    <cellStyle name="Normal 2 2 2 5 2 2 5 4" xfId="21073" xr:uid="{00000000-0005-0000-0000-00002C520000}"/>
    <cellStyle name="Normal 2 2 2 5 2 2 5 5" xfId="21074" xr:uid="{00000000-0005-0000-0000-00002D520000}"/>
    <cellStyle name="Normal 2 2 2 5 2 2 5 6" xfId="21075" xr:uid="{00000000-0005-0000-0000-00002E520000}"/>
    <cellStyle name="Normal 2 2 2 5 2 2 5 7" xfId="21076" xr:uid="{00000000-0005-0000-0000-00002F520000}"/>
    <cellStyle name="Normal 2 2 2 5 2 2 5 8" xfId="21077" xr:uid="{00000000-0005-0000-0000-000030520000}"/>
    <cellStyle name="Normal 2 2 2 5 2 2 5 9" xfId="21078" xr:uid="{00000000-0005-0000-0000-000031520000}"/>
    <cellStyle name="Normal 2 2 2 5 2 2 6" xfId="21079" xr:uid="{00000000-0005-0000-0000-000032520000}"/>
    <cellStyle name="Normal 2 2 2 5 2 2 7" xfId="21080" xr:uid="{00000000-0005-0000-0000-000033520000}"/>
    <cellStyle name="Normal 2 2 2 5 2 2 8" xfId="21081" xr:uid="{00000000-0005-0000-0000-000034520000}"/>
    <cellStyle name="Normal 2 2 2 5 2 2 9" xfId="21082" xr:uid="{00000000-0005-0000-0000-000035520000}"/>
    <cellStyle name="Normal 2 2 2 5 2 20" xfId="21083" xr:uid="{00000000-0005-0000-0000-000036520000}"/>
    <cellStyle name="Normal 2 2 2 5 2 20 10" xfId="21084" xr:uid="{00000000-0005-0000-0000-000037520000}"/>
    <cellStyle name="Normal 2 2 2 5 2 20 11" xfId="21085" xr:uid="{00000000-0005-0000-0000-000038520000}"/>
    <cellStyle name="Normal 2 2 2 5 2 20 12" xfId="21086" xr:uid="{00000000-0005-0000-0000-000039520000}"/>
    <cellStyle name="Normal 2 2 2 5 2 20 13" xfId="21087" xr:uid="{00000000-0005-0000-0000-00003A520000}"/>
    <cellStyle name="Normal 2 2 2 5 2 20 14" xfId="21088" xr:uid="{00000000-0005-0000-0000-00003B520000}"/>
    <cellStyle name="Normal 2 2 2 5 2 20 2" xfId="21089" xr:uid="{00000000-0005-0000-0000-00003C520000}"/>
    <cellStyle name="Normal 2 2 2 5 2 20 2 10" xfId="21090" xr:uid="{00000000-0005-0000-0000-00003D520000}"/>
    <cellStyle name="Normal 2 2 2 5 2 20 2 2" xfId="21091" xr:uid="{00000000-0005-0000-0000-00003E520000}"/>
    <cellStyle name="Normal 2 2 2 5 2 20 2 3" xfId="21092" xr:uid="{00000000-0005-0000-0000-00003F520000}"/>
    <cellStyle name="Normal 2 2 2 5 2 20 2 4" xfId="21093" xr:uid="{00000000-0005-0000-0000-000040520000}"/>
    <cellStyle name="Normal 2 2 2 5 2 20 2 5" xfId="21094" xr:uid="{00000000-0005-0000-0000-000041520000}"/>
    <cellStyle name="Normal 2 2 2 5 2 20 2 6" xfId="21095" xr:uid="{00000000-0005-0000-0000-000042520000}"/>
    <cellStyle name="Normal 2 2 2 5 2 20 2 7" xfId="21096" xr:uid="{00000000-0005-0000-0000-000043520000}"/>
    <cellStyle name="Normal 2 2 2 5 2 20 2 8" xfId="21097" xr:uid="{00000000-0005-0000-0000-000044520000}"/>
    <cellStyle name="Normal 2 2 2 5 2 20 2 9" xfId="21098" xr:uid="{00000000-0005-0000-0000-000045520000}"/>
    <cellStyle name="Normal 2 2 2 5 2 20 3" xfId="21099" xr:uid="{00000000-0005-0000-0000-000046520000}"/>
    <cellStyle name="Normal 2 2 2 5 2 20 3 10" xfId="21100" xr:uid="{00000000-0005-0000-0000-000047520000}"/>
    <cellStyle name="Normal 2 2 2 5 2 20 3 2" xfId="21101" xr:uid="{00000000-0005-0000-0000-000048520000}"/>
    <cellStyle name="Normal 2 2 2 5 2 20 3 3" xfId="21102" xr:uid="{00000000-0005-0000-0000-000049520000}"/>
    <cellStyle name="Normal 2 2 2 5 2 20 3 4" xfId="21103" xr:uid="{00000000-0005-0000-0000-00004A520000}"/>
    <cellStyle name="Normal 2 2 2 5 2 20 3 5" xfId="21104" xr:uid="{00000000-0005-0000-0000-00004B520000}"/>
    <cellStyle name="Normal 2 2 2 5 2 20 3 6" xfId="21105" xr:uid="{00000000-0005-0000-0000-00004C520000}"/>
    <cellStyle name="Normal 2 2 2 5 2 20 3 7" xfId="21106" xr:uid="{00000000-0005-0000-0000-00004D520000}"/>
    <cellStyle name="Normal 2 2 2 5 2 20 3 8" xfId="21107" xr:uid="{00000000-0005-0000-0000-00004E520000}"/>
    <cellStyle name="Normal 2 2 2 5 2 20 3 9" xfId="21108" xr:uid="{00000000-0005-0000-0000-00004F520000}"/>
    <cellStyle name="Normal 2 2 2 5 2 20 4" xfId="21109" xr:uid="{00000000-0005-0000-0000-000050520000}"/>
    <cellStyle name="Normal 2 2 2 5 2 20 4 10" xfId="21110" xr:uid="{00000000-0005-0000-0000-000051520000}"/>
    <cellStyle name="Normal 2 2 2 5 2 20 4 2" xfId="21111" xr:uid="{00000000-0005-0000-0000-000052520000}"/>
    <cellStyle name="Normal 2 2 2 5 2 20 4 3" xfId="21112" xr:uid="{00000000-0005-0000-0000-000053520000}"/>
    <cellStyle name="Normal 2 2 2 5 2 20 4 4" xfId="21113" xr:uid="{00000000-0005-0000-0000-000054520000}"/>
    <cellStyle name="Normal 2 2 2 5 2 20 4 5" xfId="21114" xr:uid="{00000000-0005-0000-0000-000055520000}"/>
    <cellStyle name="Normal 2 2 2 5 2 20 4 6" xfId="21115" xr:uid="{00000000-0005-0000-0000-000056520000}"/>
    <cellStyle name="Normal 2 2 2 5 2 20 4 7" xfId="21116" xr:uid="{00000000-0005-0000-0000-000057520000}"/>
    <cellStyle name="Normal 2 2 2 5 2 20 4 8" xfId="21117" xr:uid="{00000000-0005-0000-0000-000058520000}"/>
    <cellStyle name="Normal 2 2 2 5 2 20 4 9" xfId="21118" xr:uid="{00000000-0005-0000-0000-000059520000}"/>
    <cellStyle name="Normal 2 2 2 5 2 20 5" xfId="21119" xr:uid="{00000000-0005-0000-0000-00005A520000}"/>
    <cellStyle name="Normal 2 2 2 5 2 20 5 10" xfId="21120" xr:uid="{00000000-0005-0000-0000-00005B520000}"/>
    <cellStyle name="Normal 2 2 2 5 2 20 5 2" xfId="21121" xr:uid="{00000000-0005-0000-0000-00005C520000}"/>
    <cellStyle name="Normal 2 2 2 5 2 20 5 3" xfId="21122" xr:uid="{00000000-0005-0000-0000-00005D520000}"/>
    <cellStyle name="Normal 2 2 2 5 2 20 5 4" xfId="21123" xr:uid="{00000000-0005-0000-0000-00005E520000}"/>
    <cellStyle name="Normal 2 2 2 5 2 20 5 5" xfId="21124" xr:uid="{00000000-0005-0000-0000-00005F520000}"/>
    <cellStyle name="Normal 2 2 2 5 2 20 5 6" xfId="21125" xr:uid="{00000000-0005-0000-0000-000060520000}"/>
    <cellStyle name="Normal 2 2 2 5 2 20 5 7" xfId="21126" xr:uid="{00000000-0005-0000-0000-000061520000}"/>
    <cellStyle name="Normal 2 2 2 5 2 20 5 8" xfId="21127" xr:uid="{00000000-0005-0000-0000-000062520000}"/>
    <cellStyle name="Normal 2 2 2 5 2 20 5 9" xfId="21128" xr:uid="{00000000-0005-0000-0000-000063520000}"/>
    <cellStyle name="Normal 2 2 2 5 2 20 6" xfId="21129" xr:uid="{00000000-0005-0000-0000-000064520000}"/>
    <cellStyle name="Normal 2 2 2 5 2 20 7" xfId="21130" xr:uid="{00000000-0005-0000-0000-000065520000}"/>
    <cellStyle name="Normal 2 2 2 5 2 20 8" xfId="21131" xr:uid="{00000000-0005-0000-0000-000066520000}"/>
    <cellStyle name="Normal 2 2 2 5 2 20 9" xfId="21132" xr:uid="{00000000-0005-0000-0000-000067520000}"/>
    <cellStyle name="Normal 2 2 2 5 2 21" xfId="21133" xr:uid="{00000000-0005-0000-0000-000068520000}"/>
    <cellStyle name="Normal 2 2 2 5 2 22" xfId="21134" xr:uid="{00000000-0005-0000-0000-000069520000}"/>
    <cellStyle name="Normal 2 2 2 5 2 3" xfId="21135" xr:uid="{00000000-0005-0000-0000-00006A520000}"/>
    <cellStyle name="Normal 2 2 2 5 2 3 10" xfId="21136" xr:uid="{00000000-0005-0000-0000-00006B520000}"/>
    <cellStyle name="Normal 2 2 2 5 2 3 11" xfId="21137" xr:uid="{00000000-0005-0000-0000-00006C520000}"/>
    <cellStyle name="Normal 2 2 2 5 2 3 12" xfId="21138" xr:uid="{00000000-0005-0000-0000-00006D520000}"/>
    <cellStyle name="Normal 2 2 2 5 2 3 13" xfId="21139" xr:uid="{00000000-0005-0000-0000-00006E520000}"/>
    <cellStyle name="Normal 2 2 2 5 2 3 14" xfId="21140" xr:uid="{00000000-0005-0000-0000-00006F520000}"/>
    <cellStyle name="Normal 2 2 2 5 2 3 2" xfId="21141" xr:uid="{00000000-0005-0000-0000-000070520000}"/>
    <cellStyle name="Normal 2 2 2 5 2 3 2 10" xfId="21142" xr:uid="{00000000-0005-0000-0000-000071520000}"/>
    <cellStyle name="Normal 2 2 2 5 2 3 2 2" xfId="21143" xr:uid="{00000000-0005-0000-0000-000072520000}"/>
    <cellStyle name="Normal 2 2 2 5 2 3 2 3" xfId="21144" xr:uid="{00000000-0005-0000-0000-000073520000}"/>
    <cellStyle name="Normal 2 2 2 5 2 3 2 4" xfId="21145" xr:uid="{00000000-0005-0000-0000-000074520000}"/>
    <cellStyle name="Normal 2 2 2 5 2 3 2 5" xfId="21146" xr:uid="{00000000-0005-0000-0000-000075520000}"/>
    <cellStyle name="Normal 2 2 2 5 2 3 2 6" xfId="21147" xr:uid="{00000000-0005-0000-0000-000076520000}"/>
    <cellStyle name="Normal 2 2 2 5 2 3 2 7" xfId="21148" xr:uid="{00000000-0005-0000-0000-000077520000}"/>
    <cellStyle name="Normal 2 2 2 5 2 3 2 8" xfId="21149" xr:uid="{00000000-0005-0000-0000-000078520000}"/>
    <cellStyle name="Normal 2 2 2 5 2 3 2 9" xfId="21150" xr:uid="{00000000-0005-0000-0000-000079520000}"/>
    <cellStyle name="Normal 2 2 2 5 2 3 3" xfId="21151" xr:uid="{00000000-0005-0000-0000-00007A520000}"/>
    <cellStyle name="Normal 2 2 2 5 2 3 3 10" xfId="21152" xr:uid="{00000000-0005-0000-0000-00007B520000}"/>
    <cellStyle name="Normal 2 2 2 5 2 3 3 2" xfId="21153" xr:uid="{00000000-0005-0000-0000-00007C520000}"/>
    <cellStyle name="Normal 2 2 2 5 2 3 3 3" xfId="21154" xr:uid="{00000000-0005-0000-0000-00007D520000}"/>
    <cellStyle name="Normal 2 2 2 5 2 3 3 4" xfId="21155" xr:uid="{00000000-0005-0000-0000-00007E520000}"/>
    <cellStyle name="Normal 2 2 2 5 2 3 3 5" xfId="21156" xr:uid="{00000000-0005-0000-0000-00007F520000}"/>
    <cellStyle name="Normal 2 2 2 5 2 3 3 6" xfId="21157" xr:uid="{00000000-0005-0000-0000-000080520000}"/>
    <cellStyle name="Normal 2 2 2 5 2 3 3 7" xfId="21158" xr:uid="{00000000-0005-0000-0000-000081520000}"/>
    <cellStyle name="Normal 2 2 2 5 2 3 3 8" xfId="21159" xr:uid="{00000000-0005-0000-0000-000082520000}"/>
    <cellStyle name="Normal 2 2 2 5 2 3 3 9" xfId="21160" xr:uid="{00000000-0005-0000-0000-000083520000}"/>
    <cellStyle name="Normal 2 2 2 5 2 3 4" xfId="21161" xr:uid="{00000000-0005-0000-0000-000084520000}"/>
    <cellStyle name="Normal 2 2 2 5 2 3 4 10" xfId="21162" xr:uid="{00000000-0005-0000-0000-000085520000}"/>
    <cellStyle name="Normal 2 2 2 5 2 3 4 2" xfId="21163" xr:uid="{00000000-0005-0000-0000-000086520000}"/>
    <cellStyle name="Normal 2 2 2 5 2 3 4 3" xfId="21164" xr:uid="{00000000-0005-0000-0000-000087520000}"/>
    <cellStyle name="Normal 2 2 2 5 2 3 4 4" xfId="21165" xr:uid="{00000000-0005-0000-0000-000088520000}"/>
    <cellStyle name="Normal 2 2 2 5 2 3 4 5" xfId="21166" xr:uid="{00000000-0005-0000-0000-000089520000}"/>
    <cellStyle name="Normal 2 2 2 5 2 3 4 6" xfId="21167" xr:uid="{00000000-0005-0000-0000-00008A520000}"/>
    <cellStyle name="Normal 2 2 2 5 2 3 4 7" xfId="21168" xr:uid="{00000000-0005-0000-0000-00008B520000}"/>
    <cellStyle name="Normal 2 2 2 5 2 3 4 8" xfId="21169" xr:uid="{00000000-0005-0000-0000-00008C520000}"/>
    <cellStyle name="Normal 2 2 2 5 2 3 4 9" xfId="21170" xr:uid="{00000000-0005-0000-0000-00008D520000}"/>
    <cellStyle name="Normal 2 2 2 5 2 3 5" xfId="21171" xr:uid="{00000000-0005-0000-0000-00008E520000}"/>
    <cellStyle name="Normal 2 2 2 5 2 3 5 10" xfId="21172" xr:uid="{00000000-0005-0000-0000-00008F520000}"/>
    <cellStyle name="Normal 2 2 2 5 2 3 5 2" xfId="21173" xr:uid="{00000000-0005-0000-0000-000090520000}"/>
    <cellStyle name="Normal 2 2 2 5 2 3 5 3" xfId="21174" xr:uid="{00000000-0005-0000-0000-000091520000}"/>
    <cellStyle name="Normal 2 2 2 5 2 3 5 4" xfId="21175" xr:uid="{00000000-0005-0000-0000-000092520000}"/>
    <cellStyle name="Normal 2 2 2 5 2 3 5 5" xfId="21176" xr:uid="{00000000-0005-0000-0000-000093520000}"/>
    <cellStyle name="Normal 2 2 2 5 2 3 5 6" xfId="21177" xr:uid="{00000000-0005-0000-0000-000094520000}"/>
    <cellStyle name="Normal 2 2 2 5 2 3 5 7" xfId="21178" xr:uid="{00000000-0005-0000-0000-000095520000}"/>
    <cellStyle name="Normal 2 2 2 5 2 3 5 8" xfId="21179" xr:uid="{00000000-0005-0000-0000-000096520000}"/>
    <cellStyle name="Normal 2 2 2 5 2 3 5 9" xfId="21180" xr:uid="{00000000-0005-0000-0000-000097520000}"/>
    <cellStyle name="Normal 2 2 2 5 2 3 6" xfId="21181" xr:uid="{00000000-0005-0000-0000-000098520000}"/>
    <cellStyle name="Normal 2 2 2 5 2 3 7" xfId="21182" xr:uid="{00000000-0005-0000-0000-000099520000}"/>
    <cellStyle name="Normal 2 2 2 5 2 3 8" xfId="21183" xr:uid="{00000000-0005-0000-0000-00009A520000}"/>
    <cellStyle name="Normal 2 2 2 5 2 3 9" xfId="21184" xr:uid="{00000000-0005-0000-0000-00009B520000}"/>
    <cellStyle name="Normal 2 2 2 5 2 4" xfId="21185" xr:uid="{00000000-0005-0000-0000-00009C520000}"/>
    <cellStyle name="Normal 2 2 2 5 2 4 10" xfId="21186" xr:uid="{00000000-0005-0000-0000-00009D520000}"/>
    <cellStyle name="Normal 2 2 2 5 2 4 11" xfId="21187" xr:uid="{00000000-0005-0000-0000-00009E520000}"/>
    <cellStyle name="Normal 2 2 2 5 2 4 12" xfId="21188" xr:uid="{00000000-0005-0000-0000-00009F520000}"/>
    <cellStyle name="Normal 2 2 2 5 2 4 13" xfId="21189" xr:uid="{00000000-0005-0000-0000-0000A0520000}"/>
    <cellStyle name="Normal 2 2 2 5 2 4 14" xfId="21190" xr:uid="{00000000-0005-0000-0000-0000A1520000}"/>
    <cellStyle name="Normal 2 2 2 5 2 4 2" xfId="21191" xr:uid="{00000000-0005-0000-0000-0000A2520000}"/>
    <cellStyle name="Normal 2 2 2 5 2 4 2 10" xfId="21192" xr:uid="{00000000-0005-0000-0000-0000A3520000}"/>
    <cellStyle name="Normal 2 2 2 5 2 4 2 2" xfId="21193" xr:uid="{00000000-0005-0000-0000-0000A4520000}"/>
    <cellStyle name="Normal 2 2 2 5 2 4 2 3" xfId="21194" xr:uid="{00000000-0005-0000-0000-0000A5520000}"/>
    <cellStyle name="Normal 2 2 2 5 2 4 2 4" xfId="21195" xr:uid="{00000000-0005-0000-0000-0000A6520000}"/>
    <cellStyle name="Normal 2 2 2 5 2 4 2 5" xfId="21196" xr:uid="{00000000-0005-0000-0000-0000A7520000}"/>
    <cellStyle name="Normal 2 2 2 5 2 4 2 6" xfId="21197" xr:uid="{00000000-0005-0000-0000-0000A8520000}"/>
    <cellStyle name="Normal 2 2 2 5 2 4 2 7" xfId="21198" xr:uid="{00000000-0005-0000-0000-0000A9520000}"/>
    <cellStyle name="Normal 2 2 2 5 2 4 2 8" xfId="21199" xr:uid="{00000000-0005-0000-0000-0000AA520000}"/>
    <cellStyle name="Normal 2 2 2 5 2 4 2 9" xfId="21200" xr:uid="{00000000-0005-0000-0000-0000AB520000}"/>
    <cellStyle name="Normal 2 2 2 5 2 4 3" xfId="21201" xr:uid="{00000000-0005-0000-0000-0000AC520000}"/>
    <cellStyle name="Normal 2 2 2 5 2 4 3 10" xfId="21202" xr:uid="{00000000-0005-0000-0000-0000AD520000}"/>
    <cellStyle name="Normal 2 2 2 5 2 4 3 2" xfId="21203" xr:uid="{00000000-0005-0000-0000-0000AE520000}"/>
    <cellStyle name="Normal 2 2 2 5 2 4 3 3" xfId="21204" xr:uid="{00000000-0005-0000-0000-0000AF520000}"/>
    <cellStyle name="Normal 2 2 2 5 2 4 3 4" xfId="21205" xr:uid="{00000000-0005-0000-0000-0000B0520000}"/>
    <cellStyle name="Normal 2 2 2 5 2 4 3 5" xfId="21206" xr:uid="{00000000-0005-0000-0000-0000B1520000}"/>
    <cellStyle name="Normal 2 2 2 5 2 4 3 6" xfId="21207" xr:uid="{00000000-0005-0000-0000-0000B2520000}"/>
    <cellStyle name="Normal 2 2 2 5 2 4 3 7" xfId="21208" xr:uid="{00000000-0005-0000-0000-0000B3520000}"/>
    <cellStyle name="Normal 2 2 2 5 2 4 3 8" xfId="21209" xr:uid="{00000000-0005-0000-0000-0000B4520000}"/>
    <cellStyle name="Normal 2 2 2 5 2 4 3 9" xfId="21210" xr:uid="{00000000-0005-0000-0000-0000B5520000}"/>
    <cellStyle name="Normal 2 2 2 5 2 4 4" xfId="21211" xr:uid="{00000000-0005-0000-0000-0000B6520000}"/>
    <cellStyle name="Normal 2 2 2 5 2 4 4 10" xfId="21212" xr:uid="{00000000-0005-0000-0000-0000B7520000}"/>
    <cellStyle name="Normal 2 2 2 5 2 4 4 2" xfId="21213" xr:uid="{00000000-0005-0000-0000-0000B8520000}"/>
    <cellStyle name="Normal 2 2 2 5 2 4 4 3" xfId="21214" xr:uid="{00000000-0005-0000-0000-0000B9520000}"/>
    <cellStyle name="Normal 2 2 2 5 2 4 4 4" xfId="21215" xr:uid="{00000000-0005-0000-0000-0000BA520000}"/>
    <cellStyle name="Normal 2 2 2 5 2 4 4 5" xfId="21216" xr:uid="{00000000-0005-0000-0000-0000BB520000}"/>
    <cellStyle name="Normal 2 2 2 5 2 4 4 6" xfId="21217" xr:uid="{00000000-0005-0000-0000-0000BC520000}"/>
    <cellStyle name="Normal 2 2 2 5 2 4 4 7" xfId="21218" xr:uid="{00000000-0005-0000-0000-0000BD520000}"/>
    <cellStyle name="Normal 2 2 2 5 2 4 4 8" xfId="21219" xr:uid="{00000000-0005-0000-0000-0000BE520000}"/>
    <cellStyle name="Normal 2 2 2 5 2 4 4 9" xfId="21220" xr:uid="{00000000-0005-0000-0000-0000BF520000}"/>
    <cellStyle name="Normal 2 2 2 5 2 4 5" xfId="21221" xr:uid="{00000000-0005-0000-0000-0000C0520000}"/>
    <cellStyle name="Normal 2 2 2 5 2 4 5 10" xfId="21222" xr:uid="{00000000-0005-0000-0000-0000C1520000}"/>
    <cellStyle name="Normal 2 2 2 5 2 4 5 2" xfId="21223" xr:uid="{00000000-0005-0000-0000-0000C2520000}"/>
    <cellStyle name="Normal 2 2 2 5 2 4 5 3" xfId="21224" xr:uid="{00000000-0005-0000-0000-0000C3520000}"/>
    <cellStyle name="Normal 2 2 2 5 2 4 5 4" xfId="21225" xr:uid="{00000000-0005-0000-0000-0000C4520000}"/>
    <cellStyle name="Normal 2 2 2 5 2 4 5 5" xfId="21226" xr:uid="{00000000-0005-0000-0000-0000C5520000}"/>
    <cellStyle name="Normal 2 2 2 5 2 4 5 6" xfId="21227" xr:uid="{00000000-0005-0000-0000-0000C6520000}"/>
    <cellStyle name="Normal 2 2 2 5 2 4 5 7" xfId="21228" xr:uid="{00000000-0005-0000-0000-0000C7520000}"/>
    <cellStyle name="Normal 2 2 2 5 2 4 5 8" xfId="21229" xr:uid="{00000000-0005-0000-0000-0000C8520000}"/>
    <cellStyle name="Normal 2 2 2 5 2 4 5 9" xfId="21230" xr:uid="{00000000-0005-0000-0000-0000C9520000}"/>
    <cellStyle name="Normal 2 2 2 5 2 4 6" xfId="21231" xr:uid="{00000000-0005-0000-0000-0000CA520000}"/>
    <cellStyle name="Normal 2 2 2 5 2 4 7" xfId="21232" xr:uid="{00000000-0005-0000-0000-0000CB520000}"/>
    <cellStyle name="Normal 2 2 2 5 2 4 8" xfId="21233" xr:uid="{00000000-0005-0000-0000-0000CC520000}"/>
    <cellStyle name="Normal 2 2 2 5 2 4 9" xfId="21234" xr:uid="{00000000-0005-0000-0000-0000CD520000}"/>
    <cellStyle name="Normal 2 2 2 5 2 5" xfId="21235" xr:uid="{00000000-0005-0000-0000-0000CE520000}"/>
    <cellStyle name="Normal 2 2 2 5 2 5 10" xfId="21236" xr:uid="{00000000-0005-0000-0000-0000CF520000}"/>
    <cellStyle name="Normal 2 2 2 5 2 5 11" xfId="21237" xr:uid="{00000000-0005-0000-0000-0000D0520000}"/>
    <cellStyle name="Normal 2 2 2 5 2 5 12" xfId="21238" xr:uid="{00000000-0005-0000-0000-0000D1520000}"/>
    <cellStyle name="Normal 2 2 2 5 2 5 13" xfId="21239" xr:uid="{00000000-0005-0000-0000-0000D2520000}"/>
    <cellStyle name="Normal 2 2 2 5 2 5 14" xfId="21240" xr:uid="{00000000-0005-0000-0000-0000D3520000}"/>
    <cellStyle name="Normal 2 2 2 5 2 5 2" xfId="21241" xr:uid="{00000000-0005-0000-0000-0000D4520000}"/>
    <cellStyle name="Normal 2 2 2 5 2 5 2 10" xfId="21242" xr:uid="{00000000-0005-0000-0000-0000D5520000}"/>
    <cellStyle name="Normal 2 2 2 5 2 5 2 2" xfId="21243" xr:uid="{00000000-0005-0000-0000-0000D6520000}"/>
    <cellStyle name="Normal 2 2 2 5 2 5 2 3" xfId="21244" xr:uid="{00000000-0005-0000-0000-0000D7520000}"/>
    <cellStyle name="Normal 2 2 2 5 2 5 2 4" xfId="21245" xr:uid="{00000000-0005-0000-0000-0000D8520000}"/>
    <cellStyle name="Normal 2 2 2 5 2 5 2 5" xfId="21246" xr:uid="{00000000-0005-0000-0000-0000D9520000}"/>
    <cellStyle name="Normal 2 2 2 5 2 5 2 6" xfId="21247" xr:uid="{00000000-0005-0000-0000-0000DA520000}"/>
    <cellStyle name="Normal 2 2 2 5 2 5 2 7" xfId="21248" xr:uid="{00000000-0005-0000-0000-0000DB520000}"/>
    <cellStyle name="Normal 2 2 2 5 2 5 2 8" xfId="21249" xr:uid="{00000000-0005-0000-0000-0000DC520000}"/>
    <cellStyle name="Normal 2 2 2 5 2 5 2 9" xfId="21250" xr:uid="{00000000-0005-0000-0000-0000DD520000}"/>
    <cellStyle name="Normal 2 2 2 5 2 5 3" xfId="21251" xr:uid="{00000000-0005-0000-0000-0000DE520000}"/>
    <cellStyle name="Normal 2 2 2 5 2 5 3 10" xfId="21252" xr:uid="{00000000-0005-0000-0000-0000DF520000}"/>
    <cellStyle name="Normal 2 2 2 5 2 5 3 2" xfId="21253" xr:uid="{00000000-0005-0000-0000-0000E0520000}"/>
    <cellStyle name="Normal 2 2 2 5 2 5 3 3" xfId="21254" xr:uid="{00000000-0005-0000-0000-0000E1520000}"/>
    <cellStyle name="Normal 2 2 2 5 2 5 3 4" xfId="21255" xr:uid="{00000000-0005-0000-0000-0000E2520000}"/>
    <cellStyle name="Normal 2 2 2 5 2 5 3 5" xfId="21256" xr:uid="{00000000-0005-0000-0000-0000E3520000}"/>
    <cellStyle name="Normal 2 2 2 5 2 5 3 6" xfId="21257" xr:uid="{00000000-0005-0000-0000-0000E4520000}"/>
    <cellStyle name="Normal 2 2 2 5 2 5 3 7" xfId="21258" xr:uid="{00000000-0005-0000-0000-0000E5520000}"/>
    <cellStyle name="Normal 2 2 2 5 2 5 3 8" xfId="21259" xr:uid="{00000000-0005-0000-0000-0000E6520000}"/>
    <cellStyle name="Normal 2 2 2 5 2 5 3 9" xfId="21260" xr:uid="{00000000-0005-0000-0000-0000E7520000}"/>
    <cellStyle name="Normal 2 2 2 5 2 5 4" xfId="21261" xr:uid="{00000000-0005-0000-0000-0000E8520000}"/>
    <cellStyle name="Normal 2 2 2 5 2 5 4 10" xfId="21262" xr:uid="{00000000-0005-0000-0000-0000E9520000}"/>
    <cellStyle name="Normal 2 2 2 5 2 5 4 2" xfId="21263" xr:uid="{00000000-0005-0000-0000-0000EA520000}"/>
    <cellStyle name="Normal 2 2 2 5 2 5 4 3" xfId="21264" xr:uid="{00000000-0005-0000-0000-0000EB520000}"/>
    <cellStyle name="Normal 2 2 2 5 2 5 4 4" xfId="21265" xr:uid="{00000000-0005-0000-0000-0000EC520000}"/>
    <cellStyle name="Normal 2 2 2 5 2 5 4 5" xfId="21266" xr:uid="{00000000-0005-0000-0000-0000ED520000}"/>
    <cellStyle name="Normal 2 2 2 5 2 5 4 6" xfId="21267" xr:uid="{00000000-0005-0000-0000-0000EE520000}"/>
    <cellStyle name="Normal 2 2 2 5 2 5 4 7" xfId="21268" xr:uid="{00000000-0005-0000-0000-0000EF520000}"/>
    <cellStyle name="Normal 2 2 2 5 2 5 4 8" xfId="21269" xr:uid="{00000000-0005-0000-0000-0000F0520000}"/>
    <cellStyle name="Normal 2 2 2 5 2 5 4 9" xfId="21270" xr:uid="{00000000-0005-0000-0000-0000F1520000}"/>
    <cellStyle name="Normal 2 2 2 5 2 5 5" xfId="21271" xr:uid="{00000000-0005-0000-0000-0000F2520000}"/>
    <cellStyle name="Normal 2 2 2 5 2 5 5 10" xfId="21272" xr:uid="{00000000-0005-0000-0000-0000F3520000}"/>
    <cellStyle name="Normal 2 2 2 5 2 5 5 2" xfId="21273" xr:uid="{00000000-0005-0000-0000-0000F4520000}"/>
    <cellStyle name="Normal 2 2 2 5 2 5 5 3" xfId="21274" xr:uid="{00000000-0005-0000-0000-0000F5520000}"/>
    <cellStyle name="Normal 2 2 2 5 2 5 5 4" xfId="21275" xr:uid="{00000000-0005-0000-0000-0000F6520000}"/>
    <cellStyle name="Normal 2 2 2 5 2 5 5 5" xfId="21276" xr:uid="{00000000-0005-0000-0000-0000F7520000}"/>
    <cellStyle name="Normal 2 2 2 5 2 5 5 6" xfId="21277" xr:uid="{00000000-0005-0000-0000-0000F8520000}"/>
    <cellStyle name="Normal 2 2 2 5 2 5 5 7" xfId="21278" xr:uid="{00000000-0005-0000-0000-0000F9520000}"/>
    <cellStyle name="Normal 2 2 2 5 2 5 5 8" xfId="21279" xr:uid="{00000000-0005-0000-0000-0000FA520000}"/>
    <cellStyle name="Normal 2 2 2 5 2 5 5 9" xfId="21280" xr:uid="{00000000-0005-0000-0000-0000FB520000}"/>
    <cellStyle name="Normal 2 2 2 5 2 5 6" xfId="21281" xr:uid="{00000000-0005-0000-0000-0000FC520000}"/>
    <cellStyle name="Normal 2 2 2 5 2 5 7" xfId="21282" xr:uid="{00000000-0005-0000-0000-0000FD520000}"/>
    <cellStyle name="Normal 2 2 2 5 2 5 8" xfId="21283" xr:uid="{00000000-0005-0000-0000-0000FE520000}"/>
    <cellStyle name="Normal 2 2 2 5 2 5 9" xfId="21284" xr:uid="{00000000-0005-0000-0000-0000FF520000}"/>
    <cellStyle name="Normal 2 2 2 5 2 6" xfId="21285" xr:uid="{00000000-0005-0000-0000-000000530000}"/>
    <cellStyle name="Normal 2 2 2 5 2 6 10" xfId="21286" xr:uid="{00000000-0005-0000-0000-000001530000}"/>
    <cellStyle name="Normal 2 2 2 5 2 6 11" xfId="21287" xr:uid="{00000000-0005-0000-0000-000002530000}"/>
    <cellStyle name="Normal 2 2 2 5 2 6 12" xfId="21288" xr:uid="{00000000-0005-0000-0000-000003530000}"/>
    <cellStyle name="Normal 2 2 2 5 2 6 13" xfId="21289" xr:uid="{00000000-0005-0000-0000-000004530000}"/>
    <cellStyle name="Normal 2 2 2 5 2 6 14" xfId="21290" xr:uid="{00000000-0005-0000-0000-000005530000}"/>
    <cellStyle name="Normal 2 2 2 5 2 6 2" xfId="21291" xr:uid="{00000000-0005-0000-0000-000006530000}"/>
    <cellStyle name="Normal 2 2 2 5 2 6 2 10" xfId="21292" xr:uid="{00000000-0005-0000-0000-000007530000}"/>
    <cellStyle name="Normal 2 2 2 5 2 6 2 2" xfId="21293" xr:uid="{00000000-0005-0000-0000-000008530000}"/>
    <cellStyle name="Normal 2 2 2 5 2 6 2 3" xfId="21294" xr:uid="{00000000-0005-0000-0000-000009530000}"/>
    <cellStyle name="Normal 2 2 2 5 2 6 2 4" xfId="21295" xr:uid="{00000000-0005-0000-0000-00000A530000}"/>
    <cellStyle name="Normal 2 2 2 5 2 6 2 5" xfId="21296" xr:uid="{00000000-0005-0000-0000-00000B530000}"/>
    <cellStyle name="Normal 2 2 2 5 2 6 2 6" xfId="21297" xr:uid="{00000000-0005-0000-0000-00000C530000}"/>
    <cellStyle name="Normal 2 2 2 5 2 6 2 7" xfId="21298" xr:uid="{00000000-0005-0000-0000-00000D530000}"/>
    <cellStyle name="Normal 2 2 2 5 2 6 2 8" xfId="21299" xr:uid="{00000000-0005-0000-0000-00000E530000}"/>
    <cellStyle name="Normal 2 2 2 5 2 6 2 9" xfId="21300" xr:uid="{00000000-0005-0000-0000-00000F530000}"/>
    <cellStyle name="Normal 2 2 2 5 2 6 3" xfId="21301" xr:uid="{00000000-0005-0000-0000-000010530000}"/>
    <cellStyle name="Normal 2 2 2 5 2 6 3 10" xfId="21302" xr:uid="{00000000-0005-0000-0000-000011530000}"/>
    <cellStyle name="Normal 2 2 2 5 2 6 3 2" xfId="21303" xr:uid="{00000000-0005-0000-0000-000012530000}"/>
    <cellStyle name="Normal 2 2 2 5 2 6 3 3" xfId="21304" xr:uid="{00000000-0005-0000-0000-000013530000}"/>
    <cellStyle name="Normal 2 2 2 5 2 6 3 4" xfId="21305" xr:uid="{00000000-0005-0000-0000-000014530000}"/>
    <cellStyle name="Normal 2 2 2 5 2 6 3 5" xfId="21306" xr:uid="{00000000-0005-0000-0000-000015530000}"/>
    <cellStyle name="Normal 2 2 2 5 2 6 3 6" xfId="21307" xr:uid="{00000000-0005-0000-0000-000016530000}"/>
    <cellStyle name="Normal 2 2 2 5 2 6 3 7" xfId="21308" xr:uid="{00000000-0005-0000-0000-000017530000}"/>
    <cellStyle name="Normal 2 2 2 5 2 6 3 8" xfId="21309" xr:uid="{00000000-0005-0000-0000-000018530000}"/>
    <cellStyle name="Normal 2 2 2 5 2 6 3 9" xfId="21310" xr:uid="{00000000-0005-0000-0000-000019530000}"/>
    <cellStyle name="Normal 2 2 2 5 2 6 4" xfId="21311" xr:uid="{00000000-0005-0000-0000-00001A530000}"/>
    <cellStyle name="Normal 2 2 2 5 2 6 4 10" xfId="21312" xr:uid="{00000000-0005-0000-0000-00001B530000}"/>
    <cellStyle name="Normal 2 2 2 5 2 6 4 2" xfId="21313" xr:uid="{00000000-0005-0000-0000-00001C530000}"/>
    <cellStyle name="Normal 2 2 2 5 2 6 4 3" xfId="21314" xr:uid="{00000000-0005-0000-0000-00001D530000}"/>
    <cellStyle name="Normal 2 2 2 5 2 6 4 4" xfId="21315" xr:uid="{00000000-0005-0000-0000-00001E530000}"/>
    <cellStyle name="Normal 2 2 2 5 2 6 4 5" xfId="21316" xr:uid="{00000000-0005-0000-0000-00001F530000}"/>
    <cellStyle name="Normal 2 2 2 5 2 6 4 6" xfId="21317" xr:uid="{00000000-0005-0000-0000-000020530000}"/>
    <cellStyle name="Normal 2 2 2 5 2 6 4 7" xfId="21318" xr:uid="{00000000-0005-0000-0000-000021530000}"/>
    <cellStyle name="Normal 2 2 2 5 2 6 4 8" xfId="21319" xr:uid="{00000000-0005-0000-0000-000022530000}"/>
    <cellStyle name="Normal 2 2 2 5 2 6 4 9" xfId="21320" xr:uid="{00000000-0005-0000-0000-000023530000}"/>
    <cellStyle name="Normal 2 2 2 5 2 6 5" xfId="21321" xr:uid="{00000000-0005-0000-0000-000024530000}"/>
    <cellStyle name="Normal 2 2 2 5 2 6 5 10" xfId="21322" xr:uid="{00000000-0005-0000-0000-000025530000}"/>
    <cellStyle name="Normal 2 2 2 5 2 6 5 2" xfId="21323" xr:uid="{00000000-0005-0000-0000-000026530000}"/>
    <cellStyle name="Normal 2 2 2 5 2 6 5 3" xfId="21324" xr:uid="{00000000-0005-0000-0000-000027530000}"/>
    <cellStyle name="Normal 2 2 2 5 2 6 5 4" xfId="21325" xr:uid="{00000000-0005-0000-0000-000028530000}"/>
    <cellStyle name="Normal 2 2 2 5 2 6 5 5" xfId="21326" xr:uid="{00000000-0005-0000-0000-000029530000}"/>
    <cellStyle name="Normal 2 2 2 5 2 6 5 6" xfId="21327" xr:uid="{00000000-0005-0000-0000-00002A530000}"/>
    <cellStyle name="Normal 2 2 2 5 2 6 5 7" xfId="21328" xr:uid="{00000000-0005-0000-0000-00002B530000}"/>
    <cellStyle name="Normal 2 2 2 5 2 6 5 8" xfId="21329" xr:uid="{00000000-0005-0000-0000-00002C530000}"/>
    <cellStyle name="Normal 2 2 2 5 2 6 5 9" xfId="21330" xr:uid="{00000000-0005-0000-0000-00002D530000}"/>
    <cellStyle name="Normal 2 2 2 5 2 6 6" xfId="21331" xr:uid="{00000000-0005-0000-0000-00002E530000}"/>
    <cellStyle name="Normal 2 2 2 5 2 6 7" xfId="21332" xr:uid="{00000000-0005-0000-0000-00002F530000}"/>
    <cellStyle name="Normal 2 2 2 5 2 6 8" xfId="21333" xr:uid="{00000000-0005-0000-0000-000030530000}"/>
    <cellStyle name="Normal 2 2 2 5 2 6 9" xfId="21334" xr:uid="{00000000-0005-0000-0000-000031530000}"/>
    <cellStyle name="Normal 2 2 2 5 2 7" xfId="21335" xr:uid="{00000000-0005-0000-0000-000032530000}"/>
    <cellStyle name="Normal 2 2 2 5 2 7 10" xfId="21336" xr:uid="{00000000-0005-0000-0000-000033530000}"/>
    <cellStyle name="Normal 2 2 2 5 2 7 11" xfId="21337" xr:uid="{00000000-0005-0000-0000-000034530000}"/>
    <cellStyle name="Normal 2 2 2 5 2 7 12" xfId="21338" xr:uid="{00000000-0005-0000-0000-000035530000}"/>
    <cellStyle name="Normal 2 2 2 5 2 7 13" xfId="21339" xr:uid="{00000000-0005-0000-0000-000036530000}"/>
    <cellStyle name="Normal 2 2 2 5 2 7 14" xfId="21340" xr:uid="{00000000-0005-0000-0000-000037530000}"/>
    <cellStyle name="Normal 2 2 2 5 2 7 2" xfId="21341" xr:uid="{00000000-0005-0000-0000-000038530000}"/>
    <cellStyle name="Normal 2 2 2 5 2 7 2 10" xfId="21342" xr:uid="{00000000-0005-0000-0000-000039530000}"/>
    <cellStyle name="Normal 2 2 2 5 2 7 2 2" xfId="21343" xr:uid="{00000000-0005-0000-0000-00003A530000}"/>
    <cellStyle name="Normal 2 2 2 5 2 7 2 3" xfId="21344" xr:uid="{00000000-0005-0000-0000-00003B530000}"/>
    <cellStyle name="Normal 2 2 2 5 2 7 2 4" xfId="21345" xr:uid="{00000000-0005-0000-0000-00003C530000}"/>
    <cellStyle name="Normal 2 2 2 5 2 7 2 5" xfId="21346" xr:uid="{00000000-0005-0000-0000-00003D530000}"/>
    <cellStyle name="Normal 2 2 2 5 2 7 2 6" xfId="21347" xr:uid="{00000000-0005-0000-0000-00003E530000}"/>
    <cellStyle name="Normal 2 2 2 5 2 7 2 7" xfId="21348" xr:uid="{00000000-0005-0000-0000-00003F530000}"/>
    <cellStyle name="Normal 2 2 2 5 2 7 2 8" xfId="21349" xr:uid="{00000000-0005-0000-0000-000040530000}"/>
    <cellStyle name="Normal 2 2 2 5 2 7 2 9" xfId="21350" xr:uid="{00000000-0005-0000-0000-000041530000}"/>
    <cellStyle name="Normal 2 2 2 5 2 7 3" xfId="21351" xr:uid="{00000000-0005-0000-0000-000042530000}"/>
    <cellStyle name="Normal 2 2 2 5 2 7 3 10" xfId="21352" xr:uid="{00000000-0005-0000-0000-000043530000}"/>
    <cellStyle name="Normal 2 2 2 5 2 7 3 2" xfId="21353" xr:uid="{00000000-0005-0000-0000-000044530000}"/>
    <cellStyle name="Normal 2 2 2 5 2 7 3 3" xfId="21354" xr:uid="{00000000-0005-0000-0000-000045530000}"/>
    <cellStyle name="Normal 2 2 2 5 2 7 3 4" xfId="21355" xr:uid="{00000000-0005-0000-0000-000046530000}"/>
    <cellStyle name="Normal 2 2 2 5 2 7 3 5" xfId="21356" xr:uid="{00000000-0005-0000-0000-000047530000}"/>
    <cellStyle name="Normal 2 2 2 5 2 7 3 6" xfId="21357" xr:uid="{00000000-0005-0000-0000-000048530000}"/>
    <cellStyle name="Normal 2 2 2 5 2 7 3 7" xfId="21358" xr:uid="{00000000-0005-0000-0000-000049530000}"/>
    <cellStyle name="Normal 2 2 2 5 2 7 3 8" xfId="21359" xr:uid="{00000000-0005-0000-0000-00004A530000}"/>
    <cellStyle name="Normal 2 2 2 5 2 7 3 9" xfId="21360" xr:uid="{00000000-0005-0000-0000-00004B530000}"/>
    <cellStyle name="Normal 2 2 2 5 2 7 4" xfId="21361" xr:uid="{00000000-0005-0000-0000-00004C530000}"/>
    <cellStyle name="Normal 2 2 2 5 2 7 4 10" xfId="21362" xr:uid="{00000000-0005-0000-0000-00004D530000}"/>
    <cellStyle name="Normal 2 2 2 5 2 7 4 2" xfId="21363" xr:uid="{00000000-0005-0000-0000-00004E530000}"/>
    <cellStyle name="Normal 2 2 2 5 2 7 4 3" xfId="21364" xr:uid="{00000000-0005-0000-0000-00004F530000}"/>
    <cellStyle name="Normal 2 2 2 5 2 7 4 4" xfId="21365" xr:uid="{00000000-0005-0000-0000-000050530000}"/>
    <cellStyle name="Normal 2 2 2 5 2 7 4 5" xfId="21366" xr:uid="{00000000-0005-0000-0000-000051530000}"/>
    <cellStyle name="Normal 2 2 2 5 2 7 4 6" xfId="21367" xr:uid="{00000000-0005-0000-0000-000052530000}"/>
    <cellStyle name="Normal 2 2 2 5 2 7 4 7" xfId="21368" xr:uid="{00000000-0005-0000-0000-000053530000}"/>
    <cellStyle name="Normal 2 2 2 5 2 7 4 8" xfId="21369" xr:uid="{00000000-0005-0000-0000-000054530000}"/>
    <cellStyle name="Normal 2 2 2 5 2 7 4 9" xfId="21370" xr:uid="{00000000-0005-0000-0000-000055530000}"/>
    <cellStyle name="Normal 2 2 2 5 2 7 5" xfId="21371" xr:uid="{00000000-0005-0000-0000-000056530000}"/>
    <cellStyle name="Normal 2 2 2 5 2 7 5 10" xfId="21372" xr:uid="{00000000-0005-0000-0000-000057530000}"/>
    <cellStyle name="Normal 2 2 2 5 2 7 5 2" xfId="21373" xr:uid="{00000000-0005-0000-0000-000058530000}"/>
    <cellStyle name="Normal 2 2 2 5 2 7 5 3" xfId="21374" xr:uid="{00000000-0005-0000-0000-000059530000}"/>
    <cellStyle name="Normal 2 2 2 5 2 7 5 4" xfId="21375" xr:uid="{00000000-0005-0000-0000-00005A530000}"/>
    <cellStyle name="Normal 2 2 2 5 2 7 5 5" xfId="21376" xr:uid="{00000000-0005-0000-0000-00005B530000}"/>
    <cellStyle name="Normal 2 2 2 5 2 7 5 6" xfId="21377" xr:uid="{00000000-0005-0000-0000-00005C530000}"/>
    <cellStyle name="Normal 2 2 2 5 2 7 5 7" xfId="21378" xr:uid="{00000000-0005-0000-0000-00005D530000}"/>
    <cellStyle name="Normal 2 2 2 5 2 7 5 8" xfId="21379" xr:uid="{00000000-0005-0000-0000-00005E530000}"/>
    <cellStyle name="Normal 2 2 2 5 2 7 5 9" xfId="21380" xr:uid="{00000000-0005-0000-0000-00005F530000}"/>
    <cellStyle name="Normal 2 2 2 5 2 7 6" xfId="21381" xr:uid="{00000000-0005-0000-0000-000060530000}"/>
    <cellStyle name="Normal 2 2 2 5 2 7 7" xfId="21382" xr:uid="{00000000-0005-0000-0000-000061530000}"/>
    <cellStyle name="Normal 2 2 2 5 2 7 8" xfId="21383" xr:uid="{00000000-0005-0000-0000-000062530000}"/>
    <cellStyle name="Normal 2 2 2 5 2 7 9" xfId="21384" xr:uid="{00000000-0005-0000-0000-000063530000}"/>
    <cellStyle name="Normal 2 2 2 5 2 8" xfId="21385" xr:uid="{00000000-0005-0000-0000-000064530000}"/>
    <cellStyle name="Normal 2 2 2 5 2 8 10" xfId="21386" xr:uid="{00000000-0005-0000-0000-000065530000}"/>
    <cellStyle name="Normal 2 2 2 5 2 8 11" xfId="21387" xr:uid="{00000000-0005-0000-0000-000066530000}"/>
    <cellStyle name="Normal 2 2 2 5 2 8 12" xfId="21388" xr:uid="{00000000-0005-0000-0000-000067530000}"/>
    <cellStyle name="Normal 2 2 2 5 2 8 13" xfId="21389" xr:uid="{00000000-0005-0000-0000-000068530000}"/>
    <cellStyle name="Normal 2 2 2 5 2 8 14" xfId="21390" xr:uid="{00000000-0005-0000-0000-000069530000}"/>
    <cellStyle name="Normal 2 2 2 5 2 8 2" xfId="21391" xr:uid="{00000000-0005-0000-0000-00006A530000}"/>
    <cellStyle name="Normal 2 2 2 5 2 8 2 10" xfId="21392" xr:uid="{00000000-0005-0000-0000-00006B530000}"/>
    <cellStyle name="Normal 2 2 2 5 2 8 2 2" xfId="21393" xr:uid="{00000000-0005-0000-0000-00006C530000}"/>
    <cellStyle name="Normal 2 2 2 5 2 8 2 3" xfId="21394" xr:uid="{00000000-0005-0000-0000-00006D530000}"/>
    <cellStyle name="Normal 2 2 2 5 2 8 2 4" xfId="21395" xr:uid="{00000000-0005-0000-0000-00006E530000}"/>
    <cellStyle name="Normal 2 2 2 5 2 8 2 5" xfId="21396" xr:uid="{00000000-0005-0000-0000-00006F530000}"/>
    <cellStyle name="Normal 2 2 2 5 2 8 2 6" xfId="21397" xr:uid="{00000000-0005-0000-0000-000070530000}"/>
    <cellStyle name="Normal 2 2 2 5 2 8 2 7" xfId="21398" xr:uid="{00000000-0005-0000-0000-000071530000}"/>
    <cellStyle name="Normal 2 2 2 5 2 8 2 8" xfId="21399" xr:uid="{00000000-0005-0000-0000-000072530000}"/>
    <cellStyle name="Normal 2 2 2 5 2 8 2 9" xfId="21400" xr:uid="{00000000-0005-0000-0000-000073530000}"/>
    <cellStyle name="Normal 2 2 2 5 2 8 3" xfId="21401" xr:uid="{00000000-0005-0000-0000-000074530000}"/>
    <cellStyle name="Normal 2 2 2 5 2 8 3 10" xfId="21402" xr:uid="{00000000-0005-0000-0000-000075530000}"/>
    <cellStyle name="Normal 2 2 2 5 2 8 3 2" xfId="21403" xr:uid="{00000000-0005-0000-0000-000076530000}"/>
    <cellStyle name="Normal 2 2 2 5 2 8 3 3" xfId="21404" xr:uid="{00000000-0005-0000-0000-000077530000}"/>
    <cellStyle name="Normal 2 2 2 5 2 8 3 4" xfId="21405" xr:uid="{00000000-0005-0000-0000-000078530000}"/>
    <cellStyle name="Normal 2 2 2 5 2 8 3 5" xfId="21406" xr:uid="{00000000-0005-0000-0000-000079530000}"/>
    <cellStyle name="Normal 2 2 2 5 2 8 3 6" xfId="21407" xr:uid="{00000000-0005-0000-0000-00007A530000}"/>
    <cellStyle name="Normal 2 2 2 5 2 8 3 7" xfId="21408" xr:uid="{00000000-0005-0000-0000-00007B530000}"/>
    <cellStyle name="Normal 2 2 2 5 2 8 3 8" xfId="21409" xr:uid="{00000000-0005-0000-0000-00007C530000}"/>
    <cellStyle name="Normal 2 2 2 5 2 8 3 9" xfId="21410" xr:uid="{00000000-0005-0000-0000-00007D530000}"/>
    <cellStyle name="Normal 2 2 2 5 2 8 4" xfId="21411" xr:uid="{00000000-0005-0000-0000-00007E530000}"/>
    <cellStyle name="Normal 2 2 2 5 2 8 4 10" xfId="21412" xr:uid="{00000000-0005-0000-0000-00007F530000}"/>
    <cellStyle name="Normal 2 2 2 5 2 8 4 2" xfId="21413" xr:uid="{00000000-0005-0000-0000-000080530000}"/>
    <cellStyle name="Normal 2 2 2 5 2 8 4 3" xfId="21414" xr:uid="{00000000-0005-0000-0000-000081530000}"/>
    <cellStyle name="Normal 2 2 2 5 2 8 4 4" xfId="21415" xr:uid="{00000000-0005-0000-0000-000082530000}"/>
    <cellStyle name="Normal 2 2 2 5 2 8 4 5" xfId="21416" xr:uid="{00000000-0005-0000-0000-000083530000}"/>
    <cellStyle name="Normal 2 2 2 5 2 8 4 6" xfId="21417" xr:uid="{00000000-0005-0000-0000-000084530000}"/>
    <cellStyle name="Normal 2 2 2 5 2 8 4 7" xfId="21418" xr:uid="{00000000-0005-0000-0000-000085530000}"/>
    <cellStyle name="Normal 2 2 2 5 2 8 4 8" xfId="21419" xr:uid="{00000000-0005-0000-0000-000086530000}"/>
    <cellStyle name="Normal 2 2 2 5 2 8 4 9" xfId="21420" xr:uid="{00000000-0005-0000-0000-000087530000}"/>
    <cellStyle name="Normal 2 2 2 5 2 8 5" xfId="21421" xr:uid="{00000000-0005-0000-0000-000088530000}"/>
    <cellStyle name="Normal 2 2 2 5 2 8 5 10" xfId="21422" xr:uid="{00000000-0005-0000-0000-000089530000}"/>
    <cellStyle name="Normal 2 2 2 5 2 8 5 2" xfId="21423" xr:uid="{00000000-0005-0000-0000-00008A530000}"/>
    <cellStyle name="Normal 2 2 2 5 2 8 5 3" xfId="21424" xr:uid="{00000000-0005-0000-0000-00008B530000}"/>
    <cellStyle name="Normal 2 2 2 5 2 8 5 4" xfId="21425" xr:uid="{00000000-0005-0000-0000-00008C530000}"/>
    <cellStyle name="Normal 2 2 2 5 2 8 5 5" xfId="21426" xr:uid="{00000000-0005-0000-0000-00008D530000}"/>
    <cellStyle name="Normal 2 2 2 5 2 8 5 6" xfId="21427" xr:uid="{00000000-0005-0000-0000-00008E530000}"/>
    <cellStyle name="Normal 2 2 2 5 2 8 5 7" xfId="21428" xr:uid="{00000000-0005-0000-0000-00008F530000}"/>
    <cellStyle name="Normal 2 2 2 5 2 8 5 8" xfId="21429" xr:uid="{00000000-0005-0000-0000-000090530000}"/>
    <cellStyle name="Normal 2 2 2 5 2 8 5 9" xfId="21430" xr:uid="{00000000-0005-0000-0000-000091530000}"/>
    <cellStyle name="Normal 2 2 2 5 2 8 6" xfId="21431" xr:uid="{00000000-0005-0000-0000-000092530000}"/>
    <cellStyle name="Normal 2 2 2 5 2 8 7" xfId="21432" xr:uid="{00000000-0005-0000-0000-000093530000}"/>
    <cellStyle name="Normal 2 2 2 5 2 8 8" xfId="21433" xr:uid="{00000000-0005-0000-0000-000094530000}"/>
    <cellStyle name="Normal 2 2 2 5 2 8 9" xfId="21434" xr:uid="{00000000-0005-0000-0000-000095530000}"/>
    <cellStyle name="Normal 2 2 2 5 2 9" xfId="21435" xr:uid="{00000000-0005-0000-0000-000096530000}"/>
    <cellStyle name="Normal 2 2 2 5 2 9 10" xfId="21436" xr:uid="{00000000-0005-0000-0000-000097530000}"/>
    <cellStyle name="Normal 2 2 2 5 2 9 11" xfId="21437" xr:uid="{00000000-0005-0000-0000-000098530000}"/>
    <cellStyle name="Normal 2 2 2 5 2 9 12" xfId="21438" xr:uid="{00000000-0005-0000-0000-000099530000}"/>
    <cellStyle name="Normal 2 2 2 5 2 9 13" xfId="21439" xr:uid="{00000000-0005-0000-0000-00009A530000}"/>
    <cellStyle name="Normal 2 2 2 5 2 9 14" xfId="21440" xr:uid="{00000000-0005-0000-0000-00009B530000}"/>
    <cellStyle name="Normal 2 2 2 5 2 9 2" xfId="21441" xr:uid="{00000000-0005-0000-0000-00009C530000}"/>
    <cellStyle name="Normal 2 2 2 5 2 9 2 10" xfId="21442" xr:uid="{00000000-0005-0000-0000-00009D530000}"/>
    <cellStyle name="Normal 2 2 2 5 2 9 2 2" xfId="21443" xr:uid="{00000000-0005-0000-0000-00009E530000}"/>
    <cellStyle name="Normal 2 2 2 5 2 9 2 3" xfId="21444" xr:uid="{00000000-0005-0000-0000-00009F530000}"/>
    <cellStyle name="Normal 2 2 2 5 2 9 2 4" xfId="21445" xr:uid="{00000000-0005-0000-0000-0000A0530000}"/>
    <cellStyle name="Normal 2 2 2 5 2 9 2 5" xfId="21446" xr:uid="{00000000-0005-0000-0000-0000A1530000}"/>
    <cellStyle name="Normal 2 2 2 5 2 9 2 6" xfId="21447" xr:uid="{00000000-0005-0000-0000-0000A2530000}"/>
    <cellStyle name="Normal 2 2 2 5 2 9 2 7" xfId="21448" xr:uid="{00000000-0005-0000-0000-0000A3530000}"/>
    <cellStyle name="Normal 2 2 2 5 2 9 2 8" xfId="21449" xr:uid="{00000000-0005-0000-0000-0000A4530000}"/>
    <cellStyle name="Normal 2 2 2 5 2 9 2 9" xfId="21450" xr:uid="{00000000-0005-0000-0000-0000A5530000}"/>
    <cellStyle name="Normal 2 2 2 5 2 9 3" xfId="21451" xr:uid="{00000000-0005-0000-0000-0000A6530000}"/>
    <cellStyle name="Normal 2 2 2 5 2 9 3 10" xfId="21452" xr:uid="{00000000-0005-0000-0000-0000A7530000}"/>
    <cellStyle name="Normal 2 2 2 5 2 9 3 2" xfId="21453" xr:uid="{00000000-0005-0000-0000-0000A8530000}"/>
    <cellStyle name="Normal 2 2 2 5 2 9 3 3" xfId="21454" xr:uid="{00000000-0005-0000-0000-0000A9530000}"/>
    <cellStyle name="Normal 2 2 2 5 2 9 3 4" xfId="21455" xr:uid="{00000000-0005-0000-0000-0000AA530000}"/>
    <cellStyle name="Normal 2 2 2 5 2 9 3 5" xfId="21456" xr:uid="{00000000-0005-0000-0000-0000AB530000}"/>
    <cellStyle name="Normal 2 2 2 5 2 9 3 6" xfId="21457" xr:uid="{00000000-0005-0000-0000-0000AC530000}"/>
    <cellStyle name="Normal 2 2 2 5 2 9 3 7" xfId="21458" xr:uid="{00000000-0005-0000-0000-0000AD530000}"/>
    <cellStyle name="Normal 2 2 2 5 2 9 3 8" xfId="21459" xr:uid="{00000000-0005-0000-0000-0000AE530000}"/>
    <cellStyle name="Normal 2 2 2 5 2 9 3 9" xfId="21460" xr:uid="{00000000-0005-0000-0000-0000AF530000}"/>
    <cellStyle name="Normal 2 2 2 5 2 9 4" xfId="21461" xr:uid="{00000000-0005-0000-0000-0000B0530000}"/>
    <cellStyle name="Normal 2 2 2 5 2 9 4 10" xfId="21462" xr:uid="{00000000-0005-0000-0000-0000B1530000}"/>
    <cellStyle name="Normal 2 2 2 5 2 9 4 2" xfId="21463" xr:uid="{00000000-0005-0000-0000-0000B2530000}"/>
    <cellStyle name="Normal 2 2 2 5 2 9 4 3" xfId="21464" xr:uid="{00000000-0005-0000-0000-0000B3530000}"/>
    <cellStyle name="Normal 2 2 2 5 2 9 4 4" xfId="21465" xr:uid="{00000000-0005-0000-0000-0000B4530000}"/>
    <cellStyle name="Normal 2 2 2 5 2 9 4 5" xfId="21466" xr:uid="{00000000-0005-0000-0000-0000B5530000}"/>
    <cellStyle name="Normal 2 2 2 5 2 9 4 6" xfId="21467" xr:uid="{00000000-0005-0000-0000-0000B6530000}"/>
    <cellStyle name="Normal 2 2 2 5 2 9 4 7" xfId="21468" xr:uid="{00000000-0005-0000-0000-0000B7530000}"/>
    <cellStyle name="Normal 2 2 2 5 2 9 4 8" xfId="21469" xr:uid="{00000000-0005-0000-0000-0000B8530000}"/>
    <cellStyle name="Normal 2 2 2 5 2 9 4 9" xfId="21470" xr:uid="{00000000-0005-0000-0000-0000B9530000}"/>
    <cellStyle name="Normal 2 2 2 5 2 9 5" xfId="21471" xr:uid="{00000000-0005-0000-0000-0000BA530000}"/>
    <cellStyle name="Normal 2 2 2 5 2 9 5 10" xfId="21472" xr:uid="{00000000-0005-0000-0000-0000BB530000}"/>
    <cellStyle name="Normal 2 2 2 5 2 9 5 2" xfId="21473" xr:uid="{00000000-0005-0000-0000-0000BC530000}"/>
    <cellStyle name="Normal 2 2 2 5 2 9 5 3" xfId="21474" xr:uid="{00000000-0005-0000-0000-0000BD530000}"/>
    <cellStyle name="Normal 2 2 2 5 2 9 5 4" xfId="21475" xr:uid="{00000000-0005-0000-0000-0000BE530000}"/>
    <cellStyle name="Normal 2 2 2 5 2 9 5 5" xfId="21476" xr:uid="{00000000-0005-0000-0000-0000BF530000}"/>
    <cellStyle name="Normal 2 2 2 5 2 9 5 6" xfId="21477" xr:uid="{00000000-0005-0000-0000-0000C0530000}"/>
    <cellStyle name="Normal 2 2 2 5 2 9 5 7" xfId="21478" xr:uid="{00000000-0005-0000-0000-0000C1530000}"/>
    <cellStyle name="Normal 2 2 2 5 2 9 5 8" xfId="21479" xr:uid="{00000000-0005-0000-0000-0000C2530000}"/>
    <cellStyle name="Normal 2 2 2 5 2 9 5 9" xfId="21480" xr:uid="{00000000-0005-0000-0000-0000C3530000}"/>
    <cellStyle name="Normal 2 2 2 5 2 9 6" xfId="21481" xr:uid="{00000000-0005-0000-0000-0000C4530000}"/>
    <cellStyle name="Normal 2 2 2 5 2 9 7" xfId="21482" xr:uid="{00000000-0005-0000-0000-0000C5530000}"/>
    <cellStyle name="Normal 2 2 2 5 2 9 8" xfId="21483" xr:uid="{00000000-0005-0000-0000-0000C6530000}"/>
    <cellStyle name="Normal 2 2 2 5 2 9 9" xfId="21484" xr:uid="{00000000-0005-0000-0000-0000C7530000}"/>
    <cellStyle name="Normal 2 2 2 5 20" xfId="21485" xr:uid="{00000000-0005-0000-0000-0000C8530000}"/>
    <cellStyle name="Normal 2 2 2 5 21" xfId="21486" xr:uid="{00000000-0005-0000-0000-0000C9530000}"/>
    <cellStyle name="Normal 2 2 2 5 21 10" xfId="21487" xr:uid="{00000000-0005-0000-0000-0000CA530000}"/>
    <cellStyle name="Normal 2 2 2 5 21 2" xfId="21488" xr:uid="{00000000-0005-0000-0000-0000CB530000}"/>
    <cellStyle name="Normal 2 2 2 5 21 3" xfId="21489" xr:uid="{00000000-0005-0000-0000-0000CC530000}"/>
    <cellStyle name="Normal 2 2 2 5 21 4" xfId="21490" xr:uid="{00000000-0005-0000-0000-0000CD530000}"/>
    <cellStyle name="Normal 2 2 2 5 21 5" xfId="21491" xr:uid="{00000000-0005-0000-0000-0000CE530000}"/>
    <cellStyle name="Normal 2 2 2 5 21 6" xfId="21492" xr:uid="{00000000-0005-0000-0000-0000CF530000}"/>
    <cellStyle name="Normal 2 2 2 5 21 7" xfId="21493" xr:uid="{00000000-0005-0000-0000-0000D0530000}"/>
    <cellStyle name="Normal 2 2 2 5 21 8" xfId="21494" xr:uid="{00000000-0005-0000-0000-0000D1530000}"/>
    <cellStyle name="Normal 2 2 2 5 21 9" xfId="21495" xr:uid="{00000000-0005-0000-0000-0000D2530000}"/>
    <cellStyle name="Normal 2 2 2 5 22" xfId="21496" xr:uid="{00000000-0005-0000-0000-0000D3530000}"/>
    <cellStyle name="Normal 2 2 2 5 22 10" xfId="21497" xr:uid="{00000000-0005-0000-0000-0000D4530000}"/>
    <cellStyle name="Normal 2 2 2 5 22 2" xfId="21498" xr:uid="{00000000-0005-0000-0000-0000D5530000}"/>
    <cellStyle name="Normal 2 2 2 5 22 3" xfId="21499" xr:uid="{00000000-0005-0000-0000-0000D6530000}"/>
    <cellStyle name="Normal 2 2 2 5 22 4" xfId="21500" xr:uid="{00000000-0005-0000-0000-0000D7530000}"/>
    <cellStyle name="Normal 2 2 2 5 22 5" xfId="21501" xr:uid="{00000000-0005-0000-0000-0000D8530000}"/>
    <cellStyle name="Normal 2 2 2 5 22 6" xfId="21502" xr:uid="{00000000-0005-0000-0000-0000D9530000}"/>
    <cellStyle name="Normal 2 2 2 5 22 7" xfId="21503" xr:uid="{00000000-0005-0000-0000-0000DA530000}"/>
    <cellStyle name="Normal 2 2 2 5 22 8" xfId="21504" xr:uid="{00000000-0005-0000-0000-0000DB530000}"/>
    <cellStyle name="Normal 2 2 2 5 22 9" xfId="21505" xr:uid="{00000000-0005-0000-0000-0000DC530000}"/>
    <cellStyle name="Normal 2 2 2 5 23" xfId="21506" xr:uid="{00000000-0005-0000-0000-0000DD530000}"/>
    <cellStyle name="Normal 2 2 2 5 23 10" xfId="21507" xr:uid="{00000000-0005-0000-0000-0000DE530000}"/>
    <cellStyle name="Normal 2 2 2 5 23 2" xfId="21508" xr:uid="{00000000-0005-0000-0000-0000DF530000}"/>
    <cellStyle name="Normal 2 2 2 5 23 3" xfId="21509" xr:uid="{00000000-0005-0000-0000-0000E0530000}"/>
    <cellStyle name="Normal 2 2 2 5 23 4" xfId="21510" xr:uid="{00000000-0005-0000-0000-0000E1530000}"/>
    <cellStyle name="Normal 2 2 2 5 23 5" xfId="21511" xr:uid="{00000000-0005-0000-0000-0000E2530000}"/>
    <cellStyle name="Normal 2 2 2 5 23 6" xfId="21512" xr:uid="{00000000-0005-0000-0000-0000E3530000}"/>
    <cellStyle name="Normal 2 2 2 5 23 7" xfId="21513" xr:uid="{00000000-0005-0000-0000-0000E4530000}"/>
    <cellStyle name="Normal 2 2 2 5 23 8" xfId="21514" xr:uid="{00000000-0005-0000-0000-0000E5530000}"/>
    <cellStyle name="Normal 2 2 2 5 23 9" xfId="21515" xr:uid="{00000000-0005-0000-0000-0000E6530000}"/>
    <cellStyle name="Normal 2 2 2 5 24" xfId="21516" xr:uid="{00000000-0005-0000-0000-0000E7530000}"/>
    <cellStyle name="Normal 2 2 2 5 24 10" xfId="21517" xr:uid="{00000000-0005-0000-0000-0000E8530000}"/>
    <cellStyle name="Normal 2 2 2 5 24 2" xfId="21518" xr:uid="{00000000-0005-0000-0000-0000E9530000}"/>
    <cellStyle name="Normal 2 2 2 5 24 3" xfId="21519" xr:uid="{00000000-0005-0000-0000-0000EA530000}"/>
    <cellStyle name="Normal 2 2 2 5 24 4" xfId="21520" xr:uid="{00000000-0005-0000-0000-0000EB530000}"/>
    <cellStyle name="Normal 2 2 2 5 24 5" xfId="21521" xr:uid="{00000000-0005-0000-0000-0000EC530000}"/>
    <cellStyle name="Normal 2 2 2 5 24 6" xfId="21522" xr:uid="{00000000-0005-0000-0000-0000ED530000}"/>
    <cellStyle name="Normal 2 2 2 5 24 7" xfId="21523" xr:uid="{00000000-0005-0000-0000-0000EE530000}"/>
    <cellStyle name="Normal 2 2 2 5 24 8" xfId="21524" xr:uid="{00000000-0005-0000-0000-0000EF530000}"/>
    <cellStyle name="Normal 2 2 2 5 24 9" xfId="21525" xr:uid="{00000000-0005-0000-0000-0000F0530000}"/>
    <cellStyle name="Normal 2 2 2 5 25" xfId="21526" xr:uid="{00000000-0005-0000-0000-0000F1530000}"/>
    <cellStyle name="Normal 2 2 2 5 26" xfId="21527" xr:uid="{00000000-0005-0000-0000-0000F2530000}"/>
    <cellStyle name="Normal 2 2 2 5 27" xfId="21528" xr:uid="{00000000-0005-0000-0000-0000F3530000}"/>
    <cellStyle name="Normal 2 2 2 5 28" xfId="21529" xr:uid="{00000000-0005-0000-0000-0000F4530000}"/>
    <cellStyle name="Normal 2 2 2 5 29" xfId="21530" xr:uid="{00000000-0005-0000-0000-0000F5530000}"/>
    <cellStyle name="Normal 2 2 2 5 3" xfId="21531" xr:uid="{00000000-0005-0000-0000-0000F6530000}"/>
    <cellStyle name="Normal 2 2 2 5 30" xfId="21532" xr:uid="{00000000-0005-0000-0000-0000F7530000}"/>
    <cellStyle name="Normal 2 2 2 5 31" xfId="21533" xr:uid="{00000000-0005-0000-0000-0000F8530000}"/>
    <cellStyle name="Normal 2 2 2 5 32" xfId="21534" xr:uid="{00000000-0005-0000-0000-0000F9530000}"/>
    <cellStyle name="Normal 2 2 2 5 33" xfId="21535" xr:uid="{00000000-0005-0000-0000-0000FA530000}"/>
    <cellStyle name="Normal 2 2 2 5 34" xfId="21536" xr:uid="{00000000-0005-0000-0000-0000FB530000}"/>
    <cellStyle name="Normal 2 2 2 5 35" xfId="21537" xr:uid="{00000000-0005-0000-0000-0000FC530000}"/>
    <cellStyle name="Normal 2 2 2 5 4" xfId="21538" xr:uid="{00000000-0005-0000-0000-0000FD530000}"/>
    <cellStyle name="Normal 2 2 2 5 5" xfId="21539" xr:uid="{00000000-0005-0000-0000-0000FE530000}"/>
    <cellStyle name="Normal 2 2 2 5 6" xfId="21540" xr:uid="{00000000-0005-0000-0000-0000FF530000}"/>
    <cellStyle name="Normal 2 2 2 5 7" xfId="21541" xr:uid="{00000000-0005-0000-0000-000000540000}"/>
    <cellStyle name="Normal 2 2 2 5 8" xfId="21542" xr:uid="{00000000-0005-0000-0000-000001540000}"/>
    <cellStyle name="Normal 2 2 2 5 9" xfId="21543" xr:uid="{00000000-0005-0000-0000-000002540000}"/>
    <cellStyle name="Normal 2 2 2 50" xfId="21544" xr:uid="{00000000-0005-0000-0000-000003540000}"/>
    <cellStyle name="Normal 2 2 2 51" xfId="21545" xr:uid="{00000000-0005-0000-0000-000004540000}"/>
    <cellStyle name="Normal 2 2 2 6" xfId="21546" xr:uid="{00000000-0005-0000-0000-000005540000}"/>
    <cellStyle name="Normal 2 2 2 6 10" xfId="21547" xr:uid="{00000000-0005-0000-0000-000006540000}"/>
    <cellStyle name="Normal 2 2 2 6 11" xfId="21548" xr:uid="{00000000-0005-0000-0000-000007540000}"/>
    <cellStyle name="Normal 2 2 2 6 12" xfId="21549" xr:uid="{00000000-0005-0000-0000-000008540000}"/>
    <cellStyle name="Normal 2 2 2 6 13" xfId="21550" xr:uid="{00000000-0005-0000-0000-000009540000}"/>
    <cellStyle name="Normal 2 2 2 6 14" xfId="21551" xr:uid="{00000000-0005-0000-0000-00000A540000}"/>
    <cellStyle name="Normal 2 2 2 6 15" xfId="21552" xr:uid="{00000000-0005-0000-0000-00000B540000}"/>
    <cellStyle name="Normal 2 2 2 6 16" xfId="21553" xr:uid="{00000000-0005-0000-0000-00000C540000}"/>
    <cellStyle name="Normal 2 2 2 6 2" xfId="21554" xr:uid="{00000000-0005-0000-0000-00000D540000}"/>
    <cellStyle name="Normal 2 2 2 6 2 10" xfId="21555" xr:uid="{00000000-0005-0000-0000-00000E540000}"/>
    <cellStyle name="Normal 2 2 2 6 2 2" xfId="21556" xr:uid="{00000000-0005-0000-0000-00000F540000}"/>
    <cellStyle name="Normal 2 2 2 6 2 3" xfId="21557" xr:uid="{00000000-0005-0000-0000-000010540000}"/>
    <cellStyle name="Normal 2 2 2 6 2 4" xfId="21558" xr:uid="{00000000-0005-0000-0000-000011540000}"/>
    <cellStyle name="Normal 2 2 2 6 2 5" xfId="21559" xr:uid="{00000000-0005-0000-0000-000012540000}"/>
    <cellStyle name="Normal 2 2 2 6 2 6" xfId="21560" xr:uid="{00000000-0005-0000-0000-000013540000}"/>
    <cellStyle name="Normal 2 2 2 6 2 7" xfId="21561" xr:uid="{00000000-0005-0000-0000-000014540000}"/>
    <cellStyle name="Normal 2 2 2 6 2 8" xfId="21562" xr:uid="{00000000-0005-0000-0000-000015540000}"/>
    <cellStyle name="Normal 2 2 2 6 2 9" xfId="21563" xr:uid="{00000000-0005-0000-0000-000016540000}"/>
    <cellStyle name="Normal 2 2 2 6 3" xfId="21564" xr:uid="{00000000-0005-0000-0000-000017540000}"/>
    <cellStyle name="Normal 2 2 2 6 3 10" xfId="21565" xr:uid="{00000000-0005-0000-0000-000018540000}"/>
    <cellStyle name="Normal 2 2 2 6 3 2" xfId="21566" xr:uid="{00000000-0005-0000-0000-000019540000}"/>
    <cellStyle name="Normal 2 2 2 6 3 3" xfId="21567" xr:uid="{00000000-0005-0000-0000-00001A540000}"/>
    <cellStyle name="Normal 2 2 2 6 3 4" xfId="21568" xr:uid="{00000000-0005-0000-0000-00001B540000}"/>
    <cellStyle name="Normal 2 2 2 6 3 5" xfId="21569" xr:uid="{00000000-0005-0000-0000-00001C540000}"/>
    <cellStyle name="Normal 2 2 2 6 3 6" xfId="21570" xr:uid="{00000000-0005-0000-0000-00001D540000}"/>
    <cellStyle name="Normal 2 2 2 6 3 7" xfId="21571" xr:uid="{00000000-0005-0000-0000-00001E540000}"/>
    <cellStyle name="Normal 2 2 2 6 3 8" xfId="21572" xr:uid="{00000000-0005-0000-0000-00001F540000}"/>
    <cellStyle name="Normal 2 2 2 6 3 9" xfId="21573" xr:uid="{00000000-0005-0000-0000-000020540000}"/>
    <cellStyle name="Normal 2 2 2 6 4" xfId="21574" xr:uid="{00000000-0005-0000-0000-000021540000}"/>
    <cellStyle name="Normal 2 2 2 6 4 10" xfId="21575" xr:uid="{00000000-0005-0000-0000-000022540000}"/>
    <cellStyle name="Normal 2 2 2 6 4 2" xfId="21576" xr:uid="{00000000-0005-0000-0000-000023540000}"/>
    <cellStyle name="Normal 2 2 2 6 4 3" xfId="21577" xr:uid="{00000000-0005-0000-0000-000024540000}"/>
    <cellStyle name="Normal 2 2 2 6 4 4" xfId="21578" xr:uid="{00000000-0005-0000-0000-000025540000}"/>
    <cellStyle name="Normal 2 2 2 6 4 5" xfId="21579" xr:uid="{00000000-0005-0000-0000-000026540000}"/>
    <cellStyle name="Normal 2 2 2 6 4 6" xfId="21580" xr:uid="{00000000-0005-0000-0000-000027540000}"/>
    <cellStyle name="Normal 2 2 2 6 4 7" xfId="21581" xr:uid="{00000000-0005-0000-0000-000028540000}"/>
    <cellStyle name="Normal 2 2 2 6 4 8" xfId="21582" xr:uid="{00000000-0005-0000-0000-000029540000}"/>
    <cellStyle name="Normal 2 2 2 6 4 9" xfId="21583" xr:uid="{00000000-0005-0000-0000-00002A540000}"/>
    <cellStyle name="Normal 2 2 2 6 5" xfId="21584" xr:uid="{00000000-0005-0000-0000-00002B540000}"/>
    <cellStyle name="Normal 2 2 2 6 5 10" xfId="21585" xr:uid="{00000000-0005-0000-0000-00002C540000}"/>
    <cellStyle name="Normal 2 2 2 6 5 2" xfId="21586" xr:uid="{00000000-0005-0000-0000-00002D540000}"/>
    <cellStyle name="Normal 2 2 2 6 5 3" xfId="21587" xr:uid="{00000000-0005-0000-0000-00002E540000}"/>
    <cellStyle name="Normal 2 2 2 6 5 4" xfId="21588" xr:uid="{00000000-0005-0000-0000-00002F540000}"/>
    <cellStyle name="Normal 2 2 2 6 5 5" xfId="21589" xr:uid="{00000000-0005-0000-0000-000030540000}"/>
    <cellStyle name="Normal 2 2 2 6 5 6" xfId="21590" xr:uid="{00000000-0005-0000-0000-000031540000}"/>
    <cellStyle name="Normal 2 2 2 6 5 7" xfId="21591" xr:uid="{00000000-0005-0000-0000-000032540000}"/>
    <cellStyle name="Normal 2 2 2 6 5 8" xfId="21592" xr:uid="{00000000-0005-0000-0000-000033540000}"/>
    <cellStyle name="Normal 2 2 2 6 5 9" xfId="21593" xr:uid="{00000000-0005-0000-0000-000034540000}"/>
    <cellStyle name="Normal 2 2 2 6 6" xfId="21594" xr:uid="{00000000-0005-0000-0000-000035540000}"/>
    <cellStyle name="Normal 2 2 2 6 7" xfId="21595" xr:uid="{00000000-0005-0000-0000-000036540000}"/>
    <cellStyle name="Normal 2 2 2 6 8" xfId="21596" xr:uid="{00000000-0005-0000-0000-000037540000}"/>
    <cellStyle name="Normal 2 2 2 6 9" xfId="21597" xr:uid="{00000000-0005-0000-0000-000038540000}"/>
    <cellStyle name="Normal 2 2 2 7" xfId="21598" xr:uid="{00000000-0005-0000-0000-000039540000}"/>
    <cellStyle name="Normal 2 2 2 7 10" xfId="21599" xr:uid="{00000000-0005-0000-0000-00003A540000}"/>
    <cellStyle name="Normal 2 2 2 7 11" xfId="21600" xr:uid="{00000000-0005-0000-0000-00003B540000}"/>
    <cellStyle name="Normal 2 2 2 7 12" xfId="21601" xr:uid="{00000000-0005-0000-0000-00003C540000}"/>
    <cellStyle name="Normal 2 2 2 7 13" xfId="21602" xr:uid="{00000000-0005-0000-0000-00003D540000}"/>
    <cellStyle name="Normal 2 2 2 7 14" xfId="21603" xr:uid="{00000000-0005-0000-0000-00003E540000}"/>
    <cellStyle name="Normal 2 2 2 7 15" xfId="21604" xr:uid="{00000000-0005-0000-0000-00003F540000}"/>
    <cellStyle name="Normal 2 2 2 7 16" xfId="21605" xr:uid="{00000000-0005-0000-0000-000040540000}"/>
    <cellStyle name="Normal 2 2 2 7 2" xfId="21606" xr:uid="{00000000-0005-0000-0000-000041540000}"/>
    <cellStyle name="Normal 2 2 2 7 2 10" xfId="21607" xr:uid="{00000000-0005-0000-0000-000042540000}"/>
    <cellStyle name="Normal 2 2 2 7 2 2" xfId="21608" xr:uid="{00000000-0005-0000-0000-000043540000}"/>
    <cellStyle name="Normal 2 2 2 7 2 3" xfId="21609" xr:uid="{00000000-0005-0000-0000-000044540000}"/>
    <cellStyle name="Normal 2 2 2 7 2 4" xfId="21610" xr:uid="{00000000-0005-0000-0000-000045540000}"/>
    <cellStyle name="Normal 2 2 2 7 2 5" xfId="21611" xr:uid="{00000000-0005-0000-0000-000046540000}"/>
    <cellStyle name="Normal 2 2 2 7 2 6" xfId="21612" xr:uid="{00000000-0005-0000-0000-000047540000}"/>
    <cellStyle name="Normal 2 2 2 7 2 7" xfId="21613" xr:uid="{00000000-0005-0000-0000-000048540000}"/>
    <cellStyle name="Normal 2 2 2 7 2 8" xfId="21614" xr:uid="{00000000-0005-0000-0000-000049540000}"/>
    <cellStyle name="Normal 2 2 2 7 2 9" xfId="21615" xr:uid="{00000000-0005-0000-0000-00004A540000}"/>
    <cellStyle name="Normal 2 2 2 7 3" xfId="21616" xr:uid="{00000000-0005-0000-0000-00004B540000}"/>
    <cellStyle name="Normal 2 2 2 7 3 10" xfId="21617" xr:uid="{00000000-0005-0000-0000-00004C540000}"/>
    <cellStyle name="Normal 2 2 2 7 3 2" xfId="21618" xr:uid="{00000000-0005-0000-0000-00004D540000}"/>
    <cellStyle name="Normal 2 2 2 7 3 3" xfId="21619" xr:uid="{00000000-0005-0000-0000-00004E540000}"/>
    <cellStyle name="Normal 2 2 2 7 3 4" xfId="21620" xr:uid="{00000000-0005-0000-0000-00004F540000}"/>
    <cellStyle name="Normal 2 2 2 7 3 5" xfId="21621" xr:uid="{00000000-0005-0000-0000-000050540000}"/>
    <cellStyle name="Normal 2 2 2 7 3 6" xfId="21622" xr:uid="{00000000-0005-0000-0000-000051540000}"/>
    <cellStyle name="Normal 2 2 2 7 3 7" xfId="21623" xr:uid="{00000000-0005-0000-0000-000052540000}"/>
    <cellStyle name="Normal 2 2 2 7 3 8" xfId="21624" xr:uid="{00000000-0005-0000-0000-000053540000}"/>
    <cellStyle name="Normal 2 2 2 7 3 9" xfId="21625" xr:uid="{00000000-0005-0000-0000-000054540000}"/>
    <cellStyle name="Normal 2 2 2 7 4" xfId="21626" xr:uid="{00000000-0005-0000-0000-000055540000}"/>
    <cellStyle name="Normal 2 2 2 7 4 10" xfId="21627" xr:uid="{00000000-0005-0000-0000-000056540000}"/>
    <cellStyle name="Normal 2 2 2 7 4 2" xfId="21628" xr:uid="{00000000-0005-0000-0000-000057540000}"/>
    <cellStyle name="Normal 2 2 2 7 4 3" xfId="21629" xr:uid="{00000000-0005-0000-0000-000058540000}"/>
    <cellStyle name="Normal 2 2 2 7 4 4" xfId="21630" xr:uid="{00000000-0005-0000-0000-000059540000}"/>
    <cellStyle name="Normal 2 2 2 7 4 5" xfId="21631" xr:uid="{00000000-0005-0000-0000-00005A540000}"/>
    <cellStyle name="Normal 2 2 2 7 4 6" xfId="21632" xr:uid="{00000000-0005-0000-0000-00005B540000}"/>
    <cellStyle name="Normal 2 2 2 7 4 7" xfId="21633" xr:uid="{00000000-0005-0000-0000-00005C540000}"/>
    <cellStyle name="Normal 2 2 2 7 4 8" xfId="21634" xr:uid="{00000000-0005-0000-0000-00005D540000}"/>
    <cellStyle name="Normal 2 2 2 7 4 9" xfId="21635" xr:uid="{00000000-0005-0000-0000-00005E540000}"/>
    <cellStyle name="Normal 2 2 2 7 5" xfId="21636" xr:uid="{00000000-0005-0000-0000-00005F540000}"/>
    <cellStyle name="Normal 2 2 2 7 5 10" xfId="21637" xr:uid="{00000000-0005-0000-0000-000060540000}"/>
    <cellStyle name="Normal 2 2 2 7 5 2" xfId="21638" xr:uid="{00000000-0005-0000-0000-000061540000}"/>
    <cellStyle name="Normal 2 2 2 7 5 3" xfId="21639" xr:uid="{00000000-0005-0000-0000-000062540000}"/>
    <cellStyle name="Normal 2 2 2 7 5 4" xfId="21640" xr:uid="{00000000-0005-0000-0000-000063540000}"/>
    <cellStyle name="Normal 2 2 2 7 5 5" xfId="21641" xr:uid="{00000000-0005-0000-0000-000064540000}"/>
    <cellStyle name="Normal 2 2 2 7 5 6" xfId="21642" xr:uid="{00000000-0005-0000-0000-000065540000}"/>
    <cellStyle name="Normal 2 2 2 7 5 7" xfId="21643" xr:uid="{00000000-0005-0000-0000-000066540000}"/>
    <cellStyle name="Normal 2 2 2 7 5 8" xfId="21644" xr:uid="{00000000-0005-0000-0000-000067540000}"/>
    <cellStyle name="Normal 2 2 2 7 5 9" xfId="21645" xr:uid="{00000000-0005-0000-0000-000068540000}"/>
    <cellStyle name="Normal 2 2 2 7 6" xfId="21646" xr:uid="{00000000-0005-0000-0000-000069540000}"/>
    <cellStyle name="Normal 2 2 2 7 7" xfId="21647" xr:uid="{00000000-0005-0000-0000-00006A540000}"/>
    <cellStyle name="Normal 2 2 2 7 8" xfId="21648" xr:uid="{00000000-0005-0000-0000-00006B540000}"/>
    <cellStyle name="Normal 2 2 2 7 9" xfId="21649" xr:uid="{00000000-0005-0000-0000-00006C540000}"/>
    <cellStyle name="Normal 2 2 2 8" xfId="21650" xr:uid="{00000000-0005-0000-0000-00006D540000}"/>
    <cellStyle name="Normal 2 2 2 8 10" xfId="21651" xr:uid="{00000000-0005-0000-0000-00006E540000}"/>
    <cellStyle name="Normal 2 2 2 8 11" xfId="21652" xr:uid="{00000000-0005-0000-0000-00006F540000}"/>
    <cellStyle name="Normal 2 2 2 8 12" xfId="21653" xr:uid="{00000000-0005-0000-0000-000070540000}"/>
    <cellStyle name="Normal 2 2 2 8 13" xfId="21654" xr:uid="{00000000-0005-0000-0000-000071540000}"/>
    <cellStyle name="Normal 2 2 2 8 14" xfId="21655" xr:uid="{00000000-0005-0000-0000-000072540000}"/>
    <cellStyle name="Normal 2 2 2 8 2" xfId="21656" xr:uid="{00000000-0005-0000-0000-000073540000}"/>
    <cellStyle name="Normal 2 2 2 8 2 10" xfId="21657" xr:uid="{00000000-0005-0000-0000-000074540000}"/>
    <cellStyle name="Normal 2 2 2 8 2 2" xfId="21658" xr:uid="{00000000-0005-0000-0000-000075540000}"/>
    <cellStyle name="Normal 2 2 2 8 2 3" xfId="21659" xr:uid="{00000000-0005-0000-0000-000076540000}"/>
    <cellStyle name="Normal 2 2 2 8 2 4" xfId="21660" xr:uid="{00000000-0005-0000-0000-000077540000}"/>
    <cellStyle name="Normal 2 2 2 8 2 5" xfId="21661" xr:uid="{00000000-0005-0000-0000-000078540000}"/>
    <cellStyle name="Normal 2 2 2 8 2 6" xfId="21662" xr:uid="{00000000-0005-0000-0000-000079540000}"/>
    <cellStyle name="Normal 2 2 2 8 2 7" xfId="21663" xr:uid="{00000000-0005-0000-0000-00007A540000}"/>
    <cellStyle name="Normal 2 2 2 8 2 8" xfId="21664" xr:uid="{00000000-0005-0000-0000-00007B540000}"/>
    <cellStyle name="Normal 2 2 2 8 2 9" xfId="21665" xr:uid="{00000000-0005-0000-0000-00007C540000}"/>
    <cellStyle name="Normal 2 2 2 8 3" xfId="21666" xr:uid="{00000000-0005-0000-0000-00007D540000}"/>
    <cellStyle name="Normal 2 2 2 8 3 10" xfId="21667" xr:uid="{00000000-0005-0000-0000-00007E540000}"/>
    <cellStyle name="Normal 2 2 2 8 3 2" xfId="21668" xr:uid="{00000000-0005-0000-0000-00007F540000}"/>
    <cellStyle name="Normal 2 2 2 8 3 3" xfId="21669" xr:uid="{00000000-0005-0000-0000-000080540000}"/>
    <cellStyle name="Normal 2 2 2 8 3 4" xfId="21670" xr:uid="{00000000-0005-0000-0000-000081540000}"/>
    <cellStyle name="Normal 2 2 2 8 3 5" xfId="21671" xr:uid="{00000000-0005-0000-0000-000082540000}"/>
    <cellStyle name="Normal 2 2 2 8 3 6" xfId="21672" xr:uid="{00000000-0005-0000-0000-000083540000}"/>
    <cellStyle name="Normal 2 2 2 8 3 7" xfId="21673" xr:uid="{00000000-0005-0000-0000-000084540000}"/>
    <cellStyle name="Normal 2 2 2 8 3 8" xfId="21674" xr:uid="{00000000-0005-0000-0000-000085540000}"/>
    <cellStyle name="Normal 2 2 2 8 3 9" xfId="21675" xr:uid="{00000000-0005-0000-0000-000086540000}"/>
    <cellStyle name="Normal 2 2 2 8 4" xfId="21676" xr:uid="{00000000-0005-0000-0000-000087540000}"/>
    <cellStyle name="Normal 2 2 2 8 4 10" xfId="21677" xr:uid="{00000000-0005-0000-0000-000088540000}"/>
    <cellStyle name="Normal 2 2 2 8 4 2" xfId="21678" xr:uid="{00000000-0005-0000-0000-000089540000}"/>
    <cellStyle name="Normal 2 2 2 8 4 3" xfId="21679" xr:uid="{00000000-0005-0000-0000-00008A540000}"/>
    <cellStyle name="Normal 2 2 2 8 4 4" xfId="21680" xr:uid="{00000000-0005-0000-0000-00008B540000}"/>
    <cellStyle name="Normal 2 2 2 8 4 5" xfId="21681" xr:uid="{00000000-0005-0000-0000-00008C540000}"/>
    <cellStyle name="Normal 2 2 2 8 4 6" xfId="21682" xr:uid="{00000000-0005-0000-0000-00008D540000}"/>
    <cellStyle name="Normal 2 2 2 8 4 7" xfId="21683" xr:uid="{00000000-0005-0000-0000-00008E540000}"/>
    <cellStyle name="Normal 2 2 2 8 4 8" xfId="21684" xr:uid="{00000000-0005-0000-0000-00008F540000}"/>
    <cellStyle name="Normal 2 2 2 8 4 9" xfId="21685" xr:uid="{00000000-0005-0000-0000-000090540000}"/>
    <cellStyle name="Normal 2 2 2 8 5" xfId="21686" xr:uid="{00000000-0005-0000-0000-000091540000}"/>
    <cellStyle name="Normal 2 2 2 8 5 10" xfId="21687" xr:uid="{00000000-0005-0000-0000-000092540000}"/>
    <cellStyle name="Normal 2 2 2 8 5 2" xfId="21688" xr:uid="{00000000-0005-0000-0000-000093540000}"/>
    <cellStyle name="Normal 2 2 2 8 5 3" xfId="21689" xr:uid="{00000000-0005-0000-0000-000094540000}"/>
    <cellStyle name="Normal 2 2 2 8 5 4" xfId="21690" xr:uid="{00000000-0005-0000-0000-000095540000}"/>
    <cellStyle name="Normal 2 2 2 8 5 5" xfId="21691" xr:uid="{00000000-0005-0000-0000-000096540000}"/>
    <cellStyle name="Normal 2 2 2 8 5 6" xfId="21692" xr:uid="{00000000-0005-0000-0000-000097540000}"/>
    <cellStyle name="Normal 2 2 2 8 5 7" xfId="21693" xr:uid="{00000000-0005-0000-0000-000098540000}"/>
    <cellStyle name="Normal 2 2 2 8 5 8" xfId="21694" xr:uid="{00000000-0005-0000-0000-000099540000}"/>
    <cellStyle name="Normal 2 2 2 8 5 9" xfId="21695" xr:uid="{00000000-0005-0000-0000-00009A540000}"/>
    <cellStyle name="Normal 2 2 2 8 6" xfId="21696" xr:uid="{00000000-0005-0000-0000-00009B540000}"/>
    <cellStyle name="Normal 2 2 2 8 7" xfId="21697" xr:uid="{00000000-0005-0000-0000-00009C540000}"/>
    <cellStyle name="Normal 2 2 2 8 8" xfId="21698" xr:uid="{00000000-0005-0000-0000-00009D540000}"/>
    <cellStyle name="Normal 2 2 2 8 9" xfId="21699" xr:uid="{00000000-0005-0000-0000-00009E540000}"/>
    <cellStyle name="Normal 2 2 2 9" xfId="21700" xr:uid="{00000000-0005-0000-0000-00009F540000}"/>
    <cellStyle name="Normal 2 2 2 9 10" xfId="21701" xr:uid="{00000000-0005-0000-0000-0000A0540000}"/>
    <cellStyle name="Normal 2 2 2 9 11" xfId="21702" xr:uid="{00000000-0005-0000-0000-0000A1540000}"/>
    <cellStyle name="Normal 2 2 2 9 12" xfId="21703" xr:uid="{00000000-0005-0000-0000-0000A2540000}"/>
    <cellStyle name="Normal 2 2 2 9 13" xfId="21704" xr:uid="{00000000-0005-0000-0000-0000A3540000}"/>
    <cellStyle name="Normal 2 2 2 9 14" xfId="21705" xr:uid="{00000000-0005-0000-0000-0000A4540000}"/>
    <cellStyle name="Normal 2 2 2 9 2" xfId="21706" xr:uid="{00000000-0005-0000-0000-0000A5540000}"/>
    <cellStyle name="Normal 2 2 2 9 2 10" xfId="21707" xr:uid="{00000000-0005-0000-0000-0000A6540000}"/>
    <cellStyle name="Normal 2 2 2 9 2 2" xfId="21708" xr:uid="{00000000-0005-0000-0000-0000A7540000}"/>
    <cellStyle name="Normal 2 2 2 9 2 3" xfId="21709" xr:uid="{00000000-0005-0000-0000-0000A8540000}"/>
    <cellStyle name="Normal 2 2 2 9 2 4" xfId="21710" xr:uid="{00000000-0005-0000-0000-0000A9540000}"/>
    <cellStyle name="Normal 2 2 2 9 2 5" xfId="21711" xr:uid="{00000000-0005-0000-0000-0000AA540000}"/>
    <cellStyle name="Normal 2 2 2 9 2 6" xfId="21712" xr:uid="{00000000-0005-0000-0000-0000AB540000}"/>
    <cellStyle name="Normal 2 2 2 9 2 7" xfId="21713" xr:uid="{00000000-0005-0000-0000-0000AC540000}"/>
    <cellStyle name="Normal 2 2 2 9 2 8" xfId="21714" xr:uid="{00000000-0005-0000-0000-0000AD540000}"/>
    <cellStyle name="Normal 2 2 2 9 2 9" xfId="21715" xr:uid="{00000000-0005-0000-0000-0000AE540000}"/>
    <cellStyle name="Normal 2 2 2 9 3" xfId="21716" xr:uid="{00000000-0005-0000-0000-0000AF540000}"/>
    <cellStyle name="Normal 2 2 2 9 3 10" xfId="21717" xr:uid="{00000000-0005-0000-0000-0000B0540000}"/>
    <cellStyle name="Normal 2 2 2 9 3 2" xfId="21718" xr:uid="{00000000-0005-0000-0000-0000B1540000}"/>
    <cellStyle name="Normal 2 2 2 9 3 3" xfId="21719" xr:uid="{00000000-0005-0000-0000-0000B2540000}"/>
    <cellStyle name="Normal 2 2 2 9 3 4" xfId="21720" xr:uid="{00000000-0005-0000-0000-0000B3540000}"/>
    <cellStyle name="Normal 2 2 2 9 3 5" xfId="21721" xr:uid="{00000000-0005-0000-0000-0000B4540000}"/>
    <cellStyle name="Normal 2 2 2 9 3 6" xfId="21722" xr:uid="{00000000-0005-0000-0000-0000B5540000}"/>
    <cellStyle name="Normal 2 2 2 9 3 7" xfId="21723" xr:uid="{00000000-0005-0000-0000-0000B6540000}"/>
    <cellStyle name="Normal 2 2 2 9 3 8" xfId="21724" xr:uid="{00000000-0005-0000-0000-0000B7540000}"/>
    <cellStyle name="Normal 2 2 2 9 3 9" xfId="21725" xr:uid="{00000000-0005-0000-0000-0000B8540000}"/>
    <cellStyle name="Normal 2 2 2 9 4" xfId="21726" xr:uid="{00000000-0005-0000-0000-0000B9540000}"/>
    <cellStyle name="Normal 2 2 2 9 4 10" xfId="21727" xr:uid="{00000000-0005-0000-0000-0000BA540000}"/>
    <cellStyle name="Normal 2 2 2 9 4 2" xfId="21728" xr:uid="{00000000-0005-0000-0000-0000BB540000}"/>
    <cellStyle name="Normal 2 2 2 9 4 3" xfId="21729" xr:uid="{00000000-0005-0000-0000-0000BC540000}"/>
    <cellStyle name="Normal 2 2 2 9 4 4" xfId="21730" xr:uid="{00000000-0005-0000-0000-0000BD540000}"/>
    <cellStyle name="Normal 2 2 2 9 4 5" xfId="21731" xr:uid="{00000000-0005-0000-0000-0000BE540000}"/>
    <cellStyle name="Normal 2 2 2 9 4 6" xfId="21732" xr:uid="{00000000-0005-0000-0000-0000BF540000}"/>
    <cellStyle name="Normal 2 2 2 9 4 7" xfId="21733" xr:uid="{00000000-0005-0000-0000-0000C0540000}"/>
    <cellStyle name="Normal 2 2 2 9 4 8" xfId="21734" xr:uid="{00000000-0005-0000-0000-0000C1540000}"/>
    <cellStyle name="Normal 2 2 2 9 4 9" xfId="21735" xr:uid="{00000000-0005-0000-0000-0000C2540000}"/>
    <cellStyle name="Normal 2 2 2 9 5" xfId="21736" xr:uid="{00000000-0005-0000-0000-0000C3540000}"/>
    <cellStyle name="Normal 2 2 2 9 5 10" xfId="21737" xr:uid="{00000000-0005-0000-0000-0000C4540000}"/>
    <cellStyle name="Normal 2 2 2 9 5 2" xfId="21738" xr:uid="{00000000-0005-0000-0000-0000C5540000}"/>
    <cellStyle name="Normal 2 2 2 9 5 3" xfId="21739" xr:uid="{00000000-0005-0000-0000-0000C6540000}"/>
    <cellStyle name="Normal 2 2 2 9 5 4" xfId="21740" xr:uid="{00000000-0005-0000-0000-0000C7540000}"/>
    <cellStyle name="Normal 2 2 2 9 5 5" xfId="21741" xr:uid="{00000000-0005-0000-0000-0000C8540000}"/>
    <cellStyle name="Normal 2 2 2 9 5 6" xfId="21742" xr:uid="{00000000-0005-0000-0000-0000C9540000}"/>
    <cellStyle name="Normal 2 2 2 9 5 7" xfId="21743" xr:uid="{00000000-0005-0000-0000-0000CA540000}"/>
    <cellStyle name="Normal 2 2 2 9 5 8" xfId="21744" xr:uid="{00000000-0005-0000-0000-0000CB540000}"/>
    <cellStyle name="Normal 2 2 2 9 5 9" xfId="21745" xr:uid="{00000000-0005-0000-0000-0000CC540000}"/>
    <cellStyle name="Normal 2 2 2 9 6" xfId="21746" xr:uid="{00000000-0005-0000-0000-0000CD540000}"/>
    <cellStyle name="Normal 2 2 2 9 7" xfId="21747" xr:uid="{00000000-0005-0000-0000-0000CE540000}"/>
    <cellStyle name="Normal 2 2 2 9 8" xfId="21748" xr:uid="{00000000-0005-0000-0000-0000CF540000}"/>
    <cellStyle name="Normal 2 2 2 9 9" xfId="21749" xr:uid="{00000000-0005-0000-0000-0000D0540000}"/>
    <cellStyle name="Normal 2 2 20" xfId="21750" xr:uid="{00000000-0005-0000-0000-0000D1540000}"/>
    <cellStyle name="Normal 2 2 21" xfId="21751" xr:uid="{00000000-0005-0000-0000-0000D2540000}"/>
    <cellStyle name="Normal 2 2 22" xfId="21752" xr:uid="{00000000-0005-0000-0000-0000D3540000}"/>
    <cellStyle name="Normal 2 2 23" xfId="21753" xr:uid="{00000000-0005-0000-0000-0000D4540000}"/>
    <cellStyle name="Normal 2 2 24" xfId="21754" xr:uid="{00000000-0005-0000-0000-0000D5540000}"/>
    <cellStyle name="Normal 2 2 25" xfId="21755" xr:uid="{00000000-0005-0000-0000-0000D6540000}"/>
    <cellStyle name="Normal 2 2 26" xfId="21756" xr:uid="{00000000-0005-0000-0000-0000D7540000}"/>
    <cellStyle name="Normal 2 2 27" xfId="21757" xr:uid="{00000000-0005-0000-0000-0000D8540000}"/>
    <cellStyle name="Normal 2 2 28" xfId="21758" xr:uid="{00000000-0005-0000-0000-0000D9540000}"/>
    <cellStyle name="Normal 2 2 29" xfId="21759" xr:uid="{00000000-0005-0000-0000-0000DA540000}"/>
    <cellStyle name="Normal 2 2 3" xfId="26" xr:uid="{00000000-0005-0000-0000-0000DB540000}"/>
    <cellStyle name="Normal 2 2 3 2" xfId="53" xr:uid="{00000000-0005-0000-0000-0000DC540000}"/>
    <cellStyle name="Normal 2 2 3 2 2" xfId="21761" xr:uid="{00000000-0005-0000-0000-0000DD540000}"/>
    <cellStyle name="Normal 2 2 3 3" xfId="21762" xr:uid="{00000000-0005-0000-0000-0000DE540000}"/>
    <cellStyle name="Normal 2 2 3 4" xfId="21763" xr:uid="{00000000-0005-0000-0000-0000DF540000}"/>
    <cellStyle name="Normal 2 2 3 5" xfId="21760" xr:uid="{00000000-0005-0000-0000-0000E0540000}"/>
    <cellStyle name="Normal 2 2 30" xfId="21764" xr:uid="{00000000-0005-0000-0000-0000E1540000}"/>
    <cellStyle name="Normal 2 2 31" xfId="21765" xr:uid="{00000000-0005-0000-0000-0000E2540000}"/>
    <cellStyle name="Normal 2 2 32" xfId="21766" xr:uid="{00000000-0005-0000-0000-0000E3540000}"/>
    <cellStyle name="Normal 2 2 33" xfId="21767" xr:uid="{00000000-0005-0000-0000-0000E4540000}"/>
    <cellStyle name="Normal 2 2 34" xfId="21768" xr:uid="{00000000-0005-0000-0000-0000E5540000}"/>
    <cellStyle name="Normal 2 2 35" xfId="21769" xr:uid="{00000000-0005-0000-0000-0000E6540000}"/>
    <cellStyle name="Normal 2 2 36" xfId="21770" xr:uid="{00000000-0005-0000-0000-0000E7540000}"/>
    <cellStyle name="Normal 2 2 37" xfId="21771" xr:uid="{00000000-0005-0000-0000-0000E8540000}"/>
    <cellStyle name="Normal 2 2 38" xfId="21772" xr:uid="{00000000-0005-0000-0000-0000E9540000}"/>
    <cellStyle name="Normal 2 2 39" xfId="21773" xr:uid="{00000000-0005-0000-0000-0000EA540000}"/>
    <cellStyle name="Normal 2 2 4" xfId="15" xr:uid="{00000000-0005-0000-0000-0000EB540000}"/>
    <cellStyle name="Normal 2 2 4 10" xfId="21775" xr:uid="{00000000-0005-0000-0000-0000EC540000}"/>
    <cellStyle name="Normal 2 2 4 10 10" xfId="21776" xr:uid="{00000000-0005-0000-0000-0000ED540000}"/>
    <cellStyle name="Normal 2 2 4 10 11" xfId="21777" xr:uid="{00000000-0005-0000-0000-0000EE540000}"/>
    <cellStyle name="Normal 2 2 4 10 12" xfId="21778" xr:uid="{00000000-0005-0000-0000-0000EF540000}"/>
    <cellStyle name="Normal 2 2 4 10 13" xfId="21779" xr:uid="{00000000-0005-0000-0000-0000F0540000}"/>
    <cellStyle name="Normal 2 2 4 10 14" xfId="21780" xr:uid="{00000000-0005-0000-0000-0000F1540000}"/>
    <cellStyle name="Normal 2 2 4 10 2" xfId="21781" xr:uid="{00000000-0005-0000-0000-0000F2540000}"/>
    <cellStyle name="Normal 2 2 4 10 2 10" xfId="21782" xr:uid="{00000000-0005-0000-0000-0000F3540000}"/>
    <cellStyle name="Normal 2 2 4 10 2 2" xfId="21783" xr:uid="{00000000-0005-0000-0000-0000F4540000}"/>
    <cellStyle name="Normal 2 2 4 10 2 3" xfId="21784" xr:uid="{00000000-0005-0000-0000-0000F5540000}"/>
    <cellStyle name="Normal 2 2 4 10 2 4" xfId="21785" xr:uid="{00000000-0005-0000-0000-0000F6540000}"/>
    <cellStyle name="Normal 2 2 4 10 2 5" xfId="21786" xr:uid="{00000000-0005-0000-0000-0000F7540000}"/>
    <cellStyle name="Normal 2 2 4 10 2 6" xfId="21787" xr:uid="{00000000-0005-0000-0000-0000F8540000}"/>
    <cellStyle name="Normal 2 2 4 10 2 7" xfId="21788" xr:uid="{00000000-0005-0000-0000-0000F9540000}"/>
    <cellStyle name="Normal 2 2 4 10 2 8" xfId="21789" xr:uid="{00000000-0005-0000-0000-0000FA540000}"/>
    <cellStyle name="Normal 2 2 4 10 2 9" xfId="21790" xr:uid="{00000000-0005-0000-0000-0000FB540000}"/>
    <cellStyle name="Normal 2 2 4 10 3" xfId="21791" xr:uid="{00000000-0005-0000-0000-0000FC540000}"/>
    <cellStyle name="Normal 2 2 4 10 3 10" xfId="21792" xr:uid="{00000000-0005-0000-0000-0000FD540000}"/>
    <cellStyle name="Normal 2 2 4 10 3 2" xfId="21793" xr:uid="{00000000-0005-0000-0000-0000FE540000}"/>
    <cellStyle name="Normal 2 2 4 10 3 3" xfId="21794" xr:uid="{00000000-0005-0000-0000-0000FF540000}"/>
    <cellStyle name="Normal 2 2 4 10 3 4" xfId="21795" xr:uid="{00000000-0005-0000-0000-000000550000}"/>
    <cellStyle name="Normal 2 2 4 10 3 5" xfId="21796" xr:uid="{00000000-0005-0000-0000-000001550000}"/>
    <cellStyle name="Normal 2 2 4 10 3 6" xfId="21797" xr:uid="{00000000-0005-0000-0000-000002550000}"/>
    <cellStyle name="Normal 2 2 4 10 3 7" xfId="21798" xr:uid="{00000000-0005-0000-0000-000003550000}"/>
    <cellStyle name="Normal 2 2 4 10 3 8" xfId="21799" xr:uid="{00000000-0005-0000-0000-000004550000}"/>
    <cellStyle name="Normal 2 2 4 10 3 9" xfId="21800" xr:uid="{00000000-0005-0000-0000-000005550000}"/>
    <cellStyle name="Normal 2 2 4 10 4" xfId="21801" xr:uid="{00000000-0005-0000-0000-000006550000}"/>
    <cellStyle name="Normal 2 2 4 10 4 10" xfId="21802" xr:uid="{00000000-0005-0000-0000-000007550000}"/>
    <cellStyle name="Normal 2 2 4 10 4 2" xfId="21803" xr:uid="{00000000-0005-0000-0000-000008550000}"/>
    <cellStyle name="Normal 2 2 4 10 4 3" xfId="21804" xr:uid="{00000000-0005-0000-0000-000009550000}"/>
    <cellStyle name="Normal 2 2 4 10 4 4" xfId="21805" xr:uid="{00000000-0005-0000-0000-00000A550000}"/>
    <cellStyle name="Normal 2 2 4 10 4 5" xfId="21806" xr:uid="{00000000-0005-0000-0000-00000B550000}"/>
    <cellStyle name="Normal 2 2 4 10 4 6" xfId="21807" xr:uid="{00000000-0005-0000-0000-00000C550000}"/>
    <cellStyle name="Normal 2 2 4 10 4 7" xfId="21808" xr:uid="{00000000-0005-0000-0000-00000D550000}"/>
    <cellStyle name="Normal 2 2 4 10 4 8" xfId="21809" xr:uid="{00000000-0005-0000-0000-00000E550000}"/>
    <cellStyle name="Normal 2 2 4 10 4 9" xfId="21810" xr:uid="{00000000-0005-0000-0000-00000F550000}"/>
    <cellStyle name="Normal 2 2 4 10 5" xfId="21811" xr:uid="{00000000-0005-0000-0000-000010550000}"/>
    <cellStyle name="Normal 2 2 4 10 5 10" xfId="21812" xr:uid="{00000000-0005-0000-0000-000011550000}"/>
    <cellStyle name="Normal 2 2 4 10 5 2" xfId="21813" xr:uid="{00000000-0005-0000-0000-000012550000}"/>
    <cellStyle name="Normal 2 2 4 10 5 3" xfId="21814" xr:uid="{00000000-0005-0000-0000-000013550000}"/>
    <cellStyle name="Normal 2 2 4 10 5 4" xfId="21815" xr:uid="{00000000-0005-0000-0000-000014550000}"/>
    <cellStyle name="Normal 2 2 4 10 5 5" xfId="21816" xr:uid="{00000000-0005-0000-0000-000015550000}"/>
    <cellStyle name="Normal 2 2 4 10 5 6" xfId="21817" xr:uid="{00000000-0005-0000-0000-000016550000}"/>
    <cellStyle name="Normal 2 2 4 10 5 7" xfId="21818" xr:uid="{00000000-0005-0000-0000-000017550000}"/>
    <cellStyle name="Normal 2 2 4 10 5 8" xfId="21819" xr:uid="{00000000-0005-0000-0000-000018550000}"/>
    <cellStyle name="Normal 2 2 4 10 5 9" xfId="21820" xr:uid="{00000000-0005-0000-0000-000019550000}"/>
    <cellStyle name="Normal 2 2 4 10 6" xfId="21821" xr:uid="{00000000-0005-0000-0000-00001A550000}"/>
    <cellStyle name="Normal 2 2 4 10 7" xfId="21822" xr:uid="{00000000-0005-0000-0000-00001B550000}"/>
    <cellStyle name="Normal 2 2 4 10 8" xfId="21823" xr:uid="{00000000-0005-0000-0000-00001C550000}"/>
    <cellStyle name="Normal 2 2 4 10 9" xfId="21824" xr:uid="{00000000-0005-0000-0000-00001D550000}"/>
    <cellStyle name="Normal 2 2 4 11" xfId="21825" xr:uid="{00000000-0005-0000-0000-00001E550000}"/>
    <cellStyle name="Normal 2 2 4 11 10" xfId="21826" xr:uid="{00000000-0005-0000-0000-00001F550000}"/>
    <cellStyle name="Normal 2 2 4 11 11" xfId="21827" xr:uid="{00000000-0005-0000-0000-000020550000}"/>
    <cellStyle name="Normal 2 2 4 11 12" xfId="21828" xr:uid="{00000000-0005-0000-0000-000021550000}"/>
    <cellStyle name="Normal 2 2 4 11 13" xfId="21829" xr:uid="{00000000-0005-0000-0000-000022550000}"/>
    <cellStyle name="Normal 2 2 4 11 14" xfId="21830" xr:uid="{00000000-0005-0000-0000-000023550000}"/>
    <cellStyle name="Normal 2 2 4 11 2" xfId="21831" xr:uid="{00000000-0005-0000-0000-000024550000}"/>
    <cellStyle name="Normal 2 2 4 11 2 10" xfId="21832" xr:uid="{00000000-0005-0000-0000-000025550000}"/>
    <cellStyle name="Normal 2 2 4 11 2 2" xfId="21833" xr:uid="{00000000-0005-0000-0000-000026550000}"/>
    <cellStyle name="Normal 2 2 4 11 2 3" xfId="21834" xr:uid="{00000000-0005-0000-0000-000027550000}"/>
    <cellStyle name="Normal 2 2 4 11 2 4" xfId="21835" xr:uid="{00000000-0005-0000-0000-000028550000}"/>
    <cellStyle name="Normal 2 2 4 11 2 5" xfId="21836" xr:uid="{00000000-0005-0000-0000-000029550000}"/>
    <cellStyle name="Normal 2 2 4 11 2 6" xfId="21837" xr:uid="{00000000-0005-0000-0000-00002A550000}"/>
    <cellStyle name="Normal 2 2 4 11 2 7" xfId="21838" xr:uid="{00000000-0005-0000-0000-00002B550000}"/>
    <cellStyle name="Normal 2 2 4 11 2 8" xfId="21839" xr:uid="{00000000-0005-0000-0000-00002C550000}"/>
    <cellStyle name="Normal 2 2 4 11 2 9" xfId="21840" xr:uid="{00000000-0005-0000-0000-00002D550000}"/>
    <cellStyle name="Normal 2 2 4 11 3" xfId="21841" xr:uid="{00000000-0005-0000-0000-00002E550000}"/>
    <cellStyle name="Normal 2 2 4 11 3 10" xfId="21842" xr:uid="{00000000-0005-0000-0000-00002F550000}"/>
    <cellStyle name="Normal 2 2 4 11 3 2" xfId="21843" xr:uid="{00000000-0005-0000-0000-000030550000}"/>
    <cellStyle name="Normal 2 2 4 11 3 3" xfId="21844" xr:uid="{00000000-0005-0000-0000-000031550000}"/>
    <cellStyle name="Normal 2 2 4 11 3 4" xfId="21845" xr:uid="{00000000-0005-0000-0000-000032550000}"/>
    <cellStyle name="Normal 2 2 4 11 3 5" xfId="21846" xr:uid="{00000000-0005-0000-0000-000033550000}"/>
    <cellStyle name="Normal 2 2 4 11 3 6" xfId="21847" xr:uid="{00000000-0005-0000-0000-000034550000}"/>
    <cellStyle name="Normal 2 2 4 11 3 7" xfId="21848" xr:uid="{00000000-0005-0000-0000-000035550000}"/>
    <cellStyle name="Normal 2 2 4 11 3 8" xfId="21849" xr:uid="{00000000-0005-0000-0000-000036550000}"/>
    <cellStyle name="Normal 2 2 4 11 3 9" xfId="21850" xr:uid="{00000000-0005-0000-0000-000037550000}"/>
    <cellStyle name="Normal 2 2 4 11 4" xfId="21851" xr:uid="{00000000-0005-0000-0000-000038550000}"/>
    <cellStyle name="Normal 2 2 4 11 4 10" xfId="21852" xr:uid="{00000000-0005-0000-0000-000039550000}"/>
    <cellStyle name="Normal 2 2 4 11 4 2" xfId="21853" xr:uid="{00000000-0005-0000-0000-00003A550000}"/>
    <cellStyle name="Normal 2 2 4 11 4 3" xfId="21854" xr:uid="{00000000-0005-0000-0000-00003B550000}"/>
    <cellStyle name="Normal 2 2 4 11 4 4" xfId="21855" xr:uid="{00000000-0005-0000-0000-00003C550000}"/>
    <cellStyle name="Normal 2 2 4 11 4 5" xfId="21856" xr:uid="{00000000-0005-0000-0000-00003D550000}"/>
    <cellStyle name="Normal 2 2 4 11 4 6" xfId="21857" xr:uid="{00000000-0005-0000-0000-00003E550000}"/>
    <cellStyle name="Normal 2 2 4 11 4 7" xfId="21858" xr:uid="{00000000-0005-0000-0000-00003F550000}"/>
    <cellStyle name="Normal 2 2 4 11 4 8" xfId="21859" xr:uid="{00000000-0005-0000-0000-000040550000}"/>
    <cellStyle name="Normal 2 2 4 11 4 9" xfId="21860" xr:uid="{00000000-0005-0000-0000-000041550000}"/>
    <cellStyle name="Normal 2 2 4 11 5" xfId="21861" xr:uid="{00000000-0005-0000-0000-000042550000}"/>
    <cellStyle name="Normal 2 2 4 11 5 10" xfId="21862" xr:uid="{00000000-0005-0000-0000-000043550000}"/>
    <cellStyle name="Normal 2 2 4 11 5 2" xfId="21863" xr:uid="{00000000-0005-0000-0000-000044550000}"/>
    <cellStyle name="Normal 2 2 4 11 5 3" xfId="21864" xr:uid="{00000000-0005-0000-0000-000045550000}"/>
    <cellStyle name="Normal 2 2 4 11 5 4" xfId="21865" xr:uid="{00000000-0005-0000-0000-000046550000}"/>
    <cellStyle name="Normal 2 2 4 11 5 5" xfId="21866" xr:uid="{00000000-0005-0000-0000-000047550000}"/>
    <cellStyle name="Normal 2 2 4 11 5 6" xfId="21867" xr:uid="{00000000-0005-0000-0000-000048550000}"/>
    <cellStyle name="Normal 2 2 4 11 5 7" xfId="21868" xr:uid="{00000000-0005-0000-0000-000049550000}"/>
    <cellStyle name="Normal 2 2 4 11 5 8" xfId="21869" xr:uid="{00000000-0005-0000-0000-00004A550000}"/>
    <cellStyle name="Normal 2 2 4 11 5 9" xfId="21870" xr:uid="{00000000-0005-0000-0000-00004B550000}"/>
    <cellStyle name="Normal 2 2 4 11 6" xfId="21871" xr:uid="{00000000-0005-0000-0000-00004C550000}"/>
    <cellStyle name="Normal 2 2 4 11 7" xfId="21872" xr:uid="{00000000-0005-0000-0000-00004D550000}"/>
    <cellStyle name="Normal 2 2 4 11 8" xfId="21873" xr:uid="{00000000-0005-0000-0000-00004E550000}"/>
    <cellStyle name="Normal 2 2 4 11 9" xfId="21874" xr:uid="{00000000-0005-0000-0000-00004F550000}"/>
    <cellStyle name="Normal 2 2 4 12" xfId="21875" xr:uid="{00000000-0005-0000-0000-000050550000}"/>
    <cellStyle name="Normal 2 2 4 12 10" xfId="21876" xr:uid="{00000000-0005-0000-0000-000051550000}"/>
    <cellStyle name="Normal 2 2 4 12 11" xfId="21877" xr:uid="{00000000-0005-0000-0000-000052550000}"/>
    <cellStyle name="Normal 2 2 4 12 12" xfId="21878" xr:uid="{00000000-0005-0000-0000-000053550000}"/>
    <cellStyle name="Normal 2 2 4 12 13" xfId="21879" xr:uid="{00000000-0005-0000-0000-000054550000}"/>
    <cellStyle name="Normal 2 2 4 12 14" xfId="21880" xr:uid="{00000000-0005-0000-0000-000055550000}"/>
    <cellStyle name="Normal 2 2 4 12 2" xfId="21881" xr:uid="{00000000-0005-0000-0000-000056550000}"/>
    <cellStyle name="Normal 2 2 4 12 2 10" xfId="21882" xr:uid="{00000000-0005-0000-0000-000057550000}"/>
    <cellStyle name="Normal 2 2 4 12 2 2" xfId="21883" xr:uid="{00000000-0005-0000-0000-000058550000}"/>
    <cellStyle name="Normal 2 2 4 12 2 3" xfId="21884" xr:uid="{00000000-0005-0000-0000-000059550000}"/>
    <cellStyle name="Normal 2 2 4 12 2 4" xfId="21885" xr:uid="{00000000-0005-0000-0000-00005A550000}"/>
    <cellStyle name="Normal 2 2 4 12 2 5" xfId="21886" xr:uid="{00000000-0005-0000-0000-00005B550000}"/>
    <cellStyle name="Normal 2 2 4 12 2 6" xfId="21887" xr:uid="{00000000-0005-0000-0000-00005C550000}"/>
    <cellStyle name="Normal 2 2 4 12 2 7" xfId="21888" xr:uid="{00000000-0005-0000-0000-00005D550000}"/>
    <cellStyle name="Normal 2 2 4 12 2 8" xfId="21889" xr:uid="{00000000-0005-0000-0000-00005E550000}"/>
    <cellStyle name="Normal 2 2 4 12 2 9" xfId="21890" xr:uid="{00000000-0005-0000-0000-00005F550000}"/>
    <cellStyle name="Normal 2 2 4 12 3" xfId="21891" xr:uid="{00000000-0005-0000-0000-000060550000}"/>
    <cellStyle name="Normal 2 2 4 12 3 10" xfId="21892" xr:uid="{00000000-0005-0000-0000-000061550000}"/>
    <cellStyle name="Normal 2 2 4 12 3 2" xfId="21893" xr:uid="{00000000-0005-0000-0000-000062550000}"/>
    <cellStyle name="Normal 2 2 4 12 3 3" xfId="21894" xr:uid="{00000000-0005-0000-0000-000063550000}"/>
    <cellStyle name="Normal 2 2 4 12 3 4" xfId="21895" xr:uid="{00000000-0005-0000-0000-000064550000}"/>
    <cellStyle name="Normal 2 2 4 12 3 5" xfId="21896" xr:uid="{00000000-0005-0000-0000-000065550000}"/>
    <cellStyle name="Normal 2 2 4 12 3 6" xfId="21897" xr:uid="{00000000-0005-0000-0000-000066550000}"/>
    <cellStyle name="Normal 2 2 4 12 3 7" xfId="21898" xr:uid="{00000000-0005-0000-0000-000067550000}"/>
    <cellStyle name="Normal 2 2 4 12 3 8" xfId="21899" xr:uid="{00000000-0005-0000-0000-000068550000}"/>
    <cellStyle name="Normal 2 2 4 12 3 9" xfId="21900" xr:uid="{00000000-0005-0000-0000-000069550000}"/>
    <cellStyle name="Normal 2 2 4 12 4" xfId="21901" xr:uid="{00000000-0005-0000-0000-00006A550000}"/>
    <cellStyle name="Normal 2 2 4 12 4 10" xfId="21902" xr:uid="{00000000-0005-0000-0000-00006B550000}"/>
    <cellStyle name="Normal 2 2 4 12 4 2" xfId="21903" xr:uid="{00000000-0005-0000-0000-00006C550000}"/>
    <cellStyle name="Normal 2 2 4 12 4 3" xfId="21904" xr:uid="{00000000-0005-0000-0000-00006D550000}"/>
    <cellStyle name="Normal 2 2 4 12 4 4" xfId="21905" xr:uid="{00000000-0005-0000-0000-00006E550000}"/>
    <cellStyle name="Normal 2 2 4 12 4 5" xfId="21906" xr:uid="{00000000-0005-0000-0000-00006F550000}"/>
    <cellStyle name="Normal 2 2 4 12 4 6" xfId="21907" xr:uid="{00000000-0005-0000-0000-000070550000}"/>
    <cellStyle name="Normal 2 2 4 12 4 7" xfId="21908" xr:uid="{00000000-0005-0000-0000-000071550000}"/>
    <cellStyle name="Normal 2 2 4 12 4 8" xfId="21909" xr:uid="{00000000-0005-0000-0000-000072550000}"/>
    <cellStyle name="Normal 2 2 4 12 4 9" xfId="21910" xr:uid="{00000000-0005-0000-0000-000073550000}"/>
    <cellStyle name="Normal 2 2 4 12 5" xfId="21911" xr:uid="{00000000-0005-0000-0000-000074550000}"/>
    <cellStyle name="Normal 2 2 4 12 5 10" xfId="21912" xr:uid="{00000000-0005-0000-0000-000075550000}"/>
    <cellStyle name="Normal 2 2 4 12 5 2" xfId="21913" xr:uid="{00000000-0005-0000-0000-000076550000}"/>
    <cellStyle name="Normal 2 2 4 12 5 3" xfId="21914" xr:uid="{00000000-0005-0000-0000-000077550000}"/>
    <cellStyle name="Normal 2 2 4 12 5 4" xfId="21915" xr:uid="{00000000-0005-0000-0000-000078550000}"/>
    <cellStyle name="Normal 2 2 4 12 5 5" xfId="21916" xr:uid="{00000000-0005-0000-0000-000079550000}"/>
    <cellStyle name="Normal 2 2 4 12 5 6" xfId="21917" xr:uid="{00000000-0005-0000-0000-00007A550000}"/>
    <cellStyle name="Normal 2 2 4 12 5 7" xfId="21918" xr:uid="{00000000-0005-0000-0000-00007B550000}"/>
    <cellStyle name="Normal 2 2 4 12 5 8" xfId="21919" xr:uid="{00000000-0005-0000-0000-00007C550000}"/>
    <cellStyle name="Normal 2 2 4 12 5 9" xfId="21920" xr:uid="{00000000-0005-0000-0000-00007D550000}"/>
    <cellStyle name="Normal 2 2 4 12 6" xfId="21921" xr:uid="{00000000-0005-0000-0000-00007E550000}"/>
    <cellStyle name="Normal 2 2 4 12 7" xfId="21922" xr:uid="{00000000-0005-0000-0000-00007F550000}"/>
    <cellStyle name="Normal 2 2 4 12 8" xfId="21923" xr:uid="{00000000-0005-0000-0000-000080550000}"/>
    <cellStyle name="Normal 2 2 4 12 9" xfId="21924" xr:uid="{00000000-0005-0000-0000-000081550000}"/>
    <cellStyle name="Normal 2 2 4 13" xfId="21925" xr:uid="{00000000-0005-0000-0000-000082550000}"/>
    <cellStyle name="Normal 2 2 4 13 10" xfId="21926" xr:uid="{00000000-0005-0000-0000-000083550000}"/>
    <cellStyle name="Normal 2 2 4 13 11" xfId="21927" xr:uid="{00000000-0005-0000-0000-000084550000}"/>
    <cellStyle name="Normal 2 2 4 13 12" xfId="21928" xr:uid="{00000000-0005-0000-0000-000085550000}"/>
    <cellStyle name="Normal 2 2 4 13 13" xfId="21929" xr:uid="{00000000-0005-0000-0000-000086550000}"/>
    <cellStyle name="Normal 2 2 4 13 14" xfId="21930" xr:uid="{00000000-0005-0000-0000-000087550000}"/>
    <cellStyle name="Normal 2 2 4 13 2" xfId="21931" xr:uid="{00000000-0005-0000-0000-000088550000}"/>
    <cellStyle name="Normal 2 2 4 13 2 10" xfId="21932" xr:uid="{00000000-0005-0000-0000-000089550000}"/>
    <cellStyle name="Normal 2 2 4 13 2 2" xfId="21933" xr:uid="{00000000-0005-0000-0000-00008A550000}"/>
    <cellStyle name="Normal 2 2 4 13 2 3" xfId="21934" xr:uid="{00000000-0005-0000-0000-00008B550000}"/>
    <cellStyle name="Normal 2 2 4 13 2 4" xfId="21935" xr:uid="{00000000-0005-0000-0000-00008C550000}"/>
    <cellStyle name="Normal 2 2 4 13 2 5" xfId="21936" xr:uid="{00000000-0005-0000-0000-00008D550000}"/>
    <cellStyle name="Normal 2 2 4 13 2 6" xfId="21937" xr:uid="{00000000-0005-0000-0000-00008E550000}"/>
    <cellStyle name="Normal 2 2 4 13 2 7" xfId="21938" xr:uid="{00000000-0005-0000-0000-00008F550000}"/>
    <cellStyle name="Normal 2 2 4 13 2 8" xfId="21939" xr:uid="{00000000-0005-0000-0000-000090550000}"/>
    <cellStyle name="Normal 2 2 4 13 2 9" xfId="21940" xr:uid="{00000000-0005-0000-0000-000091550000}"/>
    <cellStyle name="Normal 2 2 4 13 3" xfId="21941" xr:uid="{00000000-0005-0000-0000-000092550000}"/>
    <cellStyle name="Normal 2 2 4 13 3 10" xfId="21942" xr:uid="{00000000-0005-0000-0000-000093550000}"/>
    <cellStyle name="Normal 2 2 4 13 3 2" xfId="21943" xr:uid="{00000000-0005-0000-0000-000094550000}"/>
    <cellStyle name="Normal 2 2 4 13 3 3" xfId="21944" xr:uid="{00000000-0005-0000-0000-000095550000}"/>
    <cellStyle name="Normal 2 2 4 13 3 4" xfId="21945" xr:uid="{00000000-0005-0000-0000-000096550000}"/>
    <cellStyle name="Normal 2 2 4 13 3 5" xfId="21946" xr:uid="{00000000-0005-0000-0000-000097550000}"/>
    <cellStyle name="Normal 2 2 4 13 3 6" xfId="21947" xr:uid="{00000000-0005-0000-0000-000098550000}"/>
    <cellStyle name="Normal 2 2 4 13 3 7" xfId="21948" xr:uid="{00000000-0005-0000-0000-000099550000}"/>
    <cellStyle name="Normal 2 2 4 13 3 8" xfId="21949" xr:uid="{00000000-0005-0000-0000-00009A550000}"/>
    <cellStyle name="Normal 2 2 4 13 3 9" xfId="21950" xr:uid="{00000000-0005-0000-0000-00009B550000}"/>
    <cellStyle name="Normal 2 2 4 13 4" xfId="21951" xr:uid="{00000000-0005-0000-0000-00009C550000}"/>
    <cellStyle name="Normal 2 2 4 13 4 10" xfId="21952" xr:uid="{00000000-0005-0000-0000-00009D550000}"/>
    <cellStyle name="Normal 2 2 4 13 4 2" xfId="21953" xr:uid="{00000000-0005-0000-0000-00009E550000}"/>
    <cellStyle name="Normal 2 2 4 13 4 3" xfId="21954" xr:uid="{00000000-0005-0000-0000-00009F550000}"/>
    <cellStyle name="Normal 2 2 4 13 4 4" xfId="21955" xr:uid="{00000000-0005-0000-0000-0000A0550000}"/>
    <cellStyle name="Normal 2 2 4 13 4 5" xfId="21956" xr:uid="{00000000-0005-0000-0000-0000A1550000}"/>
    <cellStyle name="Normal 2 2 4 13 4 6" xfId="21957" xr:uid="{00000000-0005-0000-0000-0000A2550000}"/>
    <cellStyle name="Normal 2 2 4 13 4 7" xfId="21958" xr:uid="{00000000-0005-0000-0000-0000A3550000}"/>
    <cellStyle name="Normal 2 2 4 13 4 8" xfId="21959" xr:uid="{00000000-0005-0000-0000-0000A4550000}"/>
    <cellStyle name="Normal 2 2 4 13 4 9" xfId="21960" xr:uid="{00000000-0005-0000-0000-0000A5550000}"/>
    <cellStyle name="Normal 2 2 4 13 5" xfId="21961" xr:uid="{00000000-0005-0000-0000-0000A6550000}"/>
    <cellStyle name="Normal 2 2 4 13 5 10" xfId="21962" xr:uid="{00000000-0005-0000-0000-0000A7550000}"/>
    <cellStyle name="Normal 2 2 4 13 5 2" xfId="21963" xr:uid="{00000000-0005-0000-0000-0000A8550000}"/>
    <cellStyle name="Normal 2 2 4 13 5 3" xfId="21964" xr:uid="{00000000-0005-0000-0000-0000A9550000}"/>
    <cellStyle name="Normal 2 2 4 13 5 4" xfId="21965" xr:uid="{00000000-0005-0000-0000-0000AA550000}"/>
    <cellStyle name="Normal 2 2 4 13 5 5" xfId="21966" xr:uid="{00000000-0005-0000-0000-0000AB550000}"/>
    <cellStyle name="Normal 2 2 4 13 5 6" xfId="21967" xr:uid="{00000000-0005-0000-0000-0000AC550000}"/>
    <cellStyle name="Normal 2 2 4 13 5 7" xfId="21968" xr:uid="{00000000-0005-0000-0000-0000AD550000}"/>
    <cellStyle name="Normal 2 2 4 13 5 8" xfId="21969" xr:uid="{00000000-0005-0000-0000-0000AE550000}"/>
    <cellStyle name="Normal 2 2 4 13 5 9" xfId="21970" xr:uid="{00000000-0005-0000-0000-0000AF550000}"/>
    <cellStyle name="Normal 2 2 4 13 6" xfId="21971" xr:uid="{00000000-0005-0000-0000-0000B0550000}"/>
    <cellStyle name="Normal 2 2 4 13 7" xfId="21972" xr:uid="{00000000-0005-0000-0000-0000B1550000}"/>
    <cellStyle name="Normal 2 2 4 13 8" xfId="21973" xr:uid="{00000000-0005-0000-0000-0000B2550000}"/>
    <cellStyle name="Normal 2 2 4 13 9" xfId="21974" xr:uid="{00000000-0005-0000-0000-0000B3550000}"/>
    <cellStyle name="Normal 2 2 4 14" xfId="21975" xr:uid="{00000000-0005-0000-0000-0000B4550000}"/>
    <cellStyle name="Normal 2 2 4 14 10" xfId="21976" xr:uid="{00000000-0005-0000-0000-0000B5550000}"/>
    <cellStyle name="Normal 2 2 4 14 11" xfId="21977" xr:uid="{00000000-0005-0000-0000-0000B6550000}"/>
    <cellStyle name="Normal 2 2 4 14 12" xfId="21978" xr:uid="{00000000-0005-0000-0000-0000B7550000}"/>
    <cellStyle name="Normal 2 2 4 14 13" xfId="21979" xr:uid="{00000000-0005-0000-0000-0000B8550000}"/>
    <cellStyle name="Normal 2 2 4 14 14" xfId="21980" xr:uid="{00000000-0005-0000-0000-0000B9550000}"/>
    <cellStyle name="Normal 2 2 4 14 2" xfId="21981" xr:uid="{00000000-0005-0000-0000-0000BA550000}"/>
    <cellStyle name="Normal 2 2 4 14 2 10" xfId="21982" xr:uid="{00000000-0005-0000-0000-0000BB550000}"/>
    <cellStyle name="Normal 2 2 4 14 2 2" xfId="21983" xr:uid="{00000000-0005-0000-0000-0000BC550000}"/>
    <cellStyle name="Normal 2 2 4 14 2 3" xfId="21984" xr:uid="{00000000-0005-0000-0000-0000BD550000}"/>
    <cellStyle name="Normal 2 2 4 14 2 4" xfId="21985" xr:uid="{00000000-0005-0000-0000-0000BE550000}"/>
    <cellStyle name="Normal 2 2 4 14 2 5" xfId="21986" xr:uid="{00000000-0005-0000-0000-0000BF550000}"/>
    <cellStyle name="Normal 2 2 4 14 2 6" xfId="21987" xr:uid="{00000000-0005-0000-0000-0000C0550000}"/>
    <cellStyle name="Normal 2 2 4 14 2 7" xfId="21988" xr:uid="{00000000-0005-0000-0000-0000C1550000}"/>
    <cellStyle name="Normal 2 2 4 14 2 8" xfId="21989" xr:uid="{00000000-0005-0000-0000-0000C2550000}"/>
    <cellStyle name="Normal 2 2 4 14 2 9" xfId="21990" xr:uid="{00000000-0005-0000-0000-0000C3550000}"/>
    <cellStyle name="Normal 2 2 4 14 3" xfId="21991" xr:uid="{00000000-0005-0000-0000-0000C4550000}"/>
    <cellStyle name="Normal 2 2 4 14 3 10" xfId="21992" xr:uid="{00000000-0005-0000-0000-0000C5550000}"/>
    <cellStyle name="Normal 2 2 4 14 3 2" xfId="21993" xr:uid="{00000000-0005-0000-0000-0000C6550000}"/>
    <cellStyle name="Normal 2 2 4 14 3 3" xfId="21994" xr:uid="{00000000-0005-0000-0000-0000C7550000}"/>
    <cellStyle name="Normal 2 2 4 14 3 4" xfId="21995" xr:uid="{00000000-0005-0000-0000-0000C8550000}"/>
    <cellStyle name="Normal 2 2 4 14 3 5" xfId="21996" xr:uid="{00000000-0005-0000-0000-0000C9550000}"/>
    <cellStyle name="Normal 2 2 4 14 3 6" xfId="21997" xr:uid="{00000000-0005-0000-0000-0000CA550000}"/>
    <cellStyle name="Normal 2 2 4 14 3 7" xfId="21998" xr:uid="{00000000-0005-0000-0000-0000CB550000}"/>
    <cellStyle name="Normal 2 2 4 14 3 8" xfId="21999" xr:uid="{00000000-0005-0000-0000-0000CC550000}"/>
    <cellStyle name="Normal 2 2 4 14 3 9" xfId="22000" xr:uid="{00000000-0005-0000-0000-0000CD550000}"/>
    <cellStyle name="Normal 2 2 4 14 4" xfId="22001" xr:uid="{00000000-0005-0000-0000-0000CE550000}"/>
    <cellStyle name="Normal 2 2 4 14 4 10" xfId="22002" xr:uid="{00000000-0005-0000-0000-0000CF550000}"/>
    <cellStyle name="Normal 2 2 4 14 4 2" xfId="22003" xr:uid="{00000000-0005-0000-0000-0000D0550000}"/>
    <cellStyle name="Normal 2 2 4 14 4 3" xfId="22004" xr:uid="{00000000-0005-0000-0000-0000D1550000}"/>
    <cellStyle name="Normal 2 2 4 14 4 4" xfId="22005" xr:uid="{00000000-0005-0000-0000-0000D2550000}"/>
    <cellStyle name="Normal 2 2 4 14 4 5" xfId="22006" xr:uid="{00000000-0005-0000-0000-0000D3550000}"/>
    <cellStyle name="Normal 2 2 4 14 4 6" xfId="22007" xr:uid="{00000000-0005-0000-0000-0000D4550000}"/>
    <cellStyle name="Normal 2 2 4 14 4 7" xfId="22008" xr:uid="{00000000-0005-0000-0000-0000D5550000}"/>
    <cellStyle name="Normal 2 2 4 14 4 8" xfId="22009" xr:uid="{00000000-0005-0000-0000-0000D6550000}"/>
    <cellStyle name="Normal 2 2 4 14 4 9" xfId="22010" xr:uid="{00000000-0005-0000-0000-0000D7550000}"/>
    <cellStyle name="Normal 2 2 4 14 5" xfId="22011" xr:uid="{00000000-0005-0000-0000-0000D8550000}"/>
    <cellStyle name="Normal 2 2 4 14 5 10" xfId="22012" xr:uid="{00000000-0005-0000-0000-0000D9550000}"/>
    <cellStyle name="Normal 2 2 4 14 5 2" xfId="22013" xr:uid="{00000000-0005-0000-0000-0000DA550000}"/>
    <cellStyle name="Normal 2 2 4 14 5 3" xfId="22014" xr:uid="{00000000-0005-0000-0000-0000DB550000}"/>
    <cellStyle name="Normal 2 2 4 14 5 4" xfId="22015" xr:uid="{00000000-0005-0000-0000-0000DC550000}"/>
    <cellStyle name="Normal 2 2 4 14 5 5" xfId="22016" xr:uid="{00000000-0005-0000-0000-0000DD550000}"/>
    <cellStyle name="Normal 2 2 4 14 5 6" xfId="22017" xr:uid="{00000000-0005-0000-0000-0000DE550000}"/>
    <cellStyle name="Normal 2 2 4 14 5 7" xfId="22018" xr:uid="{00000000-0005-0000-0000-0000DF550000}"/>
    <cellStyle name="Normal 2 2 4 14 5 8" xfId="22019" xr:uid="{00000000-0005-0000-0000-0000E0550000}"/>
    <cellStyle name="Normal 2 2 4 14 5 9" xfId="22020" xr:uid="{00000000-0005-0000-0000-0000E1550000}"/>
    <cellStyle name="Normal 2 2 4 14 6" xfId="22021" xr:uid="{00000000-0005-0000-0000-0000E2550000}"/>
    <cellStyle name="Normal 2 2 4 14 7" xfId="22022" xr:uid="{00000000-0005-0000-0000-0000E3550000}"/>
    <cellStyle name="Normal 2 2 4 14 8" xfId="22023" xr:uid="{00000000-0005-0000-0000-0000E4550000}"/>
    <cellStyle name="Normal 2 2 4 14 9" xfId="22024" xr:uid="{00000000-0005-0000-0000-0000E5550000}"/>
    <cellStyle name="Normal 2 2 4 15" xfId="22025" xr:uid="{00000000-0005-0000-0000-0000E6550000}"/>
    <cellStyle name="Normal 2 2 4 15 10" xfId="22026" xr:uid="{00000000-0005-0000-0000-0000E7550000}"/>
    <cellStyle name="Normal 2 2 4 15 11" xfId="22027" xr:uid="{00000000-0005-0000-0000-0000E8550000}"/>
    <cellStyle name="Normal 2 2 4 15 12" xfId="22028" xr:uid="{00000000-0005-0000-0000-0000E9550000}"/>
    <cellStyle name="Normal 2 2 4 15 13" xfId="22029" xr:uid="{00000000-0005-0000-0000-0000EA550000}"/>
    <cellStyle name="Normal 2 2 4 15 14" xfId="22030" xr:uid="{00000000-0005-0000-0000-0000EB550000}"/>
    <cellStyle name="Normal 2 2 4 15 2" xfId="22031" xr:uid="{00000000-0005-0000-0000-0000EC550000}"/>
    <cellStyle name="Normal 2 2 4 15 2 10" xfId="22032" xr:uid="{00000000-0005-0000-0000-0000ED550000}"/>
    <cellStyle name="Normal 2 2 4 15 2 2" xfId="22033" xr:uid="{00000000-0005-0000-0000-0000EE550000}"/>
    <cellStyle name="Normal 2 2 4 15 2 3" xfId="22034" xr:uid="{00000000-0005-0000-0000-0000EF550000}"/>
    <cellStyle name="Normal 2 2 4 15 2 4" xfId="22035" xr:uid="{00000000-0005-0000-0000-0000F0550000}"/>
    <cellStyle name="Normal 2 2 4 15 2 5" xfId="22036" xr:uid="{00000000-0005-0000-0000-0000F1550000}"/>
    <cellStyle name="Normal 2 2 4 15 2 6" xfId="22037" xr:uid="{00000000-0005-0000-0000-0000F2550000}"/>
    <cellStyle name="Normal 2 2 4 15 2 7" xfId="22038" xr:uid="{00000000-0005-0000-0000-0000F3550000}"/>
    <cellStyle name="Normal 2 2 4 15 2 8" xfId="22039" xr:uid="{00000000-0005-0000-0000-0000F4550000}"/>
    <cellStyle name="Normal 2 2 4 15 2 9" xfId="22040" xr:uid="{00000000-0005-0000-0000-0000F5550000}"/>
    <cellStyle name="Normal 2 2 4 15 3" xfId="22041" xr:uid="{00000000-0005-0000-0000-0000F6550000}"/>
    <cellStyle name="Normal 2 2 4 15 3 10" xfId="22042" xr:uid="{00000000-0005-0000-0000-0000F7550000}"/>
    <cellStyle name="Normal 2 2 4 15 3 2" xfId="22043" xr:uid="{00000000-0005-0000-0000-0000F8550000}"/>
    <cellStyle name="Normal 2 2 4 15 3 3" xfId="22044" xr:uid="{00000000-0005-0000-0000-0000F9550000}"/>
    <cellStyle name="Normal 2 2 4 15 3 4" xfId="22045" xr:uid="{00000000-0005-0000-0000-0000FA550000}"/>
    <cellStyle name="Normal 2 2 4 15 3 5" xfId="22046" xr:uid="{00000000-0005-0000-0000-0000FB550000}"/>
    <cellStyle name="Normal 2 2 4 15 3 6" xfId="22047" xr:uid="{00000000-0005-0000-0000-0000FC550000}"/>
    <cellStyle name="Normal 2 2 4 15 3 7" xfId="22048" xr:uid="{00000000-0005-0000-0000-0000FD550000}"/>
    <cellStyle name="Normal 2 2 4 15 3 8" xfId="22049" xr:uid="{00000000-0005-0000-0000-0000FE550000}"/>
    <cellStyle name="Normal 2 2 4 15 3 9" xfId="22050" xr:uid="{00000000-0005-0000-0000-0000FF550000}"/>
    <cellStyle name="Normal 2 2 4 15 4" xfId="22051" xr:uid="{00000000-0005-0000-0000-000000560000}"/>
    <cellStyle name="Normal 2 2 4 15 4 10" xfId="22052" xr:uid="{00000000-0005-0000-0000-000001560000}"/>
    <cellStyle name="Normal 2 2 4 15 4 2" xfId="22053" xr:uid="{00000000-0005-0000-0000-000002560000}"/>
    <cellStyle name="Normal 2 2 4 15 4 3" xfId="22054" xr:uid="{00000000-0005-0000-0000-000003560000}"/>
    <cellStyle name="Normal 2 2 4 15 4 4" xfId="22055" xr:uid="{00000000-0005-0000-0000-000004560000}"/>
    <cellStyle name="Normal 2 2 4 15 4 5" xfId="22056" xr:uid="{00000000-0005-0000-0000-000005560000}"/>
    <cellStyle name="Normal 2 2 4 15 4 6" xfId="22057" xr:uid="{00000000-0005-0000-0000-000006560000}"/>
    <cellStyle name="Normal 2 2 4 15 4 7" xfId="22058" xr:uid="{00000000-0005-0000-0000-000007560000}"/>
    <cellStyle name="Normal 2 2 4 15 4 8" xfId="22059" xr:uid="{00000000-0005-0000-0000-000008560000}"/>
    <cellStyle name="Normal 2 2 4 15 4 9" xfId="22060" xr:uid="{00000000-0005-0000-0000-000009560000}"/>
    <cellStyle name="Normal 2 2 4 15 5" xfId="22061" xr:uid="{00000000-0005-0000-0000-00000A560000}"/>
    <cellStyle name="Normal 2 2 4 15 5 10" xfId="22062" xr:uid="{00000000-0005-0000-0000-00000B560000}"/>
    <cellStyle name="Normal 2 2 4 15 5 2" xfId="22063" xr:uid="{00000000-0005-0000-0000-00000C560000}"/>
    <cellStyle name="Normal 2 2 4 15 5 3" xfId="22064" xr:uid="{00000000-0005-0000-0000-00000D560000}"/>
    <cellStyle name="Normal 2 2 4 15 5 4" xfId="22065" xr:uid="{00000000-0005-0000-0000-00000E560000}"/>
    <cellStyle name="Normal 2 2 4 15 5 5" xfId="22066" xr:uid="{00000000-0005-0000-0000-00000F560000}"/>
    <cellStyle name="Normal 2 2 4 15 5 6" xfId="22067" xr:uid="{00000000-0005-0000-0000-000010560000}"/>
    <cellStyle name="Normal 2 2 4 15 5 7" xfId="22068" xr:uid="{00000000-0005-0000-0000-000011560000}"/>
    <cellStyle name="Normal 2 2 4 15 5 8" xfId="22069" xr:uid="{00000000-0005-0000-0000-000012560000}"/>
    <cellStyle name="Normal 2 2 4 15 5 9" xfId="22070" xr:uid="{00000000-0005-0000-0000-000013560000}"/>
    <cellStyle name="Normal 2 2 4 15 6" xfId="22071" xr:uid="{00000000-0005-0000-0000-000014560000}"/>
    <cellStyle name="Normal 2 2 4 15 7" xfId="22072" xr:uid="{00000000-0005-0000-0000-000015560000}"/>
    <cellStyle name="Normal 2 2 4 15 8" xfId="22073" xr:uid="{00000000-0005-0000-0000-000016560000}"/>
    <cellStyle name="Normal 2 2 4 15 9" xfId="22074" xr:uid="{00000000-0005-0000-0000-000017560000}"/>
    <cellStyle name="Normal 2 2 4 16" xfId="22075" xr:uid="{00000000-0005-0000-0000-000018560000}"/>
    <cellStyle name="Normal 2 2 4 16 10" xfId="22076" xr:uid="{00000000-0005-0000-0000-000019560000}"/>
    <cellStyle name="Normal 2 2 4 16 11" xfId="22077" xr:uid="{00000000-0005-0000-0000-00001A560000}"/>
    <cellStyle name="Normal 2 2 4 16 12" xfId="22078" xr:uid="{00000000-0005-0000-0000-00001B560000}"/>
    <cellStyle name="Normal 2 2 4 16 13" xfId="22079" xr:uid="{00000000-0005-0000-0000-00001C560000}"/>
    <cellStyle name="Normal 2 2 4 16 14" xfId="22080" xr:uid="{00000000-0005-0000-0000-00001D560000}"/>
    <cellStyle name="Normal 2 2 4 16 2" xfId="22081" xr:uid="{00000000-0005-0000-0000-00001E560000}"/>
    <cellStyle name="Normal 2 2 4 16 2 10" xfId="22082" xr:uid="{00000000-0005-0000-0000-00001F560000}"/>
    <cellStyle name="Normal 2 2 4 16 2 2" xfId="22083" xr:uid="{00000000-0005-0000-0000-000020560000}"/>
    <cellStyle name="Normal 2 2 4 16 2 3" xfId="22084" xr:uid="{00000000-0005-0000-0000-000021560000}"/>
    <cellStyle name="Normal 2 2 4 16 2 4" xfId="22085" xr:uid="{00000000-0005-0000-0000-000022560000}"/>
    <cellStyle name="Normal 2 2 4 16 2 5" xfId="22086" xr:uid="{00000000-0005-0000-0000-000023560000}"/>
    <cellStyle name="Normal 2 2 4 16 2 6" xfId="22087" xr:uid="{00000000-0005-0000-0000-000024560000}"/>
    <cellStyle name="Normal 2 2 4 16 2 7" xfId="22088" xr:uid="{00000000-0005-0000-0000-000025560000}"/>
    <cellStyle name="Normal 2 2 4 16 2 8" xfId="22089" xr:uid="{00000000-0005-0000-0000-000026560000}"/>
    <cellStyle name="Normal 2 2 4 16 2 9" xfId="22090" xr:uid="{00000000-0005-0000-0000-000027560000}"/>
    <cellStyle name="Normal 2 2 4 16 3" xfId="22091" xr:uid="{00000000-0005-0000-0000-000028560000}"/>
    <cellStyle name="Normal 2 2 4 16 3 10" xfId="22092" xr:uid="{00000000-0005-0000-0000-000029560000}"/>
    <cellStyle name="Normal 2 2 4 16 3 2" xfId="22093" xr:uid="{00000000-0005-0000-0000-00002A560000}"/>
    <cellStyle name="Normal 2 2 4 16 3 3" xfId="22094" xr:uid="{00000000-0005-0000-0000-00002B560000}"/>
    <cellStyle name="Normal 2 2 4 16 3 4" xfId="22095" xr:uid="{00000000-0005-0000-0000-00002C560000}"/>
    <cellStyle name="Normal 2 2 4 16 3 5" xfId="22096" xr:uid="{00000000-0005-0000-0000-00002D560000}"/>
    <cellStyle name="Normal 2 2 4 16 3 6" xfId="22097" xr:uid="{00000000-0005-0000-0000-00002E560000}"/>
    <cellStyle name="Normal 2 2 4 16 3 7" xfId="22098" xr:uid="{00000000-0005-0000-0000-00002F560000}"/>
    <cellStyle name="Normal 2 2 4 16 3 8" xfId="22099" xr:uid="{00000000-0005-0000-0000-000030560000}"/>
    <cellStyle name="Normal 2 2 4 16 3 9" xfId="22100" xr:uid="{00000000-0005-0000-0000-000031560000}"/>
    <cellStyle name="Normal 2 2 4 16 4" xfId="22101" xr:uid="{00000000-0005-0000-0000-000032560000}"/>
    <cellStyle name="Normal 2 2 4 16 4 10" xfId="22102" xr:uid="{00000000-0005-0000-0000-000033560000}"/>
    <cellStyle name="Normal 2 2 4 16 4 2" xfId="22103" xr:uid="{00000000-0005-0000-0000-000034560000}"/>
    <cellStyle name="Normal 2 2 4 16 4 3" xfId="22104" xr:uid="{00000000-0005-0000-0000-000035560000}"/>
    <cellStyle name="Normal 2 2 4 16 4 4" xfId="22105" xr:uid="{00000000-0005-0000-0000-000036560000}"/>
    <cellStyle name="Normal 2 2 4 16 4 5" xfId="22106" xr:uid="{00000000-0005-0000-0000-000037560000}"/>
    <cellStyle name="Normal 2 2 4 16 4 6" xfId="22107" xr:uid="{00000000-0005-0000-0000-000038560000}"/>
    <cellStyle name="Normal 2 2 4 16 4 7" xfId="22108" xr:uid="{00000000-0005-0000-0000-000039560000}"/>
    <cellStyle name="Normal 2 2 4 16 4 8" xfId="22109" xr:uid="{00000000-0005-0000-0000-00003A560000}"/>
    <cellStyle name="Normal 2 2 4 16 4 9" xfId="22110" xr:uid="{00000000-0005-0000-0000-00003B560000}"/>
    <cellStyle name="Normal 2 2 4 16 5" xfId="22111" xr:uid="{00000000-0005-0000-0000-00003C560000}"/>
    <cellStyle name="Normal 2 2 4 16 5 10" xfId="22112" xr:uid="{00000000-0005-0000-0000-00003D560000}"/>
    <cellStyle name="Normal 2 2 4 16 5 2" xfId="22113" xr:uid="{00000000-0005-0000-0000-00003E560000}"/>
    <cellStyle name="Normal 2 2 4 16 5 3" xfId="22114" xr:uid="{00000000-0005-0000-0000-00003F560000}"/>
    <cellStyle name="Normal 2 2 4 16 5 4" xfId="22115" xr:uid="{00000000-0005-0000-0000-000040560000}"/>
    <cellStyle name="Normal 2 2 4 16 5 5" xfId="22116" xr:uid="{00000000-0005-0000-0000-000041560000}"/>
    <cellStyle name="Normal 2 2 4 16 5 6" xfId="22117" xr:uid="{00000000-0005-0000-0000-000042560000}"/>
    <cellStyle name="Normal 2 2 4 16 5 7" xfId="22118" xr:uid="{00000000-0005-0000-0000-000043560000}"/>
    <cellStyle name="Normal 2 2 4 16 5 8" xfId="22119" xr:uid="{00000000-0005-0000-0000-000044560000}"/>
    <cellStyle name="Normal 2 2 4 16 5 9" xfId="22120" xr:uid="{00000000-0005-0000-0000-000045560000}"/>
    <cellStyle name="Normal 2 2 4 16 6" xfId="22121" xr:uid="{00000000-0005-0000-0000-000046560000}"/>
    <cellStyle name="Normal 2 2 4 16 7" xfId="22122" xr:uid="{00000000-0005-0000-0000-000047560000}"/>
    <cellStyle name="Normal 2 2 4 16 8" xfId="22123" xr:uid="{00000000-0005-0000-0000-000048560000}"/>
    <cellStyle name="Normal 2 2 4 16 9" xfId="22124" xr:uid="{00000000-0005-0000-0000-000049560000}"/>
    <cellStyle name="Normal 2 2 4 17" xfId="22125" xr:uid="{00000000-0005-0000-0000-00004A560000}"/>
    <cellStyle name="Normal 2 2 4 17 10" xfId="22126" xr:uid="{00000000-0005-0000-0000-00004B560000}"/>
    <cellStyle name="Normal 2 2 4 17 11" xfId="22127" xr:uid="{00000000-0005-0000-0000-00004C560000}"/>
    <cellStyle name="Normal 2 2 4 17 12" xfId="22128" xr:uid="{00000000-0005-0000-0000-00004D560000}"/>
    <cellStyle name="Normal 2 2 4 17 13" xfId="22129" xr:uid="{00000000-0005-0000-0000-00004E560000}"/>
    <cellStyle name="Normal 2 2 4 17 14" xfId="22130" xr:uid="{00000000-0005-0000-0000-00004F560000}"/>
    <cellStyle name="Normal 2 2 4 17 2" xfId="22131" xr:uid="{00000000-0005-0000-0000-000050560000}"/>
    <cellStyle name="Normal 2 2 4 17 2 10" xfId="22132" xr:uid="{00000000-0005-0000-0000-000051560000}"/>
    <cellStyle name="Normal 2 2 4 17 2 2" xfId="22133" xr:uid="{00000000-0005-0000-0000-000052560000}"/>
    <cellStyle name="Normal 2 2 4 17 2 3" xfId="22134" xr:uid="{00000000-0005-0000-0000-000053560000}"/>
    <cellStyle name="Normal 2 2 4 17 2 4" xfId="22135" xr:uid="{00000000-0005-0000-0000-000054560000}"/>
    <cellStyle name="Normal 2 2 4 17 2 5" xfId="22136" xr:uid="{00000000-0005-0000-0000-000055560000}"/>
    <cellStyle name="Normal 2 2 4 17 2 6" xfId="22137" xr:uid="{00000000-0005-0000-0000-000056560000}"/>
    <cellStyle name="Normal 2 2 4 17 2 7" xfId="22138" xr:uid="{00000000-0005-0000-0000-000057560000}"/>
    <cellStyle name="Normal 2 2 4 17 2 8" xfId="22139" xr:uid="{00000000-0005-0000-0000-000058560000}"/>
    <cellStyle name="Normal 2 2 4 17 2 9" xfId="22140" xr:uid="{00000000-0005-0000-0000-000059560000}"/>
    <cellStyle name="Normal 2 2 4 17 3" xfId="22141" xr:uid="{00000000-0005-0000-0000-00005A560000}"/>
    <cellStyle name="Normal 2 2 4 17 3 10" xfId="22142" xr:uid="{00000000-0005-0000-0000-00005B560000}"/>
    <cellStyle name="Normal 2 2 4 17 3 2" xfId="22143" xr:uid="{00000000-0005-0000-0000-00005C560000}"/>
    <cellStyle name="Normal 2 2 4 17 3 3" xfId="22144" xr:uid="{00000000-0005-0000-0000-00005D560000}"/>
    <cellStyle name="Normal 2 2 4 17 3 4" xfId="22145" xr:uid="{00000000-0005-0000-0000-00005E560000}"/>
    <cellStyle name="Normal 2 2 4 17 3 5" xfId="22146" xr:uid="{00000000-0005-0000-0000-00005F560000}"/>
    <cellStyle name="Normal 2 2 4 17 3 6" xfId="22147" xr:uid="{00000000-0005-0000-0000-000060560000}"/>
    <cellStyle name="Normal 2 2 4 17 3 7" xfId="22148" xr:uid="{00000000-0005-0000-0000-000061560000}"/>
    <cellStyle name="Normal 2 2 4 17 3 8" xfId="22149" xr:uid="{00000000-0005-0000-0000-000062560000}"/>
    <cellStyle name="Normal 2 2 4 17 3 9" xfId="22150" xr:uid="{00000000-0005-0000-0000-000063560000}"/>
    <cellStyle name="Normal 2 2 4 17 4" xfId="22151" xr:uid="{00000000-0005-0000-0000-000064560000}"/>
    <cellStyle name="Normal 2 2 4 17 4 10" xfId="22152" xr:uid="{00000000-0005-0000-0000-000065560000}"/>
    <cellStyle name="Normal 2 2 4 17 4 2" xfId="22153" xr:uid="{00000000-0005-0000-0000-000066560000}"/>
    <cellStyle name="Normal 2 2 4 17 4 3" xfId="22154" xr:uid="{00000000-0005-0000-0000-000067560000}"/>
    <cellStyle name="Normal 2 2 4 17 4 4" xfId="22155" xr:uid="{00000000-0005-0000-0000-000068560000}"/>
    <cellStyle name="Normal 2 2 4 17 4 5" xfId="22156" xr:uid="{00000000-0005-0000-0000-000069560000}"/>
    <cellStyle name="Normal 2 2 4 17 4 6" xfId="22157" xr:uid="{00000000-0005-0000-0000-00006A560000}"/>
    <cellStyle name="Normal 2 2 4 17 4 7" xfId="22158" xr:uid="{00000000-0005-0000-0000-00006B560000}"/>
    <cellStyle name="Normal 2 2 4 17 4 8" xfId="22159" xr:uid="{00000000-0005-0000-0000-00006C560000}"/>
    <cellStyle name="Normal 2 2 4 17 4 9" xfId="22160" xr:uid="{00000000-0005-0000-0000-00006D560000}"/>
    <cellStyle name="Normal 2 2 4 17 5" xfId="22161" xr:uid="{00000000-0005-0000-0000-00006E560000}"/>
    <cellStyle name="Normal 2 2 4 17 5 10" xfId="22162" xr:uid="{00000000-0005-0000-0000-00006F560000}"/>
    <cellStyle name="Normal 2 2 4 17 5 2" xfId="22163" xr:uid="{00000000-0005-0000-0000-000070560000}"/>
    <cellStyle name="Normal 2 2 4 17 5 3" xfId="22164" xr:uid="{00000000-0005-0000-0000-000071560000}"/>
    <cellStyle name="Normal 2 2 4 17 5 4" xfId="22165" xr:uid="{00000000-0005-0000-0000-000072560000}"/>
    <cellStyle name="Normal 2 2 4 17 5 5" xfId="22166" xr:uid="{00000000-0005-0000-0000-000073560000}"/>
    <cellStyle name="Normal 2 2 4 17 5 6" xfId="22167" xr:uid="{00000000-0005-0000-0000-000074560000}"/>
    <cellStyle name="Normal 2 2 4 17 5 7" xfId="22168" xr:uid="{00000000-0005-0000-0000-000075560000}"/>
    <cellStyle name="Normal 2 2 4 17 5 8" xfId="22169" xr:uid="{00000000-0005-0000-0000-000076560000}"/>
    <cellStyle name="Normal 2 2 4 17 5 9" xfId="22170" xr:uid="{00000000-0005-0000-0000-000077560000}"/>
    <cellStyle name="Normal 2 2 4 17 6" xfId="22171" xr:uid="{00000000-0005-0000-0000-000078560000}"/>
    <cellStyle name="Normal 2 2 4 17 7" xfId="22172" xr:uid="{00000000-0005-0000-0000-000079560000}"/>
    <cellStyle name="Normal 2 2 4 17 8" xfId="22173" xr:uid="{00000000-0005-0000-0000-00007A560000}"/>
    <cellStyle name="Normal 2 2 4 17 9" xfId="22174" xr:uid="{00000000-0005-0000-0000-00007B560000}"/>
    <cellStyle name="Normal 2 2 4 18" xfId="22175" xr:uid="{00000000-0005-0000-0000-00007C560000}"/>
    <cellStyle name="Normal 2 2 4 18 10" xfId="22176" xr:uid="{00000000-0005-0000-0000-00007D560000}"/>
    <cellStyle name="Normal 2 2 4 18 11" xfId="22177" xr:uid="{00000000-0005-0000-0000-00007E560000}"/>
    <cellStyle name="Normal 2 2 4 18 12" xfId="22178" xr:uid="{00000000-0005-0000-0000-00007F560000}"/>
    <cellStyle name="Normal 2 2 4 18 13" xfId="22179" xr:uid="{00000000-0005-0000-0000-000080560000}"/>
    <cellStyle name="Normal 2 2 4 18 14" xfId="22180" xr:uid="{00000000-0005-0000-0000-000081560000}"/>
    <cellStyle name="Normal 2 2 4 18 2" xfId="22181" xr:uid="{00000000-0005-0000-0000-000082560000}"/>
    <cellStyle name="Normal 2 2 4 18 2 10" xfId="22182" xr:uid="{00000000-0005-0000-0000-000083560000}"/>
    <cellStyle name="Normal 2 2 4 18 2 2" xfId="22183" xr:uid="{00000000-0005-0000-0000-000084560000}"/>
    <cellStyle name="Normal 2 2 4 18 2 3" xfId="22184" xr:uid="{00000000-0005-0000-0000-000085560000}"/>
    <cellStyle name="Normal 2 2 4 18 2 4" xfId="22185" xr:uid="{00000000-0005-0000-0000-000086560000}"/>
    <cellStyle name="Normal 2 2 4 18 2 5" xfId="22186" xr:uid="{00000000-0005-0000-0000-000087560000}"/>
    <cellStyle name="Normal 2 2 4 18 2 6" xfId="22187" xr:uid="{00000000-0005-0000-0000-000088560000}"/>
    <cellStyle name="Normal 2 2 4 18 2 7" xfId="22188" xr:uid="{00000000-0005-0000-0000-000089560000}"/>
    <cellStyle name="Normal 2 2 4 18 2 8" xfId="22189" xr:uid="{00000000-0005-0000-0000-00008A560000}"/>
    <cellStyle name="Normal 2 2 4 18 2 9" xfId="22190" xr:uid="{00000000-0005-0000-0000-00008B560000}"/>
    <cellStyle name="Normal 2 2 4 18 3" xfId="22191" xr:uid="{00000000-0005-0000-0000-00008C560000}"/>
    <cellStyle name="Normal 2 2 4 18 3 10" xfId="22192" xr:uid="{00000000-0005-0000-0000-00008D560000}"/>
    <cellStyle name="Normal 2 2 4 18 3 2" xfId="22193" xr:uid="{00000000-0005-0000-0000-00008E560000}"/>
    <cellStyle name="Normal 2 2 4 18 3 3" xfId="22194" xr:uid="{00000000-0005-0000-0000-00008F560000}"/>
    <cellStyle name="Normal 2 2 4 18 3 4" xfId="22195" xr:uid="{00000000-0005-0000-0000-000090560000}"/>
    <cellStyle name="Normal 2 2 4 18 3 5" xfId="22196" xr:uid="{00000000-0005-0000-0000-000091560000}"/>
    <cellStyle name="Normal 2 2 4 18 3 6" xfId="22197" xr:uid="{00000000-0005-0000-0000-000092560000}"/>
    <cellStyle name="Normal 2 2 4 18 3 7" xfId="22198" xr:uid="{00000000-0005-0000-0000-000093560000}"/>
    <cellStyle name="Normal 2 2 4 18 3 8" xfId="22199" xr:uid="{00000000-0005-0000-0000-000094560000}"/>
    <cellStyle name="Normal 2 2 4 18 3 9" xfId="22200" xr:uid="{00000000-0005-0000-0000-000095560000}"/>
    <cellStyle name="Normal 2 2 4 18 4" xfId="22201" xr:uid="{00000000-0005-0000-0000-000096560000}"/>
    <cellStyle name="Normal 2 2 4 18 4 10" xfId="22202" xr:uid="{00000000-0005-0000-0000-000097560000}"/>
    <cellStyle name="Normal 2 2 4 18 4 2" xfId="22203" xr:uid="{00000000-0005-0000-0000-000098560000}"/>
    <cellStyle name="Normal 2 2 4 18 4 3" xfId="22204" xr:uid="{00000000-0005-0000-0000-000099560000}"/>
    <cellStyle name="Normal 2 2 4 18 4 4" xfId="22205" xr:uid="{00000000-0005-0000-0000-00009A560000}"/>
    <cellStyle name="Normal 2 2 4 18 4 5" xfId="22206" xr:uid="{00000000-0005-0000-0000-00009B560000}"/>
    <cellStyle name="Normal 2 2 4 18 4 6" xfId="22207" xr:uid="{00000000-0005-0000-0000-00009C560000}"/>
    <cellStyle name="Normal 2 2 4 18 4 7" xfId="22208" xr:uid="{00000000-0005-0000-0000-00009D560000}"/>
    <cellStyle name="Normal 2 2 4 18 4 8" xfId="22209" xr:uid="{00000000-0005-0000-0000-00009E560000}"/>
    <cellStyle name="Normal 2 2 4 18 4 9" xfId="22210" xr:uid="{00000000-0005-0000-0000-00009F560000}"/>
    <cellStyle name="Normal 2 2 4 18 5" xfId="22211" xr:uid="{00000000-0005-0000-0000-0000A0560000}"/>
    <cellStyle name="Normal 2 2 4 18 5 10" xfId="22212" xr:uid="{00000000-0005-0000-0000-0000A1560000}"/>
    <cellStyle name="Normal 2 2 4 18 5 2" xfId="22213" xr:uid="{00000000-0005-0000-0000-0000A2560000}"/>
    <cellStyle name="Normal 2 2 4 18 5 3" xfId="22214" xr:uid="{00000000-0005-0000-0000-0000A3560000}"/>
    <cellStyle name="Normal 2 2 4 18 5 4" xfId="22215" xr:uid="{00000000-0005-0000-0000-0000A4560000}"/>
    <cellStyle name="Normal 2 2 4 18 5 5" xfId="22216" xr:uid="{00000000-0005-0000-0000-0000A5560000}"/>
    <cellStyle name="Normal 2 2 4 18 5 6" xfId="22217" xr:uid="{00000000-0005-0000-0000-0000A6560000}"/>
    <cellStyle name="Normal 2 2 4 18 5 7" xfId="22218" xr:uid="{00000000-0005-0000-0000-0000A7560000}"/>
    <cellStyle name="Normal 2 2 4 18 5 8" xfId="22219" xr:uid="{00000000-0005-0000-0000-0000A8560000}"/>
    <cellStyle name="Normal 2 2 4 18 5 9" xfId="22220" xr:uid="{00000000-0005-0000-0000-0000A9560000}"/>
    <cellStyle name="Normal 2 2 4 18 6" xfId="22221" xr:uid="{00000000-0005-0000-0000-0000AA560000}"/>
    <cellStyle name="Normal 2 2 4 18 7" xfId="22222" xr:uid="{00000000-0005-0000-0000-0000AB560000}"/>
    <cellStyle name="Normal 2 2 4 18 8" xfId="22223" xr:uid="{00000000-0005-0000-0000-0000AC560000}"/>
    <cellStyle name="Normal 2 2 4 18 9" xfId="22224" xr:uid="{00000000-0005-0000-0000-0000AD560000}"/>
    <cellStyle name="Normal 2 2 4 19" xfId="22225" xr:uid="{00000000-0005-0000-0000-0000AE560000}"/>
    <cellStyle name="Normal 2 2 4 19 10" xfId="22226" xr:uid="{00000000-0005-0000-0000-0000AF560000}"/>
    <cellStyle name="Normal 2 2 4 19 11" xfId="22227" xr:uid="{00000000-0005-0000-0000-0000B0560000}"/>
    <cellStyle name="Normal 2 2 4 19 12" xfId="22228" xr:uid="{00000000-0005-0000-0000-0000B1560000}"/>
    <cellStyle name="Normal 2 2 4 19 13" xfId="22229" xr:uid="{00000000-0005-0000-0000-0000B2560000}"/>
    <cellStyle name="Normal 2 2 4 19 14" xfId="22230" xr:uid="{00000000-0005-0000-0000-0000B3560000}"/>
    <cellStyle name="Normal 2 2 4 19 2" xfId="22231" xr:uid="{00000000-0005-0000-0000-0000B4560000}"/>
    <cellStyle name="Normal 2 2 4 19 2 10" xfId="22232" xr:uid="{00000000-0005-0000-0000-0000B5560000}"/>
    <cellStyle name="Normal 2 2 4 19 2 2" xfId="22233" xr:uid="{00000000-0005-0000-0000-0000B6560000}"/>
    <cellStyle name="Normal 2 2 4 19 2 3" xfId="22234" xr:uid="{00000000-0005-0000-0000-0000B7560000}"/>
    <cellStyle name="Normal 2 2 4 19 2 4" xfId="22235" xr:uid="{00000000-0005-0000-0000-0000B8560000}"/>
    <cellStyle name="Normal 2 2 4 19 2 5" xfId="22236" xr:uid="{00000000-0005-0000-0000-0000B9560000}"/>
    <cellStyle name="Normal 2 2 4 19 2 6" xfId="22237" xr:uid="{00000000-0005-0000-0000-0000BA560000}"/>
    <cellStyle name="Normal 2 2 4 19 2 7" xfId="22238" xr:uid="{00000000-0005-0000-0000-0000BB560000}"/>
    <cellStyle name="Normal 2 2 4 19 2 8" xfId="22239" xr:uid="{00000000-0005-0000-0000-0000BC560000}"/>
    <cellStyle name="Normal 2 2 4 19 2 9" xfId="22240" xr:uid="{00000000-0005-0000-0000-0000BD560000}"/>
    <cellStyle name="Normal 2 2 4 19 3" xfId="22241" xr:uid="{00000000-0005-0000-0000-0000BE560000}"/>
    <cellStyle name="Normal 2 2 4 19 3 10" xfId="22242" xr:uid="{00000000-0005-0000-0000-0000BF560000}"/>
    <cellStyle name="Normal 2 2 4 19 3 2" xfId="22243" xr:uid="{00000000-0005-0000-0000-0000C0560000}"/>
    <cellStyle name="Normal 2 2 4 19 3 3" xfId="22244" xr:uid="{00000000-0005-0000-0000-0000C1560000}"/>
    <cellStyle name="Normal 2 2 4 19 3 4" xfId="22245" xr:uid="{00000000-0005-0000-0000-0000C2560000}"/>
    <cellStyle name="Normal 2 2 4 19 3 5" xfId="22246" xr:uid="{00000000-0005-0000-0000-0000C3560000}"/>
    <cellStyle name="Normal 2 2 4 19 3 6" xfId="22247" xr:uid="{00000000-0005-0000-0000-0000C4560000}"/>
    <cellStyle name="Normal 2 2 4 19 3 7" xfId="22248" xr:uid="{00000000-0005-0000-0000-0000C5560000}"/>
    <cellStyle name="Normal 2 2 4 19 3 8" xfId="22249" xr:uid="{00000000-0005-0000-0000-0000C6560000}"/>
    <cellStyle name="Normal 2 2 4 19 3 9" xfId="22250" xr:uid="{00000000-0005-0000-0000-0000C7560000}"/>
    <cellStyle name="Normal 2 2 4 19 4" xfId="22251" xr:uid="{00000000-0005-0000-0000-0000C8560000}"/>
    <cellStyle name="Normal 2 2 4 19 4 10" xfId="22252" xr:uid="{00000000-0005-0000-0000-0000C9560000}"/>
    <cellStyle name="Normal 2 2 4 19 4 2" xfId="22253" xr:uid="{00000000-0005-0000-0000-0000CA560000}"/>
    <cellStyle name="Normal 2 2 4 19 4 3" xfId="22254" xr:uid="{00000000-0005-0000-0000-0000CB560000}"/>
    <cellStyle name="Normal 2 2 4 19 4 4" xfId="22255" xr:uid="{00000000-0005-0000-0000-0000CC560000}"/>
    <cellStyle name="Normal 2 2 4 19 4 5" xfId="22256" xr:uid="{00000000-0005-0000-0000-0000CD560000}"/>
    <cellStyle name="Normal 2 2 4 19 4 6" xfId="22257" xr:uid="{00000000-0005-0000-0000-0000CE560000}"/>
    <cellStyle name="Normal 2 2 4 19 4 7" xfId="22258" xr:uid="{00000000-0005-0000-0000-0000CF560000}"/>
    <cellStyle name="Normal 2 2 4 19 4 8" xfId="22259" xr:uid="{00000000-0005-0000-0000-0000D0560000}"/>
    <cellStyle name="Normal 2 2 4 19 4 9" xfId="22260" xr:uid="{00000000-0005-0000-0000-0000D1560000}"/>
    <cellStyle name="Normal 2 2 4 19 5" xfId="22261" xr:uid="{00000000-0005-0000-0000-0000D2560000}"/>
    <cellStyle name="Normal 2 2 4 19 5 10" xfId="22262" xr:uid="{00000000-0005-0000-0000-0000D3560000}"/>
    <cellStyle name="Normal 2 2 4 19 5 2" xfId="22263" xr:uid="{00000000-0005-0000-0000-0000D4560000}"/>
    <cellStyle name="Normal 2 2 4 19 5 3" xfId="22264" xr:uid="{00000000-0005-0000-0000-0000D5560000}"/>
    <cellStyle name="Normal 2 2 4 19 5 4" xfId="22265" xr:uid="{00000000-0005-0000-0000-0000D6560000}"/>
    <cellStyle name="Normal 2 2 4 19 5 5" xfId="22266" xr:uid="{00000000-0005-0000-0000-0000D7560000}"/>
    <cellStyle name="Normal 2 2 4 19 5 6" xfId="22267" xr:uid="{00000000-0005-0000-0000-0000D8560000}"/>
    <cellStyle name="Normal 2 2 4 19 5 7" xfId="22268" xr:uid="{00000000-0005-0000-0000-0000D9560000}"/>
    <cellStyle name="Normal 2 2 4 19 5 8" xfId="22269" xr:uid="{00000000-0005-0000-0000-0000DA560000}"/>
    <cellStyle name="Normal 2 2 4 19 5 9" xfId="22270" xr:uid="{00000000-0005-0000-0000-0000DB560000}"/>
    <cellStyle name="Normal 2 2 4 19 6" xfId="22271" xr:uid="{00000000-0005-0000-0000-0000DC560000}"/>
    <cellStyle name="Normal 2 2 4 19 7" xfId="22272" xr:uid="{00000000-0005-0000-0000-0000DD560000}"/>
    <cellStyle name="Normal 2 2 4 19 8" xfId="22273" xr:uid="{00000000-0005-0000-0000-0000DE560000}"/>
    <cellStyle name="Normal 2 2 4 19 9" xfId="22274" xr:uid="{00000000-0005-0000-0000-0000DF560000}"/>
    <cellStyle name="Normal 2 2 4 2" xfId="54" xr:uid="{00000000-0005-0000-0000-0000E0560000}"/>
    <cellStyle name="Normal 2 2 4 2 10" xfId="22276" xr:uid="{00000000-0005-0000-0000-0000E1560000}"/>
    <cellStyle name="Normal 2 2 4 2 11" xfId="22277" xr:uid="{00000000-0005-0000-0000-0000E2560000}"/>
    <cellStyle name="Normal 2 2 4 2 12" xfId="22278" xr:uid="{00000000-0005-0000-0000-0000E3560000}"/>
    <cellStyle name="Normal 2 2 4 2 13" xfId="22279" xr:uid="{00000000-0005-0000-0000-0000E4560000}"/>
    <cellStyle name="Normal 2 2 4 2 14" xfId="22280" xr:uid="{00000000-0005-0000-0000-0000E5560000}"/>
    <cellStyle name="Normal 2 2 4 2 15" xfId="22281" xr:uid="{00000000-0005-0000-0000-0000E6560000}"/>
    <cellStyle name="Normal 2 2 4 2 16" xfId="22282" xr:uid="{00000000-0005-0000-0000-0000E7560000}"/>
    <cellStyle name="Normal 2 2 4 2 17" xfId="22283" xr:uid="{00000000-0005-0000-0000-0000E8560000}"/>
    <cellStyle name="Normal 2 2 4 2 18" xfId="22284" xr:uid="{00000000-0005-0000-0000-0000E9560000}"/>
    <cellStyle name="Normal 2 2 4 2 19" xfId="22285" xr:uid="{00000000-0005-0000-0000-0000EA560000}"/>
    <cellStyle name="Normal 2 2 4 2 2" xfId="22286" xr:uid="{00000000-0005-0000-0000-0000EB560000}"/>
    <cellStyle name="Normal 2 2 4 2 2 10" xfId="22287" xr:uid="{00000000-0005-0000-0000-0000EC560000}"/>
    <cellStyle name="Normal 2 2 4 2 2 10 10" xfId="22288" xr:uid="{00000000-0005-0000-0000-0000ED560000}"/>
    <cellStyle name="Normal 2 2 4 2 2 10 11" xfId="22289" xr:uid="{00000000-0005-0000-0000-0000EE560000}"/>
    <cellStyle name="Normal 2 2 4 2 2 10 12" xfId="22290" xr:uid="{00000000-0005-0000-0000-0000EF560000}"/>
    <cellStyle name="Normal 2 2 4 2 2 10 13" xfId="22291" xr:uid="{00000000-0005-0000-0000-0000F0560000}"/>
    <cellStyle name="Normal 2 2 4 2 2 10 14" xfId="22292" xr:uid="{00000000-0005-0000-0000-0000F1560000}"/>
    <cellStyle name="Normal 2 2 4 2 2 10 2" xfId="22293" xr:uid="{00000000-0005-0000-0000-0000F2560000}"/>
    <cellStyle name="Normal 2 2 4 2 2 10 2 10" xfId="22294" xr:uid="{00000000-0005-0000-0000-0000F3560000}"/>
    <cellStyle name="Normal 2 2 4 2 2 10 2 2" xfId="22295" xr:uid="{00000000-0005-0000-0000-0000F4560000}"/>
    <cellStyle name="Normal 2 2 4 2 2 10 2 3" xfId="22296" xr:uid="{00000000-0005-0000-0000-0000F5560000}"/>
    <cellStyle name="Normal 2 2 4 2 2 10 2 4" xfId="22297" xr:uid="{00000000-0005-0000-0000-0000F6560000}"/>
    <cellStyle name="Normal 2 2 4 2 2 10 2 5" xfId="22298" xr:uid="{00000000-0005-0000-0000-0000F7560000}"/>
    <cellStyle name="Normal 2 2 4 2 2 10 2 6" xfId="22299" xr:uid="{00000000-0005-0000-0000-0000F8560000}"/>
    <cellStyle name="Normal 2 2 4 2 2 10 2 7" xfId="22300" xr:uid="{00000000-0005-0000-0000-0000F9560000}"/>
    <cellStyle name="Normal 2 2 4 2 2 10 2 8" xfId="22301" xr:uid="{00000000-0005-0000-0000-0000FA560000}"/>
    <cellStyle name="Normal 2 2 4 2 2 10 2 9" xfId="22302" xr:uid="{00000000-0005-0000-0000-0000FB560000}"/>
    <cellStyle name="Normal 2 2 4 2 2 10 3" xfId="22303" xr:uid="{00000000-0005-0000-0000-0000FC560000}"/>
    <cellStyle name="Normal 2 2 4 2 2 10 3 10" xfId="22304" xr:uid="{00000000-0005-0000-0000-0000FD560000}"/>
    <cellStyle name="Normal 2 2 4 2 2 10 3 2" xfId="22305" xr:uid="{00000000-0005-0000-0000-0000FE560000}"/>
    <cellStyle name="Normal 2 2 4 2 2 10 3 3" xfId="22306" xr:uid="{00000000-0005-0000-0000-0000FF560000}"/>
    <cellStyle name="Normal 2 2 4 2 2 10 3 4" xfId="22307" xr:uid="{00000000-0005-0000-0000-000000570000}"/>
    <cellStyle name="Normal 2 2 4 2 2 10 3 5" xfId="22308" xr:uid="{00000000-0005-0000-0000-000001570000}"/>
    <cellStyle name="Normal 2 2 4 2 2 10 3 6" xfId="22309" xr:uid="{00000000-0005-0000-0000-000002570000}"/>
    <cellStyle name="Normal 2 2 4 2 2 10 3 7" xfId="22310" xr:uid="{00000000-0005-0000-0000-000003570000}"/>
    <cellStyle name="Normal 2 2 4 2 2 10 3 8" xfId="22311" xr:uid="{00000000-0005-0000-0000-000004570000}"/>
    <cellStyle name="Normal 2 2 4 2 2 10 3 9" xfId="22312" xr:uid="{00000000-0005-0000-0000-000005570000}"/>
    <cellStyle name="Normal 2 2 4 2 2 10 4" xfId="22313" xr:uid="{00000000-0005-0000-0000-000006570000}"/>
    <cellStyle name="Normal 2 2 4 2 2 10 4 10" xfId="22314" xr:uid="{00000000-0005-0000-0000-000007570000}"/>
    <cellStyle name="Normal 2 2 4 2 2 10 4 2" xfId="22315" xr:uid="{00000000-0005-0000-0000-000008570000}"/>
    <cellStyle name="Normal 2 2 4 2 2 10 4 3" xfId="22316" xr:uid="{00000000-0005-0000-0000-000009570000}"/>
    <cellStyle name="Normal 2 2 4 2 2 10 4 4" xfId="22317" xr:uid="{00000000-0005-0000-0000-00000A570000}"/>
    <cellStyle name="Normal 2 2 4 2 2 10 4 5" xfId="22318" xr:uid="{00000000-0005-0000-0000-00000B570000}"/>
    <cellStyle name="Normal 2 2 4 2 2 10 4 6" xfId="22319" xr:uid="{00000000-0005-0000-0000-00000C570000}"/>
    <cellStyle name="Normal 2 2 4 2 2 10 4 7" xfId="22320" xr:uid="{00000000-0005-0000-0000-00000D570000}"/>
    <cellStyle name="Normal 2 2 4 2 2 10 4 8" xfId="22321" xr:uid="{00000000-0005-0000-0000-00000E570000}"/>
    <cellStyle name="Normal 2 2 4 2 2 10 4 9" xfId="22322" xr:uid="{00000000-0005-0000-0000-00000F570000}"/>
    <cellStyle name="Normal 2 2 4 2 2 10 5" xfId="22323" xr:uid="{00000000-0005-0000-0000-000010570000}"/>
    <cellStyle name="Normal 2 2 4 2 2 10 5 10" xfId="22324" xr:uid="{00000000-0005-0000-0000-000011570000}"/>
    <cellStyle name="Normal 2 2 4 2 2 10 5 2" xfId="22325" xr:uid="{00000000-0005-0000-0000-000012570000}"/>
    <cellStyle name="Normal 2 2 4 2 2 10 5 3" xfId="22326" xr:uid="{00000000-0005-0000-0000-000013570000}"/>
    <cellStyle name="Normal 2 2 4 2 2 10 5 4" xfId="22327" xr:uid="{00000000-0005-0000-0000-000014570000}"/>
    <cellStyle name="Normal 2 2 4 2 2 10 5 5" xfId="22328" xr:uid="{00000000-0005-0000-0000-000015570000}"/>
    <cellStyle name="Normal 2 2 4 2 2 10 5 6" xfId="22329" xr:uid="{00000000-0005-0000-0000-000016570000}"/>
    <cellStyle name="Normal 2 2 4 2 2 10 5 7" xfId="22330" xr:uid="{00000000-0005-0000-0000-000017570000}"/>
    <cellStyle name="Normal 2 2 4 2 2 10 5 8" xfId="22331" xr:uid="{00000000-0005-0000-0000-000018570000}"/>
    <cellStyle name="Normal 2 2 4 2 2 10 5 9" xfId="22332" xr:uid="{00000000-0005-0000-0000-000019570000}"/>
    <cellStyle name="Normal 2 2 4 2 2 10 6" xfId="22333" xr:uid="{00000000-0005-0000-0000-00001A570000}"/>
    <cellStyle name="Normal 2 2 4 2 2 10 7" xfId="22334" xr:uid="{00000000-0005-0000-0000-00001B570000}"/>
    <cellStyle name="Normal 2 2 4 2 2 10 8" xfId="22335" xr:uid="{00000000-0005-0000-0000-00001C570000}"/>
    <cellStyle name="Normal 2 2 4 2 2 10 9" xfId="22336" xr:uid="{00000000-0005-0000-0000-00001D570000}"/>
    <cellStyle name="Normal 2 2 4 2 2 11" xfId="22337" xr:uid="{00000000-0005-0000-0000-00001E570000}"/>
    <cellStyle name="Normal 2 2 4 2 2 11 10" xfId="22338" xr:uid="{00000000-0005-0000-0000-00001F570000}"/>
    <cellStyle name="Normal 2 2 4 2 2 11 11" xfId="22339" xr:uid="{00000000-0005-0000-0000-000020570000}"/>
    <cellStyle name="Normal 2 2 4 2 2 11 12" xfId="22340" xr:uid="{00000000-0005-0000-0000-000021570000}"/>
    <cellStyle name="Normal 2 2 4 2 2 11 13" xfId="22341" xr:uid="{00000000-0005-0000-0000-000022570000}"/>
    <cellStyle name="Normal 2 2 4 2 2 11 14" xfId="22342" xr:uid="{00000000-0005-0000-0000-000023570000}"/>
    <cellStyle name="Normal 2 2 4 2 2 11 2" xfId="22343" xr:uid="{00000000-0005-0000-0000-000024570000}"/>
    <cellStyle name="Normal 2 2 4 2 2 11 2 10" xfId="22344" xr:uid="{00000000-0005-0000-0000-000025570000}"/>
    <cellStyle name="Normal 2 2 4 2 2 11 2 2" xfId="22345" xr:uid="{00000000-0005-0000-0000-000026570000}"/>
    <cellStyle name="Normal 2 2 4 2 2 11 2 3" xfId="22346" xr:uid="{00000000-0005-0000-0000-000027570000}"/>
    <cellStyle name="Normal 2 2 4 2 2 11 2 4" xfId="22347" xr:uid="{00000000-0005-0000-0000-000028570000}"/>
    <cellStyle name="Normal 2 2 4 2 2 11 2 5" xfId="22348" xr:uid="{00000000-0005-0000-0000-000029570000}"/>
    <cellStyle name="Normal 2 2 4 2 2 11 2 6" xfId="22349" xr:uid="{00000000-0005-0000-0000-00002A570000}"/>
    <cellStyle name="Normal 2 2 4 2 2 11 2 7" xfId="22350" xr:uid="{00000000-0005-0000-0000-00002B570000}"/>
    <cellStyle name="Normal 2 2 4 2 2 11 2 8" xfId="22351" xr:uid="{00000000-0005-0000-0000-00002C570000}"/>
    <cellStyle name="Normal 2 2 4 2 2 11 2 9" xfId="22352" xr:uid="{00000000-0005-0000-0000-00002D570000}"/>
    <cellStyle name="Normal 2 2 4 2 2 11 3" xfId="22353" xr:uid="{00000000-0005-0000-0000-00002E570000}"/>
    <cellStyle name="Normal 2 2 4 2 2 11 3 10" xfId="22354" xr:uid="{00000000-0005-0000-0000-00002F570000}"/>
    <cellStyle name="Normal 2 2 4 2 2 11 3 2" xfId="22355" xr:uid="{00000000-0005-0000-0000-000030570000}"/>
    <cellStyle name="Normal 2 2 4 2 2 11 3 3" xfId="22356" xr:uid="{00000000-0005-0000-0000-000031570000}"/>
    <cellStyle name="Normal 2 2 4 2 2 11 3 4" xfId="22357" xr:uid="{00000000-0005-0000-0000-000032570000}"/>
    <cellStyle name="Normal 2 2 4 2 2 11 3 5" xfId="22358" xr:uid="{00000000-0005-0000-0000-000033570000}"/>
    <cellStyle name="Normal 2 2 4 2 2 11 3 6" xfId="22359" xr:uid="{00000000-0005-0000-0000-000034570000}"/>
    <cellStyle name="Normal 2 2 4 2 2 11 3 7" xfId="22360" xr:uid="{00000000-0005-0000-0000-000035570000}"/>
    <cellStyle name="Normal 2 2 4 2 2 11 3 8" xfId="22361" xr:uid="{00000000-0005-0000-0000-000036570000}"/>
    <cellStyle name="Normal 2 2 4 2 2 11 3 9" xfId="22362" xr:uid="{00000000-0005-0000-0000-000037570000}"/>
    <cellStyle name="Normal 2 2 4 2 2 11 4" xfId="22363" xr:uid="{00000000-0005-0000-0000-000038570000}"/>
    <cellStyle name="Normal 2 2 4 2 2 11 4 10" xfId="22364" xr:uid="{00000000-0005-0000-0000-000039570000}"/>
    <cellStyle name="Normal 2 2 4 2 2 11 4 2" xfId="22365" xr:uid="{00000000-0005-0000-0000-00003A570000}"/>
    <cellStyle name="Normal 2 2 4 2 2 11 4 3" xfId="22366" xr:uid="{00000000-0005-0000-0000-00003B570000}"/>
    <cellStyle name="Normal 2 2 4 2 2 11 4 4" xfId="22367" xr:uid="{00000000-0005-0000-0000-00003C570000}"/>
    <cellStyle name="Normal 2 2 4 2 2 11 4 5" xfId="22368" xr:uid="{00000000-0005-0000-0000-00003D570000}"/>
    <cellStyle name="Normal 2 2 4 2 2 11 4 6" xfId="22369" xr:uid="{00000000-0005-0000-0000-00003E570000}"/>
    <cellStyle name="Normal 2 2 4 2 2 11 4 7" xfId="22370" xr:uid="{00000000-0005-0000-0000-00003F570000}"/>
    <cellStyle name="Normal 2 2 4 2 2 11 4 8" xfId="22371" xr:uid="{00000000-0005-0000-0000-000040570000}"/>
    <cellStyle name="Normal 2 2 4 2 2 11 4 9" xfId="22372" xr:uid="{00000000-0005-0000-0000-000041570000}"/>
    <cellStyle name="Normal 2 2 4 2 2 11 5" xfId="22373" xr:uid="{00000000-0005-0000-0000-000042570000}"/>
    <cellStyle name="Normal 2 2 4 2 2 11 5 10" xfId="22374" xr:uid="{00000000-0005-0000-0000-000043570000}"/>
    <cellStyle name="Normal 2 2 4 2 2 11 5 2" xfId="22375" xr:uid="{00000000-0005-0000-0000-000044570000}"/>
    <cellStyle name="Normal 2 2 4 2 2 11 5 3" xfId="22376" xr:uid="{00000000-0005-0000-0000-000045570000}"/>
    <cellStyle name="Normal 2 2 4 2 2 11 5 4" xfId="22377" xr:uid="{00000000-0005-0000-0000-000046570000}"/>
    <cellStyle name="Normal 2 2 4 2 2 11 5 5" xfId="22378" xr:uid="{00000000-0005-0000-0000-000047570000}"/>
    <cellStyle name="Normal 2 2 4 2 2 11 5 6" xfId="22379" xr:uid="{00000000-0005-0000-0000-000048570000}"/>
    <cellStyle name="Normal 2 2 4 2 2 11 5 7" xfId="22380" xr:uid="{00000000-0005-0000-0000-000049570000}"/>
    <cellStyle name="Normal 2 2 4 2 2 11 5 8" xfId="22381" xr:uid="{00000000-0005-0000-0000-00004A570000}"/>
    <cellStyle name="Normal 2 2 4 2 2 11 5 9" xfId="22382" xr:uid="{00000000-0005-0000-0000-00004B570000}"/>
    <cellStyle name="Normal 2 2 4 2 2 11 6" xfId="22383" xr:uid="{00000000-0005-0000-0000-00004C570000}"/>
    <cellStyle name="Normal 2 2 4 2 2 11 7" xfId="22384" xr:uid="{00000000-0005-0000-0000-00004D570000}"/>
    <cellStyle name="Normal 2 2 4 2 2 11 8" xfId="22385" xr:uid="{00000000-0005-0000-0000-00004E570000}"/>
    <cellStyle name="Normal 2 2 4 2 2 11 9" xfId="22386" xr:uid="{00000000-0005-0000-0000-00004F570000}"/>
    <cellStyle name="Normal 2 2 4 2 2 12" xfId="22387" xr:uid="{00000000-0005-0000-0000-000050570000}"/>
    <cellStyle name="Normal 2 2 4 2 2 12 10" xfId="22388" xr:uid="{00000000-0005-0000-0000-000051570000}"/>
    <cellStyle name="Normal 2 2 4 2 2 12 11" xfId="22389" xr:uid="{00000000-0005-0000-0000-000052570000}"/>
    <cellStyle name="Normal 2 2 4 2 2 12 12" xfId="22390" xr:uid="{00000000-0005-0000-0000-000053570000}"/>
    <cellStyle name="Normal 2 2 4 2 2 12 13" xfId="22391" xr:uid="{00000000-0005-0000-0000-000054570000}"/>
    <cellStyle name="Normal 2 2 4 2 2 12 14" xfId="22392" xr:uid="{00000000-0005-0000-0000-000055570000}"/>
    <cellStyle name="Normal 2 2 4 2 2 12 2" xfId="22393" xr:uid="{00000000-0005-0000-0000-000056570000}"/>
    <cellStyle name="Normal 2 2 4 2 2 12 2 10" xfId="22394" xr:uid="{00000000-0005-0000-0000-000057570000}"/>
    <cellStyle name="Normal 2 2 4 2 2 12 2 2" xfId="22395" xr:uid="{00000000-0005-0000-0000-000058570000}"/>
    <cellStyle name="Normal 2 2 4 2 2 12 2 3" xfId="22396" xr:uid="{00000000-0005-0000-0000-000059570000}"/>
    <cellStyle name="Normal 2 2 4 2 2 12 2 4" xfId="22397" xr:uid="{00000000-0005-0000-0000-00005A570000}"/>
    <cellStyle name="Normal 2 2 4 2 2 12 2 5" xfId="22398" xr:uid="{00000000-0005-0000-0000-00005B570000}"/>
    <cellStyle name="Normal 2 2 4 2 2 12 2 6" xfId="22399" xr:uid="{00000000-0005-0000-0000-00005C570000}"/>
    <cellStyle name="Normal 2 2 4 2 2 12 2 7" xfId="22400" xr:uid="{00000000-0005-0000-0000-00005D570000}"/>
    <cellStyle name="Normal 2 2 4 2 2 12 2 8" xfId="22401" xr:uid="{00000000-0005-0000-0000-00005E570000}"/>
    <cellStyle name="Normal 2 2 4 2 2 12 2 9" xfId="22402" xr:uid="{00000000-0005-0000-0000-00005F570000}"/>
    <cellStyle name="Normal 2 2 4 2 2 12 3" xfId="22403" xr:uid="{00000000-0005-0000-0000-000060570000}"/>
    <cellStyle name="Normal 2 2 4 2 2 12 3 10" xfId="22404" xr:uid="{00000000-0005-0000-0000-000061570000}"/>
    <cellStyle name="Normal 2 2 4 2 2 12 3 2" xfId="22405" xr:uid="{00000000-0005-0000-0000-000062570000}"/>
    <cellStyle name="Normal 2 2 4 2 2 12 3 3" xfId="22406" xr:uid="{00000000-0005-0000-0000-000063570000}"/>
    <cellStyle name="Normal 2 2 4 2 2 12 3 4" xfId="22407" xr:uid="{00000000-0005-0000-0000-000064570000}"/>
    <cellStyle name="Normal 2 2 4 2 2 12 3 5" xfId="22408" xr:uid="{00000000-0005-0000-0000-000065570000}"/>
    <cellStyle name="Normal 2 2 4 2 2 12 3 6" xfId="22409" xr:uid="{00000000-0005-0000-0000-000066570000}"/>
    <cellStyle name="Normal 2 2 4 2 2 12 3 7" xfId="22410" xr:uid="{00000000-0005-0000-0000-000067570000}"/>
    <cellStyle name="Normal 2 2 4 2 2 12 3 8" xfId="22411" xr:uid="{00000000-0005-0000-0000-000068570000}"/>
    <cellStyle name="Normal 2 2 4 2 2 12 3 9" xfId="22412" xr:uid="{00000000-0005-0000-0000-000069570000}"/>
    <cellStyle name="Normal 2 2 4 2 2 12 4" xfId="22413" xr:uid="{00000000-0005-0000-0000-00006A570000}"/>
    <cellStyle name="Normal 2 2 4 2 2 12 4 10" xfId="22414" xr:uid="{00000000-0005-0000-0000-00006B570000}"/>
    <cellStyle name="Normal 2 2 4 2 2 12 4 2" xfId="22415" xr:uid="{00000000-0005-0000-0000-00006C570000}"/>
    <cellStyle name="Normal 2 2 4 2 2 12 4 3" xfId="22416" xr:uid="{00000000-0005-0000-0000-00006D570000}"/>
    <cellStyle name="Normal 2 2 4 2 2 12 4 4" xfId="22417" xr:uid="{00000000-0005-0000-0000-00006E570000}"/>
    <cellStyle name="Normal 2 2 4 2 2 12 4 5" xfId="22418" xr:uid="{00000000-0005-0000-0000-00006F570000}"/>
    <cellStyle name="Normal 2 2 4 2 2 12 4 6" xfId="22419" xr:uid="{00000000-0005-0000-0000-000070570000}"/>
    <cellStyle name="Normal 2 2 4 2 2 12 4 7" xfId="22420" xr:uid="{00000000-0005-0000-0000-000071570000}"/>
    <cellStyle name="Normal 2 2 4 2 2 12 4 8" xfId="22421" xr:uid="{00000000-0005-0000-0000-000072570000}"/>
    <cellStyle name="Normal 2 2 4 2 2 12 4 9" xfId="22422" xr:uid="{00000000-0005-0000-0000-000073570000}"/>
    <cellStyle name="Normal 2 2 4 2 2 12 5" xfId="22423" xr:uid="{00000000-0005-0000-0000-000074570000}"/>
    <cellStyle name="Normal 2 2 4 2 2 12 5 10" xfId="22424" xr:uid="{00000000-0005-0000-0000-000075570000}"/>
    <cellStyle name="Normal 2 2 4 2 2 12 5 2" xfId="22425" xr:uid="{00000000-0005-0000-0000-000076570000}"/>
    <cellStyle name="Normal 2 2 4 2 2 12 5 3" xfId="22426" xr:uid="{00000000-0005-0000-0000-000077570000}"/>
    <cellStyle name="Normal 2 2 4 2 2 12 5 4" xfId="22427" xr:uid="{00000000-0005-0000-0000-000078570000}"/>
    <cellStyle name="Normal 2 2 4 2 2 12 5 5" xfId="22428" xr:uid="{00000000-0005-0000-0000-000079570000}"/>
    <cellStyle name="Normal 2 2 4 2 2 12 5 6" xfId="22429" xr:uid="{00000000-0005-0000-0000-00007A570000}"/>
    <cellStyle name="Normal 2 2 4 2 2 12 5 7" xfId="22430" xr:uid="{00000000-0005-0000-0000-00007B570000}"/>
    <cellStyle name="Normal 2 2 4 2 2 12 5 8" xfId="22431" xr:uid="{00000000-0005-0000-0000-00007C570000}"/>
    <cellStyle name="Normal 2 2 4 2 2 12 5 9" xfId="22432" xr:uid="{00000000-0005-0000-0000-00007D570000}"/>
    <cellStyle name="Normal 2 2 4 2 2 12 6" xfId="22433" xr:uid="{00000000-0005-0000-0000-00007E570000}"/>
    <cellStyle name="Normal 2 2 4 2 2 12 7" xfId="22434" xr:uid="{00000000-0005-0000-0000-00007F570000}"/>
    <cellStyle name="Normal 2 2 4 2 2 12 8" xfId="22435" xr:uid="{00000000-0005-0000-0000-000080570000}"/>
    <cellStyle name="Normal 2 2 4 2 2 12 9" xfId="22436" xr:uid="{00000000-0005-0000-0000-000081570000}"/>
    <cellStyle name="Normal 2 2 4 2 2 13" xfId="22437" xr:uid="{00000000-0005-0000-0000-000082570000}"/>
    <cellStyle name="Normal 2 2 4 2 2 13 10" xfId="22438" xr:uid="{00000000-0005-0000-0000-000083570000}"/>
    <cellStyle name="Normal 2 2 4 2 2 13 11" xfId="22439" xr:uid="{00000000-0005-0000-0000-000084570000}"/>
    <cellStyle name="Normal 2 2 4 2 2 13 12" xfId="22440" xr:uid="{00000000-0005-0000-0000-000085570000}"/>
    <cellStyle name="Normal 2 2 4 2 2 13 13" xfId="22441" xr:uid="{00000000-0005-0000-0000-000086570000}"/>
    <cellStyle name="Normal 2 2 4 2 2 13 14" xfId="22442" xr:uid="{00000000-0005-0000-0000-000087570000}"/>
    <cellStyle name="Normal 2 2 4 2 2 13 2" xfId="22443" xr:uid="{00000000-0005-0000-0000-000088570000}"/>
    <cellStyle name="Normal 2 2 4 2 2 13 2 10" xfId="22444" xr:uid="{00000000-0005-0000-0000-000089570000}"/>
    <cellStyle name="Normal 2 2 4 2 2 13 2 2" xfId="22445" xr:uid="{00000000-0005-0000-0000-00008A570000}"/>
    <cellStyle name="Normal 2 2 4 2 2 13 2 3" xfId="22446" xr:uid="{00000000-0005-0000-0000-00008B570000}"/>
    <cellStyle name="Normal 2 2 4 2 2 13 2 4" xfId="22447" xr:uid="{00000000-0005-0000-0000-00008C570000}"/>
    <cellStyle name="Normal 2 2 4 2 2 13 2 5" xfId="22448" xr:uid="{00000000-0005-0000-0000-00008D570000}"/>
    <cellStyle name="Normal 2 2 4 2 2 13 2 6" xfId="22449" xr:uid="{00000000-0005-0000-0000-00008E570000}"/>
    <cellStyle name="Normal 2 2 4 2 2 13 2 7" xfId="22450" xr:uid="{00000000-0005-0000-0000-00008F570000}"/>
    <cellStyle name="Normal 2 2 4 2 2 13 2 8" xfId="22451" xr:uid="{00000000-0005-0000-0000-000090570000}"/>
    <cellStyle name="Normal 2 2 4 2 2 13 2 9" xfId="22452" xr:uid="{00000000-0005-0000-0000-000091570000}"/>
    <cellStyle name="Normal 2 2 4 2 2 13 3" xfId="22453" xr:uid="{00000000-0005-0000-0000-000092570000}"/>
    <cellStyle name="Normal 2 2 4 2 2 13 3 10" xfId="22454" xr:uid="{00000000-0005-0000-0000-000093570000}"/>
    <cellStyle name="Normal 2 2 4 2 2 13 3 2" xfId="22455" xr:uid="{00000000-0005-0000-0000-000094570000}"/>
    <cellStyle name="Normal 2 2 4 2 2 13 3 3" xfId="22456" xr:uid="{00000000-0005-0000-0000-000095570000}"/>
    <cellStyle name="Normal 2 2 4 2 2 13 3 4" xfId="22457" xr:uid="{00000000-0005-0000-0000-000096570000}"/>
    <cellStyle name="Normal 2 2 4 2 2 13 3 5" xfId="22458" xr:uid="{00000000-0005-0000-0000-000097570000}"/>
    <cellStyle name="Normal 2 2 4 2 2 13 3 6" xfId="22459" xr:uid="{00000000-0005-0000-0000-000098570000}"/>
    <cellStyle name="Normal 2 2 4 2 2 13 3 7" xfId="22460" xr:uid="{00000000-0005-0000-0000-000099570000}"/>
    <cellStyle name="Normal 2 2 4 2 2 13 3 8" xfId="22461" xr:uid="{00000000-0005-0000-0000-00009A570000}"/>
    <cellStyle name="Normal 2 2 4 2 2 13 3 9" xfId="22462" xr:uid="{00000000-0005-0000-0000-00009B570000}"/>
    <cellStyle name="Normal 2 2 4 2 2 13 4" xfId="22463" xr:uid="{00000000-0005-0000-0000-00009C570000}"/>
    <cellStyle name="Normal 2 2 4 2 2 13 4 10" xfId="22464" xr:uid="{00000000-0005-0000-0000-00009D570000}"/>
    <cellStyle name="Normal 2 2 4 2 2 13 4 2" xfId="22465" xr:uid="{00000000-0005-0000-0000-00009E570000}"/>
    <cellStyle name="Normal 2 2 4 2 2 13 4 3" xfId="22466" xr:uid="{00000000-0005-0000-0000-00009F570000}"/>
    <cellStyle name="Normal 2 2 4 2 2 13 4 4" xfId="22467" xr:uid="{00000000-0005-0000-0000-0000A0570000}"/>
    <cellStyle name="Normal 2 2 4 2 2 13 4 5" xfId="22468" xr:uid="{00000000-0005-0000-0000-0000A1570000}"/>
    <cellStyle name="Normal 2 2 4 2 2 13 4 6" xfId="22469" xr:uid="{00000000-0005-0000-0000-0000A2570000}"/>
    <cellStyle name="Normal 2 2 4 2 2 13 4 7" xfId="22470" xr:uid="{00000000-0005-0000-0000-0000A3570000}"/>
    <cellStyle name="Normal 2 2 4 2 2 13 4 8" xfId="22471" xr:uid="{00000000-0005-0000-0000-0000A4570000}"/>
    <cellStyle name="Normal 2 2 4 2 2 13 4 9" xfId="22472" xr:uid="{00000000-0005-0000-0000-0000A5570000}"/>
    <cellStyle name="Normal 2 2 4 2 2 13 5" xfId="22473" xr:uid="{00000000-0005-0000-0000-0000A6570000}"/>
    <cellStyle name="Normal 2 2 4 2 2 13 5 10" xfId="22474" xr:uid="{00000000-0005-0000-0000-0000A7570000}"/>
    <cellStyle name="Normal 2 2 4 2 2 13 5 2" xfId="22475" xr:uid="{00000000-0005-0000-0000-0000A8570000}"/>
    <cellStyle name="Normal 2 2 4 2 2 13 5 3" xfId="22476" xr:uid="{00000000-0005-0000-0000-0000A9570000}"/>
    <cellStyle name="Normal 2 2 4 2 2 13 5 4" xfId="22477" xr:uid="{00000000-0005-0000-0000-0000AA570000}"/>
    <cellStyle name="Normal 2 2 4 2 2 13 5 5" xfId="22478" xr:uid="{00000000-0005-0000-0000-0000AB570000}"/>
    <cellStyle name="Normal 2 2 4 2 2 13 5 6" xfId="22479" xr:uid="{00000000-0005-0000-0000-0000AC570000}"/>
    <cellStyle name="Normal 2 2 4 2 2 13 5 7" xfId="22480" xr:uid="{00000000-0005-0000-0000-0000AD570000}"/>
    <cellStyle name="Normal 2 2 4 2 2 13 5 8" xfId="22481" xr:uid="{00000000-0005-0000-0000-0000AE570000}"/>
    <cellStyle name="Normal 2 2 4 2 2 13 5 9" xfId="22482" xr:uid="{00000000-0005-0000-0000-0000AF570000}"/>
    <cellStyle name="Normal 2 2 4 2 2 13 6" xfId="22483" xr:uid="{00000000-0005-0000-0000-0000B0570000}"/>
    <cellStyle name="Normal 2 2 4 2 2 13 7" xfId="22484" xr:uid="{00000000-0005-0000-0000-0000B1570000}"/>
    <cellStyle name="Normal 2 2 4 2 2 13 8" xfId="22485" xr:uid="{00000000-0005-0000-0000-0000B2570000}"/>
    <cellStyle name="Normal 2 2 4 2 2 13 9" xfId="22486" xr:uid="{00000000-0005-0000-0000-0000B3570000}"/>
    <cellStyle name="Normal 2 2 4 2 2 14" xfId="22487" xr:uid="{00000000-0005-0000-0000-0000B4570000}"/>
    <cellStyle name="Normal 2 2 4 2 2 14 10" xfId="22488" xr:uid="{00000000-0005-0000-0000-0000B5570000}"/>
    <cellStyle name="Normal 2 2 4 2 2 14 11" xfId="22489" xr:uid="{00000000-0005-0000-0000-0000B6570000}"/>
    <cellStyle name="Normal 2 2 4 2 2 14 12" xfId="22490" xr:uid="{00000000-0005-0000-0000-0000B7570000}"/>
    <cellStyle name="Normal 2 2 4 2 2 14 13" xfId="22491" xr:uid="{00000000-0005-0000-0000-0000B8570000}"/>
    <cellStyle name="Normal 2 2 4 2 2 14 14" xfId="22492" xr:uid="{00000000-0005-0000-0000-0000B9570000}"/>
    <cellStyle name="Normal 2 2 4 2 2 14 2" xfId="22493" xr:uid="{00000000-0005-0000-0000-0000BA570000}"/>
    <cellStyle name="Normal 2 2 4 2 2 14 2 10" xfId="22494" xr:uid="{00000000-0005-0000-0000-0000BB570000}"/>
    <cellStyle name="Normal 2 2 4 2 2 14 2 2" xfId="22495" xr:uid="{00000000-0005-0000-0000-0000BC570000}"/>
    <cellStyle name="Normal 2 2 4 2 2 14 2 3" xfId="22496" xr:uid="{00000000-0005-0000-0000-0000BD570000}"/>
    <cellStyle name="Normal 2 2 4 2 2 14 2 4" xfId="22497" xr:uid="{00000000-0005-0000-0000-0000BE570000}"/>
    <cellStyle name="Normal 2 2 4 2 2 14 2 5" xfId="22498" xr:uid="{00000000-0005-0000-0000-0000BF570000}"/>
    <cellStyle name="Normal 2 2 4 2 2 14 2 6" xfId="22499" xr:uid="{00000000-0005-0000-0000-0000C0570000}"/>
    <cellStyle name="Normal 2 2 4 2 2 14 2 7" xfId="22500" xr:uid="{00000000-0005-0000-0000-0000C1570000}"/>
    <cellStyle name="Normal 2 2 4 2 2 14 2 8" xfId="22501" xr:uid="{00000000-0005-0000-0000-0000C2570000}"/>
    <cellStyle name="Normal 2 2 4 2 2 14 2 9" xfId="22502" xr:uid="{00000000-0005-0000-0000-0000C3570000}"/>
    <cellStyle name="Normal 2 2 4 2 2 14 3" xfId="22503" xr:uid="{00000000-0005-0000-0000-0000C4570000}"/>
    <cellStyle name="Normal 2 2 4 2 2 14 3 10" xfId="22504" xr:uid="{00000000-0005-0000-0000-0000C5570000}"/>
    <cellStyle name="Normal 2 2 4 2 2 14 3 2" xfId="22505" xr:uid="{00000000-0005-0000-0000-0000C6570000}"/>
    <cellStyle name="Normal 2 2 4 2 2 14 3 3" xfId="22506" xr:uid="{00000000-0005-0000-0000-0000C7570000}"/>
    <cellStyle name="Normal 2 2 4 2 2 14 3 4" xfId="22507" xr:uid="{00000000-0005-0000-0000-0000C8570000}"/>
    <cellStyle name="Normal 2 2 4 2 2 14 3 5" xfId="22508" xr:uid="{00000000-0005-0000-0000-0000C9570000}"/>
    <cellStyle name="Normal 2 2 4 2 2 14 3 6" xfId="22509" xr:uid="{00000000-0005-0000-0000-0000CA570000}"/>
    <cellStyle name="Normal 2 2 4 2 2 14 3 7" xfId="22510" xr:uid="{00000000-0005-0000-0000-0000CB570000}"/>
    <cellStyle name="Normal 2 2 4 2 2 14 3 8" xfId="22511" xr:uid="{00000000-0005-0000-0000-0000CC570000}"/>
    <cellStyle name="Normal 2 2 4 2 2 14 3 9" xfId="22512" xr:uid="{00000000-0005-0000-0000-0000CD570000}"/>
    <cellStyle name="Normal 2 2 4 2 2 14 4" xfId="22513" xr:uid="{00000000-0005-0000-0000-0000CE570000}"/>
    <cellStyle name="Normal 2 2 4 2 2 14 4 10" xfId="22514" xr:uid="{00000000-0005-0000-0000-0000CF570000}"/>
    <cellStyle name="Normal 2 2 4 2 2 14 4 2" xfId="22515" xr:uid="{00000000-0005-0000-0000-0000D0570000}"/>
    <cellStyle name="Normal 2 2 4 2 2 14 4 3" xfId="22516" xr:uid="{00000000-0005-0000-0000-0000D1570000}"/>
    <cellStyle name="Normal 2 2 4 2 2 14 4 4" xfId="22517" xr:uid="{00000000-0005-0000-0000-0000D2570000}"/>
    <cellStyle name="Normal 2 2 4 2 2 14 4 5" xfId="22518" xr:uid="{00000000-0005-0000-0000-0000D3570000}"/>
    <cellStyle name="Normal 2 2 4 2 2 14 4 6" xfId="22519" xr:uid="{00000000-0005-0000-0000-0000D4570000}"/>
    <cellStyle name="Normal 2 2 4 2 2 14 4 7" xfId="22520" xr:uid="{00000000-0005-0000-0000-0000D5570000}"/>
    <cellStyle name="Normal 2 2 4 2 2 14 4 8" xfId="22521" xr:uid="{00000000-0005-0000-0000-0000D6570000}"/>
    <cellStyle name="Normal 2 2 4 2 2 14 4 9" xfId="22522" xr:uid="{00000000-0005-0000-0000-0000D7570000}"/>
    <cellStyle name="Normal 2 2 4 2 2 14 5" xfId="22523" xr:uid="{00000000-0005-0000-0000-0000D8570000}"/>
    <cellStyle name="Normal 2 2 4 2 2 14 5 10" xfId="22524" xr:uid="{00000000-0005-0000-0000-0000D9570000}"/>
    <cellStyle name="Normal 2 2 4 2 2 14 5 2" xfId="22525" xr:uid="{00000000-0005-0000-0000-0000DA570000}"/>
    <cellStyle name="Normal 2 2 4 2 2 14 5 3" xfId="22526" xr:uid="{00000000-0005-0000-0000-0000DB570000}"/>
    <cellStyle name="Normal 2 2 4 2 2 14 5 4" xfId="22527" xr:uid="{00000000-0005-0000-0000-0000DC570000}"/>
    <cellStyle name="Normal 2 2 4 2 2 14 5 5" xfId="22528" xr:uid="{00000000-0005-0000-0000-0000DD570000}"/>
    <cellStyle name="Normal 2 2 4 2 2 14 5 6" xfId="22529" xr:uid="{00000000-0005-0000-0000-0000DE570000}"/>
    <cellStyle name="Normal 2 2 4 2 2 14 5 7" xfId="22530" xr:uid="{00000000-0005-0000-0000-0000DF570000}"/>
    <cellStyle name="Normal 2 2 4 2 2 14 5 8" xfId="22531" xr:uid="{00000000-0005-0000-0000-0000E0570000}"/>
    <cellStyle name="Normal 2 2 4 2 2 14 5 9" xfId="22532" xr:uid="{00000000-0005-0000-0000-0000E1570000}"/>
    <cellStyle name="Normal 2 2 4 2 2 14 6" xfId="22533" xr:uid="{00000000-0005-0000-0000-0000E2570000}"/>
    <cellStyle name="Normal 2 2 4 2 2 14 7" xfId="22534" xr:uid="{00000000-0005-0000-0000-0000E3570000}"/>
    <cellStyle name="Normal 2 2 4 2 2 14 8" xfId="22535" xr:uid="{00000000-0005-0000-0000-0000E4570000}"/>
    <cellStyle name="Normal 2 2 4 2 2 14 9" xfId="22536" xr:uid="{00000000-0005-0000-0000-0000E5570000}"/>
    <cellStyle name="Normal 2 2 4 2 2 15" xfId="22537" xr:uid="{00000000-0005-0000-0000-0000E6570000}"/>
    <cellStyle name="Normal 2 2 4 2 2 15 10" xfId="22538" xr:uid="{00000000-0005-0000-0000-0000E7570000}"/>
    <cellStyle name="Normal 2 2 4 2 2 15 11" xfId="22539" xr:uid="{00000000-0005-0000-0000-0000E8570000}"/>
    <cellStyle name="Normal 2 2 4 2 2 15 12" xfId="22540" xr:uid="{00000000-0005-0000-0000-0000E9570000}"/>
    <cellStyle name="Normal 2 2 4 2 2 15 13" xfId="22541" xr:uid="{00000000-0005-0000-0000-0000EA570000}"/>
    <cellStyle name="Normal 2 2 4 2 2 15 14" xfId="22542" xr:uid="{00000000-0005-0000-0000-0000EB570000}"/>
    <cellStyle name="Normal 2 2 4 2 2 15 2" xfId="22543" xr:uid="{00000000-0005-0000-0000-0000EC570000}"/>
    <cellStyle name="Normal 2 2 4 2 2 15 2 10" xfId="22544" xr:uid="{00000000-0005-0000-0000-0000ED570000}"/>
    <cellStyle name="Normal 2 2 4 2 2 15 2 2" xfId="22545" xr:uid="{00000000-0005-0000-0000-0000EE570000}"/>
    <cellStyle name="Normal 2 2 4 2 2 15 2 3" xfId="22546" xr:uid="{00000000-0005-0000-0000-0000EF570000}"/>
    <cellStyle name="Normal 2 2 4 2 2 15 2 4" xfId="22547" xr:uid="{00000000-0005-0000-0000-0000F0570000}"/>
    <cellStyle name="Normal 2 2 4 2 2 15 2 5" xfId="22548" xr:uid="{00000000-0005-0000-0000-0000F1570000}"/>
    <cellStyle name="Normal 2 2 4 2 2 15 2 6" xfId="22549" xr:uid="{00000000-0005-0000-0000-0000F2570000}"/>
    <cellStyle name="Normal 2 2 4 2 2 15 2 7" xfId="22550" xr:uid="{00000000-0005-0000-0000-0000F3570000}"/>
    <cellStyle name="Normal 2 2 4 2 2 15 2 8" xfId="22551" xr:uid="{00000000-0005-0000-0000-0000F4570000}"/>
    <cellStyle name="Normal 2 2 4 2 2 15 2 9" xfId="22552" xr:uid="{00000000-0005-0000-0000-0000F5570000}"/>
    <cellStyle name="Normal 2 2 4 2 2 15 3" xfId="22553" xr:uid="{00000000-0005-0000-0000-0000F6570000}"/>
    <cellStyle name="Normal 2 2 4 2 2 15 3 10" xfId="22554" xr:uid="{00000000-0005-0000-0000-0000F7570000}"/>
    <cellStyle name="Normal 2 2 4 2 2 15 3 2" xfId="22555" xr:uid="{00000000-0005-0000-0000-0000F8570000}"/>
    <cellStyle name="Normal 2 2 4 2 2 15 3 3" xfId="22556" xr:uid="{00000000-0005-0000-0000-0000F9570000}"/>
    <cellStyle name="Normal 2 2 4 2 2 15 3 4" xfId="22557" xr:uid="{00000000-0005-0000-0000-0000FA570000}"/>
    <cellStyle name="Normal 2 2 4 2 2 15 3 5" xfId="22558" xr:uid="{00000000-0005-0000-0000-0000FB570000}"/>
    <cellStyle name="Normal 2 2 4 2 2 15 3 6" xfId="22559" xr:uid="{00000000-0005-0000-0000-0000FC570000}"/>
    <cellStyle name="Normal 2 2 4 2 2 15 3 7" xfId="22560" xr:uid="{00000000-0005-0000-0000-0000FD570000}"/>
    <cellStyle name="Normal 2 2 4 2 2 15 3 8" xfId="22561" xr:uid="{00000000-0005-0000-0000-0000FE570000}"/>
    <cellStyle name="Normal 2 2 4 2 2 15 3 9" xfId="22562" xr:uid="{00000000-0005-0000-0000-0000FF570000}"/>
    <cellStyle name="Normal 2 2 4 2 2 15 4" xfId="22563" xr:uid="{00000000-0005-0000-0000-000000580000}"/>
    <cellStyle name="Normal 2 2 4 2 2 15 4 10" xfId="22564" xr:uid="{00000000-0005-0000-0000-000001580000}"/>
    <cellStyle name="Normal 2 2 4 2 2 15 4 2" xfId="22565" xr:uid="{00000000-0005-0000-0000-000002580000}"/>
    <cellStyle name="Normal 2 2 4 2 2 15 4 3" xfId="22566" xr:uid="{00000000-0005-0000-0000-000003580000}"/>
    <cellStyle name="Normal 2 2 4 2 2 15 4 4" xfId="22567" xr:uid="{00000000-0005-0000-0000-000004580000}"/>
    <cellStyle name="Normal 2 2 4 2 2 15 4 5" xfId="22568" xr:uid="{00000000-0005-0000-0000-000005580000}"/>
    <cellStyle name="Normal 2 2 4 2 2 15 4 6" xfId="22569" xr:uid="{00000000-0005-0000-0000-000006580000}"/>
    <cellStyle name="Normal 2 2 4 2 2 15 4 7" xfId="22570" xr:uid="{00000000-0005-0000-0000-000007580000}"/>
    <cellStyle name="Normal 2 2 4 2 2 15 4 8" xfId="22571" xr:uid="{00000000-0005-0000-0000-000008580000}"/>
    <cellStyle name="Normal 2 2 4 2 2 15 4 9" xfId="22572" xr:uid="{00000000-0005-0000-0000-000009580000}"/>
    <cellStyle name="Normal 2 2 4 2 2 15 5" xfId="22573" xr:uid="{00000000-0005-0000-0000-00000A580000}"/>
    <cellStyle name="Normal 2 2 4 2 2 15 5 10" xfId="22574" xr:uid="{00000000-0005-0000-0000-00000B580000}"/>
    <cellStyle name="Normal 2 2 4 2 2 15 5 2" xfId="22575" xr:uid="{00000000-0005-0000-0000-00000C580000}"/>
    <cellStyle name="Normal 2 2 4 2 2 15 5 3" xfId="22576" xr:uid="{00000000-0005-0000-0000-00000D580000}"/>
    <cellStyle name="Normal 2 2 4 2 2 15 5 4" xfId="22577" xr:uid="{00000000-0005-0000-0000-00000E580000}"/>
    <cellStyle name="Normal 2 2 4 2 2 15 5 5" xfId="22578" xr:uid="{00000000-0005-0000-0000-00000F580000}"/>
    <cellStyle name="Normal 2 2 4 2 2 15 5 6" xfId="22579" xr:uid="{00000000-0005-0000-0000-000010580000}"/>
    <cellStyle name="Normal 2 2 4 2 2 15 5 7" xfId="22580" xr:uid="{00000000-0005-0000-0000-000011580000}"/>
    <cellStyle name="Normal 2 2 4 2 2 15 5 8" xfId="22581" xr:uid="{00000000-0005-0000-0000-000012580000}"/>
    <cellStyle name="Normal 2 2 4 2 2 15 5 9" xfId="22582" xr:uid="{00000000-0005-0000-0000-000013580000}"/>
    <cellStyle name="Normal 2 2 4 2 2 15 6" xfId="22583" xr:uid="{00000000-0005-0000-0000-000014580000}"/>
    <cellStyle name="Normal 2 2 4 2 2 15 7" xfId="22584" xr:uid="{00000000-0005-0000-0000-000015580000}"/>
    <cellStyle name="Normal 2 2 4 2 2 15 8" xfId="22585" xr:uid="{00000000-0005-0000-0000-000016580000}"/>
    <cellStyle name="Normal 2 2 4 2 2 15 9" xfId="22586" xr:uid="{00000000-0005-0000-0000-000017580000}"/>
    <cellStyle name="Normal 2 2 4 2 2 16" xfId="22587" xr:uid="{00000000-0005-0000-0000-000018580000}"/>
    <cellStyle name="Normal 2 2 4 2 2 16 10" xfId="22588" xr:uid="{00000000-0005-0000-0000-000019580000}"/>
    <cellStyle name="Normal 2 2 4 2 2 16 11" xfId="22589" xr:uid="{00000000-0005-0000-0000-00001A580000}"/>
    <cellStyle name="Normal 2 2 4 2 2 16 12" xfId="22590" xr:uid="{00000000-0005-0000-0000-00001B580000}"/>
    <cellStyle name="Normal 2 2 4 2 2 16 13" xfId="22591" xr:uid="{00000000-0005-0000-0000-00001C580000}"/>
    <cellStyle name="Normal 2 2 4 2 2 16 14" xfId="22592" xr:uid="{00000000-0005-0000-0000-00001D580000}"/>
    <cellStyle name="Normal 2 2 4 2 2 16 2" xfId="22593" xr:uid="{00000000-0005-0000-0000-00001E580000}"/>
    <cellStyle name="Normal 2 2 4 2 2 16 2 10" xfId="22594" xr:uid="{00000000-0005-0000-0000-00001F580000}"/>
    <cellStyle name="Normal 2 2 4 2 2 16 2 2" xfId="22595" xr:uid="{00000000-0005-0000-0000-000020580000}"/>
    <cellStyle name="Normal 2 2 4 2 2 16 2 3" xfId="22596" xr:uid="{00000000-0005-0000-0000-000021580000}"/>
    <cellStyle name="Normal 2 2 4 2 2 16 2 4" xfId="22597" xr:uid="{00000000-0005-0000-0000-000022580000}"/>
    <cellStyle name="Normal 2 2 4 2 2 16 2 5" xfId="22598" xr:uid="{00000000-0005-0000-0000-000023580000}"/>
    <cellStyle name="Normal 2 2 4 2 2 16 2 6" xfId="22599" xr:uid="{00000000-0005-0000-0000-000024580000}"/>
    <cellStyle name="Normal 2 2 4 2 2 16 2 7" xfId="22600" xr:uid="{00000000-0005-0000-0000-000025580000}"/>
    <cellStyle name="Normal 2 2 4 2 2 16 2 8" xfId="22601" xr:uid="{00000000-0005-0000-0000-000026580000}"/>
    <cellStyle name="Normal 2 2 4 2 2 16 2 9" xfId="22602" xr:uid="{00000000-0005-0000-0000-000027580000}"/>
    <cellStyle name="Normal 2 2 4 2 2 16 3" xfId="22603" xr:uid="{00000000-0005-0000-0000-000028580000}"/>
    <cellStyle name="Normal 2 2 4 2 2 16 3 10" xfId="22604" xr:uid="{00000000-0005-0000-0000-000029580000}"/>
    <cellStyle name="Normal 2 2 4 2 2 16 3 2" xfId="22605" xr:uid="{00000000-0005-0000-0000-00002A580000}"/>
    <cellStyle name="Normal 2 2 4 2 2 16 3 3" xfId="22606" xr:uid="{00000000-0005-0000-0000-00002B580000}"/>
    <cellStyle name="Normal 2 2 4 2 2 16 3 4" xfId="22607" xr:uid="{00000000-0005-0000-0000-00002C580000}"/>
    <cellStyle name="Normal 2 2 4 2 2 16 3 5" xfId="22608" xr:uid="{00000000-0005-0000-0000-00002D580000}"/>
    <cellStyle name="Normal 2 2 4 2 2 16 3 6" xfId="22609" xr:uid="{00000000-0005-0000-0000-00002E580000}"/>
    <cellStyle name="Normal 2 2 4 2 2 16 3 7" xfId="22610" xr:uid="{00000000-0005-0000-0000-00002F580000}"/>
    <cellStyle name="Normal 2 2 4 2 2 16 3 8" xfId="22611" xr:uid="{00000000-0005-0000-0000-000030580000}"/>
    <cellStyle name="Normal 2 2 4 2 2 16 3 9" xfId="22612" xr:uid="{00000000-0005-0000-0000-000031580000}"/>
    <cellStyle name="Normal 2 2 4 2 2 16 4" xfId="22613" xr:uid="{00000000-0005-0000-0000-000032580000}"/>
    <cellStyle name="Normal 2 2 4 2 2 16 4 10" xfId="22614" xr:uid="{00000000-0005-0000-0000-000033580000}"/>
    <cellStyle name="Normal 2 2 4 2 2 16 4 2" xfId="22615" xr:uid="{00000000-0005-0000-0000-000034580000}"/>
    <cellStyle name="Normal 2 2 4 2 2 16 4 3" xfId="22616" xr:uid="{00000000-0005-0000-0000-000035580000}"/>
    <cellStyle name="Normal 2 2 4 2 2 16 4 4" xfId="22617" xr:uid="{00000000-0005-0000-0000-000036580000}"/>
    <cellStyle name="Normal 2 2 4 2 2 16 4 5" xfId="22618" xr:uid="{00000000-0005-0000-0000-000037580000}"/>
    <cellStyle name="Normal 2 2 4 2 2 16 4 6" xfId="22619" xr:uid="{00000000-0005-0000-0000-000038580000}"/>
    <cellStyle name="Normal 2 2 4 2 2 16 4 7" xfId="22620" xr:uid="{00000000-0005-0000-0000-000039580000}"/>
    <cellStyle name="Normal 2 2 4 2 2 16 4 8" xfId="22621" xr:uid="{00000000-0005-0000-0000-00003A580000}"/>
    <cellStyle name="Normal 2 2 4 2 2 16 4 9" xfId="22622" xr:uid="{00000000-0005-0000-0000-00003B580000}"/>
    <cellStyle name="Normal 2 2 4 2 2 16 5" xfId="22623" xr:uid="{00000000-0005-0000-0000-00003C580000}"/>
    <cellStyle name="Normal 2 2 4 2 2 16 5 10" xfId="22624" xr:uid="{00000000-0005-0000-0000-00003D580000}"/>
    <cellStyle name="Normal 2 2 4 2 2 16 5 2" xfId="22625" xr:uid="{00000000-0005-0000-0000-00003E580000}"/>
    <cellStyle name="Normal 2 2 4 2 2 16 5 3" xfId="22626" xr:uid="{00000000-0005-0000-0000-00003F580000}"/>
    <cellStyle name="Normal 2 2 4 2 2 16 5 4" xfId="22627" xr:uid="{00000000-0005-0000-0000-000040580000}"/>
    <cellStyle name="Normal 2 2 4 2 2 16 5 5" xfId="22628" xr:uid="{00000000-0005-0000-0000-000041580000}"/>
    <cellStyle name="Normal 2 2 4 2 2 16 5 6" xfId="22629" xr:uid="{00000000-0005-0000-0000-000042580000}"/>
    <cellStyle name="Normal 2 2 4 2 2 16 5 7" xfId="22630" xr:uid="{00000000-0005-0000-0000-000043580000}"/>
    <cellStyle name="Normal 2 2 4 2 2 16 5 8" xfId="22631" xr:uid="{00000000-0005-0000-0000-000044580000}"/>
    <cellStyle name="Normal 2 2 4 2 2 16 5 9" xfId="22632" xr:uid="{00000000-0005-0000-0000-000045580000}"/>
    <cellStyle name="Normal 2 2 4 2 2 16 6" xfId="22633" xr:uid="{00000000-0005-0000-0000-000046580000}"/>
    <cellStyle name="Normal 2 2 4 2 2 16 7" xfId="22634" xr:uid="{00000000-0005-0000-0000-000047580000}"/>
    <cellStyle name="Normal 2 2 4 2 2 16 8" xfId="22635" xr:uid="{00000000-0005-0000-0000-000048580000}"/>
    <cellStyle name="Normal 2 2 4 2 2 16 9" xfId="22636" xr:uid="{00000000-0005-0000-0000-000049580000}"/>
    <cellStyle name="Normal 2 2 4 2 2 17" xfId="22637" xr:uid="{00000000-0005-0000-0000-00004A580000}"/>
    <cellStyle name="Normal 2 2 4 2 2 17 10" xfId="22638" xr:uid="{00000000-0005-0000-0000-00004B580000}"/>
    <cellStyle name="Normal 2 2 4 2 2 17 11" xfId="22639" xr:uid="{00000000-0005-0000-0000-00004C580000}"/>
    <cellStyle name="Normal 2 2 4 2 2 17 12" xfId="22640" xr:uid="{00000000-0005-0000-0000-00004D580000}"/>
    <cellStyle name="Normal 2 2 4 2 2 17 13" xfId="22641" xr:uid="{00000000-0005-0000-0000-00004E580000}"/>
    <cellStyle name="Normal 2 2 4 2 2 17 14" xfId="22642" xr:uid="{00000000-0005-0000-0000-00004F580000}"/>
    <cellStyle name="Normal 2 2 4 2 2 17 2" xfId="22643" xr:uid="{00000000-0005-0000-0000-000050580000}"/>
    <cellStyle name="Normal 2 2 4 2 2 17 2 10" xfId="22644" xr:uid="{00000000-0005-0000-0000-000051580000}"/>
    <cellStyle name="Normal 2 2 4 2 2 17 2 2" xfId="22645" xr:uid="{00000000-0005-0000-0000-000052580000}"/>
    <cellStyle name="Normal 2 2 4 2 2 17 2 3" xfId="22646" xr:uid="{00000000-0005-0000-0000-000053580000}"/>
    <cellStyle name="Normal 2 2 4 2 2 17 2 4" xfId="22647" xr:uid="{00000000-0005-0000-0000-000054580000}"/>
    <cellStyle name="Normal 2 2 4 2 2 17 2 5" xfId="22648" xr:uid="{00000000-0005-0000-0000-000055580000}"/>
    <cellStyle name="Normal 2 2 4 2 2 17 2 6" xfId="22649" xr:uid="{00000000-0005-0000-0000-000056580000}"/>
    <cellStyle name="Normal 2 2 4 2 2 17 2 7" xfId="22650" xr:uid="{00000000-0005-0000-0000-000057580000}"/>
    <cellStyle name="Normal 2 2 4 2 2 17 2 8" xfId="22651" xr:uid="{00000000-0005-0000-0000-000058580000}"/>
    <cellStyle name="Normal 2 2 4 2 2 17 2 9" xfId="22652" xr:uid="{00000000-0005-0000-0000-000059580000}"/>
    <cellStyle name="Normal 2 2 4 2 2 17 3" xfId="22653" xr:uid="{00000000-0005-0000-0000-00005A580000}"/>
    <cellStyle name="Normal 2 2 4 2 2 17 3 10" xfId="22654" xr:uid="{00000000-0005-0000-0000-00005B580000}"/>
    <cellStyle name="Normal 2 2 4 2 2 17 3 2" xfId="22655" xr:uid="{00000000-0005-0000-0000-00005C580000}"/>
    <cellStyle name="Normal 2 2 4 2 2 17 3 3" xfId="22656" xr:uid="{00000000-0005-0000-0000-00005D580000}"/>
    <cellStyle name="Normal 2 2 4 2 2 17 3 4" xfId="22657" xr:uid="{00000000-0005-0000-0000-00005E580000}"/>
    <cellStyle name="Normal 2 2 4 2 2 17 3 5" xfId="22658" xr:uid="{00000000-0005-0000-0000-00005F580000}"/>
    <cellStyle name="Normal 2 2 4 2 2 17 3 6" xfId="22659" xr:uid="{00000000-0005-0000-0000-000060580000}"/>
    <cellStyle name="Normal 2 2 4 2 2 17 3 7" xfId="22660" xr:uid="{00000000-0005-0000-0000-000061580000}"/>
    <cellStyle name="Normal 2 2 4 2 2 17 3 8" xfId="22661" xr:uid="{00000000-0005-0000-0000-000062580000}"/>
    <cellStyle name="Normal 2 2 4 2 2 17 3 9" xfId="22662" xr:uid="{00000000-0005-0000-0000-000063580000}"/>
    <cellStyle name="Normal 2 2 4 2 2 17 4" xfId="22663" xr:uid="{00000000-0005-0000-0000-000064580000}"/>
    <cellStyle name="Normal 2 2 4 2 2 17 4 10" xfId="22664" xr:uid="{00000000-0005-0000-0000-000065580000}"/>
    <cellStyle name="Normal 2 2 4 2 2 17 4 2" xfId="22665" xr:uid="{00000000-0005-0000-0000-000066580000}"/>
    <cellStyle name="Normal 2 2 4 2 2 17 4 3" xfId="22666" xr:uid="{00000000-0005-0000-0000-000067580000}"/>
    <cellStyle name="Normal 2 2 4 2 2 17 4 4" xfId="22667" xr:uid="{00000000-0005-0000-0000-000068580000}"/>
    <cellStyle name="Normal 2 2 4 2 2 17 4 5" xfId="22668" xr:uid="{00000000-0005-0000-0000-000069580000}"/>
    <cellStyle name="Normal 2 2 4 2 2 17 4 6" xfId="22669" xr:uid="{00000000-0005-0000-0000-00006A580000}"/>
    <cellStyle name="Normal 2 2 4 2 2 17 4 7" xfId="22670" xr:uid="{00000000-0005-0000-0000-00006B580000}"/>
    <cellStyle name="Normal 2 2 4 2 2 17 4 8" xfId="22671" xr:uid="{00000000-0005-0000-0000-00006C580000}"/>
    <cellStyle name="Normal 2 2 4 2 2 17 4 9" xfId="22672" xr:uid="{00000000-0005-0000-0000-00006D580000}"/>
    <cellStyle name="Normal 2 2 4 2 2 17 5" xfId="22673" xr:uid="{00000000-0005-0000-0000-00006E580000}"/>
    <cellStyle name="Normal 2 2 4 2 2 17 5 10" xfId="22674" xr:uid="{00000000-0005-0000-0000-00006F580000}"/>
    <cellStyle name="Normal 2 2 4 2 2 17 5 2" xfId="22675" xr:uid="{00000000-0005-0000-0000-000070580000}"/>
    <cellStyle name="Normal 2 2 4 2 2 17 5 3" xfId="22676" xr:uid="{00000000-0005-0000-0000-000071580000}"/>
    <cellStyle name="Normal 2 2 4 2 2 17 5 4" xfId="22677" xr:uid="{00000000-0005-0000-0000-000072580000}"/>
    <cellStyle name="Normal 2 2 4 2 2 17 5 5" xfId="22678" xr:uid="{00000000-0005-0000-0000-000073580000}"/>
    <cellStyle name="Normal 2 2 4 2 2 17 5 6" xfId="22679" xr:uid="{00000000-0005-0000-0000-000074580000}"/>
    <cellStyle name="Normal 2 2 4 2 2 17 5 7" xfId="22680" xr:uid="{00000000-0005-0000-0000-000075580000}"/>
    <cellStyle name="Normal 2 2 4 2 2 17 5 8" xfId="22681" xr:uid="{00000000-0005-0000-0000-000076580000}"/>
    <cellStyle name="Normal 2 2 4 2 2 17 5 9" xfId="22682" xr:uid="{00000000-0005-0000-0000-000077580000}"/>
    <cellStyle name="Normal 2 2 4 2 2 17 6" xfId="22683" xr:uid="{00000000-0005-0000-0000-000078580000}"/>
    <cellStyle name="Normal 2 2 4 2 2 17 7" xfId="22684" xr:uid="{00000000-0005-0000-0000-000079580000}"/>
    <cellStyle name="Normal 2 2 4 2 2 17 8" xfId="22685" xr:uid="{00000000-0005-0000-0000-00007A580000}"/>
    <cellStyle name="Normal 2 2 4 2 2 17 9" xfId="22686" xr:uid="{00000000-0005-0000-0000-00007B580000}"/>
    <cellStyle name="Normal 2 2 4 2 2 18" xfId="22687" xr:uid="{00000000-0005-0000-0000-00007C580000}"/>
    <cellStyle name="Normal 2 2 4 2 2 18 10" xfId="22688" xr:uid="{00000000-0005-0000-0000-00007D580000}"/>
    <cellStyle name="Normal 2 2 4 2 2 18 11" xfId="22689" xr:uid="{00000000-0005-0000-0000-00007E580000}"/>
    <cellStyle name="Normal 2 2 4 2 2 18 12" xfId="22690" xr:uid="{00000000-0005-0000-0000-00007F580000}"/>
    <cellStyle name="Normal 2 2 4 2 2 18 13" xfId="22691" xr:uid="{00000000-0005-0000-0000-000080580000}"/>
    <cellStyle name="Normal 2 2 4 2 2 18 14" xfId="22692" xr:uid="{00000000-0005-0000-0000-000081580000}"/>
    <cellStyle name="Normal 2 2 4 2 2 18 2" xfId="22693" xr:uid="{00000000-0005-0000-0000-000082580000}"/>
    <cellStyle name="Normal 2 2 4 2 2 18 2 10" xfId="22694" xr:uid="{00000000-0005-0000-0000-000083580000}"/>
    <cellStyle name="Normal 2 2 4 2 2 18 2 2" xfId="22695" xr:uid="{00000000-0005-0000-0000-000084580000}"/>
    <cellStyle name="Normal 2 2 4 2 2 18 2 3" xfId="22696" xr:uid="{00000000-0005-0000-0000-000085580000}"/>
    <cellStyle name="Normal 2 2 4 2 2 18 2 4" xfId="22697" xr:uid="{00000000-0005-0000-0000-000086580000}"/>
    <cellStyle name="Normal 2 2 4 2 2 18 2 5" xfId="22698" xr:uid="{00000000-0005-0000-0000-000087580000}"/>
    <cellStyle name="Normal 2 2 4 2 2 18 2 6" xfId="22699" xr:uid="{00000000-0005-0000-0000-000088580000}"/>
    <cellStyle name="Normal 2 2 4 2 2 18 2 7" xfId="22700" xr:uid="{00000000-0005-0000-0000-000089580000}"/>
    <cellStyle name="Normal 2 2 4 2 2 18 2 8" xfId="22701" xr:uid="{00000000-0005-0000-0000-00008A580000}"/>
    <cellStyle name="Normal 2 2 4 2 2 18 2 9" xfId="22702" xr:uid="{00000000-0005-0000-0000-00008B580000}"/>
    <cellStyle name="Normal 2 2 4 2 2 18 3" xfId="22703" xr:uid="{00000000-0005-0000-0000-00008C580000}"/>
    <cellStyle name="Normal 2 2 4 2 2 18 3 10" xfId="22704" xr:uid="{00000000-0005-0000-0000-00008D580000}"/>
    <cellStyle name="Normal 2 2 4 2 2 18 3 2" xfId="22705" xr:uid="{00000000-0005-0000-0000-00008E580000}"/>
    <cellStyle name="Normal 2 2 4 2 2 18 3 3" xfId="22706" xr:uid="{00000000-0005-0000-0000-00008F580000}"/>
    <cellStyle name="Normal 2 2 4 2 2 18 3 4" xfId="22707" xr:uid="{00000000-0005-0000-0000-000090580000}"/>
    <cellStyle name="Normal 2 2 4 2 2 18 3 5" xfId="22708" xr:uid="{00000000-0005-0000-0000-000091580000}"/>
    <cellStyle name="Normal 2 2 4 2 2 18 3 6" xfId="22709" xr:uid="{00000000-0005-0000-0000-000092580000}"/>
    <cellStyle name="Normal 2 2 4 2 2 18 3 7" xfId="22710" xr:uid="{00000000-0005-0000-0000-000093580000}"/>
    <cellStyle name="Normal 2 2 4 2 2 18 3 8" xfId="22711" xr:uid="{00000000-0005-0000-0000-000094580000}"/>
    <cellStyle name="Normal 2 2 4 2 2 18 3 9" xfId="22712" xr:uid="{00000000-0005-0000-0000-000095580000}"/>
    <cellStyle name="Normal 2 2 4 2 2 18 4" xfId="22713" xr:uid="{00000000-0005-0000-0000-000096580000}"/>
    <cellStyle name="Normal 2 2 4 2 2 18 4 10" xfId="22714" xr:uid="{00000000-0005-0000-0000-000097580000}"/>
    <cellStyle name="Normal 2 2 4 2 2 18 4 2" xfId="22715" xr:uid="{00000000-0005-0000-0000-000098580000}"/>
    <cellStyle name="Normal 2 2 4 2 2 18 4 3" xfId="22716" xr:uid="{00000000-0005-0000-0000-000099580000}"/>
    <cellStyle name="Normal 2 2 4 2 2 18 4 4" xfId="22717" xr:uid="{00000000-0005-0000-0000-00009A580000}"/>
    <cellStyle name="Normal 2 2 4 2 2 18 4 5" xfId="22718" xr:uid="{00000000-0005-0000-0000-00009B580000}"/>
    <cellStyle name="Normal 2 2 4 2 2 18 4 6" xfId="22719" xr:uid="{00000000-0005-0000-0000-00009C580000}"/>
    <cellStyle name="Normal 2 2 4 2 2 18 4 7" xfId="22720" xr:uid="{00000000-0005-0000-0000-00009D580000}"/>
    <cellStyle name="Normal 2 2 4 2 2 18 4 8" xfId="22721" xr:uid="{00000000-0005-0000-0000-00009E580000}"/>
    <cellStyle name="Normal 2 2 4 2 2 18 4 9" xfId="22722" xr:uid="{00000000-0005-0000-0000-00009F580000}"/>
    <cellStyle name="Normal 2 2 4 2 2 18 5" xfId="22723" xr:uid="{00000000-0005-0000-0000-0000A0580000}"/>
    <cellStyle name="Normal 2 2 4 2 2 18 5 10" xfId="22724" xr:uid="{00000000-0005-0000-0000-0000A1580000}"/>
    <cellStyle name="Normal 2 2 4 2 2 18 5 2" xfId="22725" xr:uid="{00000000-0005-0000-0000-0000A2580000}"/>
    <cellStyle name="Normal 2 2 4 2 2 18 5 3" xfId="22726" xr:uid="{00000000-0005-0000-0000-0000A3580000}"/>
    <cellStyle name="Normal 2 2 4 2 2 18 5 4" xfId="22727" xr:uid="{00000000-0005-0000-0000-0000A4580000}"/>
    <cellStyle name="Normal 2 2 4 2 2 18 5 5" xfId="22728" xr:uid="{00000000-0005-0000-0000-0000A5580000}"/>
    <cellStyle name="Normal 2 2 4 2 2 18 5 6" xfId="22729" xr:uid="{00000000-0005-0000-0000-0000A6580000}"/>
    <cellStyle name="Normal 2 2 4 2 2 18 5 7" xfId="22730" xr:uid="{00000000-0005-0000-0000-0000A7580000}"/>
    <cellStyle name="Normal 2 2 4 2 2 18 5 8" xfId="22731" xr:uid="{00000000-0005-0000-0000-0000A8580000}"/>
    <cellStyle name="Normal 2 2 4 2 2 18 5 9" xfId="22732" xr:uid="{00000000-0005-0000-0000-0000A9580000}"/>
    <cellStyle name="Normal 2 2 4 2 2 18 6" xfId="22733" xr:uid="{00000000-0005-0000-0000-0000AA580000}"/>
    <cellStyle name="Normal 2 2 4 2 2 18 7" xfId="22734" xr:uid="{00000000-0005-0000-0000-0000AB580000}"/>
    <cellStyle name="Normal 2 2 4 2 2 18 8" xfId="22735" xr:uid="{00000000-0005-0000-0000-0000AC580000}"/>
    <cellStyle name="Normal 2 2 4 2 2 18 9" xfId="22736" xr:uid="{00000000-0005-0000-0000-0000AD580000}"/>
    <cellStyle name="Normal 2 2 4 2 2 19" xfId="22737" xr:uid="{00000000-0005-0000-0000-0000AE580000}"/>
    <cellStyle name="Normal 2 2 4 2 2 19 10" xfId="22738" xr:uid="{00000000-0005-0000-0000-0000AF580000}"/>
    <cellStyle name="Normal 2 2 4 2 2 19 11" xfId="22739" xr:uid="{00000000-0005-0000-0000-0000B0580000}"/>
    <cellStyle name="Normal 2 2 4 2 2 19 12" xfId="22740" xr:uid="{00000000-0005-0000-0000-0000B1580000}"/>
    <cellStyle name="Normal 2 2 4 2 2 19 13" xfId="22741" xr:uid="{00000000-0005-0000-0000-0000B2580000}"/>
    <cellStyle name="Normal 2 2 4 2 2 19 14" xfId="22742" xr:uid="{00000000-0005-0000-0000-0000B3580000}"/>
    <cellStyle name="Normal 2 2 4 2 2 19 2" xfId="22743" xr:uid="{00000000-0005-0000-0000-0000B4580000}"/>
    <cellStyle name="Normal 2 2 4 2 2 19 2 10" xfId="22744" xr:uid="{00000000-0005-0000-0000-0000B5580000}"/>
    <cellStyle name="Normal 2 2 4 2 2 19 2 2" xfId="22745" xr:uid="{00000000-0005-0000-0000-0000B6580000}"/>
    <cellStyle name="Normal 2 2 4 2 2 19 2 3" xfId="22746" xr:uid="{00000000-0005-0000-0000-0000B7580000}"/>
    <cellStyle name="Normal 2 2 4 2 2 19 2 4" xfId="22747" xr:uid="{00000000-0005-0000-0000-0000B8580000}"/>
    <cellStyle name="Normal 2 2 4 2 2 19 2 5" xfId="22748" xr:uid="{00000000-0005-0000-0000-0000B9580000}"/>
    <cellStyle name="Normal 2 2 4 2 2 19 2 6" xfId="22749" xr:uid="{00000000-0005-0000-0000-0000BA580000}"/>
    <cellStyle name="Normal 2 2 4 2 2 19 2 7" xfId="22750" xr:uid="{00000000-0005-0000-0000-0000BB580000}"/>
    <cellStyle name="Normal 2 2 4 2 2 19 2 8" xfId="22751" xr:uid="{00000000-0005-0000-0000-0000BC580000}"/>
    <cellStyle name="Normal 2 2 4 2 2 19 2 9" xfId="22752" xr:uid="{00000000-0005-0000-0000-0000BD580000}"/>
    <cellStyle name="Normal 2 2 4 2 2 19 3" xfId="22753" xr:uid="{00000000-0005-0000-0000-0000BE580000}"/>
    <cellStyle name="Normal 2 2 4 2 2 19 3 10" xfId="22754" xr:uid="{00000000-0005-0000-0000-0000BF580000}"/>
    <cellStyle name="Normal 2 2 4 2 2 19 3 2" xfId="22755" xr:uid="{00000000-0005-0000-0000-0000C0580000}"/>
    <cellStyle name="Normal 2 2 4 2 2 19 3 3" xfId="22756" xr:uid="{00000000-0005-0000-0000-0000C1580000}"/>
    <cellStyle name="Normal 2 2 4 2 2 19 3 4" xfId="22757" xr:uid="{00000000-0005-0000-0000-0000C2580000}"/>
    <cellStyle name="Normal 2 2 4 2 2 19 3 5" xfId="22758" xr:uid="{00000000-0005-0000-0000-0000C3580000}"/>
    <cellStyle name="Normal 2 2 4 2 2 19 3 6" xfId="22759" xr:uid="{00000000-0005-0000-0000-0000C4580000}"/>
    <cellStyle name="Normal 2 2 4 2 2 19 3 7" xfId="22760" xr:uid="{00000000-0005-0000-0000-0000C5580000}"/>
    <cellStyle name="Normal 2 2 4 2 2 19 3 8" xfId="22761" xr:uid="{00000000-0005-0000-0000-0000C6580000}"/>
    <cellStyle name="Normal 2 2 4 2 2 19 3 9" xfId="22762" xr:uid="{00000000-0005-0000-0000-0000C7580000}"/>
    <cellStyle name="Normal 2 2 4 2 2 19 4" xfId="22763" xr:uid="{00000000-0005-0000-0000-0000C8580000}"/>
    <cellStyle name="Normal 2 2 4 2 2 19 4 10" xfId="22764" xr:uid="{00000000-0005-0000-0000-0000C9580000}"/>
    <cellStyle name="Normal 2 2 4 2 2 19 4 2" xfId="22765" xr:uid="{00000000-0005-0000-0000-0000CA580000}"/>
    <cellStyle name="Normal 2 2 4 2 2 19 4 3" xfId="22766" xr:uid="{00000000-0005-0000-0000-0000CB580000}"/>
    <cellStyle name="Normal 2 2 4 2 2 19 4 4" xfId="22767" xr:uid="{00000000-0005-0000-0000-0000CC580000}"/>
    <cellStyle name="Normal 2 2 4 2 2 19 4 5" xfId="22768" xr:uid="{00000000-0005-0000-0000-0000CD580000}"/>
    <cellStyle name="Normal 2 2 4 2 2 19 4 6" xfId="22769" xr:uid="{00000000-0005-0000-0000-0000CE580000}"/>
    <cellStyle name="Normal 2 2 4 2 2 19 4 7" xfId="22770" xr:uid="{00000000-0005-0000-0000-0000CF580000}"/>
    <cellStyle name="Normal 2 2 4 2 2 19 4 8" xfId="22771" xr:uid="{00000000-0005-0000-0000-0000D0580000}"/>
    <cellStyle name="Normal 2 2 4 2 2 19 4 9" xfId="22772" xr:uid="{00000000-0005-0000-0000-0000D1580000}"/>
    <cellStyle name="Normal 2 2 4 2 2 19 5" xfId="22773" xr:uid="{00000000-0005-0000-0000-0000D2580000}"/>
    <cellStyle name="Normal 2 2 4 2 2 19 5 10" xfId="22774" xr:uid="{00000000-0005-0000-0000-0000D3580000}"/>
    <cellStyle name="Normal 2 2 4 2 2 19 5 2" xfId="22775" xr:uid="{00000000-0005-0000-0000-0000D4580000}"/>
    <cellStyle name="Normal 2 2 4 2 2 19 5 3" xfId="22776" xr:uid="{00000000-0005-0000-0000-0000D5580000}"/>
    <cellStyle name="Normal 2 2 4 2 2 19 5 4" xfId="22777" xr:uid="{00000000-0005-0000-0000-0000D6580000}"/>
    <cellStyle name="Normal 2 2 4 2 2 19 5 5" xfId="22778" xr:uid="{00000000-0005-0000-0000-0000D7580000}"/>
    <cellStyle name="Normal 2 2 4 2 2 19 5 6" xfId="22779" xr:uid="{00000000-0005-0000-0000-0000D8580000}"/>
    <cellStyle name="Normal 2 2 4 2 2 19 5 7" xfId="22780" xr:uid="{00000000-0005-0000-0000-0000D9580000}"/>
    <cellStyle name="Normal 2 2 4 2 2 19 5 8" xfId="22781" xr:uid="{00000000-0005-0000-0000-0000DA580000}"/>
    <cellStyle name="Normal 2 2 4 2 2 19 5 9" xfId="22782" xr:uid="{00000000-0005-0000-0000-0000DB580000}"/>
    <cellStyle name="Normal 2 2 4 2 2 19 6" xfId="22783" xr:uid="{00000000-0005-0000-0000-0000DC580000}"/>
    <cellStyle name="Normal 2 2 4 2 2 19 7" xfId="22784" xr:uid="{00000000-0005-0000-0000-0000DD580000}"/>
    <cellStyle name="Normal 2 2 4 2 2 19 8" xfId="22785" xr:uid="{00000000-0005-0000-0000-0000DE580000}"/>
    <cellStyle name="Normal 2 2 4 2 2 19 9" xfId="22786" xr:uid="{00000000-0005-0000-0000-0000DF580000}"/>
    <cellStyle name="Normal 2 2 4 2 2 2" xfId="22787" xr:uid="{00000000-0005-0000-0000-0000E0580000}"/>
    <cellStyle name="Normal 2 2 4 2 2 2 10" xfId="22788" xr:uid="{00000000-0005-0000-0000-0000E1580000}"/>
    <cellStyle name="Normal 2 2 4 2 2 2 11" xfId="22789" xr:uid="{00000000-0005-0000-0000-0000E2580000}"/>
    <cellStyle name="Normal 2 2 4 2 2 2 12" xfId="22790" xr:uid="{00000000-0005-0000-0000-0000E3580000}"/>
    <cellStyle name="Normal 2 2 4 2 2 2 13" xfId="22791" xr:uid="{00000000-0005-0000-0000-0000E4580000}"/>
    <cellStyle name="Normal 2 2 4 2 2 2 14" xfId="22792" xr:uid="{00000000-0005-0000-0000-0000E5580000}"/>
    <cellStyle name="Normal 2 2 4 2 2 2 2" xfId="22793" xr:uid="{00000000-0005-0000-0000-0000E6580000}"/>
    <cellStyle name="Normal 2 2 4 2 2 2 2 10" xfId="22794" xr:uid="{00000000-0005-0000-0000-0000E7580000}"/>
    <cellStyle name="Normal 2 2 4 2 2 2 2 2" xfId="22795" xr:uid="{00000000-0005-0000-0000-0000E8580000}"/>
    <cellStyle name="Normal 2 2 4 2 2 2 2 3" xfId="22796" xr:uid="{00000000-0005-0000-0000-0000E9580000}"/>
    <cellStyle name="Normal 2 2 4 2 2 2 2 4" xfId="22797" xr:uid="{00000000-0005-0000-0000-0000EA580000}"/>
    <cellStyle name="Normal 2 2 4 2 2 2 2 5" xfId="22798" xr:uid="{00000000-0005-0000-0000-0000EB580000}"/>
    <cellStyle name="Normal 2 2 4 2 2 2 2 6" xfId="22799" xr:uid="{00000000-0005-0000-0000-0000EC580000}"/>
    <cellStyle name="Normal 2 2 4 2 2 2 2 7" xfId="22800" xr:uid="{00000000-0005-0000-0000-0000ED580000}"/>
    <cellStyle name="Normal 2 2 4 2 2 2 2 8" xfId="22801" xr:uid="{00000000-0005-0000-0000-0000EE580000}"/>
    <cellStyle name="Normal 2 2 4 2 2 2 2 9" xfId="22802" xr:uid="{00000000-0005-0000-0000-0000EF580000}"/>
    <cellStyle name="Normal 2 2 4 2 2 2 3" xfId="22803" xr:uid="{00000000-0005-0000-0000-0000F0580000}"/>
    <cellStyle name="Normal 2 2 4 2 2 2 3 10" xfId="22804" xr:uid="{00000000-0005-0000-0000-0000F1580000}"/>
    <cellStyle name="Normal 2 2 4 2 2 2 3 2" xfId="22805" xr:uid="{00000000-0005-0000-0000-0000F2580000}"/>
    <cellStyle name="Normal 2 2 4 2 2 2 3 3" xfId="22806" xr:uid="{00000000-0005-0000-0000-0000F3580000}"/>
    <cellStyle name="Normal 2 2 4 2 2 2 3 4" xfId="22807" xr:uid="{00000000-0005-0000-0000-0000F4580000}"/>
    <cellStyle name="Normal 2 2 4 2 2 2 3 5" xfId="22808" xr:uid="{00000000-0005-0000-0000-0000F5580000}"/>
    <cellStyle name="Normal 2 2 4 2 2 2 3 6" xfId="22809" xr:uid="{00000000-0005-0000-0000-0000F6580000}"/>
    <cellStyle name="Normal 2 2 4 2 2 2 3 7" xfId="22810" xr:uid="{00000000-0005-0000-0000-0000F7580000}"/>
    <cellStyle name="Normal 2 2 4 2 2 2 3 8" xfId="22811" xr:uid="{00000000-0005-0000-0000-0000F8580000}"/>
    <cellStyle name="Normal 2 2 4 2 2 2 3 9" xfId="22812" xr:uid="{00000000-0005-0000-0000-0000F9580000}"/>
    <cellStyle name="Normal 2 2 4 2 2 2 4" xfId="22813" xr:uid="{00000000-0005-0000-0000-0000FA580000}"/>
    <cellStyle name="Normal 2 2 4 2 2 2 4 10" xfId="22814" xr:uid="{00000000-0005-0000-0000-0000FB580000}"/>
    <cellStyle name="Normal 2 2 4 2 2 2 4 2" xfId="22815" xr:uid="{00000000-0005-0000-0000-0000FC580000}"/>
    <cellStyle name="Normal 2 2 4 2 2 2 4 3" xfId="22816" xr:uid="{00000000-0005-0000-0000-0000FD580000}"/>
    <cellStyle name="Normal 2 2 4 2 2 2 4 4" xfId="22817" xr:uid="{00000000-0005-0000-0000-0000FE580000}"/>
    <cellStyle name="Normal 2 2 4 2 2 2 4 5" xfId="22818" xr:uid="{00000000-0005-0000-0000-0000FF580000}"/>
    <cellStyle name="Normal 2 2 4 2 2 2 4 6" xfId="22819" xr:uid="{00000000-0005-0000-0000-000000590000}"/>
    <cellStyle name="Normal 2 2 4 2 2 2 4 7" xfId="22820" xr:uid="{00000000-0005-0000-0000-000001590000}"/>
    <cellStyle name="Normal 2 2 4 2 2 2 4 8" xfId="22821" xr:uid="{00000000-0005-0000-0000-000002590000}"/>
    <cellStyle name="Normal 2 2 4 2 2 2 4 9" xfId="22822" xr:uid="{00000000-0005-0000-0000-000003590000}"/>
    <cellStyle name="Normal 2 2 4 2 2 2 5" xfId="22823" xr:uid="{00000000-0005-0000-0000-000004590000}"/>
    <cellStyle name="Normal 2 2 4 2 2 2 5 10" xfId="22824" xr:uid="{00000000-0005-0000-0000-000005590000}"/>
    <cellStyle name="Normal 2 2 4 2 2 2 5 2" xfId="22825" xr:uid="{00000000-0005-0000-0000-000006590000}"/>
    <cellStyle name="Normal 2 2 4 2 2 2 5 3" xfId="22826" xr:uid="{00000000-0005-0000-0000-000007590000}"/>
    <cellStyle name="Normal 2 2 4 2 2 2 5 4" xfId="22827" xr:uid="{00000000-0005-0000-0000-000008590000}"/>
    <cellStyle name="Normal 2 2 4 2 2 2 5 5" xfId="22828" xr:uid="{00000000-0005-0000-0000-000009590000}"/>
    <cellStyle name="Normal 2 2 4 2 2 2 5 6" xfId="22829" xr:uid="{00000000-0005-0000-0000-00000A590000}"/>
    <cellStyle name="Normal 2 2 4 2 2 2 5 7" xfId="22830" xr:uid="{00000000-0005-0000-0000-00000B590000}"/>
    <cellStyle name="Normal 2 2 4 2 2 2 5 8" xfId="22831" xr:uid="{00000000-0005-0000-0000-00000C590000}"/>
    <cellStyle name="Normal 2 2 4 2 2 2 5 9" xfId="22832" xr:uid="{00000000-0005-0000-0000-00000D590000}"/>
    <cellStyle name="Normal 2 2 4 2 2 2 6" xfId="22833" xr:uid="{00000000-0005-0000-0000-00000E590000}"/>
    <cellStyle name="Normal 2 2 4 2 2 2 7" xfId="22834" xr:uid="{00000000-0005-0000-0000-00000F590000}"/>
    <cellStyle name="Normal 2 2 4 2 2 2 8" xfId="22835" xr:uid="{00000000-0005-0000-0000-000010590000}"/>
    <cellStyle name="Normal 2 2 4 2 2 2 9" xfId="22836" xr:uid="{00000000-0005-0000-0000-000011590000}"/>
    <cellStyle name="Normal 2 2 4 2 2 20" xfId="22837" xr:uid="{00000000-0005-0000-0000-000012590000}"/>
    <cellStyle name="Normal 2 2 4 2 2 20 10" xfId="22838" xr:uid="{00000000-0005-0000-0000-000013590000}"/>
    <cellStyle name="Normal 2 2 4 2 2 20 11" xfId="22839" xr:uid="{00000000-0005-0000-0000-000014590000}"/>
    <cellStyle name="Normal 2 2 4 2 2 20 12" xfId="22840" xr:uid="{00000000-0005-0000-0000-000015590000}"/>
    <cellStyle name="Normal 2 2 4 2 2 20 13" xfId="22841" xr:uid="{00000000-0005-0000-0000-000016590000}"/>
    <cellStyle name="Normal 2 2 4 2 2 20 14" xfId="22842" xr:uid="{00000000-0005-0000-0000-000017590000}"/>
    <cellStyle name="Normal 2 2 4 2 2 20 2" xfId="22843" xr:uid="{00000000-0005-0000-0000-000018590000}"/>
    <cellStyle name="Normal 2 2 4 2 2 20 2 10" xfId="22844" xr:uid="{00000000-0005-0000-0000-000019590000}"/>
    <cellStyle name="Normal 2 2 4 2 2 20 2 2" xfId="22845" xr:uid="{00000000-0005-0000-0000-00001A590000}"/>
    <cellStyle name="Normal 2 2 4 2 2 20 2 3" xfId="22846" xr:uid="{00000000-0005-0000-0000-00001B590000}"/>
    <cellStyle name="Normal 2 2 4 2 2 20 2 4" xfId="22847" xr:uid="{00000000-0005-0000-0000-00001C590000}"/>
    <cellStyle name="Normal 2 2 4 2 2 20 2 5" xfId="22848" xr:uid="{00000000-0005-0000-0000-00001D590000}"/>
    <cellStyle name="Normal 2 2 4 2 2 20 2 6" xfId="22849" xr:uid="{00000000-0005-0000-0000-00001E590000}"/>
    <cellStyle name="Normal 2 2 4 2 2 20 2 7" xfId="22850" xr:uid="{00000000-0005-0000-0000-00001F590000}"/>
    <cellStyle name="Normal 2 2 4 2 2 20 2 8" xfId="22851" xr:uid="{00000000-0005-0000-0000-000020590000}"/>
    <cellStyle name="Normal 2 2 4 2 2 20 2 9" xfId="22852" xr:uid="{00000000-0005-0000-0000-000021590000}"/>
    <cellStyle name="Normal 2 2 4 2 2 20 3" xfId="22853" xr:uid="{00000000-0005-0000-0000-000022590000}"/>
    <cellStyle name="Normal 2 2 4 2 2 20 3 10" xfId="22854" xr:uid="{00000000-0005-0000-0000-000023590000}"/>
    <cellStyle name="Normal 2 2 4 2 2 20 3 2" xfId="22855" xr:uid="{00000000-0005-0000-0000-000024590000}"/>
    <cellStyle name="Normal 2 2 4 2 2 20 3 3" xfId="22856" xr:uid="{00000000-0005-0000-0000-000025590000}"/>
    <cellStyle name="Normal 2 2 4 2 2 20 3 4" xfId="22857" xr:uid="{00000000-0005-0000-0000-000026590000}"/>
    <cellStyle name="Normal 2 2 4 2 2 20 3 5" xfId="22858" xr:uid="{00000000-0005-0000-0000-000027590000}"/>
    <cellStyle name="Normal 2 2 4 2 2 20 3 6" xfId="22859" xr:uid="{00000000-0005-0000-0000-000028590000}"/>
    <cellStyle name="Normal 2 2 4 2 2 20 3 7" xfId="22860" xr:uid="{00000000-0005-0000-0000-000029590000}"/>
    <cellStyle name="Normal 2 2 4 2 2 20 3 8" xfId="22861" xr:uid="{00000000-0005-0000-0000-00002A590000}"/>
    <cellStyle name="Normal 2 2 4 2 2 20 3 9" xfId="22862" xr:uid="{00000000-0005-0000-0000-00002B590000}"/>
    <cellStyle name="Normal 2 2 4 2 2 20 4" xfId="22863" xr:uid="{00000000-0005-0000-0000-00002C590000}"/>
    <cellStyle name="Normal 2 2 4 2 2 20 4 10" xfId="22864" xr:uid="{00000000-0005-0000-0000-00002D590000}"/>
    <cellStyle name="Normal 2 2 4 2 2 20 4 2" xfId="22865" xr:uid="{00000000-0005-0000-0000-00002E590000}"/>
    <cellStyle name="Normal 2 2 4 2 2 20 4 3" xfId="22866" xr:uid="{00000000-0005-0000-0000-00002F590000}"/>
    <cellStyle name="Normal 2 2 4 2 2 20 4 4" xfId="22867" xr:uid="{00000000-0005-0000-0000-000030590000}"/>
    <cellStyle name="Normal 2 2 4 2 2 20 4 5" xfId="22868" xr:uid="{00000000-0005-0000-0000-000031590000}"/>
    <cellStyle name="Normal 2 2 4 2 2 20 4 6" xfId="22869" xr:uid="{00000000-0005-0000-0000-000032590000}"/>
    <cellStyle name="Normal 2 2 4 2 2 20 4 7" xfId="22870" xr:uid="{00000000-0005-0000-0000-000033590000}"/>
    <cellStyle name="Normal 2 2 4 2 2 20 4 8" xfId="22871" xr:uid="{00000000-0005-0000-0000-000034590000}"/>
    <cellStyle name="Normal 2 2 4 2 2 20 4 9" xfId="22872" xr:uid="{00000000-0005-0000-0000-000035590000}"/>
    <cellStyle name="Normal 2 2 4 2 2 20 5" xfId="22873" xr:uid="{00000000-0005-0000-0000-000036590000}"/>
    <cellStyle name="Normal 2 2 4 2 2 20 5 10" xfId="22874" xr:uid="{00000000-0005-0000-0000-000037590000}"/>
    <cellStyle name="Normal 2 2 4 2 2 20 5 2" xfId="22875" xr:uid="{00000000-0005-0000-0000-000038590000}"/>
    <cellStyle name="Normal 2 2 4 2 2 20 5 3" xfId="22876" xr:uid="{00000000-0005-0000-0000-000039590000}"/>
    <cellStyle name="Normal 2 2 4 2 2 20 5 4" xfId="22877" xr:uid="{00000000-0005-0000-0000-00003A590000}"/>
    <cellStyle name="Normal 2 2 4 2 2 20 5 5" xfId="22878" xr:uid="{00000000-0005-0000-0000-00003B590000}"/>
    <cellStyle name="Normal 2 2 4 2 2 20 5 6" xfId="22879" xr:uid="{00000000-0005-0000-0000-00003C590000}"/>
    <cellStyle name="Normal 2 2 4 2 2 20 5 7" xfId="22880" xr:uid="{00000000-0005-0000-0000-00003D590000}"/>
    <cellStyle name="Normal 2 2 4 2 2 20 5 8" xfId="22881" xr:uid="{00000000-0005-0000-0000-00003E590000}"/>
    <cellStyle name="Normal 2 2 4 2 2 20 5 9" xfId="22882" xr:uid="{00000000-0005-0000-0000-00003F590000}"/>
    <cellStyle name="Normal 2 2 4 2 2 20 6" xfId="22883" xr:uid="{00000000-0005-0000-0000-000040590000}"/>
    <cellStyle name="Normal 2 2 4 2 2 20 7" xfId="22884" xr:uid="{00000000-0005-0000-0000-000041590000}"/>
    <cellStyle name="Normal 2 2 4 2 2 20 8" xfId="22885" xr:uid="{00000000-0005-0000-0000-000042590000}"/>
    <cellStyle name="Normal 2 2 4 2 2 20 9" xfId="22886" xr:uid="{00000000-0005-0000-0000-000043590000}"/>
    <cellStyle name="Normal 2 2 4 2 2 3" xfId="22887" xr:uid="{00000000-0005-0000-0000-000044590000}"/>
    <cellStyle name="Normal 2 2 4 2 2 3 10" xfId="22888" xr:uid="{00000000-0005-0000-0000-000045590000}"/>
    <cellStyle name="Normal 2 2 4 2 2 3 11" xfId="22889" xr:uid="{00000000-0005-0000-0000-000046590000}"/>
    <cellStyle name="Normal 2 2 4 2 2 3 12" xfId="22890" xr:uid="{00000000-0005-0000-0000-000047590000}"/>
    <cellStyle name="Normal 2 2 4 2 2 3 13" xfId="22891" xr:uid="{00000000-0005-0000-0000-000048590000}"/>
    <cellStyle name="Normal 2 2 4 2 2 3 14" xfId="22892" xr:uid="{00000000-0005-0000-0000-000049590000}"/>
    <cellStyle name="Normal 2 2 4 2 2 3 2" xfId="22893" xr:uid="{00000000-0005-0000-0000-00004A590000}"/>
    <cellStyle name="Normal 2 2 4 2 2 3 2 10" xfId="22894" xr:uid="{00000000-0005-0000-0000-00004B590000}"/>
    <cellStyle name="Normal 2 2 4 2 2 3 2 2" xfId="22895" xr:uid="{00000000-0005-0000-0000-00004C590000}"/>
    <cellStyle name="Normal 2 2 4 2 2 3 2 3" xfId="22896" xr:uid="{00000000-0005-0000-0000-00004D590000}"/>
    <cellStyle name="Normal 2 2 4 2 2 3 2 4" xfId="22897" xr:uid="{00000000-0005-0000-0000-00004E590000}"/>
    <cellStyle name="Normal 2 2 4 2 2 3 2 5" xfId="22898" xr:uid="{00000000-0005-0000-0000-00004F590000}"/>
    <cellStyle name="Normal 2 2 4 2 2 3 2 6" xfId="22899" xr:uid="{00000000-0005-0000-0000-000050590000}"/>
    <cellStyle name="Normal 2 2 4 2 2 3 2 7" xfId="22900" xr:uid="{00000000-0005-0000-0000-000051590000}"/>
    <cellStyle name="Normal 2 2 4 2 2 3 2 8" xfId="22901" xr:uid="{00000000-0005-0000-0000-000052590000}"/>
    <cellStyle name="Normal 2 2 4 2 2 3 2 9" xfId="22902" xr:uid="{00000000-0005-0000-0000-000053590000}"/>
    <cellStyle name="Normal 2 2 4 2 2 3 3" xfId="22903" xr:uid="{00000000-0005-0000-0000-000054590000}"/>
    <cellStyle name="Normal 2 2 4 2 2 3 3 10" xfId="22904" xr:uid="{00000000-0005-0000-0000-000055590000}"/>
    <cellStyle name="Normal 2 2 4 2 2 3 3 2" xfId="22905" xr:uid="{00000000-0005-0000-0000-000056590000}"/>
    <cellStyle name="Normal 2 2 4 2 2 3 3 3" xfId="22906" xr:uid="{00000000-0005-0000-0000-000057590000}"/>
    <cellStyle name="Normal 2 2 4 2 2 3 3 4" xfId="22907" xr:uid="{00000000-0005-0000-0000-000058590000}"/>
    <cellStyle name="Normal 2 2 4 2 2 3 3 5" xfId="22908" xr:uid="{00000000-0005-0000-0000-000059590000}"/>
    <cellStyle name="Normal 2 2 4 2 2 3 3 6" xfId="22909" xr:uid="{00000000-0005-0000-0000-00005A590000}"/>
    <cellStyle name="Normal 2 2 4 2 2 3 3 7" xfId="22910" xr:uid="{00000000-0005-0000-0000-00005B590000}"/>
    <cellStyle name="Normal 2 2 4 2 2 3 3 8" xfId="22911" xr:uid="{00000000-0005-0000-0000-00005C590000}"/>
    <cellStyle name="Normal 2 2 4 2 2 3 3 9" xfId="22912" xr:uid="{00000000-0005-0000-0000-00005D590000}"/>
    <cellStyle name="Normal 2 2 4 2 2 3 4" xfId="22913" xr:uid="{00000000-0005-0000-0000-00005E590000}"/>
    <cellStyle name="Normal 2 2 4 2 2 3 4 10" xfId="22914" xr:uid="{00000000-0005-0000-0000-00005F590000}"/>
    <cellStyle name="Normal 2 2 4 2 2 3 4 2" xfId="22915" xr:uid="{00000000-0005-0000-0000-000060590000}"/>
    <cellStyle name="Normal 2 2 4 2 2 3 4 3" xfId="22916" xr:uid="{00000000-0005-0000-0000-000061590000}"/>
    <cellStyle name="Normal 2 2 4 2 2 3 4 4" xfId="22917" xr:uid="{00000000-0005-0000-0000-000062590000}"/>
    <cellStyle name="Normal 2 2 4 2 2 3 4 5" xfId="22918" xr:uid="{00000000-0005-0000-0000-000063590000}"/>
    <cellStyle name="Normal 2 2 4 2 2 3 4 6" xfId="22919" xr:uid="{00000000-0005-0000-0000-000064590000}"/>
    <cellStyle name="Normal 2 2 4 2 2 3 4 7" xfId="22920" xr:uid="{00000000-0005-0000-0000-000065590000}"/>
    <cellStyle name="Normal 2 2 4 2 2 3 4 8" xfId="22921" xr:uid="{00000000-0005-0000-0000-000066590000}"/>
    <cellStyle name="Normal 2 2 4 2 2 3 4 9" xfId="22922" xr:uid="{00000000-0005-0000-0000-000067590000}"/>
    <cellStyle name="Normal 2 2 4 2 2 3 5" xfId="22923" xr:uid="{00000000-0005-0000-0000-000068590000}"/>
    <cellStyle name="Normal 2 2 4 2 2 3 5 10" xfId="22924" xr:uid="{00000000-0005-0000-0000-000069590000}"/>
    <cellStyle name="Normal 2 2 4 2 2 3 5 2" xfId="22925" xr:uid="{00000000-0005-0000-0000-00006A590000}"/>
    <cellStyle name="Normal 2 2 4 2 2 3 5 3" xfId="22926" xr:uid="{00000000-0005-0000-0000-00006B590000}"/>
    <cellStyle name="Normal 2 2 4 2 2 3 5 4" xfId="22927" xr:uid="{00000000-0005-0000-0000-00006C590000}"/>
    <cellStyle name="Normal 2 2 4 2 2 3 5 5" xfId="22928" xr:uid="{00000000-0005-0000-0000-00006D590000}"/>
    <cellStyle name="Normal 2 2 4 2 2 3 5 6" xfId="22929" xr:uid="{00000000-0005-0000-0000-00006E590000}"/>
    <cellStyle name="Normal 2 2 4 2 2 3 5 7" xfId="22930" xr:uid="{00000000-0005-0000-0000-00006F590000}"/>
    <cellStyle name="Normal 2 2 4 2 2 3 5 8" xfId="22931" xr:uid="{00000000-0005-0000-0000-000070590000}"/>
    <cellStyle name="Normal 2 2 4 2 2 3 5 9" xfId="22932" xr:uid="{00000000-0005-0000-0000-000071590000}"/>
    <cellStyle name="Normal 2 2 4 2 2 3 6" xfId="22933" xr:uid="{00000000-0005-0000-0000-000072590000}"/>
    <cellStyle name="Normal 2 2 4 2 2 3 7" xfId="22934" xr:uid="{00000000-0005-0000-0000-000073590000}"/>
    <cellStyle name="Normal 2 2 4 2 2 3 8" xfId="22935" xr:uid="{00000000-0005-0000-0000-000074590000}"/>
    <cellStyle name="Normal 2 2 4 2 2 3 9" xfId="22936" xr:uid="{00000000-0005-0000-0000-000075590000}"/>
    <cellStyle name="Normal 2 2 4 2 2 4" xfId="22937" xr:uid="{00000000-0005-0000-0000-000076590000}"/>
    <cellStyle name="Normal 2 2 4 2 2 4 10" xfId="22938" xr:uid="{00000000-0005-0000-0000-000077590000}"/>
    <cellStyle name="Normal 2 2 4 2 2 4 11" xfId="22939" xr:uid="{00000000-0005-0000-0000-000078590000}"/>
    <cellStyle name="Normal 2 2 4 2 2 4 12" xfId="22940" xr:uid="{00000000-0005-0000-0000-000079590000}"/>
    <cellStyle name="Normal 2 2 4 2 2 4 13" xfId="22941" xr:uid="{00000000-0005-0000-0000-00007A590000}"/>
    <cellStyle name="Normal 2 2 4 2 2 4 14" xfId="22942" xr:uid="{00000000-0005-0000-0000-00007B590000}"/>
    <cellStyle name="Normal 2 2 4 2 2 4 2" xfId="22943" xr:uid="{00000000-0005-0000-0000-00007C590000}"/>
    <cellStyle name="Normal 2 2 4 2 2 4 2 10" xfId="22944" xr:uid="{00000000-0005-0000-0000-00007D590000}"/>
    <cellStyle name="Normal 2 2 4 2 2 4 2 2" xfId="22945" xr:uid="{00000000-0005-0000-0000-00007E590000}"/>
    <cellStyle name="Normal 2 2 4 2 2 4 2 3" xfId="22946" xr:uid="{00000000-0005-0000-0000-00007F590000}"/>
    <cellStyle name="Normal 2 2 4 2 2 4 2 4" xfId="22947" xr:uid="{00000000-0005-0000-0000-000080590000}"/>
    <cellStyle name="Normal 2 2 4 2 2 4 2 5" xfId="22948" xr:uid="{00000000-0005-0000-0000-000081590000}"/>
    <cellStyle name="Normal 2 2 4 2 2 4 2 6" xfId="22949" xr:uid="{00000000-0005-0000-0000-000082590000}"/>
    <cellStyle name="Normal 2 2 4 2 2 4 2 7" xfId="22950" xr:uid="{00000000-0005-0000-0000-000083590000}"/>
    <cellStyle name="Normal 2 2 4 2 2 4 2 8" xfId="22951" xr:uid="{00000000-0005-0000-0000-000084590000}"/>
    <cellStyle name="Normal 2 2 4 2 2 4 2 9" xfId="22952" xr:uid="{00000000-0005-0000-0000-000085590000}"/>
    <cellStyle name="Normal 2 2 4 2 2 4 3" xfId="22953" xr:uid="{00000000-0005-0000-0000-000086590000}"/>
    <cellStyle name="Normal 2 2 4 2 2 4 3 10" xfId="22954" xr:uid="{00000000-0005-0000-0000-000087590000}"/>
    <cellStyle name="Normal 2 2 4 2 2 4 3 2" xfId="22955" xr:uid="{00000000-0005-0000-0000-000088590000}"/>
    <cellStyle name="Normal 2 2 4 2 2 4 3 3" xfId="22956" xr:uid="{00000000-0005-0000-0000-000089590000}"/>
    <cellStyle name="Normal 2 2 4 2 2 4 3 4" xfId="22957" xr:uid="{00000000-0005-0000-0000-00008A590000}"/>
    <cellStyle name="Normal 2 2 4 2 2 4 3 5" xfId="22958" xr:uid="{00000000-0005-0000-0000-00008B590000}"/>
    <cellStyle name="Normal 2 2 4 2 2 4 3 6" xfId="22959" xr:uid="{00000000-0005-0000-0000-00008C590000}"/>
    <cellStyle name="Normal 2 2 4 2 2 4 3 7" xfId="22960" xr:uid="{00000000-0005-0000-0000-00008D590000}"/>
    <cellStyle name="Normal 2 2 4 2 2 4 3 8" xfId="22961" xr:uid="{00000000-0005-0000-0000-00008E590000}"/>
    <cellStyle name="Normal 2 2 4 2 2 4 3 9" xfId="22962" xr:uid="{00000000-0005-0000-0000-00008F590000}"/>
    <cellStyle name="Normal 2 2 4 2 2 4 4" xfId="22963" xr:uid="{00000000-0005-0000-0000-000090590000}"/>
    <cellStyle name="Normal 2 2 4 2 2 4 4 10" xfId="22964" xr:uid="{00000000-0005-0000-0000-000091590000}"/>
    <cellStyle name="Normal 2 2 4 2 2 4 4 2" xfId="22965" xr:uid="{00000000-0005-0000-0000-000092590000}"/>
    <cellStyle name="Normal 2 2 4 2 2 4 4 3" xfId="22966" xr:uid="{00000000-0005-0000-0000-000093590000}"/>
    <cellStyle name="Normal 2 2 4 2 2 4 4 4" xfId="22967" xr:uid="{00000000-0005-0000-0000-000094590000}"/>
    <cellStyle name="Normal 2 2 4 2 2 4 4 5" xfId="22968" xr:uid="{00000000-0005-0000-0000-000095590000}"/>
    <cellStyle name="Normal 2 2 4 2 2 4 4 6" xfId="22969" xr:uid="{00000000-0005-0000-0000-000096590000}"/>
    <cellStyle name="Normal 2 2 4 2 2 4 4 7" xfId="22970" xr:uid="{00000000-0005-0000-0000-000097590000}"/>
    <cellStyle name="Normal 2 2 4 2 2 4 4 8" xfId="22971" xr:uid="{00000000-0005-0000-0000-000098590000}"/>
    <cellStyle name="Normal 2 2 4 2 2 4 4 9" xfId="22972" xr:uid="{00000000-0005-0000-0000-000099590000}"/>
    <cellStyle name="Normal 2 2 4 2 2 4 5" xfId="22973" xr:uid="{00000000-0005-0000-0000-00009A590000}"/>
    <cellStyle name="Normal 2 2 4 2 2 4 5 10" xfId="22974" xr:uid="{00000000-0005-0000-0000-00009B590000}"/>
    <cellStyle name="Normal 2 2 4 2 2 4 5 2" xfId="22975" xr:uid="{00000000-0005-0000-0000-00009C590000}"/>
    <cellStyle name="Normal 2 2 4 2 2 4 5 3" xfId="22976" xr:uid="{00000000-0005-0000-0000-00009D590000}"/>
    <cellStyle name="Normal 2 2 4 2 2 4 5 4" xfId="22977" xr:uid="{00000000-0005-0000-0000-00009E590000}"/>
    <cellStyle name="Normal 2 2 4 2 2 4 5 5" xfId="22978" xr:uid="{00000000-0005-0000-0000-00009F590000}"/>
    <cellStyle name="Normal 2 2 4 2 2 4 5 6" xfId="22979" xr:uid="{00000000-0005-0000-0000-0000A0590000}"/>
    <cellStyle name="Normal 2 2 4 2 2 4 5 7" xfId="22980" xr:uid="{00000000-0005-0000-0000-0000A1590000}"/>
    <cellStyle name="Normal 2 2 4 2 2 4 5 8" xfId="22981" xr:uid="{00000000-0005-0000-0000-0000A2590000}"/>
    <cellStyle name="Normal 2 2 4 2 2 4 5 9" xfId="22982" xr:uid="{00000000-0005-0000-0000-0000A3590000}"/>
    <cellStyle name="Normal 2 2 4 2 2 4 6" xfId="22983" xr:uid="{00000000-0005-0000-0000-0000A4590000}"/>
    <cellStyle name="Normal 2 2 4 2 2 4 7" xfId="22984" xr:uid="{00000000-0005-0000-0000-0000A5590000}"/>
    <cellStyle name="Normal 2 2 4 2 2 4 8" xfId="22985" xr:uid="{00000000-0005-0000-0000-0000A6590000}"/>
    <cellStyle name="Normal 2 2 4 2 2 4 9" xfId="22986" xr:uid="{00000000-0005-0000-0000-0000A7590000}"/>
    <cellStyle name="Normal 2 2 4 2 2 5" xfId="22987" xr:uid="{00000000-0005-0000-0000-0000A8590000}"/>
    <cellStyle name="Normal 2 2 4 2 2 5 10" xfId="22988" xr:uid="{00000000-0005-0000-0000-0000A9590000}"/>
    <cellStyle name="Normal 2 2 4 2 2 5 11" xfId="22989" xr:uid="{00000000-0005-0000-0000-0000AA590000}"/>
    <cellStyle name="Normal 2 2 4 2 2 5 12" xfId="22990" xr:uid="{00000000-0005-0000-0000-0000AB590000}"/>
    <cellStyle name="Normal 2 2 4 2 2 5 13" xfId="22991" xr:uid="{00000000-0005-0000-0000-0000AC590000}"/>
    <cellStyle name="Normal 2 2 4 2 2 5 14" xfId="22992" xr:uid="{00000000-0005-0000-0000-0000AD590000}"/>
    <cellStyle name="Normal 2 2 4 2 2 5 2" xfId="22993" xr:uid="{00000000-0005-0000-0000-0000AE590000}"/>
    <cellStyle name="Normal 2 2 4 2 2 5 2 10" xfId="22994" xr:uid="{00000000-0005-0000-0000-0000AF590000}"/>
    <cellStyle name="Normal 2 2 4 2 2 5 2 2" xfId="22995" xr:uid="{00000000-0005-0000-0000-0000B0590000}"/>
    <cellStyle name="Normal 2 2 4 2 2 5 2 3" xfId="22996" xr:uid="{00000000-0005-0000-0000-0000B1590000}"/>
    <cellStyle name="Normal 2 2 4 2 2 5 2 4" xfId="22997" xr:uid="{00000000-0005-0000-0000-0000B2590000}"/>
    <cellStyle name="Normal 2 2 4 2 2 5 2 5" xfId="22998" xr:uid="{00000000-0005-0000-0000-0000B3590000}"/>
    <cellStyle name="Normal 2 2 4 2 2 5 2 6" xfId="22999" xr:uid="{00000000-0005-0000-0000-0000B4590000}"/>
    <cellStyle name="Normal 2 2 4 2 2 5 2 7" xfId="23000" xr:uid="{00000000-0005-0000-0000-0000B5590000}"/>
    <cellStyle name="Normal 2 2 4 2 2 5 2 8" xfId="23001" xr:uid="{00000000-0005-0000-0000-0000B6590000}"/>
    <cellStyle name="Normal 2 2 4 2 2 5 2 9" xfId="23002" xr:uid="{00000000-0005-0000-0000-0000B7590000}"/>
    <cellStyle name="Normal 2 2 4 2 2 5 3" xfId="23003" xr:uid="{00000000-0005-0000-0000-0000B8590000}"/>
    <cellStyle name="Normal 2 2 4 2 2 5 3 10" xfId="23004" xr:uid="{00000000-0005-0000-0000-0000B9590000}"/>
    <cellStyle name="Normal 2 2 4 2 2 5 3 2" xfId="23005" xr:uid="{00000000-0005-0000-0000-0000BA590000}"/>
    <cellStyle name="Normal 2 2 4 2 2 5 3 3" xfId="23006" xr:uid="{00000000-0005-0000-0000-0000BB590000}"/>
    <cellStyle name="Normal 2 2 4 2 2 5 3 4" xfId="23007" xr:uid="{00000000-0005-0000-0000-0000BC590000}"/>
    <cellStyle name="Normal 2 2 4 2 2 5 3 5" xfId="23008" xr:uid="{00000000-0005-0000-0000-0000BD590000}"/>
    <cellStyle name="Normal 2 2 4 2 2 5 3 6" xfId="23009" xr:uid="{00000000-0005-0000-0000-0000BE590000}"/>
    <cellStyle name="Normal 2 2 4 2 2 5 3 7" xfId="23010" xr:uid="{00000000-0005-0000-0000-0000BF590000}"/>
    <cellStyle name="Normal 2 2 4 2 2 5 3 8" xfId="23011" xr:uid="{00000000-0005-0000-0000-0000C0590000}"/>
    <cellStyle name="Normal 2 2 4 2 2 5 3 9" xfId="23012" xr:uid="{00000000-0005-0000-0000-0000C1590000}"/>
    <cellStyle name="Normal 2 2 4 2 2 5 4" xfId="23013" xr:uid="{00000000-0005-0000-0000-0000C2590000}"/>
    <cellStyle name="Normal 2 2 4 2 2 5 4 10" xfId="23014" xr:uid="{00000000-0005-0000-0000-0000C3590000}"/>
    <cellStyle name="Normal 2 2 4 2 2 5 4 2" xfId="23015" xr:uid="{00000000-0005-0000-0000-0000C4590000}"/>
    <cellStyle name="Normal 2 2 4 2 2 5 4 3" xfId="23016" xr:uid="{00000000-0005-0000-0000-0000C5590000}"/>
    <cellStyle name="Normal 2 2 4 2 2 5 4 4" xfId="23017" xr:uid="{00000000-0005-0000-0000-0000C6590000}"/>
    <cellStyle name="Normal 2 2 4 2 2 5 4 5" xfId="23018" xr:uid="{00000000-0005-0000-0000-0000C7590000}"/>
    <cellStyle name="Normal 2 2 4 2 2 5 4 6" xfId="23019" xr:uid="{00000000-0005-0000-0000-0000C8590000}"/>
    <cellStyle name="Normal 2 2 4 2 2 5 4 7" xfId="23020" xr:uid="{00000000-0005-0000-0000-0000C9590000}"/>
    <cellStyle name="Normal 2 2 4 2 2 5 4 8" xfId="23021" xr:uid="{00000000-0005-0000-0000-0000CA590000}"/>
    <cellStyle name="Normal 2 2 4 2 2 5 4 9" xfId="23022" xr:uid="{00000000-0005-0000-0000-0000CB590000}"/>
    <cellStyle name="Normal 2 2 4 2 2 5 5" xfId="23023" xr:uid="{00000000-0005-0000-0000-0000CC590000}"/>
    <cellStyle name="Normal 2 2 4 2 2 5 5 10" xfId="23024" xr:uid="{00000000-0005-0000-0000-0000CD590000}"/>
    <cellStyle name="Normal 2 2 4 2 2 5 5 2" xfId="23025" xr:uid="{00000000-0005-0000-0000-0000CE590000}"/>
    <cellStyle name="Normal 2 2 4 2 2 5 5 3" xfId="23026" xr:uid="{00000000-0005-0000-0000-0000CF590000}"/>
    <cellStyle name="Normal 2 2 4 2 2 5 5 4" xfId="23027" xr:uid="{00000000-0005-0000-0000-0000D0590000}"/>
    <cellStyle name="Normal 2 2 4 2 2 5 5 5" xfId="23028" xr:uid="{00000000-0005-0000-0000-0000D1590000}"/>
    <cellStyle name="Normal 2 2 4 2 2 5 5 6" xfId="23029" xr:uid="{00000000-0005-0000-0000-0000D2590000}"/>
    <cellStyle name="Normal 2 2 4 2 2 5 5 7" xfId="23030" xr:uid="{00000000-0005-0000-0000-0000D3590000}"/>
    <cellStyle name="Normal 2 2 4 2 2 5 5 8" xfId="23031" xr:uid="{00000000-0005-0000-0000-0000D4590000}"/>
    <cellStyle name="Normal 2 2 4 2 2 5 5 9" xfId="23032" xr:uid="{00000000-0005-0000-0000-0000D5590000}"/>
    <cellStyle name="Normal 2 2 4 2 2 5 6" xfId="23033" xr:uid="{00000000-0005-0000-0000-0000D6590000}"/>
    <cellStyle name="Normal 2 2 4 2 2 5 7" xfId="23034" xr:uid="{00000000-0005-0000-0000-0000D7590000}"/>
    <cellStyle name="Normal 2 2 4 2 2 5 8" xfId="23035" xr:uid="{00000000-0005-0000-0000-0000D8590000}"/>
    <cellStyle name="Normal 2 2 4 2 2 5 9" xfId="23036" xr:uid="{00000000-0005-0000-0000-0000D9590000}"/>
    <cellStyle name="Normal 2 2 4 2 2 6" xfId="23037" xr:uid="{00000000-0005-0000-0000-0000DA590000}"/>
    <cellStyle name="Normal 2 2 4 2 2 6 10" xfId="23038" xr:uid="{00000000-0005-0000-0000-0000DB590000}"/>
    <cellStyle name="Normal 2 2 4 2 2 6 11" xfId="23039" xr:uid="{00000000-0005-0000-0000-0000DC590000}"/>
    <cellStyle name="Normal 2 2 4 2 2 6 12" xfId="23040" xr:uid="{00000000-0005-0000-0000-0000DD590000}"/>
    <cellStyle name="Normal 2 2 4 2 2 6 13" xfId="23041" xr:uid="{00000000-0005-0000-0000-0000DE590000}"/>
    <cellStyle name="Normal 2 2 4 2 2 6 14" xfId="23042" xr:uid="{00000000-0005-0000-0000-0000DF590000}"/>
    <cellStyle name="Normal 2 2 4 2 2 6 2" xfId="23043" xr:uid="{00000000-0005-0000-0000-0000E0590000}"/>
    <cellStyle name="Normal 2 2 4 2 2 6 2 10" xfId="23044" xr:uid="{00000000-0005-0000-0000-0000E1590000}"/>
    <cellStyle name="Normal 2 2 4 2 2 6 2 2" xfId="23045" xr:uid="{00000000-0005-0000-0000-0000E2590000}"/>
    <cellStyle name="Normal 2 2 4 2 2 6 2 3" xfId="23046" xr:uid="{00000000-0005-0000-0000-0000E3590000}"/>
    <cellStyle name="Normal 2 2 4 2 2 6 2 4" xfId="23047" xr:uid="{00000000-0005-0000-0000-0000E4590000}"/>
    <cellStyle name="Normal 2 2 4 2 2 6 2 5" xfId="23048" xr:uid="{00000000-0005-0000-0000-0000E5590000}"/>
    <cellStyle name="Normal 2 2 4 2 2 6 2 6" xfId="23049" xr:uid="{00000000-0005-0000-0000-0000E6590000}"/>
    <cellStyle name="Normal 2 2 4 2 2 6 2 7" xfId="23050" xr:uid="{00000000-0005-0000-0000-0000E7590000}"/>
    <cellStyle name="Normal 2 2 4 2 2 6 2 8" xfId="23051" xr:uid="{00000000-0005-0000-0000-0000E8590000}"/>
    <cellStyle name="Normal 2 2 4 2 2 6 2 9" xfId="23052" xr:uid="{00000000-0005-0000-0000-0000E9590000}"/>
    <cellStyle name="Normal 2 2 4 2 2 6 3" xfId="23053" xr:uid="{00000000-0005-0000-0000-0000EA590000}"/>
    <cellStyle name="Normal 2 2 4 2 2 6 3 10" xfId="23054" xr:uid="{00000000-0005-0000-0000-0000EB590000}"/>
    <cellStyle name="Normal 2 2 4 2 2 6 3 2" xfId="23055" xr:uid="{00000000-0005-0000-0000-0000EC590000}"/>
    <cellStyle name="Normal 2 2 4 2 2 6 3 3" xfId="23056" xr:uid="{00000000-0005-0000-0000-0000ED590000}"/>
    <cellStyle name="Normal 2 2 4 2 2 6 3 4" xfId="23057" xr:uid="{00000000-0005-0000-0000-0000EE590000}"/>
    <cellStyle name="Normal 2 2 4 2 2 6 3 5" xfId="23058" xr:uid="{00000000-0005-0000-0000-0000EF590000}"/>
    <cellStyle name="Normal 2 2 4 2 2 6 3 6" xfId="23059" xr:uid="{00000000-0005-0000-0000-0000F0590000}"/>
    <cellStyle name="Normal 2 2 4 2 2 6 3 7" xfId="23060" xr:uid="{00000000-0005-0000-0000-0000F1590000}"/>
    <cellStyle name="Normal 2 2 4 2 2 6 3 8" xfId="23061" xr:uid="{00000000-0005-0000-0000-0000F2590000}"/>
    <cellStyle name="Normal 2 2 4 2 2 6 3 9" xfId="23062" xr:uid="{00000000-0005-0000-0000-0000F3590000}"/>
    <cellStyle name="Normal 2 2 4 2 2 6 4" xfId="23063" xr:uid="{00000000-0005-0000-0000-0000F4590000}"/>
    <cellStyle name="Normal 2 2 4 2 2 6 4 10" xfId="23064" xr:uid="{00000000-0005-0000-0000-0000F5590000}"/>
    <cellStyle name="Normal 2 2 4 2 2 6 4 2" xfId="23065" xr:uid="{00000000-0005-0000-0000-0000F6590000}"/>
    <cellStyle name="Normal 2 2 4 2 2 6 4 3" xfId="23066" xr:uid="{00000000-0005-0000-0000-0000F7590000}"/>
    <cellStyle name="Normal 2 2 4 2 2 6 4 4" xfId="23067" xr:uid="{00000000-0005-0000-0000-0000F8590000}"/>
    <cellStyle name="Normal 2 2 4 2 2 6 4 5" xfId="23068" xr:uid="{00000000-0005-0000-0000-0000F9590000}"/>
    <cellStyle name="Normal 2 2 4 2 2 6 4 6" xfId="23069" xr:uid="{00000000-0005-0000-0000-0000FA590000}"/>
    <cellStyle name="Normal 2 2 4 2 2 6 4 7" xfId="23070" xr:uid="{00000000-0005-0000-0000-0000FB590000}"/>
    <cellStyle name="Normal 2 2 4 2 2 6 4 8" xfId="23071" xr:uid="{00000000-0005-0000-0000-0000FC590000}"/>
    <cellStyle name="Normal 2 2 4 2 2 6 4 9" xfId="23072" xr:uid="{00000000-0005-0000-0000-0000FD590000}"/>
    <cellStyle name="Normal 2 2 4 2 2 6 5" xfId="23073" xr:uid="{00000000-0005-0000-0000-0000FE590000}"/>
    <cellStyle name="Normal 2 2 4 2 2 6 5 10" xfId="23074" xr:uid="{00000000-0005-0000-0000-0000FF590000}"/>
    <cellStyle name="Normal 2 2 4 2 2 6 5 2" xfId="23075" xr:uid="{00000000-0005-0000-0000-0000005A0000}"/>
    <cellStyle name="Normal 2 2 4 2 2 6 5 3" xfId="23076" xr:uid="{00000000-0005-0000-0000-0000015A0000}"/>
    <cellStyle name="Normal 2 2 4 2 2 6 5 4" xfId="23077" xr:uid="{00000000-0005-0000-0000-0000025A0000}"/>
    <cellStyle name="Normal 2 2 4 2 2 6 5 5" xfId="23078" xr:uid="{00000000-0005-0000-0000-0000035A0000}"/>
    <cellStyle name="Normal 2 2 4 2 2 6 5 6" xfId="23079" xr:uid="{00000000-0005-0000-0000-0000045A0000}"/>
    <cellStyle name="Normal 2 2 4 2 2 6 5 7" xfId="23080" xr:uid="{00000000-0005-0000-0000-0000055A0000}"/>
    <cellStyle name="Normal 2 2 4 2 2 6 5 8" xfId="23081" xr:uid="{00000000-0005-0000-0000-0000065A0000}"/>
    <cellStyle name="Normal 2 2 4 2 2 6 5 9" xfId="23082" xr:uid="{00000000-0005-0000-0000-0000075A0000}"/>
    <cellStyle name="Normal 2 2 4 2 2 6 6" xfId="23083" xr:uid="{00000000-0005-0000-0000-0000085A0000}"/>
    <cellStyle name="Normal 2 2 4 2 2 6 7" xfId="23084" xr:uid="{00000000-0005-0000-0000-0000095A0000}"/>
    <cellStyle name="Normal 2 2 4 2 2 6 8" xfId="23085" xr:uid="{00000000-0005-0000-0000-00000A5A0000}"/>
    <cellStyle name="Normal 2 2 4 2 2 6 9" xfId="23086" xr:uid="{00000000-0005-0000-0000-00000B5A0000}"/>
    <cellStyle name="Normal 2 2 4 2 2 7" xfId="23087" xr:uid="{00000000-0005-0000-0000-00000C5A0000}"/>
    <cellStyle name="Normal 2 2 4 2 2 7 10" xfId="23088" xr:uid="{00000000-0005-0000-0000-00000D5A0000}"/>
    <cellStyle name="Normal 2 2 4 2 2 7 11" xfId="23089" xr:uid="{00000000-0005-0000-0000-00000E5A0000}"/>
    <cellStyle name="Normal 2 2 4 2 2 7 12" xfId="23090" xr:uid="{00000000-0005-0000-0000-00000F5A0000}"/>
    <cellStyle name="Normal 2 2 4 2 2 7 13" xfId="23091" xr:uid="{00000000-0005-0000-0000-0000105A0000}"/>
    <cellStyle name="Normal 2 2 4 2 2 7 14" xfId="23092" xr:uid="{00000000-0005-0000-0000-0000115A0000}"/>
    <cellStyle name="Normal 2 2 4 2 2 7 2" xfId="23093" xr:uid="{00000000-0005-0000-0000-0000125A0000}"/>
    <cellStyle name="Normal 2 2 4 2 2 7 2 10" xfId="23094" xr:uid="{00000000-0005-0000-0000-0000135A0000}"/>
    <cellStyle name="Normal 2 2 4 2 2 7 2 2" xfId="23095" xr:uid="{00000000-0005-0000-0000-0000145A0000}"/>
    <cellStyle name="Normal 2 2 4 2 2 7 2 3" xfId="23096" xr:uid="{00000000-0005-0000-0000-0000155A0000}"/>
    <cellStyle name="Normal 2 2 4 2 2 7 2 4" xfId="23097" xr:uid="{00000000-0005-0000-0000-0000165A0000}"/>
    <cellStyle name="Normal 2 2 4 2 2 7 2 5" xfId="23098" xr:uid="{00000000-0005-0000-0000-0000175A0000}"/>
    <cellStyle name="Normal 2 2 4 2 2 7 2 6" xfId="23099" xr:uid="{00000000-0005-0000-0000-0000185A0000}"/>
    <cellStyle name="Normal 2 2 4 2 2 7 2 7" xfId="23100" xr:uid="{00000000-0005-0000-0000-0000195A0000}"/>
    <cellStyle name="Normal 2 2 4 2 2 7 2 8" xfId="23101" xr:uid="{00000000-0005-0000-0000-00001A5A0000}"/>
    <cellStyle name="Normal 2 2 4 2 2 7 2 9" xfId="23102" xr:uid="{00000000-0005-0000-0000-00001B5A0000}"/>
    <cellStyle name="Normal 2 2 4 2 2 7 3" xfId="23103" xr:uid="{00000000-0005-0000-0000-00001C5A0000}"/>
    <cellStyle name="Normal 2 2 4 2 2 7 3 10" xfId="23104" xr:uid="{00000000-0005-0000-0000-00001D5A0000}"/>
    <cellStyle name="Normal 2 2 4 2 2 7 3 2" xfId="23105" xr:uid="{00000000-0005-0000-0000-00001E5A0000}"/>
    <cellStyle name="Normal 2 2 4 2 2 7 3 3" xfId="23106" xr:uid="{00000000-0005-0000-0000-00001F5A0000}"/>
    <cellStyle name="Normal 2 2 4 2 2 7 3 4" xfId="23107" xr:uid="{00000000-0005-0000-0000-0000205A0000}"/>
    <cellStyle name="Normal 2 2 4 2 2 7 3 5" xfId="23108" xr:uid="{00000000-0005-0000-0000-0000215A0000}"/>
    <cellStyle name="Normal 2 2 4 2 2 7 3 6" xfId="23109" xr:uid="{00000000-0005-0000-0000-0000225A0000}"/>
    <cellStyle name="Normal 2 2 4 2 2 7 3 7" xfId="23110" xr:uid="{00000000-0005-0000-0000-0000235A0000}"/>
    <cellStyle name="Normal 2 2 4 2 2 7 3 8" xfId="23111" xr:uid="{00000000-0005-0000-0000-0000245A0000}"/>
    <cellStyle name="Normal 2 2 4 2 2 7 3 9" xfId="23112" xr:uid="{00000000-0005-0000-0000-0000255A0000}"/>
    <cellStyle name="Normal 2 2 4 2 2 7 4" xfId="23113" xr:uid="{00000000-0005-0000-0000-0000265A0000}"/>
    <cellStyle name="Normal 2 2 4 2 2 7 4 10" xfId="23114" xr:uid="{00000000-0005-0000-0000-0000275A0000}"/>
    <cellStyle name="Normal 2 2 4 2 2 7 4 2" xfId="23115" xr:uid="{00000000-0005-0000-0000-0000285A0000}"/>
    <cellStyle name="Normal 2 2 4 2 2 7 4 3" xfId="23116" xr:uid="{00000000-0005-0000-0000-0000295A0000}"/>
    <cellStyle name="Normal 2 2 4 2 2 7 4 4" xfId="23117" xr:uid="{00000000-0005-0000-0000-00002A5A0000}"/>
    <cellStyle name="Normal 2 2 4 2 2 7 4 5" xfId="23118" xr:uid="{00000000-0005-0000-0000-00002B5A0000}"/>
    <cellStyle name="Normal 2 2 4 2 2 7 4 6" xfId="23119" xr:uid="{00000000-0005-0000-0000-00002C5A0000}"/>
    <cellStyle name="Normal 2 2 4 2 2 7 4 7" xfId="23120" xr:uid="{00000000-0005-0000-0000-00002D5A0000}"/>
    <cellStyle name="Normal 2 2 4 2 2 7 4 8" xfId="23121" xr:uid="{00000000-0005-0000-0000-00002E5A0000}"/>
    <cellStyle name="Normal 2 2 4 2 2 7 4 9" xfId="23122" xr:uid="{00000000-0005-0000-0000-00002F5A0000}"/>
    <cellStyle name="Normal 2 2 4 2 2 7 5" xfId="23123" xr:uid="{00000000-0005-0000-0000-0000305A0000}"/>
    <cellStyle name="Normal 2 2 4 2 2 7 5 10" xfId="23124" xr:uid="{00000000-0005-0000-0000-0000315A0000}"/>
    <cellStyle name="Normal 2 2 4 2 2 7 5 2" xfId="23125" xr:uid="{00000000-0005-0000-0000-0000325A0000}"/>
    <cellStyle name="Normal 2 2 4 2 2 7 5 3" xfId="23126" xr:uid="{00000000-0005-0000-0000-0000335A0000}"/>
    <cellStyle name="Normal 2 2 4 2 2 7 5 4" xfId="23127" xr:uid="{00000000-0005-0000-0000-0000345A0000}"/>
    <cellStyle name="Normal 2 2 4 2 2 7 5 5" xfId="23128" xr:uid="{00000000-0005-0000-0000-0000355A0000}"/>
    <cellStyle name="Normal 2 2 4 2 2 7 5 6" xfId="23129" xr:uid="{00000000-0005-0000-0000-0000365A0000}"/>
    <cellStyle name="Normal 2 2 4 2 2 7 5 7" xfId="23130" xr:uid="{00000000-0005-0000-0000-0000375A0000}"/>
    <cellStyle name="Normal 2 2 4 2 2 7 5 8" xfId="23131" xr:uid="{00000000-0005-0000-0000-0000385A0000}"/>
    <cellStyle name="Normal 2 2 4 2 2 7 5 9" xfId="23132" xr:uid="{00000000-0005-0000-0000-0000395A0000}"/>
    <cellStyle name="Normal 2 2 4 2 2 7 6" xfId="23133" xr:uid="{00000000-0005-0000-0000-00003A5A0000}"/>
    <cellStyle name="Normal 2 2 4 2 2 7 7" xfId="23134" xr:uid="{00000000-0005-0000-0000-00003B5A0000}"/>
    <cellStyle name="Normal 2 2 4 2 2 7 8" xfId="23135" xr:uid="{00000000-0005-0000-0000-00003C5A0000}"/>
    <cellStyle name="Normal 2 2 4 2 2 7 9" xfId="23136" xr:uid="{00000000-0005-0000-0000-00003D5A0000}"/>
    <cellStyle name="Normal 2 2 4 2 2 8" xfId="23137" xr:uid="{00000000-0005-0000-0000-00003E5A0000}"/>
    <cellStyle name="Normal 2 2 4 2 2 8 10" xfId="23138" xr:uid="{00000000-0005-0000-0000-00003F5A0000}"/>
    <cellStyle name="Normal 2 2 4 2 2 8 11" xfId="23139" xr:uid="{00000000-0005-0000-0000-0000405A0000}"/>
    <cellStyle name="Normal 2 2 4 2 2 8 12" xfId="23140" xr:uid="{00000000-0005-0000-0000-0000415A0000}"/>
    <cellStyle name="Normal 2 2 4 2 2 8 13" xfId="23141" xr:uid="{00000000-0005-0000-0000-0000425A0000}"/>
    <cellStyle name="Normal 2 2 4 2 2 8 14" xfId="23142" xr:uid="{00000000-0005-0000-0000-0000435A0000}"/>
    <cellStyle name="Normal 2 2 4 2 2 8 2" xfId="23143" xr:uid="{00000000-0005-0000-0000-0000445A0000}"/>
    <cellStyle name="Normal 2 2 4 2 2 8 2 10" xfId="23144" xr:uid="{00000000-0005-0000-0000-0000455A0000}"/>
    <cellStyle name="Normal 2 2 4 2 2 8 2 2" xfId="23145" xr:uid="{00000000-0005-0000-0000-0000465A0000}"/>
    <cellStyle name="Normal 2 2 4 2 2 8 2 3" xfId="23146" xr:uid="{00000000-0005-0000-0000-0000475A0000}"/>
    <cellStyle name="Normal 2 2 4 2 2 8 2 4" xfId="23147" xr:uid="{00000000-0005-0000-0000-0000485A0000}"/>
    <cellStyle name="Normal 2 2 4 2 2 8 2 5" xfId="23148" xr:uid="{00000000-0005-0000-0000-0000495A0000}"/>
    <cellStyle name="Normal 2 2 4 2 2 8 2 6" xfId="23149" xr:uid="{00000000-0005-0000-0000-00004A5A0000}"/>
    <cellStyle name="Normal 2 2 4 2 2 8 2 7" xfId="23150" xr:uid="{00000000-0005-0000-0000-00004B5A0000}"/>
    <cellStyle name="Normal 2 2 4 2 2 8 2 8" xfId="23151" xr:uid="{00000000-0005-0000-0000-00004C5A0000}"/>
    <cellStyle name="Normal 2 2 4 2 2 8 2 9" xfId="23152" xr:uid="{00000000-0005-0000-0000-00004D5A0000}"/>
    <cellStyle name="Normal 2 2 4 2 2 8 3" xfId="23153" xr:uid="{00000000-0005-0000-0000-00004E5A0000}"/>
    <cellStyle name="Normal 2 2 4 2 2 8 3 10" xfId="23154" xr:uid="{00000000-0005-0000-0000-00004F5A0000}"/>
    <cellStyle name="Normal 2 2 4 2 2 8 3 2" xfId="23155" xr:uid="{00000000-0005-0000-0000-0000505A0000}"/>
    <cellStyle name="Normal 2 2 4 2 2 8 3 3" xfId="23156" xr:uid="{00000000-0005-0000-0000-0000515A0000}"/>
    <cellStyle name="Normal 2 2 4 2 2 8 3 4" xfId="23157" xr:uid="{00000000-0005-0000-0000-0000525A0000}"/>
    <cellStyle name="Normal 2 2 4 2 2 8 3 5" xfId="23158" xr:uid="{00000000-0005-0000-0000-0000535A0000}"/>
    <cellStyle name="Normal 2 2 4 2 2 8 3 6" xfId="23159" xr:uid="{00000000-0005-0000-0000-0000545A0000}"/>
    <cellStyle name="Normal 2 2 4 2 2 8 3 7" xfId="23160" xr:uid="{00000000-0005-0000-0000-0000555A0000}"/>
    <cellStyle name="Normal 2 2 4 2 2 8 3 8" xfId="23161" xr:uid="{00000000-0005-0000-0000-0000565A0000}"/>
    <cellStyle name="Normal 2 2 4 2 2 8 3 9" xfId="23162" xr:uid="{00000000-0005-0000-0000-0000575A0000}"/>
    <cellStyle name="Normal 2 2 4 2 2 8 4" xfId="23163" xr:uid="{00000000-0005-0000-0000-0000585A0000}"/>
    <cellStyle name="Normal 2 2 4 2 2 8 4 10" xfId="23164" xr:uid="{00000000-0005-0000-0000-0000595A0000}"/>
    <cellStyle name="Normal 2 2 4 2 2 8 4 2" xfId="23165" xr:uid="{00000000-0005-0000-0000-00005A5A0000}"/>
    <cellStyle name="Normal 2 2 4 2 2 8 4 3" xfId="23166" xr:uid="{00000000-0005-0000-0000-00005B5A0000}"/>
    <cellStyle name="Normal 2 2 4 2 2 8 4 4" xfId="23167" xr:uid="{00000000-0005-0000-0000-00005C5A0000}"/>
    <cellStyle name="Normal 2 2 4 2 2 8 4 5" xfId="23168" xr:uid="{00000000-0005-0000-0000-00005D5A0000}"/>
    <cellStyle name="Normal 2 2 4 2 2 8 4 6" xfId="23169" xr:uid="{00000000-0005-0000-0000-00005E5A0000}"/>
    <cellStyle name="Normal 2 2 4 2 2 8 4 7" xfId="23170" xr:uid="{00000000-0005-0000-0000-00005F5A0000}"/>
    <cellStyle name="Normal 2 2 4 2 2 8 4 8" xfId="23171" xr:uid="{00000000-0005-0000-0000-0000605A0000}"/>
    <cellStyle name="Normal 2 2 4 2 2 8 4 9" xfId="23172" xr:uid="{00000000-0005-0000-0000-0000615A0000}"/>
    <cellStyle name="Normal 2 2 4 2 2 8 5" xfId="23173" xr:uid="{00000000-0005-0000-0000-0000625A0000}"/>
    <cellStyle name="Normal 2 2 4 2 2 8 5 10" xfId="23174" xr:uid="{00000000-0005-0000-0000-0000635A0000}"/>
    <cellStyle name="Normal 2 2 4 2 2 8 5 2" xfId="23175" xr:uid="{00000000-0005-0000-0000-0000645A0000}"/>
    <cellStyle name="Normal 2 2 4 2 2 8 5 3" xfId="23176" xr:uid="{00000000-0005-0000-0000-0000655A0000}"/>
    <cellStyle name="Normal 2 2 4 2 2 8 5 4" xfId="23177" xr:uid="{00000000-0005-0000-0000-0000665A0000}"/>
    <cellStyle name="Normal 2 2 4 2 2 8 5 5" xfId="23178" xr:uid="{00000000-0005-0000-0000-0000675A0000}"/>
    <cellStyle name="Normal 2 2 4 2 2 8 5 6" xfId="23179" xr:uid="{00000000-0005-0000-0000-0000685A0000}"/>
    <cellStyle name="Normal 2 2 4 2 2 8 5 7" xfId="23180" xr:uid="{00000000-0005-0000-0000-0000695A0000}"/>
    <cellStyle name="Normal 2 2 4 2 2 8 5 8" xfId="23181" xr:uid="{00000000-0005-0000-0000-00006A5A0000}"/>
    <cellStyle name="Normal 2 2 4 2 2 8 5 9" xfId="23182" xr:uid="{00000000-0005-0000-0000-00006B5A0000}"/>
    <cellStyle name="Normal 2 2 4 2 2 8 6" xfId="23183" xr:uid="{00000000-0005-0000-0000-00006C5A0000}"/>
    <cellStyle name="Normal 2 2 4 2 2 8 7" xfId="23184" xr:uid="{00000000-0005-0000-0000-00006D5A0000}"/>
    <cellStyle name="Normal 2 2 4 2 2 8 8" xfId="23185" xr:uid="{00000000-0005-0000-0000-00006E5A0000}"/>
    <cellStyle name="Normal 2 2 4 2 2 8 9" xfId="23186" xr:uid="{00000000-0005-0000-0000-00006F5A0000}"/>
    <cellStyle name="Normal 2 2 4 2 2 9" xfId="23187" xr:uid="{00000000-0005-0000-0000-0000705A0000}"/>
    <cellStyle name="Normal 2 2 4 2 2 9 10" xfId="23188" xr:uid="{00000000-0005-0000-0000-0000715A0000}"/>
    <cellStyle name="Normal 2 2 4 2 2 9 11" xfId="23189" xr:uid="{00000000-0005-0000-0000-0000725A0000}"/>
    <cellStyle name="Normal 2 2 4 2 2 9 12" xfId="23190" xr:uid="{00000000-0005-0000-0000-0000735A0000}"/>
    <cellStyle name="Normal 2 2 4 2 2 9 13" xfId="23191" xr:uid="{00000000-0005-0000-0000-0000745A0000}"/>
    <cellStyle name="Normal 2 2 4 2 2 9 14" xfId="23192" xr:uid="{00000000-0005-0000-0000-0000755A0000}"/>
    <cellStyle name="Normal 2 2 4 2 2 9 2" xfId="23193" xr:uid="{00000000-0005-0000-0000-0000765A0000}"/>
    <cellStyle name="Normal 2 2 4 2 2 9 2 10" xfId="23194" xr:uid="{00000000-0005-0000-0000-0000775A0000}"/>
    <cellStyle name="Normal 2 2 4 2 2 9 2 2" xfId="23195" xr:uid="{00000000-0005-0000-0000-0000785A0000}"/>
    <cellStyle name="Normal 2 2 4 2 2 9 2 3" xfId="23196" xr:uid="{00000000-0005-0000-0000-0000795A0000}"/>
    <cellStyle name="Normal 2 2 4 2 2 9 2 4" xfId="23197" xr:uid="{00000000-0005-0000-0000-00007A5A0000}"/>
    <cellStyle name="Normal 2 2 4 2 2 9 2 5" xfId="23198" xr:uid="{00000000-0005-0000-0000-00007B5A0000}"/>
    <cellStyle name="Normal 2 2 4 2 2 9 2 6" xfId="23199" xr:uid="{00000000-0005-0000-0000-00007C5A0000}"/>
    <cellStyle name="Normal 2 2 4 2 2 9 2 7" xfId="23200" xr:uid="{00000000-0005-0000-0000-00007D5A0000}"/>
    <cellStyle name="Normal 2 2 4 2 2 9 2 8" xfId="23201" xr:uid="{00000000-0005-0000-0000-00007E5A0000}"/>
    <cellStyle name="Normal 2 2 4 2 2 9 2 9" xfId="23202" xr:uid="{00000000-0005-0000-0000-00007F5A0000}"/>
    <cellStyle name="Normal 2 2 4 2 2 9 3" xfId="23203" xr:uid="{00000000-0005-0000-0000-0000805A0000}"/>
    <cellStyle name="Normal 2 2 4 2 2 9 3 10" xfId="23204" xr:uid="{00000000-0005-0000-0000-0000815A0000}"/>
    <cellStyle name="Normal 2 2 4 2 2 9 3 2" xfId="23205" xr:uid="{00000000-0005-0000-0000-0000825A0000}"/>
    <cellStyle name="Normal 2 2 4 2 2 9 3 3" xfId="23206" xr:uid="{00000000-0005-0000-0000-0000835A0000}"/>
    <cellStyle name="Normal 2 2 4 2 2 9 3 4" xfId="23207" xr:uid="{00000000-0005-0000-0000-0000845A0000}"/>
    <cellStyle name="Normal 2 2 4 2 2 9 3 5" xfId="23208" xr:uid="{00000000-0005-0000-0000-0000855A0000}"/>
    <cellStyle name="Normal 2 2 4 2 2 9 3 6" xfId="23209" xr:uid="{00000000-0005-0000-0000-0000865A0000}"/>
    <cellStyle name="Normal 2 2 4 2 2 9 3 7" xfId="23210" xr:uid="{00000000-0005-0000-0000-0000875A0000}"/>
    <cellStyle name="Normal 2 2 4 2 2 9 3 8" xfId="23211" xr:uid="{00000000-0005-0000-0000-0000885A0000}"/>
    <cellStyle name="Normal 2 2 4 2 2 9 3 9" xfId="23212" xr:uid="{00000000-0005-0000-0000-0000895A0000}"/>
    <cellStyle name="Normal 2 2 4 2 2 9 4" xfId="23213" xr:uid="{00000000-0005-0000-0000-00008A5A0000}"/>
    <cellStyle name="Normal 2 2 4 2 2 9 4 10" xfId="23214" xr:uid="{00000000-0005-0000-0000-00008B5A0000}"/>
    <cellStyle name="Normal 2 2 4 2 2 9 4 2" xfId="23215" xr:uid="{00000000-0005-0000-0000-00008C5A0000}"/>
    <cellStyle name="Normal 2 2 4 2 2 9 4 3" xfId="23216" xr:uid="{00000000-0005-0000-0000-00008D5A0000}"/>
    <cellStyle name="Normal 2 2 4 2 2 9 4 4" xfId="23217" xr:uid="{00000000-0005-0000-0000-00008E5A0000}"/>
    <cellStyle name="Normal 2 2 4 2 2 9 4 5" xfId="23218" xr:uid="{00000000-0005-0000-0000-00008F5A0000}"/>
    <cellStyle name="Normal 2 2 4 2 2 9 4 6" xfId="23219" xr:uid="{00000000-0005-0000-0000-0000905A0000}"/>
    <cellStyle name="Normal 2 2 4 2 2 9 4 7" xfId="23220" xr:uid="{00000000-0005-0000-0000-0000915A0000}"/>
    <cellStyle name="Normal 2 2 4 2 2 9 4 8" xfId="23221" xr:uid="{00000000-0005-0000-0000-0000925A0000}"/>
    <cellStyle name="Normal 2 2 4 2 2 9 4 9" xfId="23222" xr:uid="{00000000-0005-0000-0000-0000935A0000}"/>
    <cellStyle name="Normal 2 2 4 2 2 9 5" xfId="23223" xr:uid="{00000000-0005-0000-0000-0000945A0000}"/>
    <cellStyle name="Normal 2 2 4 2 2 9 5 10" xfId="23224" xr:uid="{00000000-0005-0000-0000-0000955A0000}"/>
    <cellStyle name="Normal 2 2 4 2 2 9 5 2" xfId="23225" xr:uid="{00000000-0005-0000-0000-0000965A0000}"/>
    <cellStyle name="Normal 2 2 4 2 2 9 5 3" xfId="23226" xr:uid="{00000000-0005-0000-0000-0000975A0000}"/>
    <cellStyle name="Normal 2 2 4 2 2 9 5 4" xfId="23227" xr:uid="{00000000-0005-0000-0000-0000985A0000}"/>
    <cellStyle name="Normal 2 2 4 2 2 9 5 5" xfId="23228" xr:uid="{00000000-0005-0000-0000-0000995A0000}"/>
    <cellStyle name="Normal 2 2 4 2 2 9 5 6" xfId="23229" xr:uid="{00000000-0005-0000-0000-00009A5A0000}"/>
    <cellStyle name="Normal 2 2 4 2 2 9 5 7" xfId="23230" xr:uid="{00000000-0005-0000-0000-00009B5A0000}"/>
    <cellStyle name="Normal 2 2 4 2 2 9 5 8" xfId="23231" xr:uid="{00000000-0005-0000-0000-00009C5A0000}"/>
    <cellStyle name="Normal 2 2 4 2 2 9 5 9" xfId="23232" xr:uid="{00000000-0005-0000-0000-00009D5A0000}"/>
    <cellStyle name="Normal 2 2 4 2 2 9 6" xfId="23233" xr:uid="{00000000-0005-0000-0000-00009E5A0000}"/>
    <cellStyle name="Normal 2 2 4 2 2 9 7" xfId="23234" xr:uid="{00000000-0005-0000-0000-00009F5A0000}"/>
    <cellStyle name="Normal 2 2 4 2 2 9 8" xfId="23235" xr:uid="{00000000-0005-0000-0000-0000A05A0000}"/>
    <cellStyle name="Normal 2 2 4 2 2 9 9" xfId="23236" xr:uid="{00000000-0005-0000-0000-0000A15A0000}"/>
    <cellStyle name="Normal 2 2 4 2 20" xfId="23237" xr:uid="{00000000-0005-0000-0000-0000A25A0000}"/>
    <cellStyle name="Normal 2 2 4 2 21" xfId="23238" xr:uid="{00000000-0005-0000-0000-0000A35A0000}"/>
    <cellStyle name="Normal 2 2 4 2 21 10" xfId="23239" xr:uid="{00000000-0005-0000-0000-0000A45A0000}"/>
    <cellStyle name="Normal 2 2 4 2 21 2" xfId="23240" xr:uid="{00000000-0005-0000-0000-0000A55A0000}"/>
    <cellStyle name="Normal 2 2 4 2 21 3" xfId="23241" xr:uid="{00000000-0005-0000-0000-0000A65A0000}"/>
    <cellStyle name="Normal 2 2 4 2 21 4" xfId="23242" xr:uid="{00000000-0005-0000-0000-0000A75A0000}"/>
    <cellStyle name="Normal 2 2 4 2 21 5" xfId="23243" xr:uid="{00000000-0005-0000-0000-0000A85A0000}"/>
    <cellStyle name="Normal 2 2 4 2 21 6" xfId="23244" xr:uid="{00000000-0005-0000-0000-0000A95A0000}"/>
    <cellStyle name="Normal 2 2 4 2 21 7" xfId="23245" xr:uid="{00000000-0005-0000-0000-0000AA5A0000}"/>
    <cellStyle name="Normal 2 2 4 2 21 8" xfId="23246" xr:uid="{00000000-0005-0000-0000-0000AB5A0000}"/>
    <cellStyle name="Normal 2 2 4 2 21 9" xfId="23247" xr:uid="{00000000-0005-0000-0000-0000AC5A0000}"/>
    <cellStyle name="Normal 2 2 4 2 22" xfId="23248" xr:uid="{00000000-0005-0000-0000-0000AD5A0000}"/>
    <cellStyle name="Normal 2 2 4 2 22 10" xfId="23249" xr:uid="{00000000-0005-0000-0000-0000AE5A0000}"/>
    <cellStyle name="Normal 2 2 4 2 22 2" xfId="23250" xr:uid="{00000000-0005-0000-0000-0000AF5A0000}"/>
    <cellStyle name="Normal 2 2 4 2 22 3" xfId="23251" xr:uid="{00000000-0005-0000-0000-0000B05A0000}"/>
    <cellStyle name="Normal 2 2 4 2 22 4" xfId="23252" xr:uid="{00000000-0005-0000-0000-0000B15A0000}"/>
    <cellStyle name="Normal 2 2 4 2 22 5" xfId="23253" xr:uid="{00000000-0005-0000-0000-0000B25A0000}"/>
    <cellStyle name="Normal 2 2 4 2 22 6" xfId="23254" xr:uid="{00000000-0005-0000-0000-0000B35A0000}"/>
    <cellStyle name="Normal 2 2 4 2 22 7" xfId="23255" xr:uid="{00000000-0005-0000-0000-0000B45A0000}"/>
    <cellStyle name="Normal 2 2 4 2 22 8" xfId="23256" xr:uid="{00000000-0005-0000-0000-0000B55A0000}"/>
    <cellStyle name="Normal 2 2 4 2 22 9" xfId="23257" xr:uid="{00000000-0005-0000-0000-0000B65A0000}"/>
    <cellStyle name="Normal 2 2 4 2 23" xfId="23258" xr:uid="{00000000-0005-0000-0000-0000B75A0000}"/>
    <cellStyle name="Normal 2 2 4 2 23 10" xfId="23259" xr:uid="{00000000-0005-0000-0000-0000B85A0000}"/>
    <cellStyle name="Normal 2 2 4 2 23 2" xfId="23260" xr:uid="{00000000-0005-0000-0000-0000B95A0000}"/>
    <cellStyle name="Normal 2 2 4 2 23 3" xfId="23261" xr:uid="{00000000-0005-0000-0000-0000BA5A0000}"/>
    <cellStyle name="Normal 2 2 4 2 23 4" xfId="23262" xr:uid="{00000000-0005-0000-0000-0000BB5A0000}"/>
    <cellStyle name="Normal 2 2 4 2 23 5" xfId="23263" xr:uid="{00000000-0005-0000-0000-0000BC5A0000}"/>
    <cellStyle name="Normal 2 2 4 2 23 6" xfId="23264" xr:uid="{00000000-0005-0000-0000-0000BD5A0000}"/>
    <cellStyle name="Normal 2 2 4 2 23 7" xfId="23265" xr:uid="{00000000-0005-0000-0000-0000BE5A0000}"/>
    <cellStyle name="Normal 2 2 4 2 23 8" xfId="23266" xr:uid="{00000000-0005-0000-0000-0000BF5A0000}"/>
    <cellStyle name="Normal 2 2 4 2 23 9" xfId="23267" xr:uid="{00000000-0005-0000-0000-0000C05A0000}"/>
    <cellStyle name="Normal 2 2 4 2 24" xfId="23268" xr:uid="{00000000-0005-0000-0000-0000C15A0000}"/>
    <cellStyle name="Normal 2 2 4 2 24 10" xfId="23269" xr:uid="{00000000-0005-0000-0000-0000C25A0000}"/>
    <cellStyle name="Normal 2 2 4 2 24 2" xfId="23270" xr:uid="{00000000-0005-0000-0000-0000C35A0000}"/>
    <cellStyle name="Normal 2 2 4 2 24 3" xfId="23271" xr:uid="{00000000-0005-0000-0000-0000C45A0000}"/>
    <cellStyle name="Normal 2 2 4 2 24 4" xfId="23272" xr:uid="{00000000-0005-0000-0000-0000C55A0000}"/>
    <cellStyle name="Normal 2 2 4 2 24 5" xfId="23273" xr:uid="{00000000-0005-0000-0000-0000C65A0000}"/>
    <cellStyle name="Normal 2 2 4 2 24 6" xfId="23274" xr:uid="{00000000-0005-0000-0000-0000C75A0000}"/>
    <cellStyle name="Normal 2 2 4 2 24 7" xfId="23275" xr:uid="{00000000-0005-0000-0000-0000C85A0000}"/>
    <cellStyle name="Normal 2 2 4 2 24 8" xfId="23276" xr:uid="{00000000-0005-0000-0000-0000C95A0000}"/>
    <cellStyle name="Normal 2 2 4 2 24 9" xfId="23277" xr:uid="{00000000-0005-0000-0000-0000CA5A0000}"/>
    <cellStyle name="Normal 2 2 4 2 25" xfId="23278" xr:uid="{00000000-0005-0000-0000-0000CB5A0000}"/>
    <cellStyle name="Normal 2 2 4 2 26" xfId="23279" xr:uid="{00000000-0005-0000-0000-0000CC5A0000}"/>
    <cellStyle name="Normal 2 2 4 2 27" xfId="23280" xr:uid="{00000000-0005-0000-0000-0000CD5A0000}"/>
    <cellStyle name="Normal 2 2 4 2 28" xfId="23281" xr:uid="{00000000-0005-0000-0000-0000CE5A0000}"/>
    <cellStyle name="Normal 2 2 4 2 29" xfId="23282" xr:uid="{00000000-0005-0000-0000-0000CF5A0000}"/>
    <cellStyle name="Normal 2 2 4 2 3" xfId="23283" xr:uid="{00000000-0005-0000-0000-0000D05A0000}"/>
    <cellStyle name="Normal 2 2 4 2 30" xfId="23284" xr:uid="{00000000-0005-0000-0000-0000D15A0000}"/>
    <cellStyle name="Normal 2 2 4 2 31" xfId="23285" xr:uid="{00000000-0005-0000-0000-0000D25A0000}"/>
    <cellStyle name="Normal 2 2 4 2 32" xfId="23286" xr:uid="{00000000-0005-0000-0000-0000D35A0000}"/>
    <cellStyle name="Normal 2 2 4 2 33" xfId="23287" xr:uid="{00000000-0005-0000-0000-0000D45A0000}"/>
    <cellStyle name="Normal 2 2 4 2 34" xfId="22275" xr:uid="{00000000-0005-0000-0000-0000D55A0000}"/>
    <cellStyle name="Normal 2 2 4 2 4" xfId="23288" xr:uid="{00000000-0005-0000-0000-0000D65A0000}"/>
    <cellStyle name="Normal 2 2 4 2 5" xfId="23289" xr:uid="{00000000-0005-0000-0000-0000D75A0000}"/>
    <cellStyle name="Normal 2 2 4 2 6" xfId="23290" xr:uid="{00000000-0005-0000-0000-0000D85A0000}"/>
    <cellStyle name="Normal 2 2 4 2 7" xfId="23291" xr:uid="{00000000-0005-0000-0000-0000D95A0000}"/>
    <cellStyle name="Normal 2 2 4 2 8" xfId="23292" xr:uid="{00000000-0005-0000-0000-0000DA5A0000}"/>
    <cellStyle name="Normal 2 2 4 2 9" xfId="23293" xr:uid="{00000000-0005-0000-0000-0000DB5A0000}"/>
    <cellStyle name="Normal 2 2 4 20" xfId="23294" xr:uid="{00000000-0005-0000-0000-0000DC5A0000}"/>
    <cellStyle name="Normal 2 2 4 20 10" xfId="23295" xr:uid="{00000000-0005-0000-0000-0000DD5A0000}"/>
    <cellStyle name="Normal 2 2 4 20 11" xfId="23296" xr:uid="{00000000-0005-0000-0000-0000DE5A0000}"/>
    <cellStyle name="Normal 2 2 4 20 12" xfId="23297" xr:uid="{00000000-0005-0000-0000-0000DF5A0000}"/>
    <cellStyle name="Normal 2 2 4 20 13" xfId="23298" xr:uid="{00000000-0005-0000-0000-0000E05A0000}"/>
    <cellStyle name="Normal 2 2 4 20 14" xfId="23299" xr:uid="{00000000-0005-0000-0000-0000E15A0000}"/>
    <cellStyle name="Normal 2 2 4 20 2" xfId="23300" xr:uid="{00000000-0005-0000-0000-0000E25A0000}"/>
    <cellStyle name="Normal 2 2 4 20 2 10" xfId="23301" xr:uid="{00000000-0005-0000-0000-0000E35A0000}"/>
    <cellStyle name="Normal 2 2 4 20 2 2" xfId="23302" xr:uid="{00000000-0005-0000-0000-0000E45A0000}"/>
    <cellStyle name="Normal 2 2 4 20 2 3" xfId="23303" xr:uid="{00000000-0005-0000-0000-0000E55A0000}"/>
    <cellStyle name="Normal 2 2 4 20 2 4" xfId="23304" xr:uid="{00000000-0005-0000-0000-0000E65A0000}"/>
    <cellStyle name="Normal 2 2 4 20 2 5" xfId="23305" xr:uid="{00000000-0005-0000-0000-0000E75A0000}"/>
    <cellStyle name="Normal 2 2 4 20 2 6" xfId="23306" xr:uid="{00000000-0005-0000-0000-0000E85A0000}"/>
    <cellStyle name="Normal 2 2 4 20 2 7" xfId="23307" xr:uid="{00000000-0005-0000-0000-0000E95A0000}"/>
    <cellStyle name="Normal 2 2 4 20 2 8" xfId="23308" xr:uid="{00000000-0005-0000-0000-0000EA5A0000}"/>
    <cellStyle name="Normal 2 2 4 20 2 9" xfId="23309" xr:uid="{00000000-0005-0000-0000-0000EB5A0000}"/>
    <cellStyle name="Normal 2 2 4 20 3" xfId="23310" xr:uid="{00000000-0005-0000-0000-0000EC5A0000}"/>
    <cellStyle name="Normal 2 2 4 20 3 10" xfId="23311" xr:uid="{00000000-0005-0000-0000-0000ED5A0000}"/>
    <cellStyle name="Normal 2 2 4 20 3 2" xfId="23312" xr:uid="{00000000-0005-0000-0000-0000EE5A0000}"/>
    <cellStyle name="Normal 2 2 4 20 3 3" xfId="23313" xr:uid="{00000000-0005-0000-0000-0000EF5A0000}"/>
    <cellStyle name="Normal 2 2 4 20 3 4" xfId="23314" xr:uid="{00000000-0005-0000-0000-0000F05A0000}"/>
    <cellStyle name="Normal 2 2 4 20 3 5" xfId="23315" xr:uid="{00000000-0005-0000-0000-0000F15A0000}"/>
    <cellStyle name="Normal 2 2 4 20 3 6" xfId="23316" xr:uid="{00000000-0005-0000-0000-0000F25A0000}"/>
    <cellStyle name="Normal 2 2 4 20 3 7" xfId="23317" xr:uid="{00000000-0005-0000-0000-0000F35A0000}"/>
    <cellStyle name="Normal 2 2 4 20 3 8" xfId="23318" xr:uid="{00000000-0005-0000-0000-0000F45A0000}"/>
    <cellStyle name="Normal 2 2 4 20 3 9" xfId="23319" xr:uid="{00000000-0005-0000-0000-0000F55A0000}"/>
    <cellStyle name="Normal 2 2 4 20 4" xfId="23320" xr:uid="{00000000-0005-0000-0000-0000F65A0000}"/>
    <cellStyle name="Normal 2 2 4 20 4 10" xfId="23321" xr:uid="{00000000-0005-0000-0000-0000F75A0000}"/>
    <cellStyle name="Normal 2 2 4 20 4 2" xfId="23322" xr:uid="{00000000-0005-0000-0000-0000F85A0000}"/>
    <cellStyle name="Normal 2 2 4 20 4 3" xfId="23323" xr:uid="{00000000-0005-0000-0000-0000F95A0000}"/>
    <cellStyle name="Normal 2 2 4 20 4 4" xfId="23324" xr:uid="{00000000-0005-0000-0000-0000FA5A0000}"/>
    <cellStyle name="Normal 2 2 4 20 4 5" xfId="23325" xr:uid="{00000000-0005-0000-0000-0000FB5A0000}"/>
    <cellStyle name="Normal 2 2 4 20 4 6" xfId="23326" xr:uid="{00000000-0005-0000-0000-0000FC5A0000}"/>
    <cellStyle name="Normal 2 2 4 20 4 7" xfId="23327" xr:uid="{00000000-0005-0000-0000-0000FD5A0000}"/>
    <cellStyle name="Normal 2 2 4 20 4 8" xfId="23328" xr:uid="{00000000-0005-0000-0000-0000FE5A0000}"/>
    <cellStyle name="Normal 2 2 4 20 4 9" xfId="23329" xr:uid="{00000000-0005-0000-0000-0000FF5A0000}"/>
    <cellStyle name="Normal 2 2 4 20 5" xfId="23330" xr:uid="{00000000-0005-0000-0000-0000005B0000}"/>
    <cellStyle name="Normal 2 2 4 20 5 10" xfId="23331" xr:uid="{00000000-0005-0000-0000-0000015B0000}"/>
    <cellStyle name="Normal 2 2 4 20 5 2" xfId="23332" xr:uid="{00000000-0005-0000-0000-0000025B0000}"/>
    <cellStyle name="Normal 2 2 4 20 5 3" xfId="23333" xr:uid="{00000000-0005-0000-0000-0000035B0000}"/>
    <cellStyle name="Normal 2 2 4 20 5 4" xfId="23334" xr:uid="{00000000-0005-0000-0000-0000045B0000}"/>
    <cellStyle name="Normal 2 2 4 20 5 5" xfId="23335" xr:uid="{00000000-0005-0000-0000-0000055B0000}"/>
    <cellStyle name="Normal 2 2 4 20 5 6" xfId="23336" xr:uid="{00000000-0005-0000-0000-0000065B0000}"/>
    <cellStyle name="Normal 2 2 4 20 5 7" xfId="23337" xr:uid="{00000000-0005-0000-0000-0000075B0000}"/>
    <cellStyle name="Normal 2 2 4 20 5 8" xfId="23338" xr:uid="{00000000-0005-0000-0000-0000085B0000}"/>
    <cellStyle name="Normal 2 2 4 20 5 9" xfId="23339" xr:uid="{00000000-0005-0000-0000-0000095B0000}"/>
    <cellStyle name="Normal 2 2 4 20 6" xfId="23340" xr:uid="{00000000-0005-0000-0000-00000A5B0000}"/>
    <cellStyle name="Normal 2 2 4 20 7" xfId="23341" xr:uid="{00000000-0005-0000-0000-00000B5B0000}"/>
    <cellStyle name="Normal 2 2 4 20 8" xfId="23342" xr:uid="{00000000-0005-0000-0000-00000C5B0000}"/>
    <cellStyle name="Normal 2 2 4 20 9" xfId="23343" xr:uid="{00000000-0005-0000-0000-00000D5B0000}"/>
    <cellStyle name="Normal 2 2 4 21" xfId="23344" xr:uid="{00000000-0005-0000-0000-00000E5B0000}"/>
    <cellStyle name="Normal 2 2 4 21 10" xfId="23345" xr:uid="{00000000-0005-0000-0000-00000F5B0000}"/>
    <cellStyle name="Normal 2 2 4 21 11" xfId="23346" xr:uid="{00000000-0005-0000-0000-0000105B0000}"/>
    <cellStyle name="Normal 2 2 4 21 12" xfId="23347" xr:uid="{00000000-0005-0000-0000-0000115B0000}"/>
    <cellStyle name="Normal 2 2 4 21 13" xfId="23348" xr:uid="{00000000-0005-0000-0000-0000125B0000}"/>
    <cellStyle name="Normal 2 2 4 21 14" xfId="23349" xr:uid="{00000000-0005-0000-0000-0000135B0000}"/>
    <cellStyle name="Normal 2 2 4 21 2" xfId="23350" xr:uid="{00000000-0005-0000-0000-0000145B0000}"/>
    <cellStyle name="Normal 2 2 4 21 2 10" xfId="23351" xr:uid="{00000000-0005-0000-0000-0000155B0000}"/>
    <cellStyle name="Normal 2 2 4 21 2 2" xfId="23352" xr:uid="{00000000-0005-0000-0000-0000165B0000}"/>
    <cellStyle name="Normal 2 2 4 21 2 3" xfId="23353" xr:uid="{00000000-0005-0000-0000-0000175B0000}"/>
    <cellStyle name="Normal 2 2 4 21 2 4" xfId="23354" xr:uid="{00000000-0005-0000-0000-0000185B0000}"/>
    <cellStyle name="Normal 2 2 4 21 2 5" xfId="23355" xr:uid="{00000000-0005-0000-0000-0000195B0000}"/>
    <cellStyle name="Normal 2 2 4 21 2 6" xfId="23356" xr:uid="{00000000-0005-0000-0000-00001A5B0000}"/>
    <cellStyle name="Normal 2 2 4 21 2 7" xfId="23357" xr:uid="{00000000-0005-0000-0000-00001B5B0000}"/>
    <cellStyle name="Normal 2 2 4 21 2 8" xfId="23358" xr:uid="{00000000-0005-0000-0000-00001C5B0000}"/>
    <cellStyle name="Normal 2 2 4 21 2 9" xfId="23359" xr:uid="{00000000-0005-0000-0000-00001D5B0000}"/>
    <cellStyle name="Normal 2 2 4 21 3" xfId="23360" xr:uid="{00000000-0005-0000-0000-00001E5B0000}"/>
    <cellStyle name="Normal 2 2 4 21 3 10" xfId="23361" xr:uid="{00000000-0005-0000-0000-00001F5B0000}"/>
    <cellStyle name="Normal 2 2 4 21 3 2" xfId="23362" xr:uid="{00000000-0005-0000-0000-0000205B0000}"/>
    <cellStyle name="Normal 2 2 4 21 3 3" xfId="23363" xr:uid="{00000000-0005-0000-0000-0000215B0000}"/>
    <cellStyle name="Normal 2 2 4 21 3 4" xfId="23364" xr:uid="{00000000-0005-0000-0000-0000225B0000}"/>
    <cellStyle name="Normal 2 2 4 21 3 5" xfId="23365" xr:uid="{00000000-0005-0000-0000-0000235B0000}"/>
    <cellStyle name="Normal 2 2 4 21 3 6" xfId="23366" xr:uid="{00000000-0005-0000-0000-0000245B0000}"/>
    <cellStyle name="Normal 2 2 4 21 3 7" xfId="23367" xr:uid="{00000000-0005-0000-0000-0000255B0000}"/>
    <cellStyle name="Normal 2 2 4 21 3 8" xfId="23368" xr:uid="{00000000-0005-0000-0000-0000265B0000}"/>
    <cellStyle name="Normal 2 2 4 21 3 9" xfId="23369" xr:uid="{00000000-0005-0000-0000-0000275B0000}"/>
    <cellStyle name="Normal 2 2 4 21 4" xfId="23370" xr:uid="{00000000-0005-0000-0000-0000285B0000}"/>
    <cellStyle name="Normal 2 2 4 21 4 10" xfId="23371" xr:uid="{00000000-0005-0000-0000-0000295B0000}"/>
    <cellStyle name="Normal 2 2 4 21 4 2" xfId="23372" xr:uid="{00000000-0005-0000-0000-00002A5B0000}"/>
    <cellStyle name="Normal 2 2 4 21 4 3" xfId="23373" xr:uid="{00000000-0005-0000-0000-00002B5B0000}"/>
    <cellStyle name="Normal 2 2 4 21 4 4" xfId="23374" xr:uid="{00000000-0005-0000-0000-00002C5B0000}"/>
    <cellStyle name="Normal 2 2 4 21 4 5" xfId="23375" xr:uid="{00000000-0005-0000-0000-00002D5B0000}"/>
    <cellStyle name="Normal 2 2 4 21 4 6" xfId="23376" xr:uid="{00000000-0005-0000-0000-00002E5B0000}"/>
    <cellStyle name="Normal 2 2 4 21 4 7" xfId="23377" xr:uid="{00000000-0005-0000-0000-00002F5B0000}"/>
    <cellStyle name="Normal 2 2 4 21 4 8" xfId="23378" xr:uid="{00000000-0005-0000-0000-0000305B0000}"/>
    <cellStyle name="Normal 2 2 4 21 4 9" xfId="23379" xr:uid="{00000000-0005-0000-0000-0000315B0000}"/>
    <cellStyle name="Normal 2 2 4 21 5" xfId="23380" xr:uid="{00000000-0005-0000-0000-0000325B0000}"/>
    <cellStyle name="Normal 2 2 4 21 5 10" xfId="23381" xr:uid="{00000000-0005-0000-0000-0000335B0000}"/>
    <cellStyle name="Normal 2 2 4 21 5 2" xfId="23382" xr:uid="{00000000-0005-0000-0000-0000345B0000}"/>
    <cellStyle name="Normal 2 2 4 21 5 3" xfId="23383" xr:uid="{00000000-0005-0000-0000-0000355B0000}"/>
    <cellStyle name="Normal 2 2 4 21 5 4" xfId="23384" xr:uid="{00000000-0005-0000-0000-0000365B0000}"/>
    <cellStyle name="Normal 2 2 4 21 5 5" xfId="23385" xr:uid="{00000000-0005-0000-0000-0000375B0000}"/>
    <cellStyle name="Normal 2 2 4 21 5 6" xfId="23386" xr:uid="{00000000-0005-0000-0000-0000385B0000}"/>
    <cellStyle name="Normal 2 2 4 21 5 7" xfId="23387" xr:uid="{00000000-0005-0000-0000-0000395B0000}"/>
    <cellStyle name="Normal 2 2 4 21 5 8" xfId="23388" xr:uid="{00000000-0005-0000-0000-00003A5B0000}"/>
    <cellStyle name="Normal 2 2 4 21 5 9" xfId="23389" xr:uid="{00000000-0005-0000-0000-00003B5B0000}"/>
    <cellStyle name="Normal 2 2 4 21 6" xfId="23390" xr:uid="{00000000-0005-0000-0000-00003C5B0000}"/>
    <cellStyle name="Normal 2 2 4 21 7" xfId="23391" xr:uid="{00000000-0005-0000-0000-00003D5B0000}"/>
    <cellStyle name="Normal 2 2 4 21 8" xfId="23392" xr:uid="{00000000-0005-0000-0000-00003E5B0000}"/>
    <cellStyle name="Normal 2 2 4 21 9" xfId="23393" xr:uid="{00000000-0005-0000-0000-00003F5B0000}"/>
    <cellStyle name="Normal 2 2 4 22" xfId="23394" xr:uid="{00000000-0005-0000-0000-0000405B0000}"/>
    <cellStyle name="Normal 2 2 4 22 10" xfId="23395" xr:uid="{00000000-0005-0000-0000-0000415B0000}"/>
    <cellStyle name="Normal 2 2 4 22 11" xfId="23396" xr:uid="{00000000-0005-0000-0000-0000425B0000}"/>
    <cellStyle name="Normal 2 2 4 22 12" xfId="23397" xr:uid="{00000000-0005-0000-0000-0000435B0000}"/>
    <cellStyle name="Normal 2 2 4 22 13" xfId="23398" xr:uid="{00000000-0005-0000-0000-0000445B0000}"/>
    <cellStyle name="Normal 2 2 4 22 14" xfId="23399" xr:uid="{00000000-0005-0000-0000-0000455B0000}"/>
    <cellStyle name="Normal 2 2 4 22 2" xfId="23400" xr:uid="{00000000-0005-0000-0000-0000465B0000}"/>
    <cellStyle name="Normal 2 2 4 22 2 10" xfId="23401" xr:uid="{00000000-0005-0000-0000-0000475B0000}"/>
    <cellStyle name="Normal 2 2 4 22 2 2" xfId="23402" xr:uid="{00000000-0005-0000-0000-0000485B0000}"/>
    <cellStyle name="Normal 2 2 4 22 2 3" xfId="23403" xr:uid="{00000000-0005-0000-0000-0000495B0000}"/>
    <cellStyle name="Normal 2 2 4 22 2 4" xfId="23404" xr:uid="{00000000-0005-0000-0000-00004A5B0000}"/>
    <cellStyle name="Normal 2 2 4 22 2 5" xfId="23405" xr:uid="{00000000-0005-0000-0000-00004B5B0000}"/>
    <cellStyle name="Normal 2 2 4 22 2 6" xfId="23406" xr:uid="{00000000-0005-0000-0000-00004C5B0000}"/>
    <cellStyle name="Normal 2 2 4 22 2 7" xfId="23407" xr:uid="{00000000-0005-0000-0000-00004D5B0000}"/>
    <cellStyle name="Normal 2 2 4 22 2 8" xfId="23408" xr:uid="{00000000-0005-0000-0000-00004E5B0000}"/>
    <cellStyle name="Normal 2 2 4 22 2 9" xfId="23409" xr:uid="{00000000-0005-0000-0000-00004F5B0000}"/>
    <cellStyle name="Normal 2 2 4 22 3" xfId="23410" xr:uid="{00000000-0005-0000-0000-0000505B0000}"/>
    <cellStyle name="Normal 2 2 4 22 3 10" xfId="23411" xr:uid="{00000000-0005-0000-0000-0000515B0000}"/>
    <cellStyle name="Normal 2 2 4 22 3 2" xfId="23412" xr:uid="{00000000-0005-0000-0000-0000525B0000}"/>
    <cellStyle name="Normal 2 2 4 22 3 3" xfId="23413" xr:uid="{00000000-0005-0000-0000-0000535B0000}"/>
    <cellStyle name="Normal 2 2 4 22 3 4" xfId="23414" xr:uid="{00000000-0005-0000-0000-0000545B0000}"/>
    <cellStyle name="Normal 2 2 4 22 3 5" xfId="23415" xr:uid="{00000000-0005-0000-0000-0000555B0000}"/>
    <cellStyle name="Normal 2 2 4 22 3 6" xfId="23416" xr:uid="{00000000-0005-0000-0000-0000565B0000}"/>
    <cellStyle name="Normal 2 2 4 22 3 7" xfId="23417" xr:uid="{00000000-0005-0000-0000-0000575B0000}"/>
    <cellStyle name="Normal 2 2 4 22 3 8" xfId="23418" xr:uid="{00000000-0005-0000-0000-0000585B0000}"/>
    <cellStyle name="Normal 2 2 4 22 3 9" xfId="23419" xr:uid="{00000000-0005-0000-0000-0000595B0000}"/>
    <cellStyle name="Normal 2 2 4 22 4" xfId="23420" xr:uid="{00000000-0005-0000-0000-00005A5B0000}"/>
    <cellStyle name="Normal 2 2 4 22 4 10" xfId="23421" xr:uid="{00000000-0005-0000-0000-00005B5B0000}"/>
    <cellStyle name="Normal 2 2 4 22 4 2" xfId="23422" xr:uid="{00000000-0005-0000-0000-00005C5B0000}"/>
    <cellStyle name="Normal 2 2 4 22 4 3" xfId="23423" xr:uid="{00000000-0005-0000-0000-00005D5B0000}"/>
    <cellStyle name="Normal 2 2 4 22 4 4" xfId="23424" xr:uid="{00000000-0005-0000-0000-00005E5B0000}"/>
    <cellStyle name="Normal 2 2 4 22 4 5" xfId="23425" xr:uid="{00000000-0005-0000-0000-00005F5B0000}"/>
    <cellStyle name="Normal 2 2 4 22 4 6" xfId="23426" xr:uid="{00000000-0005-0000-0000-0000605B0000}"/>
    <cellStyle name="Normal 2 2 4 22 4 7" xfId="23427" xr:uid="{00000000-0005-0000-0000-0000615B0000}"/>
    <cellStyle name="Normal 2 2 4 22 4 8" xfId="23428" xr:uid="{00000000-0005-0000-0000-0000625B0000}"/>
    <cellStyle name="Normal 2 2 4 22 4 9" xfId="23429" xr:uid="{00000000-0005-0000-0000-0000635B0000}"/>
    <cellStyle name="Normal 2 2 4 22 5" xfId="23430" xr:uid="{00000000-0005-0000-0000-0000645B0000}"/>
    <cellStyle name="Normal 2 2 4 22 5 10" xfId="23431" xr:uid="{00000000-0005-0000-0000-0000655B0000}"/>
    <cellStyle name="Normal 2 2 4 22 5 2" xfId="23432" xr:uid="{00000000-0005-0000-0000-0000665B0000}"/>
    <cellStyle name="Normal 2 2 4 22 5 3" xfId="23433" xr:uid="{00000000-0005-0000-0000-0000675B0000}"/>
    <cellStyle name="Normal 2 2 4 22 5 4" xfId="23434" xr:uid="{00000000-0005-0000-0000-0000685B0000}"/>
    <cellStyle name="Normal 2 2 4 22 5 5" xfId="23435" xr:uid="{00000000-0005-0000-0000-0000695B0000}"/>
    <cellStyle name="Normal 2 2 4 22 5 6" xfId="23436" xr:uid="{00000000-0005-0000-0000-00006A5B0000}"/>
    <cellStyle name="Normal 2 2 4 22 5 7" xfId="23437" xr:uid="{00000000-0005-0000-0000-00006B5B0000}"/>
    <cellStyle name="Normal 2 2 4 22 5 8" xfId="23438" xr:uid="{00000000-0005-0000-0000-00006C5B0000}"/>
    <cellStyle name="Normal 2 2 4 22 5 9" xfId="23439" xr:uid="{00000000-0005-0000-0000-00006D5B0000}"/>
    <cellStyle name="Normal 2 2 4 22 6" xfId="23440" xr:uid="{00000000-0005-0000-0000-00006E5B0000}"/>
    <cellStyle name="Normal 2 2 4 22 7" xfId="23441" xr:uid="{00000000-0005-0000-0000-00006F5B0000}"/>
    <cellStyle name="Normal 2 2 4 22 8" xfId="23442" xr:uid="{00000000-0005-0000-0000-0000705B0000}"/>
    <cellStyle name="Normal 2 2 4 22 9" xfId="23443" xr:uid="{00000000-0005-0000-0000-0000715B0000}"/>
    <cellStyle name="Normal 2 2 4 23" xfId="23444" xr:uid="{00000000-0005-0000-0000-0000725B0000}"/>
    <cellStyle name="Normal 2 2 4 23 10" xfId="23445" xr:uid="{00000000-0005-0000-0000-0000735B0000}"/>
    <cellStyle name="Normal 2 2 4 23 11" xfId="23446" xr:uid="{00000000-0005-0000-0000-0000745B0000}"/>
    <cellStyle name="Normal 2 2 4 23 12" xfId="23447" xr:uid="{00000000-0005-0000-0000-0000755B0000}"/>
    <cellStyle name="Normal 2 2 4 23 13" xfId="23448" xr:uid="{00000000-0005-0000-0000-0000765B0000}"/>
    <cellStyle name="Normal 2 2 4 23 14" xfId="23449" xr:uid="{00000000-0005-0000-0000-0000775B0000}"/>
    <cellStyle name="Normal 2 2 4 23 2" xfId="23450" xr:uid="{00000000-0005-0000-0000-0000785B0000}"/>
    <cellStyle name="Normal 2 2 4 23 2 10" xfId="23451" xr:uid="{00000000-0005-0000-0000-0000795B0000}"/>
    <cellStyle name="Normal 2 2 4 23 2 2" xfId="23452" xr:uid="{00000000-0005-0000-0000-00007A5B0000}"/>
    <cellStyle name="Normal 2 2 4 23 2 3" xfId="23453" xr:uid="{00000000-0005-0000-0000-00007B5B0000}"/>
    <cellStyle name="Normal 2 2 4 23 2 4" xfId="23454" xr:uid="{00000000-0005-0000-0000-00007C5B0000}"/>
    <cellStyle name="Normal 2 2 4 23 2 5" xfId="23455" xr:uid="{00000000-0005-0000-0000-00007D5B0000}"/>
    <cellStyle name="Normal 2 2 4 23 2 6" xfId="23456" xr:uid="{00000000-0005-0000-0000-00007E5B0000}"/>
    <cellStyle name="Normal 2 2 4 23 2 7" xfId="23457" xr:uid="{00000000-0005-0000-0000-00007F5B0000}"/>
    <cellStyle name="Normal 2 2 4 23 2 8" xfId="23458" xr:uid="{00000000-0005-0000-0000-0000805B0000}"/>
    <cellStyle name="Normal 2 2 4 23 2 9" xfId="23459" xr:uid="{00000000-0005-0000-0000-0000815B0000}"/>
    <cellStyle name="Normal 2 2 4 23 3" xfId="23460" xr:uid="{00000000-0005-0000-0000-0000825B0000}"/>
    <cellStyle name="Normal 2 2 4 23 3 10" xfId="23461" xr:uid="{00000000-0005-0000-0000-0000835B0000}"/>
    <cellStyle name="Normal 2 2 4 23 3 2" xfId="23462" xr:uid="{00000000-0005-0000-0000-0000845B0000}"/>
    <cellStyle name="Normal 2 2 4 23 3 3" xfId="23463" xr:uid="{00000000-0005-0000-0000-0000855B0000}"/>
    <cellStyle name="Normal 2 2 4 23 3 4" xfId="23464" xr:uid="{00000000-0005-0000-0000-0000865B0000}"/>
    <cellStyle name="Normal 2 2 4 23 3 5" xfId="23465" xr:uid="{00000000-0005-0000-0000-0000875B0000}"/>
    <cellStyle name="Normal 2 2 4 23 3 6" xfId="23466" xr:uid="{00000000-0005-0000-0000-0000885B0000}"/>
    <cellStyle name="Normal 2 2 4 23 3 7" xfId="23467" xr:uid="{00000000-0005-0000-0000-0000895B0000}"/>
    <cellStyle name="Normal 2 2 4 23 3 8" xfId="23468" xr:uid="{00000000-0005-0000-0000-00008A5B0000}"/>
    <cellStyle name="Normal 2 2 4 23 3 9" xfId="23469" xr:uid="{00000000-0005-0000-0000-00008B5B0000}"/>
    <cellStyle name="Normal 2 2 4 23 4" xfId="23470" xr:uid="{00000000-0005-0000-0000-00008C5B0000}"/>
    <cellStyle name="Normal 2 2 4 23 4 10" xfId="23471" xr:uid="{00000000-0005-0000-0000-00008D5B0000}"/>
    <cellStyle name="Normal 2 2 4 23 4 2" xfId="23472" xr:uid="{00000000-0005-0000-0000-00008E5B0000}"/>
    <cellStyle name="Normal 2 2 4 23 4 3" xfId="23473" xr:uid="{00000000-0005-0000-0000-00008F5B0000}"/>
    <cellStyle name="Normal 2 2 4 23 4 4" xfId="23474" xr:uid="{00000000-0005-0000-0000-0000905B0000}"/>
    <cellStyle name="Normal 2 2 4 23 4 5" xfId="23475" xr:uid="{00000000-0005-0000-0000-0000915B0000}"/>
    <cellStyle name="Normal 2 2 4 23 4 6" xfId="23476" xr:uid="{00000000-0005-0000-0000-0000925B0000}"/>
    <cellStyle name="Normal 2 2 4 23 4 7" xfId="23477" xr:uid="{00000000-0005-0000-0000-0000935B0000}"/>
    <cellStyle name="Normal 2 2 4 23 4 8" xfId="23478" xr:uid="{00000000-0005-0000-0000-0000945B0000}"/>
    <cellStyle name="Normal 2 2 4 23 4 9" xfId="23479" xr:uid="{00000000-0005-0000-0000-0000955B0000}"/>
    <cellStyle name="Normal 2 2 4 23 5" xfId="23480" xr:uid="{00000000-0005-0000-0000-0000965B0000}"/>
    <cellStyle name="Normal 2 2 4 23 5 10" xfId="23481" xr:uid="{00000000-0005-0000-0000-0000975B0000}"/>
    <cellStyle name="Normal 2 2 4 23 5 2" xfId="23482" xr:uid="{00000000-0005-0000-0000-0000985B0000}"/>
    <cellStyle name="Normal 2 2 4 23 5 3" xfId="23483" xr:uid="{00000000-0005-0000-0000-0000995B0000}"/>
    <cellStyle name="Normal 2 2 4 23 5 4" xfId="23484" xr:uid="{00000000-0005-0000-0000-00009A5B0000}"/>
    <cellStyle name="Normal 2 2 4 23 5 5" xfId="23485" xr:uid="{00000000-0005-0000-0000-00009B5B0000}"/>
    <cellStyle name="Normal 2 2 4 23 5 6" xfId="23486" xr:uid="{00000000-0005-0000-0000-00009C5B0000}"/>
    <cellStyle name="Normal 2 2 4 23 5 7" xfId="23487" xr:uid="{00000000-0005-0000-0000-00009D5B0000}"/>
    <cellStyle name="Normal 2 2 4 23 5 8" xfId="23488" xr:uid="{00000000-0005-0000-0000-00009E5B0000}"/>
    <cellStyle name="Normal 2 2 4 23 5 9" xfId="23489" xr:uid="{00000000-0005-0000-0000-00009F5B0000}"/>
    <cellStyle name="Normal 2 2 4 23 6" xfId="23490" xr:uid="{00000000-0005-0000-0000-0000A05B0000}"/>
    <cellStyle name="Normal 2 2 4 23 7" xfId="23491" xr:uid="{00000000-0005-0000-0000-0000A15B0000}"/>
    <cellStyle name="Normal 2 2 4 23 8" xfId="23492" xr:uid="{00000000-0005-0000-0000-0000A25B0000}"/>
    <cellStyle name="Normal 2 2 4 23 9" xfId="23493" xr:uid="{00000000-0005-0000-0000-0000A35B0000}"/>
    <cellStyle name="Normal 2 2 4 24" xfId="23494" xr:uid="{00000000-0005-0000-0000-0000A45B0000}"/>
    <cellStyle name="Normal 2 2 4 24 10" xfId="23495" xr:uid="{00000000-0005-0000-0000-0000A55B0000}"/>
    <cellStyle name="Normal 2 2 4 24 11" xfId="23496" xr:uid="{00000000-0005-0000-0000-0000A65B0000}"/>
    <cellStyle name="Normal 2 2 4 24 12" xfId="23497" xr:uid="{00000000-0005-0000-0000-0000A75B0000}"/>
    <cellStyle name="Normal 2 2 4 24 13" xfId="23498" xr:uid="{00000000-0005-0000-0000-0000A85B0000}"/>
    <cellStyle name="Normal 2 2 4 24 14" xfId="23499" xr:uid="{00000000-0005-0000-0000-0000A95B0000}"/>
    <cellStyle name="Normal 2 2 4 24 2" xfId="23500" xr:uid="{00000000-0005-0000-0000-0000AA5B0000}"/>
    <cellStyle name="Normal 2 2 4 24 2 10" xfId="23501" xr:uid="{00000000-0005-0000-0000-0000AB5B0000}"/>
    <cellStyle name="Normal 2 2 4 24 2 2" xfId="23502" xr:uid="{00000000-0005-0000-0000-0000AC5B0000}"/>
    <cellStyle name="Normal 2 2 4 24 2 3" xfId="23503" xr:uid="{00000000-0005-0000-0000-0000AD5B0000}"/>
    <cellStyle name="Normal 2 2 4 24 2 4" xfId="23504" xr:uid="{00000000-0005-0000-0000-0000AE5B0000}"/>
    <cellStyle name="Normal 2 2 4 24 2 5" xfId="23505" xr:uid="{00000000-0005-0000-0000-0000AF5B0000}"/>
    <cellStyle name="Normal 2 2 4 24 2 6" xfId="23506" xr:uid="{00000000-0005-0000-0000-0000B05B0000}"/>
    <cellStyle name="Normal 2 2 4 24 2 7" xfId="23507" xr:uid="{00000000-0005-0000-0000-0000B15B0000}"/>
    <cellStyle name="Normal 2 2 4 24 2 8" xfId="23508" xr:uid="{00000000-0005-0000-0000-0000B25B0000}"/>
    <cellStyle name="Normal 2 2 4 24 2 9" xfId="23509" xr:uid="{00000000-0005-0000-0000-0000B35B0000}"/>
    <cellStyle name="Normal 2 2 4 24 3" xfId="23510" xr:uid="{00000000-0005-0000-0000-0000B45B0000}"/>
    <cellStyle name="Normal 2 2 4 24 3 10" xfId="23511" xr:uid="{00000000-0005-0000-0000-0000B55B0000}"/>
    <cellStyle name="Normal 2 2 4 24 3 2" xfId="23512" xr:uid="{00000000-0005-0000-0000-0000B65B0000}"/>
    <cellStyle name="Normal 2 2 4 24 3 3" xfId="23513" xr:uid="{00000000-0005-0000-0000-0000B75B0000}"/>
    <cellStyle name="Normal 2 2 4 24 3 4" xfId="23514" xr:uid="{00000000-0005-0000-0000-0000B85B0000}"/>
    <cellStyle name="Normal 2 2 4 24 3 5" xfId="23515" xr:uid="{00000000-0005-0000-0000-0000B95B0000}"/>
    <cellStyle name="Normal 2 2 4 24 3 6" xfId="23516" xr:uid="{00000000-0005-0000-0000-0000BA5B0000}"/>
    <cellStyle name="Normal 2 2 4 24 3 7" xfId="23517" xr:uid="{00000000-0005-0000-0000-0000BB5B0000}"/>
    <cellStyle name="Normal 2 2 4 24 3 8" xfId="23518" xr:uid="{00000000-0005-0000-0000-0000BC5B0000}"/>
    <cellStyle name="Normal 2 2 4 24 3 9" xfId="23519" xr:uid="{00000000-0005-0000-0000-0000BD5B0000}"/>
    <cellStyle name="Normal 2 2 4 24 4" xfId="23520" xr:uid="{00000000-0005-0000-0000-0000BE5B0000}"/>
    <cellStyle name="Normal 2 2 4 24 4 10" xfId="23521" xr:uid="{00000000-0005-0000-0000-0000BF5B0000}"/>
    <cellStyle name="Normal 2 2 4 24 4 2" xfId="23522" xr:uid="{00000000-0005-0000-0000-0000C05B0000}"/>
    <cellStyle name="Normal 2 2 4 24 4 3" xfId="23523" xr:uid="{00000000-0005-0000-0000-0000C15B0000}"/>
    <cellStyle name="Normal 2 2 4 24 4 4" xfId="23524" xr:uid="{00000000-0005-0000-0000-0000C25B0000}"/>
    <cellStyle name="Normal 2 2 4 24 4 5" xfId="23525" xr:uid="{00000000-0005-0000-0000-0000C35B0000}"/>
    <cellStyle name="Normal 2 2 4 24 4 6" xfId="23526" xr:uid="{00000000-0005-0000-0000-0000C45B0000}"/>
    <cellStyle name="Normal 2 2 4 24 4 7" xfId="23527" xr:uid="{00000000-0005-0000-0000-0000C55B0000}"/>
    <cellStyle name="Normal 2 2 4 24 4 8" xfId="23528" xr:uid="{00000000-0005-0000-0000-0000C65B0000}"/>
    <cellStyle name="Normal 2 2 4 24 4 9" xfId="23529" xr:uid="{00000000-0005-0000-0000-0000C75B0000}"/>
    <cellStyle name="Normal 2 2 4 24 5" xfId="23530" xr:uid="{00000000-0005-0000-0000-0000C85B0000}"/>
    <cellStyle name="Normal 2 2 4 24 5 10" xfId="23531" xr:uid="{00000000-0005-0000-0000-0000C95B0000}"/>
    <cellStyle name="Normal 2 2 4 24 5 2" xfId="23532" xr:uid="{00000000-0005-0000-0000-0000CA5B0000}"/>
    <cellStyle name="Normal 2 2 4 24 5 3" xfId="23533" xr:uid="{00000000-0005-0000-0000-0000CB5B0000}"/>
    <cellStyle name="Normal 2 2 4 24 5 4" xfId="23534" xr:uid="{00000000-0005-0000-0000-0000CC5B0000}"/>
    <cellStyle name="Normal 2 2 4 24 5 5" xfId="23535" xr:uid="{00000000-0005-0000-0000-0000CD5B0000}"/>
    <cellStyle name="Normal 2 2 4 24 5 6" xfId="23536" xr:uid="{00000000-0005-0000-0000-0000CE5B0000}"/>
    <cellStyle name="Normal 2 2 4 24 5 7" xfId="23537" xr:uid="{00000000-0005-0000-0000-0000CF5B0000}"/>
    <cellStyle name="Normal 2 2 4 24 5 8" xfId="23538" xr:uid="{00000000-0005-0000-0000-0000D05B0000}"/>
    <cellStyle name="Normal 2 2 4 24 5 9" xfId="23539" xr:uid="{00000000-0005-0000-0000-0000D15B0000}"/>
    <cellStyle name="Normal 2 2 4 24 6" xfId="23540" xr:uid="{00000000-0005-0000-0000-0000D25B0000}"/>
    <cellStyle name="Normal 2 2 4 24 7" xfId="23541" xr:uid="{00000000-0005-0000-0000-0000D35B0000}"/>
    <cellStyle name="Normal 2 2 4 24 8" xfId="23542" xr:uid="{00000000-0005-0000-0000-0000D45B0000}"/>
    <cellStyle name="Normal 2 2 4 24 9" xfId="23543" xr:uid="{00000000-0005-0000-0000-0000D55B0000}"/>
    <cellStyle name="Normal 2 2 4 25" xfId="23544" xr:uid="{00000000-0005-0000-0000-0000D65B0000}"/>
    <cellStyle name="Normal 2 2 4 25 10" xfId="23545" xr:uid="{00000000-0005-0000-0000-0000D75B0000}"/>
    <cellStyle name="Normal 2 2 4 25 11" xfId="23546" xr:uid="{00000000-0005-0000-0000-0000D85B0000}"/>
    <cellStyle name="Normal 2 2 4 25 12" xfId="23547" xr:uid="{00000000-0005-0000-0000-0000D95B0000}"/>
    <cellStyle name="Normal 2 2 4 25 13" xfId="23548" xr:uid="{00000000-0005-0000-0000-0000DA5B0000}"/>
    <cellStyle name="Normal 2 2 4 25 14" xfId="23549" xr:uid="{00000000-0005-0000-0000-0000DB5B0000}"/>
    <cellStyle name="Normal 2 2 4 25 2" xfId="23550" xr:uid="{00000000-0005-0000-0000-0000DC5B0000}"/>
    <cellStyle name="Normal 2 2 4 25 2 10" xfId="23551" xr:uid="{00000000-0005-0000-0000-0000DD5B0000}"/>
    <cellStyle name="Normal 2 2 4 25 2 2" xfId="23552" xr:uid="{00000000-0005-0000-0000-0000DE5B0000}"/>
    <cellStyle name="Normal 2 2 4 25 2 3" xfId="23553" xr:uid="{00000000-0005-0000-0000-0000DF5B0000}"/>
    <cellStyle name="Normal 2 2 4 25 2 4" xfId="23554" xr:uid="{00000000-0005-0000-0000-0000E05B0000}"/>
    <cellStyle name="Normal 2 2 4 25 2 5" xfId="23555" xr:uid="{00000000-0005-0000-0000-0000E15B0000}"/>
    <cellStyle name="Normal 2 2 4 25 2 6" xfId="23556" xr:uid="{00000000-0005-0000-0000-0000E25B0000}"/>
    <cellStyle name="Normal 2 2 4 25 2 7" xfId="23557" xr:uid="{00000000-0005-0000-0000-0000E35B0000}"/>
    <cellStyle name="Normal 2 2 4 25 2 8" xfId="23558" xr:uid="{00000000-0005-0000-0000-0000E45B0000}"/>
    <cellStyle name="Normal 2 2 4 25 2 9" xfId="23559" xr:uid="{00000000-0005-0000-0000-0000E55B0000}"/>
    <cellStyle name="Normal 2 2 4 25 3" xfId="23560" xr:uid="{00000000-0005-0000-0000-0000E65B0000}"/>
    <cellStyle name="Normal 2 2 4 25 3 10" xfId="23561" xr:uid="{00000000-0005-0000-0000-0000E75B0000}"/>
    <cellStyle name="Normal 2 2 4 25 3 2" xfId="23562" xr:uid="{00000000-0005-0000-0000-0000E85B0000}"/>
    <cellStyle name="Normal 2 2 4 25 3 3" xfId="23563" xr:uid="{00000000-0005-0000-0000-0000E95B0000}"/>
    <cellStyle name="Normal 2 2 4 25 3 4" xfId="23564" xr:uid="{00000000-0005-0000-0000-0000EA5B0000}"/>
    <cellStyle name="Normal 2 2 4 25 3 5" xfId="23565" xr:uid="{00000000-0005-0000-0000-0000EB5B0000}"/>
    <cellStyle name="Normal 2 2 4 25 3 6" xfId="23566" xr:uid="{00000000-0005-0000-0000-0000EC5B0000}"/>
    <cellStyle name="Normal 2 2 4 25 3 7" xfId="23567" xr:uid="{00000000-0005-0000-0000-0000ED5B0000}"/>
    <cellStyle name="Normal 2 2 4 25 3 8" xfId="23568" xr:uid="{00000000-0005-0000-0000-0000EE5B0000}"/>
    <cellStyle name="Normal 2 2 4 25 3 9" xfId="23569" xr:uid="{00000000-0005-0000-0000-0000EF5B0000}"/>
    <cellStyle name="Normal 2 2 4 25 4" xfId="23570" xr:uid="{00000000-0005-0000-0000-0000F05B0000}"/>
    <cellStyle name="Normal 2 2 4 25 4 10" xfId="23571" xr:uid="{00000000-0005-0000-0000-0000F15B0000}"/>
    <cellStyle name="Normal 2 2 4 25 4 2" xfId="23572" xr:uid="{00000000-0005-0000-0000-0000F25B0000}"/>
    <cellStyle name="Normal 2 2 4 25 4 3" xfId="23573" xr:uid="{00000000-0005-0000-0000-0000F35B0000}"/>
    <cellStyle name="Normal 2 2 4 25 4 4" xfId="23574" xr:uid="{00000000-0005-0000-0000-0000F45B0000}"/>
    <cellStyle name="Normal 2 2 4 25 4 5" xfId="23575" xr:uid="{00000000-0005-0000-0000-0000F55B0000}"/>
    <cellStyle name="Normal 2 2 4 25 4 6" xfId="23576" xr:uid="{00000000-0005-0000-0000-0000F65B0000}"/>
    <cellStyle name="Normal 2 2 4 25 4 7" xfId="23577" xr:uid="{00000000-0005-0000-0000-0000F75B0000}"/>
    <cellStyle name="Normal 2 2 4 25 4 8" xfId="23578" xr:uid="{00000000-0005-0000-0000-0000F85B0000}"/>
    <cellStyle name="Normal 2 2 4 25 4 9" xfId="23579" xr:uid="{00000000-0005-0000-0000-0000F95B0000}"/>
    <cellStyle name="Normal 2 2 4 25 5" xfId="23580" xr:uid="{00000000-0005-0000-0000-0000FA5B0000}"/>
    <cellStyle name="Normal 2 2 4 25 5 10" xfId="23581" xr:uid="{00000000-0005-0000-0000-0000FB5B0000}"/>
    <cellStyle name="Normal 2 2 4 25 5 2" xfId="23582" xr:uid="{00000000-0005-0000-0000-0000FC5B0000}"/>
    <cellStyle name="Normal 2 2 4 25 5 3" xfId="23583" xr:uid="{00000000-0005-0000-0000-0000FD5B0000}"/>
    <cellStyle name="Normal 2 2 4 25 5 4" xfId="23584" xr:uid="{00000000-0005-0000-0000-0000FE5B0000}"/>
    <cellStyle name="Normal 2 2 4 25 5 5" xfId="23585" xr:uid="{00000000-0005-0000-0000-0000FF5B0000}"/>
    <cellStyle name="Normal 2 2 4 25 5 6" xfId="23586" xr:uid="{00000000-0005-0000-0000-0000005C0000}"/>
    <cellStyle name="Normal 2 2 4 25 5 7" xfId="23587" xr:uid="{00000000-0005-0000-0000-0000015C0000}"/>
    <cellStyle name="Normal 2 2 4 25 5 8" xfId="23588" xr:uid="{00000000-0005-0000-0000-0000025C0000}"/>
    <cellStyle name="Normal 2 2 4 25 5 9" xfId="23589" xr:uid="{00000000-0005-0000-0000-0000035C0000}"/>
    <cellStyle name="Normal 2 2 4 25 6" xfId="23590" xr:uid="{00000000-0005-0000-0000-0000045C0000}"/>
    <cellStyle name="Normal 2 2 4 25 7" xfId="23591" xr:uid="{00000000-0005-0000-0000-0000055C0000}"/>
    <cellStyle name="Normal 2 2 4 25 8" xfId="23592" xr:uid="{00000000-0005-0000-0000-0000065C0000}"/>
    <cellStyle name="Normal 2 2 4 25 9" xfId="23593" xr:uid="{00000000-0005-0000-0000-0000075C0000}"/>
    <cellStyle name="Normal 2 2 4 26" xfId="23594" xr:uid="{00000000-0005-0000-0000-0000085C0000}"/>
    <cellStyle name="Normal 2 2 4 26 10" xfId="23595" xr:uid="{00000000-0005-0000-0000-0000095C0000}"/>
    <cellStyle name="Normal 2 2 4 26 11" xfId="23596" xr:uid="{00000000-0005-0000-0000-00000A5C0000}"/>
    <cellStyle name="Normal 2 2 4 26 12" xfId="23597" xr:uid="{00000000-0005-0000-0000-00000B5C0000}"/>
    <cellStyle name="Normal 2 2 4 26 13" xfId="23598" xr:uid="{00000000-0005-0000-0000-00000C5C0000}"/>
    <cellStyle name="Normal 2 2 4 26 14" xfId="23599" xr:uid="{00000000-0005-0000-0000-00000D5C0000}"/>
    <cellStyle name="Normal 2 2 4 26 2" xfId="23600" xr:uid="{00000000-0005-0000-0000-00000E5C0000}"/>
    <cellStyle name="Normal 2 2 4 26 2 10" xfId="23601" xr:uid="{00000000-0005-0000-0000-00000F5C0000}"/>
    <cellStyle name="Normal 2 2 4 26 2 2" xfId="23602" xr:uid="{00000000-0005-0000-0000-0000105C0000}"/>
    <cellStyle name="Normal 2 2 4 26 2 3" xfId="23603" xr:uid="{00000000-0005-0000-0000-0000115C0000}"/>
    <cellStyle name="Normal 2 2 4 26 2 4" xfId="23604" xr:uid="{00000000-0005-0000-0000-0000125C0000}"/>
    <cellStyle name="Normal 2 2 4 26 2 5" xfId="23605" xr:uid="{00000000-0005-0000-0000-0000135C0000}"/>
    <cellStyle name="Normal 2 2 4 26 2 6" xfId="23606" xr:uid="{00000000-0005-0000-0000-0000145C0000}"/>
    <cellStyle name="Normal 2 2 4 26 2 7" xfId="23607" xr:uid="{00000000-0005-0000-0000-0000155C0000}"/>
    <cellStyle name="Normal 2 2 4 26 2 8" xfId="23608" xr:uid="{00000000-0005-0000-0000-0000165C0000}"/>
    <cellStyle name="Normal 2 2 4 26 2 9" xfId="23609" xr:uid="{00000000-0005-0000-0000-0000175C0000}"/>
    <cellStyle name="Normal 2 2 4 26 3" xfId="23610" xr:uid="{00000000-0005-0000-0000-0000185C0000}"/>
    <cellStyle name="Normal 2 2 4 26 3 10" xfId="23611" xr:uid="{00000000-0005-0000-0000-0000195C0000}"/>
    <cellStyle name="Normal 2 2 4 26 3 2" xfId="23612" xr:uid="{00000000-0005-0000-0000-00001A5C0000}"/>
    <cellStyle name="Normal 2 2 4 26 3 3" xfId="23613" xr:uid="{00000000-0005-0000-0000-00001B5C0000}"/>
    <cellStyle name="Normal 2 2 4 26 3 4" xfId="23614" xr:uid="{00000000-0005-0000-0000-00001C5C0000}"/>
    <cellStyle name="Normal 2 2 4 26 3 5" xfId="23615" xr:uid="{00000000-0005-0000-0000-00001D5C0000}"/>
    <cellStyle name="Normal 2 2 4 26 3 6" xfId="23616" xr:uid="{00000000-0005-0000-0000-00001E5C0000}"/>
    <cellStyle name="Normal 2 2 4 26 3 7" xfId="23617" xr:uid="{00000000-0005-0000-0000-00001F5C0000}"/>
    <cellStyle name="Normal 2 2 4 26 3 8" xfId="23618" xr:uid="{00000000-0005-0000-0000-0000205C0000}"/>
    <cellStyle name="Normal 2 2 4 26 3 9" xfId="23619" xr:uid="{00000000-0005-0000-0000-0000215C0000}"/>
    <cellStyle name="Normal 2 2 4 26 4" xfId="23620" xr:uid="{00000000-0005-0000-0000-0000225C0000}"/>
    <cellStyle name="Normal 2 2 4 26 4 10" xfId="23621" xr:uid="{00000000-0005-0000-0000-0000235C0000}"/>
    <cellStyle name="Normal 2 2 4 26 4 2" xfId="23622" xr:uid="{00000000-0005-0000-0000-0000245C0000}"/>
    <cellStyle name="Normal 2 2 4 26 4 3" xfId="23623" xr:uid="{00000000-0005-0000-0000-0000255C0000}"/>
    <cellStyle name="Normal 2 2 4 26 4 4" xfId="23624" xr:uid="{00000000-0005-0000-0000-0000265C0000}"/>
    <cellStyle name="Normal 2 2 4 26 4 5" xfId="23625" xr:uid="{00000000-0005-0000-0000-0000275C0000}"/>
    <cellStyle name="Normal 2 2 4 26 4 6" xfId="23626" xr:uid="{00000000-0005-0000-0000-0000285C0000}"/>
    <cellStyle name="Normal 2 2 4 26 4 7" xfId="23627" xr:uid="{00000000-0005-0000-0000-0000295C0000}"/>
    <cellStyle name="Normal 2 2 4 26 4 8" xfId="23628" xr:uid="{00000000-0005-0000-0000-00002A5C0000}"/>
    <cellStyle name="Normal 2 2 4 26 4 9" xfId="23629" xr:uid="{00000000-0005-0000-0000-00002B5C0000}"/>
    <cellStyle name="Normal 2 2 4 26 5" xfId="23630" xr:uid="{00000000-0005-0000-0000-00002C5C0000}"/>
    <cellStyle name="Normal 2 2 4 26 5 10" xfId="23631" xr:uid="{00000000-0005-0000-0000-00002D5C0000}"/>
    <cellStyle name="Normal 2 2 4 26 5 2" xfId="23632" xr:uid="{00000000-0005-0000-0000-00002E5C0000}"/>
    <cellStyle name="Normal 2 2 4 26 5 3" xfId="23633" xr:uid="{00000000-0005-0000-0000-00002F5C0000}"/>
    <cellStyle name="Normal 2 2 4 26 5 4" xfId="23634" xr:uid="{00000000-0005-0000-0000-0000305C0000}"/>
    <cellStyle name="Normal 2 2 4 26 5 5" xfId="23635" xr:uid="{00000000-0005-0000-0000-0000315C0000}"/>
    <cellStyle name="Normal 2 2 4 26 5 6" xfId="23636" xr:uid="{00000000-0005-0000-0000-0000325C0000}"/>
    <cellStyle name="Normal 2 2 4 26 5 7" xfId="23637" xr:uid="{00000000-0005-0000-0000-0000335C0000}"/>
    <cellStyle name="Normal 2 2 4 26 5 8" xfId="23638" xr:uid="{00000000-0005-0000-0000-0000345C0000}"/>
    <cellStyle name="Normal 2 2 4 26 5 9" xfId="23639" xr:uid="{00000000-0005-0000-0000-0000355C0000}"/>
    <cellStyle name="Normal 2 2 4 26 6" xfId="23640" xr:uid="{00000000-0005-0000-0000-0000365C0000}"/>
    <cellStyle name="Normal 2 2 4 26 7" xfId="23641" xr:uid="{00000000-0005-0000-0000-0000375C0000}"/>
    <cellStyle name="Normal 2 2 4 26 8" xfId="23642" xr:uid="{00000000-0005-0000-0000-0000385C0000}"/>
    <cellStyle name="Normal 2 2 4 26 9" xfId="23643" xr:uid="{00000000-0005-0000-0000-0000395C0000}"/>
    <cellStyle name="Normal 2 2 4 27" xfId="23644" xr:uid="{00000000-0005-0000-0000-00003A5C0000}"/>
    <cellStyle name="Normal 2 2 4 27 10" xfId="23645" xr:uid="{00000000-0005-0000-0000-00003B5C0000}"/>
    <cellStyle name="Normal 2 2 4 27 11" xfId="23646" xr:uid="{00000000-0005-0000-0000-00003C5C0000}"/>
    <cellStyle name="Normal 2 2 4 27 12" xfId="23647" xr:uid="{00000000-0005-0000-0000-00003D5C0000}"/>
    <cellStyle name="Normal 2 2 4 27 13" xfId="23648" xr:uid="{00000000-0005-0000-0000-00003E5C0000}"/>
    <cellStyle name="Normal 2 2 4 27 14" xfId="23649" xr:uid="{00000000-0005-0000-0000-00003F5C0000}"/>
    <cellStyle name="Normal 2 2 4 27 2" xfId="23650" xr:uid="{00000000-0005-0000-0000-0000405C0000}"/>
    <cellStyle name="Normal 2 2 4 27 2 10" xfId="23651" xr:uid="{00000000-0005-0000-0000-0000415C0000}"/>
    <cellStyle name="Normal 2 2 4 27 2 2" xfId="23652" xr:uid="{00000000-0005-0000-0000-0000425C0000}"/>
    <cellStyle name="Normal 2 2 4 27 2 3" xfId="23653" xr:uid="{00000000-0005-0000-0000-0000435C0000}"/>
    <cellStyle name="Normal 2 2 4 27 2 4" xfId="23654" xr:uid="{00000000-0005-0000-0000-0000445C0000}"/>
    <cellStyle name="Normal 2 2 4 27 2 5" xfId="23655" xr:uid="{00000000-0005-0000-0000-0000455C0000}"/>
    <cellStyle name="Normal 2 2 4 27 2 6" xfId="23656" xr:uid="{00000000-0005-0000-0000-0000465C0000}"/>
    <cellStyle name="Normal 2 2 4 27 2 7" xfId="23657" xr:uid="{00000000-0005-0000-0000-0000475C0000}"/>
    <cellStyle name="Normal 2 2 4 27 2 8" xfId="23658" xr:uid="{00000000-0005-0000-0000-0000485C0000}"/>
    <cellStyle name="Normal 2 2 4 27 2 9" xfId="23659" xr:uid="{00000000-0005-0000-0000-0000495C0000}"/>
    <cellStyle name="Normal 2 2 4 27 3" xfId="23660" xr:uid="{00000000-0005-0000-0000-00004A5C0000}"/>
    <cellStyle name="Normal 2 2 4 27 3 10" xfId="23661" xr:uid="{00000000-0005-0000-0000-00004B5C0000}"/>
    <cellStyle name="Normal 2 2 4 27 3 2" xfId="23662" xr:uid="{00000000-0005-0000-0000-00004C5C0000}"/>
    <cellStyle name="Normal 2 2 4 27 3 3" xfId="23663" xr:uid="{00000000-0005-0000-0000-00004D5C0000}"/>
    <cellStyle name="Normal 2 2 4 27 3 4" xfId="23664" xr:uid="{00000000-0005-0000-0000-00004E5C0000}"/>
    <cellStyle name="Normal 2 2 4 27 3 5" xfId="23665" xr:uid="{00000000-0005-0000-0000-00004F5C0000}"/>
    <cellStyle name="Normal 2 2 4 27 3 6" xfId="23666" xr:uid="{00000000-0005-0000-0000-0000505C0000}"/>
    <cellStyle name="Normal 2 2 4 27 3 7" xfId="23667" xr:uid="{00000000-0005-0000-0000-0000515C0000}"/>
    <cellStyle name="Normal 2 2 4 27 3 8" xfId="23668" xr:uid="{00000000-0005-0000-0000-0000525C0000}"/>
    <cellStyle name="Normal 2 2 4 27 3 9" xfId="23669" xr:uid="{00000000-0005-0000-0000-0000535C0000}"/>
    <cellStyle name="Normal 2 2 4 27 4" xfId="23670" xr:uid="{00000000-0005-0000-0000-0000545C0000}"/>
    <cellStyle name="Normal 2 2 4 27 4 10" xfId="23671" xr:uid="{00000000-0005-0000-0000-0000555C0000}"/>
    <cellStyle name="Normal 2 2 4 27 4 2" xfId="23672" xr:uid="{00000000-0005-0000-0000-0000565C0000}"/>
    <cellStyle name="Normal 2 2 4 27 4 3" xfId="23673" xr:uid="{00000000-0005-0000-0000-0000575C0000}"/>
    <cellStyle name="Normal 2 2 4 27 4 4" xfId="23674" xr:uid="{00000000-0005-0000-0000-0000585C0000}"/>
    <cellStyle name="Normal 2 2 4 27 4 5" xfId="23675" xr:uid="{00000000-0005-0000-0000-0000595C0000}"/>
    <cellStyle name="Normal 2 2 4 27 4 6" xfId="23676" xr:uid="{00000000-0005-0000-0000-00005A5C0000}"/>
    <cellStyle name="Normal 2 2 4 27 4 7" xfId="23677" xr:uid="{00000000-0005-0000-0000-00005B5C0000}"/>
    <cellStyle name="Normal 2 2 4 27 4 8" xfId="23678" xr:uid="{00000000-0005-0000-0000-00005C5C0000}"/>
    <cellStyle name="Normal 2 2 4 27 4 9" xfId="23679" xr:uid="{00000000-0005-0000-0000-00005D5C0000}"/>
    <cellStyle name="Normal 2 2 4 27 5" xfId="23680" xr:uid="{00000000-0005-0000-0000-00005E5C0000}"/>
    <cellStyle name="Normal 2 2 4 27 5 10" xfId="23681" xr:uid="{00000000-0005-0000-0000-00005F5C0000}"/>
    <cellStyle name="Normal 2 2 4 27 5 2" xfId="23682" xr:uid="{00000000-0005-0000-0000-0000605C0000}"/>
    <cellStyle name="Normal 2 2 4 27 5 3" xfId="23683" xr:uid="{00000000-0005-0000-0000-0000615C0000}"/>
    <cellStyle name="Normal 2 2 4 27 5 4" xfId="23684" xr:uid="{00000000-0005-0000-0000-0000625C0000}"/>
    <cellStyle name="Normal 2 2 4 27 5 5" xfId="23685" xr:uid="{00000000-0005-0000-0000-0000635C0000}"/>
    <cellStyle name="Normal 2 2 4 27 5 6" xfId="23686" xr:uid="{00000000-0005-0000-0000-0000645C0000}"/>
    <cellStyle name="Normal 2 2 4 27 5 7" xfId="23687" xr:uid="{00000000-0005-0000-0000-0000655C0000}"/>
    <cellStyle name="Normal 2 2 4 27 5 8" xfId="23688" xr:uid="{00000000-0005-0000-0000-0000665C0000}"/>
    <cellStyle name="Normal 2 2 4 27 5 9" xfId="23689" xr:uid="{00000000-0005-0000-0000-0000675C0000}"/>
    <cellStyle name="Normal 2 2 4 27 6" xfId="23690" xr:uid="{00000000-0005-0000-0000-0000685C0000}"/>
    <cellStyle name="Normal 2 2 4 27 7" xfId="23691" xr:uid="{00000000-0005-0000-0000-0000695C0000}"/>
    <cellStyle name="Normal 2 2 4 27 8" xfId="23692" xr:uid="{00000000-0005-0000-0000-00006A5C0000}"/>
    <cellStyle name="Normal 2 2 4 27 9" xfId="23693" xr:uid="{00000000-0005-0000-0000-00006B5C0000}"/>
    <cellStyle name="Normal 2 2 4 28" xfId="23694" xr:uid="{00000000-0005-0000-0000-00006C5C0000}"/>
    <cellStyle name="Normal 2 2 4 28 10" xfId="23695" xr:uid="{00000000-0005-0000-0000-00006D5C0000}"/>
    <cellStyle name="Normal 2 2 4 28 11" xfId="23696" xr:uid="{00000000-0005-0000-0000-00006E5C0000}"/>
    <cellStyle name="Normal 2 2 4 28 12" xfId="23697" xr:uid="{00000000-0005-0000-0000-00006F5C0000}"/>
    <cellStyle name="Normal 2 2 4 28 13" xfId="23698" xr:uid="{00000000-0005-0000-0000-0000705C0000}"/>
    <cellStyle name="Normal 2 2 4 28 14" xfId="23699" xr:uid="{00000000-0005-0000-0000-0000715C0000}"/>
    <cellStyle name="Normal 2 2 4 28 2" xfId="23700" xr:uid="{00000000-0005-0000-0000-0000725C0000}"/>
    <cellStyle name="Normal 2 2 4 28 2 10" xfId="23701" xr:uid="{00000000-0005-0000-0000-0000735C0000}"/>
    <cellStyle name="Normal 2 2 4 28 2 2" xfId="23702" xr:uid="{00000000-0005-0000-0000-0000745C0000}"/>
    <cellStyle name="Normal 2 2 4 28 2 3" xfId="23703" xr:uid="{00000000-0005-0000-0000-0000755C0000}"/>
    <cellStyle name="Normal 2 2 4 28 2 4" xfId="23704" xr:uid="{00000000-0005-0000-0000-0000765C0000}"/>
    <cellStyle name="Normal 2 2 4 28 2 5" xfId="23705" xr:uid="{00000000-0005-0000-0000-0000775C0000}"/>
    <cellStyle name="Normal 2 2 4 28 2 6" xfId="23706" xr:uid="{00000000-0005-0000-0000-0000785C0000}"/>
    <cellStyle name="Normal 2 2 4 28 2 7" xfId="23707" xr:uid="{00000000-0005-0000-0000-0000795C0000}"/>
    <cellStyle name="Normal 2 2 4 28 2 8" xfId="23708" xr:uid="{00000000-0005-0000-0000-00007A5C0000}"/>
    <cellStyle name="Normal 2 2 4 28 2 9" xfId="23709" xr:uid="{00000000-0005-0000-0000-00007B5C0000}"/>
    <cellStyle name="Normal 2 2 4 28 3" xfId="23710" xr:uid="{00000000-0005-0000-0000-00007C5C0000}"/>
    <cellStyle name="Normal 2 2 4 28 3 10" xfId="23711" xr:uid="{00000000-0005-0000-0000-00007D5C0000}"/>
    <cellStyle name="Normal 2 2 4 28 3 2" xfId="23712" xr:uid="{00000000-0005-0000-0000-00007E5C0000}"/>
    <cellStyle name="Normal 2 2 4 28 3 3" xfId="23713" xr:uid="{00000000-0005-0000-0000-00007F5C0000}"/>
    <cellStyle name="Normal 2 2 4 28 3 4" xfId="23714" xr:uid="{00000000-0005-0000-0000-0000805C0000}"/>
    <cellStyle name="Normal 2 2 4 28 3 5" xfId="23715" xr:uid="{00000000-0005-0000-0000-0000815C0000}"/>
    <cellStyle name="Normal 2 2 4 28 3 6" xfId="23716" xr:uid="{00000000-0005-0000-0000-0000825C0000}"/>
    <cellStyle name="Normal 2 2 4 28 3 7" xfId="23717" xr:uid="{00000000-0005-0000-0000-0000835C0000}"/>
    <cellStyle name="Normal 2 2 4 28 3 8" xfId="23718" xr:uid="{00000000-0005-0000-0000-0000845C0000}"/>
    <cellStyle name="Normal 2 2 4 28 3 9" xfId="23719" xr:uid="{00000000-0005-0000-0000-0000855C0000}"/>
    <cellStyle name="Normal 2 2 4 28 4" xfId="23720" xr:uid="{00000000-0005-0000-0000-0000865C0000}"/>
    <cellStyle name="Normal 2 2 4 28 4 10" xfId="23721" xr:uid="{00000000-0005-0000-0000-0000875C0000}"/>
    <cellStyle name="Normal 2 2 4 28 4 2" xfId="23722" xr:uid="{00000000-0005-0000-0000-0000885C0000}"/>
    <cellStyle name="Normal 2 2 4 28 4 3" xfId="23723" xr:uid="{00000000-0005-0000-0000-0000895C0000}"/>
    <cellStyle name="Normal 2 2 4 28 4 4" xfId="23724" xr:uid="{00000000-0005-0000-0000-00008A5C0000}"/>
    <cellStyle name="Normal 2 2 4 28 4 5" xfId="23725" xr:uid="{00000000-0005-0000-0000-00008B5C0000}"/>
    <cellStyle name="Normal 2 2 4 28 4 6" xfId="23726" xr:uid="{00000000-0005-0000-0000-00008C5C0000}"/>
    <cellStyle name="Normal 2 2 4 28 4 7" xfId="23727" xr:uid="{00000000-0005-0000-0000-00008D5C0000}"/>
    <cellStyle name="Normal 2 2 4 28 4 8" xfId="23728" xr:uid="{00000000-0005-0000-0000-00008E5C0000}"/>
    <cellStyle name="Normal 2 2 4 28 4 9" xfId="23729" xr:uid="{00000000-0005-0000-0000-00008F5C0000}"/>
    <cellStyle name="Normal 2 2 4 28 5" xfId="23730" xr:uid="{00000000-0005-0000-0000-0000905C0000}"/>
    <cellStyle name="Normal 2 2 4 28 5 10" xfId="23731" xr:uid="{00000000-0005-0000-0000-0000915C0000}"/>
    <cellStyle name="Normal 2 2 4 28 5 2" xfId="23732" xr:uid="{00000000-0005-0000-0000-0000925C0000}"/>
    <cellStyle name="Normal 2 2 4 28 5 3" xfId="23733" xr:uid="{00000000-0005-0000-0000-0000935C0000}"/>
    <cellStyle name="Normal 2 2 4 28 5 4" xfId="23734" xr:uid="{00000000-0005-0000-0000-0000945C0000}"/>
    <cellStyle name="Normal 2 2 4 28 5 5" xfId="23735" xr:uid="{00000000-0005-0000-0000-0000955C0000}"/>
    <cellStyle name="Normal 2 2 4 28 5 6" xfId="23736" xr:uid="{00000000-0005-0000-0000-0000965C0000}"/>
    <cellStyle name="Normal 2 2 4 28 5 7" xfId="23737" xr:uid="{00000000-0005-0000-0000-0000975C0000}"/>
    <cellStyle name="Normal 2 2 4 28 5 8" xfId="23738" xr:uid="{00000000-0005-0000-0000-0000985C0000}"/>
    <cellStyle name="Normal 2 2 4 28 5 9" xfId="23739" xr:uid="{00000000-0005-0000-0000-0000995C0000}"/>
    <cellStyle name="Normal 2 2 4 28 6" xfId="23740" xr:uid="{00000000-0005-0000-0000-00009A5C0000}"/>
    <cellStyle name="Normal 2 2 4 28 7" xfId="23741" xr:uid="{00000000-0005-0000-0000-00009B5C0000}"/>
    <cellStyle name="Normal 2 2 4 28 8" xfId="23742" xr:uid="{00000000-0005-0000-0000-00009C5C0000}"/>
    <cellStyle name="Normal 2 2 4 28 9" xfId="23743" xr:uid="{00000000-0005-0000-0000-00009D5C0000}"/>
    <cellStyle name="Normal 2 2 4 29" xfId="23744" xr:uid="{00000000-0005-0000-0000-00009E5C0000}"/>
    <cellStyle name="Normal 2 2 4 29 10" xfId="23745" xr:uid="{00000000-0005-0000-0000-00009F5C0000}"/>
    <cellStyle name="Normal 2 2 4 29 11" xfId="23746" xr:uid="{00000000-0005-0000-0000-0000A05C0000}"/>
    <cellStyle name="Normal 2 2 4 29 12" xfId="23747" xr:uid="{00000000-0005-0000-0000-0000A15C0000}"/>
    <cellStyle name="Normal 2 2 4 29 13" xfId="23748" xr:uid="{00000000-0005-0000-0000-0000A25C0000}"/>
    <cellStyle name="Normal 2 2 4 29 14" xfId="23749" xr:uid="{00000000-0005-0000-0000-0000A35C0000}"/>
    <cellStyle name="Normal 2 2 4 29 2" xfId="23750" xr:uid="{00000000-0005-0000-0000-0000A45C0000}"/>
    <cellStyle name="Normal 2 2 4 29 2 10" xfId="23751" xr:uid="{00000000-0005-0000-0000-0000A55C0000}"/>
    <cellStyle name="Normal 2 2 4 29 2 2" xfId="23752" xr:uid="{00000000-0005-0000-0000-0000A65C0000}"/>
    <cellStyle name="Normal 2 2 4 29 2 3" xfId="23753" xr:uid="{00000000-0005-0000-0000-0000A75C0000}"/>
    <cellStyle name="Normal 2 2 4 29 2 4" xfId="23754" xr:uid="{00000000-0005-0000-0000-0000A85C0000}"/>
    <cellStyle name="Normal 2 2 4 29 2 5" xfId="23755" xr:uid="{00000000-0005-0000-0000-0000A95C0000}"/>
    <cellStyle name="Normal 2 2 4 29 2 6" xfId="23756" xr:uid="{00000000-0005-0000-0000-0000AA5C0000}"/>
    <cellStyle name="Normal 2 2 4 29 2 7" xfId="23757" xr:uid="{00000000-0005-0000-0000-0000AB5C0000}"/>
    <cellStyle name="Normal 2 2 4 29 2 8" xfId="23758" xr:uid="{00000000-0005-0000-0000-0000AC5C0000}"/>
    <cellStyle name="Normal 2 2 4 29 2 9" xfId="23759" xr:uid="{00000000-0005-0000-0000-0000AD5C0000}"/>
    <cellStyle name="Normal 2 2 4 29 3" xfId="23760" xr:uid="{00000000-0005-0000-0000-0000AE5C0000}"/>
    <cellStyle name="Normal 2 2 4 29 3 10" xfId="23761" xr:uid="{00000000-0005-0000-0000-0000AF5C0000}"/>
    <cellStyle name="Normal 2 2 4 29 3 2" xfId="23762" xr:uid="{00000000-0005-0000-0000-0000B05C0000}"/>
    <cellStyle name="Normal 2 2 4 29 3 3" xfId="23763" xr:uid="{00000000-0005-0000-0000-0000B15C0000}"/>
    <cellStyle name="Normal 2 2 4 29 3 4" xfId="23764" xr:uid="{00000000-0005-0000-0000-0000B25C0000}"/>
    <cellStyle name="Normal 2 2 4 29 3 5" xfId="23765" xr:uid="{00000000-0005-0000-0000-0000B35C0000}"/>
    <cellStyle name="Normal 2 2 4 29 3 6" xfId="23766" xr:uid="{00000000-0005-0000-0000-0000B45C0000}"/>
    <cellStyle name="Normal 2 2 4 29 3 7" xfId="23767" xr:uid="{00000000-0005-0000-0000-0000B55C0000}"/>
    <cellStyle name="Normal 2 2 4 29 3 8" xfId="23768" xr:uid="{00000000-0005-0000-0000-0000B65C0000}"/>
    <cellStyle name="Normal 2 2 4 29 3 9" xfId="23769" xr:uid="{00000000-0005-0000-0000-0000B75C0000}"/>
    <cellStyle name="Normal 2 2 4 29 4" xfId="23770" xr:uid="{00000000-0005-0000-0000-0000B85C0000}"/>
    <cellStyle name="Normal 2 2 4 29 4 10" xfId="23771" xr:uid="{00000000-0005-0000-0000-0000B95C0000}"/>
    <cellStyle name="Normal 2 2 4 29 4 2" xfId="23772" xr:uid="{00000000-0005-0000-0000-0000BA5C0000}"/>
    <cellStyle name="Normal 2 2 4 29 4 3" xfId="23773" xr:uid="{00000000-0005-0000-0000-0000BB5C0000}"/>
    <cellStyle name="Normal 2 2 4 29 4 4" xfId="23774" xr:uid="{00000000-0005-0000-0000-0000BC5C0000}"/>
    <cellStyle name="Normal 2 2 4 29 4 5" xfId="23775" xr:uid="{00000000-0005-0000-0000-0000BD5C0000}"/>
    <cellStyle name="Normal 2 2 4 29 4 6" xfId="23776" xr:uid="{00000000-0005-0000-0000-0000BE5C0000}"/>
    <cellStyle name="Normal 2 2 4 29 4 7" xfId="23777" xr:uid="{00000000-0005-0000-0000-0000BF5C0000}"/>
    <cellStyle name="Normal 2 2 4 29 4 8" xfId="23778" xr:uid="{00000000-0005-0000-0000-0000C05C0000}"/>
    <cellStyle name="Normal 2 2 4 29 4 9" xfId="23779" xr:uid="{00000000-0005-0000-0000-0000C15C0000}"/>
    <cellStyle name="Normal 2 2 4 29 5" xfId="23780" xr:uid="{00000000-0005-0000-0000-0000C25C0000}"/>
    <cellStyle name="Normal 2 2 4 29 5 10" xfId="23781" xr:uid="{00000000-0005-0000-0000-0000C35C0000}"/>
    <cellStyle name="Normal 2 2 4 29 5 2" xfId="23782" xr:uid="{00000000-0005-0000-0000-0000C45C0000}"/>
    <cellStyle name="Normal 2 2 4 29 5 3" xfId="23783" xr:uid="{00000000-0005-0000-0000-0000C55C0000}"/>
    <cellStyle name="Normal 2 2 4 29 5 4" xfId="23784" xr:uid="{00000000-0005-0000-0000-0000C65C0000}"/>
    <cellStyle name="Normal 2 2 4 29 5 5" xfId="23785" xr:uid="{00000000-0005-0000-0000-0000C75C0000}"/>
    <cellStyle name="Normal 2 2 4 29 5 6" xfId="23786" xr:uid="{00000000-0005-0000-0000-0000C85C0000}"/>
    <cellStyle name="Normal 2 2 4 29 5 7" xfId="23787" xr:uid="{00000000-0005-0000-0000-0000C95C0000}"/>
    <cellStyle name="Normal 2 2 4 29 5 8" xfId="23788" xr:uid="{00000000-0005-0000-0000-0000CA5C0000}"/>
    <cellStyle name="Normal 2 2 4 29 5 9" xfId="23789" xr:uid="{00000000-0005-0000-0000-0000CB5C0000}"/>
    <cellStyle name="Normal 2 2 4 29 6" xfId="23790" xr:uid="{00000000-0005-0000-0000-0000CC5C0000}"/>
    <cellStyle name="Normal 2 2 4 29 7" xfId="23791" xr:uid="{00000000-0005-0000-0000-0000CD5C0000}"/>
    <cellStyle name="Normal 2 2 4 29 8" xfId="23792" xr:uid="{00000000-0005-0000-0000-0000CE5C0000}"/>
    <cellStyle name="Normal 2 2 4 29 9" xfId="23793" xr:uid="{00000000-0005-0000-0000-0000CF5C0000}"/>
    <cellStyle name="Normal 2 2 4 3" xfId="23794" xr:uid="{00000000-0005-0000-0000-0000D05C0000}"/>
    <cellStyle name="Normal 2 2 4 3 10" xfId="23795" xr:uid="{00000000-0005-0000-0000-0000D15C0000}"/>
    <cellStyle name="Normal 2 2 4 3 11" xfId="23796" xr:uid="{00000000-0005-0000-0000-0000D25C0000}"/>
    <cellStyle name="Normal 2 2 4 3 12" xfId="23797" xr:uid="{00000000-0005-0000-0000-0000D35C0000}"/>
    <cellStyle name="Normal 2 2 4 3 13" xfId="23798" xr:uid="{00000000-0005-0000-0000-0000D45C0000}"/>
    <cellStyle name="Normal 2 2 4 3 14" xfId="23799" xr:uid="{00000000-0005-0000-0000-0000D55C0000}"/>
    <cellStyle name="Normal 2 2 4 3 2" xfId="23800" xr:uid="{00000000-0005-0000-0000-0000D65C0000}"/>
    <cellStyle name="Normal 2 2 4 3 2 10" xfId="23801" xr:uid="{00000000-0005-0000-0000-0000D75C0000}"/>
    <cellStyle name="Normal 2 2 4 3 2 2" xfId="23802" xr:uid="{00000000-0005-0000-0000-0000D85C0000}"/>
    <cellStyle name="Normal 2 2 4 3 2 3" xfId="23803" xr:uid="{00000000-0005-0000-0000-0000D95C0000}"/>
    <cellStyle name="Normal 2 2 4 3 2 4" xfId="23804" xr:uid="{00000000-0005-0000-0000-0000DA5C0000}"/>
    <cellStyle name="Normal 2 2 4 3 2 5" xfId="23805" xr:uid="{00000000-0005-0000-0000-0000DB5C0000}"/>
    <cellStyle name="Normal 2 2 4 3 2 6" xfId="23806" xr:uid="{00000000-0005-0000-0000-0000DC5C0000}"/>
    <cellStyle name="Normal 2 2 4 3 2 7" xfId="23807" xr:uid="{00000000-0005-0000-0000-0000DD5C0000}"/>
    <cellStyle name="Normal 2 2 4 3 2 8" xfId="23808" xr:uid="{00000000-0005-0000-0000-0000DE5C0000}"/>
    <cellStyle name="Normal 2 2 4 3 2 9" xfId="23809" xr:uid="{00000000-0005-0000-0000-0000DF5C0000}"/>
    <cellStyle name="Normal 2 2 4 3 3" xfId="23810" xr:uid="{00000000-0005-0000-0000-0000E05C0000}"/>
    <cellStyle name="Normal 2 2 4 3 3 10" xfId="23811" xr:uid="{00000000-0005-0000-0000-0000E15C0000}"/>
    <cellStyle name="Normal 2 2 4 3 3 2" xfId="23812" xr:uid="{00000000-0005-0000-0000-0000E25C0000}"/>
    <cellStyle name="Normal 2 2 4 3 3 3" xfId="23813" xr:uid="{00000000-0005-0000-0000-0000E35C0000}"/>
    <cellStyle name="Normal 2 2 4 3 3 4" xfId="23814" xr:uid="{00000000-0005-0000-0000-0000E45C0000}"/>
    <cellStyle name="Normal 2 2 4 3 3 5" xfId="23815" xr:uid="{00000000-0005-0000-0000-0000E55C0000}"/>
    <cellStyle name="Normal 2 2 4 3 3 6" xfId="23816" xr:uid="{00000000-0005-0000-0000-0000E65C0000}"/>
    <cellStyle name="Normal 2 2 4 3 3 7" xfId="23817" xr:uid="{00000000-0005-0000-0000-0000E75C0000}"/>
    <cellStyle name="Normal 2 2 4 3 3 8" xfId="23818" xr:uid="{00000000-0005-0000-0000-0000E85C0000}"/>
    <cellStyle name="Normal 2 2 4 3 3 9" xfId="23819" xr:uid="{00000000-0005-0000-0000-0000E95C0000}"/>
    <cellStyle name="Normal 2 2 4 3 4" xfId="23820" xr:uid="{00000000-0005-0000-0000-0000EA5C0000}"/>
    <cellStyle name="Normal 2 2 4 3 4 10" xfId="23821" xr:uid="{00000000-0005-0000-0000-0000EB5C0000}"/>
    <cellStyle name="Normal 2 2 4 3 4 2" xfId="23822" xr:uid="{00000000-0005-0000-0000-0000EC5C0000}"/>
    <cellStyle name="Normal 2 2 4 3 4 3" xfId="23823" xr:uid="{00000000-0005-0000-0000-0000ED5C0000}"/>
    <cellStyle name="Normal 2 2 4 3 4 4" xfId="23824" xr:uid="{00000000-0005-0000-0000-0000EE5C0000}"/>
    <cellStyle name="Normal 2 2 4 3 4 5" xfId="23825" xr:uid="{00000000-0005-0000-0000-0000EF5C0000}"/>
    <cellStyle name="Normal 2 2 4 3 4 6" xfId="23826" xr:uid="{00000000-0005-0000-0000-0000F05C0000}"/>
    <cellStyle name="Normal 2 2 4 3 4 7" xfId="23827" xr:uid="{00000000-0005-0000-0000-0000F15C0000}"/>
    <cellStyle name="Normal 2 2 4 3 4 8" xfId="23828" xr:uid="{00000000-0005-0000-0000-0000F25C0000}"/>
    <cellStyle name="Normal 2 2 4 3 4 9" xfId="23829" xr:uid="{00000000-0005-0000-0000-0000F35C0000}"/>
    <cellStyle name="Normal 2 2 4 3 5" xfId="23830" xr:uid="{00000000-0005-0000-0000-0000F45C0000}"/>
    <cellStyle name="Normal 2 2 4 3 5 10" xfId="23831" xr:uid="{00000000-0005-0000-0000-0000F55C0000}"/>
    <cellStyle name="Normal 2 2 4 3 5 2" xfId="23832" xr:uid="{00000000-0005-0000-0000-0000F65C0000}"/>
    <cellStyle name="Normal 2 2 4 3 5 3" xfId="23833" xr:uid="{00000000-0005-0000-0000-0000F75C0000}"/>
    <cellStyle name="Normal 2 2 4 3 5 4" xfId="23834" xr:uid="{00000000-0005-0000-0000-0000F85C0000}"/>
    <cellStyle name="Normal 2 2 4 3 5 5" xfId="23835" xr:uid="{00000000-0005-0000-0000-0000F95C0000}"/>
    <cellStyle name="Normal 2 2 4 3 5 6" xfId="23836" xr:uid="{00000000-0005-0000-0000-0000FA5C0000}"/>
    <cellStyle name="Normal 2 2 4 3 5 7" xfId="23837" xr:uid="{00000000-0005-0000-0000-0000FB5C0000}"/>
    <cellStyle name="Normal 2 2 4 3 5 8" xfId="23838" xr:uid="{00000000-0005-0000-0000-0000FC5C0000}"/>
    <cellStyle name="Normal 2 2 4 3 5 9" xfId="23839" xr:uid="{00000000-0005-0000-0000-0000FD5C0000}"/>
    <cellStyle name="Normal 2 2 4 3 6" xfId="23840" xr:uid="{00000000-0005-0000-0000-0000FE5C0000}"/>
    <cellStyle name="Normal 2 2 4 3 7" xfId="23841" xr:uid="{00000000-0005-0000-0000-0000FF5C0000}"/>
    <cellStyle name="Normal 2 2 4 3 8" xfId="23842" xr:uid="{00000000-0005-0000-0000-0000005D0000}"/>
    <cellStyle name="Normal 2 2 4 3 9" xfId="23843" xr:uid="{00000000-0005-0000-0000-0000015D0000}"/>
    <cellStyle name="Normal 2 2 4 30" xfId="23844" xr:uid="{00000000-0005-0000-0000-0000025D0000}"/>
    <cellStyle name="Normal 2 2 4 30 10" xfId="23845" xr:uid="{00000000-0005-0000-0000-0000035D0000}"/>
    <cellStyle name="Normal 2 2 4 30 11" xfId="23846" xr:uid="{00000000-0005-0000-0000-0000045D0000}"/>
    <cellStyle name="Normal 2 2 4 30 12" xfId="23847" xr:uid="{00000000-0005-0000-0000-0000055D0000}"/>
    <cellStyle name="Normal 2 2 4 30 13" xfId="23848" xr:uid="{00000000-0005-0000-0000-0000065D0000}"/>
    <cellStyle name="Normal 2 2 4 30 14" xfId="23849" xr:uid="{00000000-0005-0000-0000-0000075D0000}"/>
    <cellStyle name="Normal 2 2 4 30 2" xfId="23850" xr:uid="{00000000-0005-0000-0000-0000085D0000}"/>
    <cellStyle name="Normal 2 2 4 30 2 10" xfId="23851" xr:uid="{00000000-0005-0000-0000-0000095D0000}"/>
    <cellStyle name="Normal 2 2 4 30 2 2" xfId="23852" xr:uid="{00000000-0005-0000-0000-00000A5D0000}"/>
    <cellStyle name="Normal 2 2 4 30 2 3" xfId="23853" xr:uid="{00000000-0005-0000-0000-00000B5D0000}"/>
    <cellStyle name="Normal 2 2 4 30 2 4" xfId="23854" xr:uid="{00000000-0005-0000-0000-00000C5D0000}"/>
    <cellStyle name="Normal 2 2 4 30 2 5" xfId="23855" xr:uid="{00000000-0005-0000-0000-00000D5D0000}"/>
    <cellStyle name="Normal 2 2 4 30 2 6" xfId="23856" xr:uid="{00000000-0005-0000-0000-00000E5D0000}"/>
    <cellStyle name="Normal 2 2 4 30 2 7" xfId="23857" xr:uid="{00000000-0005-0000-0000-00000F5D0000}"/>
    <cellStyle name="Normal 2 2 4 30 2 8" xfId="23858" xr:uid="{00000000-0005-0000-0000-0000105D0000}"/>
    <cellStyle name="Normal 2 2 4 30 2 9" xfId="23859" xr:uid="{00000000-0005-0000-0000-0000115D0000}"/>
    <cellStyle name="Normal 2 2 4 30 3" xfId="23860" xr:uid="{00000000-0005-0000-0000-0000125D0000}"/>
    <cellStyle name="Normal 2 2 4 30 3 10" xfId="23861" xr:uid="{00000000-0005-0000-0000-0000135D0000}"/>
    <cellStyle name="Normal 2 2 4 30 3 2" xfId="23862" xr:uid="{00000000-0005-0000-0000-0000145D0000}"/>
    <cellStyle name="Normal 2 2 4 30 3 3" xfId="23863" xr:uid="{00000000-0005-0000-0000-0000155D0000}"/>
    <cellStyle name="Normal 2 2 4 30 3 4" xfId="23864" xr:uid="{00000000-0005-0000-0000-0000165D0000}"/>
    <cellStyle name="Normal 2 2 4 30 3 5" xfId="23865" xr:uid="{00000000-0005-0000-0000-0000175D0000}"/>
    <cellStyle name="Normal 2 2 4 30 3 6" xfId="23866" xr:uid="{00000000-0005-0000-0000-0000185D0000}"/>
    <cellStyle name="Normal 2 2 4 30 3 7" xfId="23867" xr:uid="{00000000-0005-0000-0000-0000195D0000}"/>
    <cellStyle name="Normal 2 2 4 30 3 8" xfId="23868" xr:uid="{00000000-0005-0000-0000-00001A5D0000}"/>
    <cellStyle name="Normal 2 2 4 30 3 9" xfId="23869" xr:uid="{00000000-0005-0000-0000-00001B5D0000}"/>
    <cellStyle name="Normal 2 2 4 30 4" xfId="23870" xr:uid="{00000000-0005-0000-0000-00001C5D0000}"/>
    <cellStyle name="Normal 2 2 4 30 4 10" xfId="23871" xr:uid="{00000000-0005-0000-0000-00001D5D0000}"/>
    <cellStyle name="Normal 2 2 4 30 4 2" xfId="23872" xr:uid="{00000000-0005-0000-0000-00001E5D0000}"/>
    <cellStyle name="Normal 2 2 4 30 4 3" xfId="23873" xr:uid="{00000000-0005-0000-0000-00001F5D0000}"/>
    <cellStyle name="Normal 2 2 4 30 4 4" xfId="23874" xr:uid="{00000000-0005-0000-0000-0000205D0000}"/>
    <cellStyle name="Normal 2 2 4 30 4 5" xfId="23875" xr:uid="{00000000-0005-0000-0000-0000215D0000}"/>
    <cellStyle name="Normal 2 2 4 30 4 6" xfId="23876" xr:uid="{00000000-0005-0000-0000-0000225D0000}"/>
    <cellStyle name="Normal 2 2 4 30 4 7" xfId="23877" xr:uid="{00000000-0005-0000-0000-0000235D0000}"/>
    <cellStyle name="Normal 2 2 4 30 4 8" xfId="23878" xr:uid="{00000000-0005-0000-0000-0000245D0000}"/>
    <cellStyle name="Normal 2 2 4 30 4 9" xfId="23879" xr:uid="{00000000-0005-0000-0000-0000255D0000}"/>
    <cellStyle name="Normal 2 2 4 30 5" xfId="23880" xr:uid="{00000000-0005-0000-0000-0000265D0000}"/>
    <cellStyle name="Normal 2 2 4 30 5 10" xfId="23881" xr:uid="{00000000-0005-0000-0000-0000275D0000}"/>
    <cellStyle name="Normal 2 2 4 30 5 2" xfId="23882" xr:uid="{00000000-0005-0000-0000-0000285D0000}"/>
    <cellStyle name="Normal 2 2 4 30 5 3" xfId="23883" xr:uid="{00000000-0005-0000-0000-0000295D0000}"/>
    <cellStyle name="Normal 2 2 4 30 5 4" xfId="23884" xr:uid="{00000000-0005-0000-0000-00002A5D0000}"/>
    <cellStyle name="Normal 2 2 4 30 5 5" xfId="23885" xr:uid="{00000000-0005-0000-0000-00002B5D0000}"/>
    <cellStyle name="Normal 2 2 4 30 5 6" xfId="23886" xr:uid="{00000000-0005-0000-0000-00002C5D0000}"/>
    <cellStyle name="Normal 2 2 4 30 5 7" xfId="23887" xr:uid="{00000000-0005-0000-0000-00002D5D0000}"/>
    <cellStyle name="Normal 2 2 4 30 5 8" xfId="23888" xr:uid="{00000000-0005-0000-0000-00002E5D0000}"/>
    <cellStyle name="Normal 2 2 4 30 5 9" xfId="23889" xr:uid="{00000000-0005-0000-0000-00002F5D0000}"/>
    <cellStyle name="Normal 2 2 4 30 6" xfId="23890" xr:uid="{00000000-0005-0000-0000-0000305D0000}"/>
    <cellStyle name="Normal 2 2 4 30 7" xfId="23891" xr:uid="{00000000-0005-0000-0000-0000315D0000}"/>
    <cellStyle name="Normal 2 2 4 30 8" xfId="23892" xr:uid="{00000000-0005-0000-0000-0000325D0000}"/>
    <cellStyle name="Normal 2 2 4 30 9" xfId="23893" xr:uid="{00000000-0005-0000-0000-0000335D0000}"/>
    <cellStyle name="Normal 2 2 4 31" xfId="23894" xr:uid="{00000000-0005-0000-0000-0000345D0000}"/>
    <cellStyle name="Normal 2 2 4 31 10" xfId="23895" xr:uid="{00000000-0005-0000-0000-0000355D0000}"/>
    <cellStyle name="Normal 2 2 4 31 11" xfId="23896" xr:uid="{00000000-0005-0000-0000-0000365D0000}"/>
    <cellStyle name="Normal 2 2 4 31 12" xfId="23897" xr:uid="{00000000-0005-0000-0000-0000375D0000}"/>
    <cellStyle name="Normal 2 2 4 31 13" xfId="23898" xr:uid="{00000000-0005-0000-0000-0000385D0000}"/>
    <cellStyle name="Normal 2 2 4 31 14" xfId="23899" xr:uid="{00000000-0005-0000-0000-0000395D0000}"/>
    <cellStyle name="Normal 2 2 4 31 2" xfId="23900" xr:uid="{00000000-0005-0000-0000-00003A5D0000}"/>
    <cellStyle name="Normal 2 2 4 31 2 10" xfId="23901" xr:uid="{00000000-0005-0000-0000-00003B5D0000}"/>
    <cellStyle name="Normal 2 2 4 31 2 2" xfId="23902" xr:uid="{00000000-0005-0000-0000-00003C5D0000}"/>
    <cellStyle name="Normal 2 2 4 31 2 3" xfId="23903" xr:uid="{00000000-0005-0000-0000-00003D5D0000}"/>
    <cellStyle name="Normal 2 2 4 31 2 4" xfId="23904" xr:uid="{00000000-0005-0000-0000-00003E5D0000}"/>
    <cellStyle name="Normal 2 2 4 31 2 5" xfId="23905" xr:uid="{00000000-0005-0000-0000-00003F5D0000}"/>
    <cellStyle name="Normal 2 2 4 31 2 6" xfId="23906" xr:uid="{00000000-0005-0000-0000-0000405D0000}"/>
    <cellStyle name="Normal 2 2 4 31 2 7" xfId="23907" xr:uid="{00000000-0005-0000-0000-0000415D0000}"/>
    <cellStyle name="Normal 2 2 4 31 2 8" xfId="23908" xr:uid="{00000000-0005-0000-0000-0000425D0000}"/>
    <cellStyle name="Normal 2 2 4 31 2 9" xfId="23909" xr:uid="{00000000-0005-0000-0000-0000435D0000}"/>
    <cellStyle name="Normal 2 2 4 31 3" xfId="23910" xr:uid="{00000000-0005-0000-0000-0000445D0000}"/>
    <cellStyle name="Normal 2 2 4 31 3 10" xfId="23911" xr:uid="{00000000-0005-0000-0000-0000455D0000}"/>
    <cellStyle name="Normal 2 2 4 31 3 2" xfId="23912" xr:uid="{00000000-0005-0000-0000-0000465D0000}"/>
    <cellStyle name="Normal 2 2 4 31 3 3" xfId="23913" xr:uid="{00000000-0005-0000-0000-0000475D0000}"/>
    <cellStyle name="Normal 2 2 4 31 3 4" xfId="23914" xr:uid="{00000000-0005-0000-0000-0000485D0000}"/>
    <cellStyle name="Normal 2 2 4 31 3 5" xfId="23915" xr:uid="{00000000-0005-0000-0000-0000495D0000}"/>
    <cellStyle name="Normal 2 2 4 31 3 6" xfId="23916" xr:uid="{00000000-0005-0000-0000-00004A5D0000}"/>
    <cellStyle name="Normal 2 2 4 31 3 7" xfId="23917" xr:uid="{00000000-0005-0000-0000-00004B5D0000}"/>
    <cellStyle name="Normal 2 2 4 31 3 8" xfId="23918" xr:uid="{00000000-0005-0000-0000-00004C5D0000}"/>
    <cellStyle name="Normal 2 2 4 31 3 9" xfId="23919" xr:uid="{00000000-0005-0000-0000-00004D5D0000}"/>
    <cellStyle name="Normal 2 2 4 31 4" xfId="23920" xr:uid="{00000000-0005-0000-0000-00004E5D0000}"/>
    <cellStyle name="Normal 2 2 4 31 4 10" xfId="23921" xr:uid="{00000000-0005-0000-0000-00004F5D0000}"/>
    <cellStyle name="Normal 2 2 4 31 4 2" xfId="23922" xr:uid="{00000000-0005-0000-0000-0000505D0000}"/>
    <cellStyle name="Normal 2 2 4 31 4 3" xfId="23923" xr:uid="{00000000-0005-0000-0000-0000515D0000}"/>
    <cellStyle name="Normal 2 2 4 31 4 4" xfId="23924" xr:uid="{00000000-0005-0000-0000-0000525D0000}"/>
    <cellStyle name="Normal 2 2 4 31 4 5" xfId="23925" xr:uid="{00000000-0005-0000-0000-0000535D0000}"/>
    <cellStyle name="Normal 2 2 4 31 4 6" xfId="23926" xr:uid="{00000000-0005-0000-0000-0000545D0000}"/>
    <cellStyle name="Normal 2 2 4 31 4 7" xfId="23927" xr:uid="{00000000-0005-0000-0000-0000555D0000}"/>
    <cellStyle name="Normal 2 2 4 31 4 8" xfId="23928" xr:uid="{00000000-0005-0000-0000-0000565D0000}"/>
    <cellStyle name="Normal 2 2 4 31 4 9" xfId="23929" xr:uid="{00000000-0005-0000-0000-0000575D0000}"/>
    <cellStyle name="Normal 2 2 4 31 5" xfId="23930" xr:uid="{00000000-0005-0000-0000-0000585D0000}"/>
    <cellStyle name="Normal 2 2 4 31 5 10" xfId="23931" xr:uid="{00000000-0005-0000-0000-0000595D0000}"/>
    <cellStyle name="Normal 2 2 4 31 5 2" xfId="23932" xr:uid="{00000000-0005-0000-0000-00005A5D0000}"/>
    <cellStyle name="Normal 2 2 4 31 5 3" xfId="23933" xr:uid="{00000000-0005-0000-0000-00005B5D0000}"/>
    <cellStyle name="Normal 2 2 4 31 5 4" xfId="23934" xr:uid="{00000000-0005-0000-0000-00005C5D0000}"/>
    <cellStyle name="Normal 2 2 4 31 5 5" xfId="23935" xr:uid="{00000000-0005-0000-0000-00005D5D0000}"/>
    <cellStyle name="Normal 2 2 4 31 5 6" xfId="23936" xr:uid="{00000000-0005-0000-0000-00005E5D0000}"/>
    <cellStyle name="Normal 2 2 4 31 5 7" xfId="23937" xr:uid="{00000000-0005-0000-0000-00005F5D0000}"/>
    <cellStyle name="Normal 2 2 4 31 5 8" xfId="23938" xr:uid="{00000000-0005-0000-0000-0000605D0000}"/>
    <cellStyle name="Normal 2 2 4 31 5 9" xfId="23939" xr:uid="{00000000-0005-0000-0000-0000615D0000}"/>
    <cellStyle name="Normal 2 2 4 31 6" xfId="23940" xr:uid="{00000000-0005-0000-0000-0000625D0000}"/>
    <cellStyle name="Normal 2 2 4 31 7" xfId="23941" xr:uid="{00000000-0005-0000-0000-0000635D0000}"/>
    <cellStyle name="Normal 2 2 4 31 8" xfId="23942" xr:uid="{00000000-0005-0000-0000-0000645D0000}"/>
    <cellStyle name="Normal 2 2 4 31 9" xfId="23943" xr:uid="{00000000-0005-0000-0000-0000655D0000}"/>
    <cellStyle name="Normal 2 2 4 32" xfId="23944" xr:uid="{00000000-0005-0000-0000-0000665D0000}"/>
    <cellStyle name="Normal 2 2 4 32 10" xfId="23945" xr:uid="{00000000-0005-0000-0000-0000675D0000}"/>
    <cellStyle name="Normal 2 2 4 32 11" xfId="23946" xr:uid="{00000000-0005-0000-0000-0000685D0000}"/>
    <cellStyle name="Normal 2 2 4 32 12" xfId="23947" xr:uid="{00000000-0005-0000-0000-0000695D0000}"/>
    <cellStyle name="Normal 2 2 4 32 13" xfId="23948" xr:uid="{00000000-0005-0000-0000-00006A5D0000}"/>
    <cellStyle name="Normal 2 2 4 32 14" xfId="23949" xr:uid="{00000000-0005-0000-0000-00006B5D0000}"/>
    <cellStyle name="Normal 2 2 4 32 2" xfId="23950" xr:uid="{00000000-0005-0000-0000-00006C5D0000}"/>
    <cellStyle name="Normal 2 2 4 32 2 10" xfId="23951" xr:uid="{00000000-0005-0000-0000-00006D5D0000}"/>
    <cellStyle name="Normal 2 2 4 32 2 2" xfId="23952" xr:uid="{00000000-0005-0000-0000-00006E5D0000}"/>
    <cellStyle name="Normal 2 2 4 32 2 3" xfId="23953" xr:uid="{00000000-0005-0000-0000-00006F5D0000}"/>
    <cellStyle name="Normal 2 2 4 32 2 4" xfId="23954" xr:uid="{00000000-0005-0000-0000-0000705D0000}"/>
    <cellStyle name="Normal 2 2 4 32 2 5" xfId="23955" xr:uid="{00000000-0005-0000-0000-0000715D0000}"/>
    <cellStyle name="Normal 2 2 4 32 2 6" xfId="23956" xr:uid="{00000000-0005-0000-0000-0000725D0000}"/>
    <cellStyle name="Normal 2 2 4 32 2 7" xfId="23957" xr:uid="{00000000-0005-0000-0000-0000735D0000}"/>
    <cellStyle name="Normal 2 2 4 32 2 8" xfId="23958" xr:uid="{00000000-0005-0000-0000-0000745D0000}"/>
    <cellStyle name="Normal 2 2 4 32 2 9" xfId="23959" xr:uid="{00000000-0005-0000-0000-0000755D0000}"/>
    <cellStyle name="Normal 2 2 4 32 3" xfId="23960" xr:uid="{00000000-0005-0000-0000-0000765D0000}"/>
    <cellStyle name="Normal 2 2 4 32 3 10" xfId="23961" xr:uid="{00000000-0005-0000-0000-0000775D0000}"/>
    <cellStyle name="Normal 2 2 4 32 3 2" xfId="23962" xr:uid="{00000000-0005-0000-0000-0000785D0000}"/>
    <cellStyle name="Normal 2 2 4 32 3 3" xfId="23963" xr:uid="{00000000-0005-0000-0000-0000795D0000}"/>
    <cellStyle name="Normal 2 2 4 32 3 4" xfId="23964" xr:uid="{00000000-0005-0000-0000-00007A5D0000}"/>
    <cellStyle name="Normal 2 2 4 32 3 5" xfId="23965" xr:uid="{00000000-0005-0000-0000-00007B5D0000}"/>
    <cellStyle name="Normal 2 2 4 32 3 6" xfId="23966" xr:uid="{00000000-0005-0000-0000-00007C5D0000}"/>
    <cellStyle name="Normal 2 2 4 32 3 7" xfId="23967" xr:uid="{00000000-0005-0000-0000-00007D5D0000}"/>
    <cellStyle name="Normal 2 2 4 32 3 8" xfId="23968" xr:uid="{00000000-0005-0000-0000-00007E5D0000}"/>
    <cellStyle name="Normal 2 2 4 32 3 9" xfId="23969" xr:uid="{00000000-0005-0000-0000-00007F5D0000}"/>
    <cellStyle name="Normal 2 2 4 32 4" xfId="23970" xr:uid="{00000000-0005-0000-0000-0000805D0000}"/>
    <cellStyle name="Normal 2 2 4 32 4 10" xfId="23971" xr:uid="{00000000-0005-0000-0000-0000815D0000}"/>
    <cellStyle name="Normal 2 2 4 32 4 2" xfId="23972" xr:uid="{00000000-0005-0000-0000-0000825D0000}"/>
    <cellStyle name="Normal 2 2 4 32 4 3" xfId="23973" xr:uid="{00000000-0005-0000-0000-0000835D0000}"/>
    <cellStyle name="Normal 2 2 4 32 4 4" xfId="23974" xr:uid="{00000000-0005-0000-0000-0000845D0000}"/>
    <cellStyle name="Normal 2 2 4 32 4 5" xfId="23975" xr:uid="{00000000-0005-0000-0000-0000855D0000}"/>
    <cellStyle name="Normal 2 2 4 32 4 6" xfId="23976" xr:uid="{00000000-0005-0000-0000-0000865D0000}"/>
    <cellStyle name="Normal 2 2 4 32 4 7" xfId="23977" xr:uid="{00000000-0005-0000-0000-0000875D0000}"/>
    <cellStyle name="Normal 2 2 4 32 4 8" xfId="23978" xr:uid="{00000000-0005-0000-0000-0000885D0000}"/>
    <cellStyle name="Normal 2 2 4 32 4 9" xfId="23979" xr:uid="{00000000-0005-0000-0000-0000895D0000}"/>
    <cellStyle name="Normal 2 2 4 32 5" xfId="23980" xr:uid="{00000000-0005-0000-0000-00008A5D0000}"/>
    <cellStyle name="Normal 2 2 4 32 5 10" xfId="23981" xr:uid="{00000000-0005-0000-0000-00008B5D0000}"/>
    <cellStyle name="Normal 2 2 4 32 5 2" xfId="23982" xr:uid="{00000000-0005-0000-0000-00008C5D0000}"/>
    <cellStyle name="Normal 2 2 4 32 5 3" xfId="23983" xr:uid="{00000000-0005-0000-0000-00008D5D0000}"/>
    <cellStyle name="Normal 2 2 4 32 5 4" xfId="23984" xr:uid="{00000000-0005-0000-0000-00008E5D0000}"/>
    <cellStyle name="Normal 2 2 4 32 5 5" xfId="23985" xr:uid="{00000000-0005-0000-0000-00008F5D0000}"/>
    <cellStyle name="Normal 2 2 4 32 5 6" xfId="23986" xr:uid="{00000000-0005-0000-0000-0000905D0000}"/>
    <cellStyle name="Normal 2 2 4 32 5 7" xfId="23987" xr:uid="{00000000-0005-0000-0000-0000915D0000}"/>
    <cellStyle name="Normal 2 2 4 32 5 8" xfId="23988" xr:uid="{00000000-0005-0000-0000-0000925D0000}"/>
    <cellStyle name="Normal 2 2 4 32 5 9" xfId="23989" xr:uid="{00000000-0005-0000-0000-0000935D0000}"/>
    <cellStyle name="Normal 2 2 4 32 6" xfId="23990" xr:uid="{00000000-0005-0000-0000-0000945D0000}"/>
    <cellStyle name="Normal 2 2 4 32 7" xfId="23991" xr:uid="{00000000-0005-0000-0000-0000955D0000}"/>
    <cellStyle name="Normal 2 2 4 32 8" xfId="23992" xr:uid="{00000000-0005-0000-0000-0000965D0000}"/>
    <cellStyle name="Normal 2 2 4 32 9" xfId="23993" xr:uid="{00000000-0005-0000-0000-0000975D0000}"/>
    <cellStyle name="Normal 2 2 4 33" xfId="23994" xr:uid="{00000000-0005-0000-0000-0000985D0000}"/>
    <cellStyle name="Normal 2 2 4 33 10" xfId="23995" xr:uid="{00000000-0005-0000-0000-0000995D0000}"/>
    <cellStyle name="Normal 2 2 4 33 11" xfId="23996" xr:uid="{00000000-0005-0000-0000-00009A5D0000}"/>
    <cellStyle name="Normal 2 2 4 33 12" xfId="23997" xr:uid="{00000000-0005-0000-0000-00009B5D0000}"/>
    <cellStyle name="Normal 2 2 4 33 13" xfId="23998" xr:uid="{00000000-0005-0000-0000-00009C5D0000}"/>
    <cellStyle name="Normal 2 2 4 33 14" xfId="23999" xr:uid="{00000000-0005-0000-0000-00009D5D0000}"/>
    <cellStyle name="Normal 2 2 4 33 2" xfId="24000" xr:uid="{00000000-0005-0000-0000-00009E5D0000}"/>
    <cellStyle name="Normal 2 2 4 33 2 10" xfId="24001" xr:uid="{00000000-0005-0000-0000-00009F5D0000}"/>
    <cellStyle name="Normal 2 2 4 33 2 2" xfId="24002" xr:uid="{00000000-0005-0000-0000-0000A05D0000}"/>
    <cellStyle name="Normal 2 2 4 33 2 3" xfId="24003" xr:uid="{00000000-0005-0000-0000-0000A15D0000}"/>
    <cellStyle name="Normal 2 2 4 33 2 4" xfId="24004" xr:uid="{00000000-0005-0000-0000-0000A25D0000}"/>
    <cellStyle name="Normal 2 2 4 33 2 5" xfId="24005" xr:uid="{00000000-0005-0000-0000-0000A35D0000}"/>
    <cellStyle name="Normal 2 2 4 33 2 6" xfId="24006" xr:uid="{00000000-0005-0000-0000-0000A45D0000}"/>
    <cellStyle name="Normal 2 2 4 33 2 7" xfId="24007" xr:uid="{00000000-0005-0000-0000-0000A55D0000}"/>
    <cellStyle name="Normal 2 2 4 33 2 8" xfId="24008" xr:uid="{00000000-0005-0000-0000-0000A65D0000}"/>
    <cellStyle name="Normal 2 2 4 33 2 9" xfId="24009" xr:uid="{00000000-0005-0000-0000-0000A75D0000}"/>
    <cellStyle name="Normal 2 2 4 33 3" xfId="24010" xr:uid="{00000000-0005-0000-0000-0000A85D0000}"/>
    <cellStyle name="Normal 2 2 4 33 3 10" xfId="24011" xr:uid="{00000000-0005-0000-0000-0000A95D0000}"/>
    <cellStyle name="Normal 2 2 4 33 3 2" xfId="24012" xr:uid="{00000000-0005-0000-0000-0000AA5D0000}"/>
    <cellStyle name="Normal 2 2 4 33 3 3" xfId="24013" xr:uid="{00000000-0005-0000-0000-0000AB5D0000}"/>
    <cellStyle name="Normal 2 2 4 33 3 4" xfId="24014" xr:uid="{00000000-0005-0000-0000-0000AC5D0000}"/>
    <cellStyle name="Normal 2 2 4 33 3 5" xfId="24015" xr:uid="{00000000-0005-0000-0000-0000AD5D0000}"/>
    <cellStyle name="Normal 2 2 4 33 3 6" xfId="24016" xr:uid="{00000000-0005-0000-0000-0000AE5D0000}"/>
    <cellStyle name="Normal 2 2 4 33 3 7" xfId="24017" xr:uid="{00000000-0005-0000-0000-0000AF5D0000}"/>
    <cellStyle name="Normal 2 2 4 33 3 8" xfId="24018" xr:uid="{00000000-0005-0000-0000-0000B05D0000}"/>
    <cellStyle name="Normal 2 2 4 33 3 9" xfId="24019" xr:uid="{00000000-0005-0000-0000-0000B15D0000}"/>
    <cellStyle name="Normal 2 2 4 33 4" xfId="24020" xr:uid="{00000000-0005-0000-0000-0000B25D0000}"/>
    <cellStyle name="Normal 2 2 4 33 4 10" xfId="24021" xr:uid="{00000000-0005-0000-0000-0000B35D0000}"/>
    <cellStyle name="Normal 2 2 4 33 4 2" xfId="24022" xr:uid="{00000000-0005-0000-0000-0000B45D0000}"/>
    <cellStyle name="Normal 2 2 4 33 4 3" xfId="24023" xr:uid="{00000000-0005-0000-0000-0000B55D0000}"/>
    <cellStyle name="Normal 2 2 4 33 4 4" xfId="24024" xr:uid="{00000000-0005-0000-0000-0000B65D0000}"/>
    <cellStyle name="Normal 2 2 4 33 4 5" xfId="24025" xr:uid="{00000000-0005-0000-0000-0000B75D0000}"/>
    <cellStyle name="Normal 2 2 4 33 4 6" xfId="24026" xr:uid="{00000000-0005-0000-0000-0000B85D0000}"/>
    <cellStyle name="Normal 2 2 4 33 4 7" xfId="24027" xr:uid="{00000000-0005-0000-0000-0000B95D0000}"/>
    <cellStyle name="Normal 2 2 4 33 4 8" xfId="24028" xr:uid="{00000000-0005-0000-0000-0000BA5D0000}"/>
    <cellStyle name="Normal 2 2 4 33 4 9" xfId="24029" xr:uid="{00000000-0005-0000-0000-0000BB5D0000}"/>
    <cellStyle name="Normal 2 2 4 33 5" xfId="24030" xr:uid="{00000000-0005-0000-0000-0000BC5D0000}"/>
    <cellStyle name="Normal 2 2 4 33 5 10" xfId="24031" xr:uid="{00000000-0005-0000-0000-0000BD5D0000}"/>
    <cellStyle name="Normal 2 2 4 33 5 2" xfId="24032" xr:uid="{00000000-0005-0000-0000-0000BE5D0000}"/>
    <cellStyle name="Normal 2 2 4 33 5 3" xfId="24033" xr:uid="{00000000-0005-0000-0000-0000BF5D0000}"/>
    <cellStyle name="Normal 2 2 4 33 5 4" xfId="24034" xr:uid="{00000000-0005-0000-0000-0000C05D0000}"/>
    <cellStyle name="Normal 2 2 4 33 5 5" xfId="24035" xr:uid="{00000000-0005-0000-0000-0000C15D0000}"/>
    <cellStyle name="Normal 2 2 4 33 5 6" xfId="24036" xr:uid="{00000000-0005-0000-0000-0000C25D0000}"/>
    <cellStyle name="Normal 2 2 4 33 5 7" xfId="24037" xr:uid="{00000000-0005-0000-0000-0000C35D0000}"/>
    <cellStyle name="Normal 2 2 4 33 5 8" xfId="24038" xr:uid="{00000000-0005-0000-0000-0000C45D0000}"/>
    <cellStyle name="Normal 2 2 4 33 5 9" xfId="24039" xr:uid="{00000000-0005-0000-0000-0000C55D0000}"/>
    <cellStyle name="Normal 2 2 4 33 6" xfId="24040" xr:uid="{00000000-0005-0000-0000-0000C65D0000}"/>
    <cellStyle name="Normal 2 2 4 33 7" xfId="24041" xr:uid="{00000000-0005-0000-0000-0000C75D0000}"/>
    <cellStyle name="Normal 2 2 4 33 8" xfId="24042" xr:uid="{00000000-0005-0000-0000-0000C85D0000}"/>
    <cellStyle name="Normal 2 2 4 33 9" xfId="24043" xr:uid="{00000000-0005-0000-0000-0000C95D0000}"/>
    <cellStyle name="Normal 2 2 4 34" xfId="24044" xr:uid="{00000000-0005-0000-0000-0000CA5D0000}"/>
    <cellStyle name="Normal 2 2 4 35" xfId="24045" xr:uid="{00000000-0005-0000-0000-0000CB5D0000}"/>
    <cellStyle name="Normal 2 2 4 36" xfId="24046" xr:uid="{00000000-0005-0000-0000-0000CC5D0000}"/>
    <cellStyle name="Normal 2 2 4 37" xfId="21774" xr:uid="{00000000-0005-0000-0000-0000CD5D0000}"/>
    <cellStyle name="Normal 2 2 4 4" xfId="24047" xr:uid="{00000000-0005-0000-0000-0000CE5D0000}"/>
    <cellStyle name="Normal 2 2 4 4 10" xfId="24048" xr:uid="{00000000-0005-0000-0000-0000CF5D0000}"/>
    <cellStyle name="Normal 2 2 4 4 11" xfId="24049" xr:uid="{00000000-0005-0000-0000-0000D05D0000}"/>
    <cellStyle name="Normal 2 2 4 4 12" xfId="24050" xr:uid="{00000000-0005-0000-0000-0000D15D0000}"/>
    <cellStyle name="Normal 2 2 4 4 13" xfId="24051" xr:uid="{00000000-0005-0000-0000-0000D25D0000}"/>
    <cellStyle name="Normal 2 2 4 4 14" xfId="24052" xr:uid="{00000000-0005-0000-0000-0000D35D0000}"/>
    <cellStyle name="Normal 2 2 4 4 2" xfId="24053" xr:uid="{00000000-0005-0000-0000-0000D45D0000}"/>
    <cellStyle name="Normal 2 2 4 4 2 10" xfId="24054" xr:uid="{00000000-0005-0000-0000-0000D55D0000}"/>
    <cellStyle name="Normal 2 2 4 4 2 2" xfId="24055" xr:uid="{00000000-0005-0000-0000-0000D65D0000}"/>
    <cellStyle name="Normal 2 2 4 4 2 3" xfId="24056" xr:uid="{00000000-0005-0000-0000-0000D75D0000}"/>
    <cellStyle name="Normal 2 2 4 4 2 4" xfId="24057" xr:uid="{00000000-0005-0000-0000-0000D85D0000}"/>
    <cellStyle name="Normal 2 2 4 4 2 5" xfId="24058" xr:uid="{00000000-0005-0000-0000-0000D95D0000}"/>
    <cellStyle name="Normal 2 2 4 4 2 6" xfId="24059" xr:uid="{00000000-0005-0000-0000-0000DA5D0000}"/>
    <cellStyle name="Normal 2 2 4 4 2 7" xfId="24060" xr:uid="{00000000-0005-0000-0000-0000DB5D0000}"/>
    <cellStyle name="Normal 2 2 4 4 2 8" xfId="24061" xr:uid="{00000000-0005-0000-0000-0000DC5D0000}"/>
    <cellStyle name="Normal 2 2 4 4 2 9" xfId="24062" xr:uid="{00000000-0005-0000-0000-0000DD5D0000}"/>
    <cellStyle name="Normal 2 2 4 4 3" xfId="24063" xr:uid="{00000000-0005-0000-0000-0000DE5D0000}"/>
    <cellStyle name="Normal 2 2 4 4 3 10" xfId="24064" xr:uid="{00000000-0005-0000-0000-0000DF5D0000}"/>
    <cellStyle name="Normal 2 2 4 4 3 2" xfId="24065" xr:uid="{00000000-0005-0000-0000-0000E05D0000}"/>
    <cellStyle name="Normal 2 2 4 4 3 3" xfId="24066" xr:uid="{00000000-0005-0000-0000-0000E15D0000}"/>
    <cellStyle name="Normal 2 2 4 4 3 4" xfId="24067" xr:uid="{00000000-0005-0000-0000-0000E25D0000}"/>
    <cellStyle name="Normal 2 2 4 4 3 5" xfId="24068" xr:uid="{00000000-0005-0000-0000-0000E35D0000}"/>
    <cellStyle name="Normal 2 2 4 4 3 6" xfId="24069" xr:uid="{00000000-0005-0000-0000-0000E45D0000}"/>
    <cellStyle name="Normal 2 2 4 4 3 7" xfId="24070" xr:uid="{00000000-0005-0000-0000-0000E55D0000}"/>
    <cellStyle name="Normal 2 2 4 4 3 8" xfId="24071" xr:uid="{00000000-0005-0000-0000-0000E65D0000}"/>
    <cellStyle name="Normal 2 2 4 4 3 9" xfId="24072" xr:uid="{00000000-0005-0000-0000-0000E75D0000}"/>
    <cellStyle name="Normal 2 2 4 4 4" xfId="24073" xr:uid="{00000000-0005-0000-0000-0000E85D0000}"/>
    <cellStyle name="Normal 2 2 4 4 4 10" xfId="24074" xr:uid="{00000000-0005-0000-0000-0000E95D0000}"/>
    <cellStyle name="Normal 2 2 4 4 4 2" xfId="24075" xr:uid="{00000000-0005-0000-0000-0000EA5D0000}"/>
    <cellStyle name="Normal 2 2 4 4 4 3" xfId="24076" xr:uid="{00000000-0005-0000-0000-0000EB5D0000}"/>
    <cellStyle name="Normal 2 2 4 4 4 4" xfId="24077" xr:uid="{00000000-0005-0000-0000-0000EC5D0000}"/>
    <cellStyle name="Normal 2 2 4 4 4 5" xfId="24078" xr:uid="{00000000-0005-0000-0000-0000ED5D0000}"/>
    <cellStyle name="Normal 2 2 4 4 4 6" xfId="24079" xr:uid="{00000000-0005-0000-0000-0000EE5D0000}"/>
    <cellStyle name="Normal 2 2 4 4 4 7" xfId="24080" xr:uid="{00000000-0005-0000-0000-0000EF5D0000}"/>
    <cellStyle name="Normal 2 2 4 4 4 8" xfId="24081" xr:uid="{00000000-0005-0000-0000-0000F05D0000}"/>
    <cellStyle name="Normal 2 2 4 4 4 9" xfId="24082" xr:uid="{00000000-0005-0000-0000-0000F15D0000}"/>
    <cellStyle name="Normal 2 2 4 4 5" xfId="24083" xr:uid="{00000000-0005-0000-0000-0000F25D0000}"/>
    <cellStyle name="Normal 2 2 4 4 5 10" xfId="24084" xr:uid="{00000000-0005-0000-0000-0000F35D0000}"/>
    <cellStyle name="Normal 2 2 4 4 5 2" xfId="24085" xr:uid="{00000000-0005-0000-0000-0000F45D0000}"/>
    <cellStyle name="Normal 2 2 4 4 5 3" xfId="24086" xr:uid="{00000000-0005-0000-0000-0000F55D0000}"/>
    <cellStyle name="Normal 2 2 4 4 5 4" xfId="24087" xr:uid="{00000000-0005-0000-0000-0000F65D0000}"/>
    <cellStyle name="Normal 2 2 4 4 5 5" xfId="24088" xr:uid="{00000000-0005-0000-0000-0000F75D0000}"/>
    <cellStyle name="Normal 2 2 4 4 5 6" xfId="24089" xr:uid="{00000000-0005-0000-0000-0000F85D0000}"/>
    <cellStyle name="Normal 2 2 4 4 5 7" xfId="24090" xr:uid="{00000000-0005-0000-0000-0000F95D0000}"/>
    <cellStyle name="Normal 2 2 4 4 5 8" xfId="24091" xr:uid="{00000000-0005-0000-0000-0000FA5D0000}"/>
    <cellStyle name="Normal 2 2 4 4 5 9" xfId="24092" xr:uid="{00000000-0005-0000-0000-0000FB5D0000}"/>
    <cellStyle name="Normal 2 2 4 4 6" xfId="24093" xr:uid="{00000000-0005-0000-0000-0000FC5D0000}"/>
    <cellStyle name="Normal 2 2 4 4 7" xfId="24094" xr:uid="{00000000-0005-0000-0000-0000FD5D0000}"/>
    <cellStyle name="Normal 2 2 4 4 8" xfId="24095" xr:uid="{00000000-0005-0000-0000-0000FE5D0000}"/>
    <cellStyle name="Normal 2 2 4 4 9" xfId="24096" xr:uid="{00000000-0005-0000-0000-0000FF5D0000}"/>
    <cellStyle name="Normal 2 2 4 5" xfId="24097" xr:uid="{00000000-0005-0000-0000-0000005E0000}"/>
    <cellStyle name="Normal 2 2 4 5 10" xfId="24098" xr:uid="{00000000-0005-0000-0000-0000015E0000}"/>
    <cellStyle name="Normal 2 2 4 5 11" xfId="24099" xr:uid="{00000000-0005-0000-0000-0000025E0000}"/>
    <cellStyle name="Normal 2 2 4 5 12" xfId="24100" xr:uid="{00000000-0005-0000-0000-0000035E0000}"/>
    <cellStyle name="Normal 2 2 4 5 13" xfId="24101" xr:uid="{00000000-0005-0000-0000-0000045E0000}"/>
    <cellStyle name="Normal 2 2 4 5 14" xfId="24102" xr:uid="{00000000-0005-0000-0000-0000055E0000}"/>
    <cellStyle name="Normal 2 2 4 5 2" xfId="24103" xr:uid="{00000000-0005-0000-0000-0000065E0000}"/>
    <cellStyle name="Normal 2 2 4 5 2 10" xfId="24104" xr:uid="{00000000-0005-0000-0000-0000075E0000}"/>
    <cellStyle name="Normal 2 2 4 5 2 2" xfId="24105" xr:uid="{00000000-0005-0000-0000-0000085E0000}"/>
    <cellStyle name="Normal 2 2 4 5 2 3" xfId="24106" xr:uid="{00000000-0005-0000-0000-0000095E0000}"/>
    <cellStyle name="Normal 2 2 4 5 2 4" xfId="24107" xr:uid="{00000000-0005-0000-0000-00000A5E0000}"/>
    <cellStyle name="Normal 2 2 4 5 2 5" xfId="24108" xr:uid="{00000000-0005-0000-0000-00000B5E0000}"/>
    <cellStyle name="Normal 2 2 4 5 2 6" xfId="24109" xr:uid="{00000000-0005-0000-0000-00000C5E0000}"/>
    <cellStyle name="Normal 2 2 4 5 2 7" xfId="24110" xr:uid="{00000000-0005-0000-0000-00000D5E0000}"/>
    <cellStyle name="Normal 2 2 4 5 2 8" xfId="24111" xr:uid="{00000000-0005-0000-0000-00000E5E0000}"/>
    <cellStyle name="Normal 2 2 4 5 2 9" xfId="24112" xr:uid="{00000000-0005-0000-0000-00000F5E0000}"/>
    <cellStyle name="Normal 2 2 4 5 3" xfId="24113" xr:uid="{00000000-0005-0000-0000-0000105E0000}"/>
    <cellStyle name="Normal 2 2 4 5 3 10" xfId="24114" xr:uid="{00000000-0005-0000-0000-0000115E0000}"/>
    <cellStyle name="Normal 2 2 4 5 3 2" xfId="24115" xr:uid="{00000000-0005-0000-0000-0000125E0000}"/>
    <cellStyle name="Normal 2 2 4 5 3 3" xfId="24116" xr:uid="{00000000-0005-0000-0000-0000135E0000}"/>
    <cellStyle name="Normal 2 2 4 5 3 4" xfId="24117" xr:uid="{00000000-0005-0000-0000-0000145E0000}"/>
    <cellStyle name="Normal 2 2 4 5 3 5" xfId="24118" xr:uid="{00000000-0005-0000-0000-0000155E0000}"/>
    <cellStyle name="Normal 2 2 4 5 3 6" xfId="24119" xr:uid="{00000000-0005-0000-0000-0000165E0000}"/>
    <cellStyle name="Normal 2 2 4 5 3 7" xfId="24120" xr:uid="{00000000-0005-0000-0000-0000175E0000}"/>
    <cellStyle name="Normal 2 2 4 5 3 8" xfId="24121" xr:uid="{00000000-0005-0000-0000-0000185E0000}"/>
    <cellStyle name="Normal 2 2 4 5 3 9" xfId="24122" xr:uid="{00000000-0005-0000-0000-0000195E0000}"/>
    <cellStyle name="Normal 2 2 4 5 4" xfId="24123" xr:uid="{00000000-0005-0000-0000-00001A5E0000}"/>
    <cellStyle name="Normal 2 2 4 5 4 10" xfId="24124" xr:uid="{00000000-0005-0000-0000-00001B5E0000}"/>
    <cellStyle name="Normal 2 2 4 5 4 2" xfId="24125" xr:uid="{00000000-0005-0000-0000-00001C5E0000}"/>
    <cellStyle name="Normal 2 2 4 5 4 3" xfId="24126" xr:uid="{00000000-0005-0000-0000-00001D5E0000}"/>
    <cellStyle name="Normal 2 2 4 5 4 4" xfId="24127" xr:uid="{00000000-0005-0000-0000-00001E5E0000}"/>
    <cellStyle name="Normal 2 2 4 5 4 5" xfId="24128" xr:uid="{00000000-0005-0000-0000-00001F5E0000}"/>
    <cellStyle name="Normal 2 2 4 5 4 6" xfId="24129" xr:uid="{00000000-0005-0000-0000-0000205E0000}"/>
    <cellStyle name="Normal 2 2 4 5 4 7" xfId="24130" xr:uid="{00000000-0005-0000-0000-0000215E0000}"/>
    <cellStyle name="Normal 2 2 4 5 4 8" xfId="24131" xr:uid="{00000000-0005-0000-0000-0000225E0000}"/>
    <cellStyle name="Normal 2 2 4 5 4 9" xfId="24132" xr:uid="{00000000-0005-0000-0000-0000235E0000}"/>
    <cellStyle name="Normal 2 2 4 5 5" xfId="24133" xr:uid="{00000000-0005-0000-0000-0000245E0000}"/>
    <cellStyle name="Normal 2 2 4 5 5 10" xfId="24134" xr:uid="{00000000-0005-0000-0000-0000255E0000}"/>
    <cellStyle name="Normal 2 2 4 5 5 2" xfId="24135" xr:uid="{00000000-0005-0000-0000-0000265E0000}"/>
    <cellStyle name="Normal 2 2 4 5 5 3" xfId="24136" xr:uid="{00000000-0005-0000-0000-0000275E0000}"/>
    <cellStyle name="Normal 2 2 4 5 5 4" xfId="24137" xr:uid="{00000000-0005-0000-0000-0000285E0000}"/>
    <cellStyle name="Normal 2 2 4 5 5 5" xfId="24138" xr:uid="{00000000-0005-0000-0000-0000295E0000}"/>
    <cellStyle name="Normal 2 2 4 5 5 6" xfId="24139" xr:uid="{00000000-0005-0000-0000-00002A5E0000}"/>
    <cellStyle name="Normal 2 2 4 5 5 7" xfId="24140" xr:uid="{00000000-0005-0000-0000-00002B5E0000}"/>
    <cellStyle name="Normal 2 2 4 5 5 8" xfId="24141" xr:uid="{00000000-0005-0000-0000-00002C5E0000}"/>
    <cellStyle name="Normal 2 2 4 5 5 9" xfId="24142" xr:uid="{00000000-0005-0000-0000-00002D5E0000}"/>
    <cellStyle name="Normal 2 2 4 5 6" xfId="24143" xr:uid="{00000000-0005-0000-0000-00002E5E0000}"/>
    <cellStyle name="Normal 2 2 4 5 7" xfId="24144" xr:uid="{00000000-0005-0000-0000-00002F5E0000}"/>
    <cellStyle name="Normal 2 2 4 5 8" xfId="24145" xr:uid="{00000000-0005-0000-0000-0000305E0000}"/>
    <cellStyle name="Normal 2 2 4 5 9" xfId="24146" xr:uid="{00000000-0005-0000-0000-0000315E0000}"/>
    <cellStyle name="Normal 2 2 4 6" xfId="24147" xr:uid="{00000000-0005-0000-0000-0000325E0000}"/>
    <cellStyle name="Normal 2 2 4 6 10" xfId="24148" xr:uid="{00000000-0005-0000-0000-0000335E0000}"/>
    <cellStyle name="Normal 2 2 4 6 11" xfId="24149" xr:uid="{00000000-0005-0000-0000-0000345E0000}"/>
    <cellStyle name="Normal 2 2 4 6 12" xfId="24150" xr:uid="{00000000-0005-0000-0000-0000355E0000}"/>
    <cellStyle name="Normal 2 2 4 6 13" xfId="24151" xr:uid="{00000000-0005-0000-0000-0000365E0000}"/>
    <cellStyle name="Normal 2 2 4 6 14" xfId="24152" xr:uid="{00000000-0005-0000-0000-0000375E0000}"/>
    <cellStyle name="Normal 2 2 4 6 2" xfId="24153" xr:uid="{00000000-0005-0000-0000-0000385E0000}"/>
    <cellStyle name="Normal 2 2 4 6 2 10" xfId="24154" xr:uid="{00000000-0005-0000-0000-0000395E0000}"/>
    <cellStyle name="Normal 2 2 4 6 2 2" xfId="24155" xr:uid="{00000000-0005-0000-0000-00003A5E0000}"/>
    <cellStyle name="Normal 2 2 4 6 2 3" xfId="24156" xr:uid="{00000000-0005-0000-0000-00003B5E0000}"/>
    <cellStyle name="Normal 2 2 4 6 2 4" xfId="24157" xr:uid="{00000000-0005-0000-0000-00003C5E0000}"/>
    <cellStyle name="Normal 2 2 4 6 2 5" xfId="24158" xr:uid="{00000000-0005-0000-0000-00003D5E0000}"/>
    <cellStyle name="Normal 2 2 4 6 2 6" xfId="24159" xr:uid="{00000000-0005-0000-0000-00003E5E0000}"/>
    <cellStyle name="Normal 2 2 4 6 2 7" xfId="24160" xr:uid="{00000000-0005-0000-0000-00003F5E0000}"/>
    <cellStyle name="Normal 2 2 4 6 2 8" xfId="24161" xr:uid="{00000000-0005-0000-0000-0000405E0000}"/>
    <cellStyle name="Normal 2 2 4 6 2 9" xfId="24162" xr:uid="{00000000-0005-0000-0000-0000415E0000}"/>
    <cellStyle name="Normal 2 2 4 6 3" xfId="24163" xr:uid="{00000000-0005-0000-0000-0000425E0000}"/>
    <cellStyle name="Normal 2 2 4 6 3 10" xfId="24164" xr:uid="{00000000-0005-0000-0000-0000435E0000}"/>
    <cellStyle name="Normal 2 2 4 6 3 2" xfId="24165" xr:uid="{00000000-0005-0000-0000-0000445E0000}"/>
    <cellStyle name="Normal 2 2 4 6 3 3" xfId="24166" xr:uid="{00000000-0005-0000-0000-0000455E0000}"/>
    <cellStyle name="Normal 2 2 4 6 3 4" xfId="24167" xr:uid="{00000000-0005-0000-0000-0000465E0000}"/>
    <cellStyle name="Normal 2 2 4 6 3 5" xfId="24168" xr:uid="{00000000-0005-0000-0000-0000475E0000}"/>
    <cellStyle name="Normal 2 2 4 6 3 6" xfId="24169" xr:uid="{00000000-0005-0000-0000-0000485E0000}"/>
    <cellStyle name="Normal 2 2 4 6 3 7" xfId="24170" xr:uid="{00000000-0005-0000-0000-0000495E0000}"/>
    <cellStyle name="Normal 2 2 4 6 3 8" xfId="24171" xr:uid="{00000000-0005-0000-0000-00004A5E0000}"/>
    <cellStyle name="Normal 2 2 4 6 3 9" xfId="24172" xr:uid="{00000000-0005-0000-0000-00004B5E0000}"/>
    <cellStyle name="Normal 2 2 4 6 4" xfId="24173" xr:uid="{00000000-0005-0000-0000-00004C5E0000}"/>
    <cellStyle name="Normal 2 2 4 6 4 10" xfId="24174" xr:uid="{00000000-0005-0000-0000-00004D5E0000}"/>
    <cellStyle name="Normal 2 2 4 6 4 2" xfId="24175" xr:uid="{00000000-0005-0000-0000-00004E5E0000}"/>
    <cellStyle name="Normal 2 2 4 6 4 3" xfId="24176" xr:uid="{00000000-0005-0000-0000-00004F5E0000}"/>
    <cellStyle name="Normal 2 2 4 6 4 4" xfId="24177" xr:uid="{00000000-0005-0000-0000-0000505E0000}"/>
    <cellStyle name="Normal 2 2 4 6 4 5" xfId="24178" xr:uid="{00000000-0005-0000-0000-0000515E0000}"/>
    <cellStyle name="Normal 2 2 4 6 4 6" xfId="24179" xr:uid="{00000000-0005-0000-0000-0000525E0000}"/>
    <cellStyle name="Normal 2 2 4 6 4 7" xfId="24180" xr:uid="{00000000-0005-0000-0000-0000535E0000}"/>
    <cellStyle name="Normal 2 2 4 6 4 8" xfId="24181" xr:uid="{00000000-0005-0000-0000-0000545E0000}"/>
    <cellStyle name="Normal 2 2 4 6 4 9" xfId="24182" xr:uid="{00000000-0005-0000-0000-0000555E0000}"/>
    <cellStyle name="Normal 2 2 4 6 5" xfId="24183" xr:uid="{00000000-0005-0000-0000-0000565E0000}"/>
    <cellStyle name="Normal 2 2 4 6 5 10" xfId="24184" xr:uid="{00000000-0005-0000-0000-0000575E0000}"/>
    <cellStyle name="Normal 2 2 4 6 5 2" xfId="24185" xr:uid="{00000000-0005-0000-0000-0000585E0000}"/>
    <cellStyle name="Normal 2 2 4 6 5 3" xfId="24186" xr:uid="{00000000-0005-0000-0000-0000595E0000}"/>
    <cellStyle name="Normal 2 2 4 6 5 4" xfId="24187" xr:uid="{00000000-0005-0000-0000-00005A5E0000}"/>
    <cellStyle name="Normal 2 2 4 6 5 5" xfId="24188" xr:uid="{00000000-0005-0000-0000-00005B5E0000}"/>
    <cellStyle name="Normal 2 2 4 6 5 6" xfId="24189" xr:uid="{00000000-0005-0000-0000-00005C5E0000}"/>
    <cellStyle name="Normal 2 2 4 6 5 7" xfId="24190" xr:uid="{00000000-0005-0000-0000-00005D5E0000}"/>
    <cellStyle name="Normal 2 2 4 6 5 8" xfId="24191" xr:uid="{00000000-0005-0000-0000-00005E5E0000}"/>
    <cellStyle name="Normal 2 2 4 6 5 9" xfId="24192" xr:uid="{00000000-0005-0000-0000-00005F5E0000}"/>
    <cellStyle name="Normal 2 2 4 6 6" xfId="24193" xr:uid="{00000000-0005-0000-0000-0000605E0000}"/>
    <cellStyle name="Normal 2 2 4 6 7" xfId="24194" xr:uid="{00000000-0005-0000-0000-0000615E0000}"/>
    <cellStyle name="Normal 2 2 4 6 8" xfId="24195" xr:uid="{00000000-0005-0000-0000-0000625E0000}"/>
    <cellStyle name="Normal 2 2 4 6 9" xfId="24196" xr:uid="{00000000-0005-0000-0000-0000635E0000}"/>
    <cellStyle name="Normal 2 2 4 7" xfId="24197" xr:uid="{00000000-0005-0000-0000-0000645E0000}"/>
    <cellStyle name="Normal 2 2 4 7 10" xfId="24198" xr:uid="{00000000-0005-0000-0000-0000655E0000}"/>
    <cellStyle name="Normal 2 2 4 7 11" xfId="24199" xr:uid="{00000000-0005-0000-0000-0000665E0000}"/>
    <cellStyle name="Normal 2 2 4 7 12" xfId="24200" xr:uid="{00000000-0005-0000-0000-0000675E0000}"/>
    <cellStyle name="Normal 2 2 4 7 13" xfId="24201" xr:uid="{00000000-0005-0000-0000-0000685E0000}"/>
    <cellStyle name="Normal 2 2 4 7 14" xfId="24202" xr:uid="{00000000-0005-0000-0000-0000695E0000}"/>
    <cellStyle name="Normal 2 2 4 7 2" xfId="24203" xr:uid="{00000000-0005-0000-0000-00006A5E0000}"/>
    <cellStyle name="Normal 2 2 4 7 2 10" xfId="24204" xr:uid="{00000000-0005-0000-0000-00006B5E0000}"/>
    <cellStyle name="Normal 2 2 4 7 2 2" xfId="24205" xr:uid="{00000000-0005-0000-0000-00006C5E0000}"/>
    <cellStyle name="Normal 2 2 4 7 2 3" xfId="24206" xr:uid="{00000000-0005-0000-0000-00006D5E0000}"/>
    <cellStyle name="Normal 2 2 4 7 2 4" xfId="24207" xr:uid="{00000000-0005-0000-0000-00006E5E0000}"/>
    <cellStyle name="Normal 2 2 4 7 2 5" xfId="24208" xr:uid="{00000000-0005-0000-0000-00006F5E0000}"/>
    <cellStyle name="Normal 2 2 4 7 2 6" xfId="24209" xr:uid="{00000000-0005-0000-0000-0000705E0000}"/>
    <cellStyle name="Normal 2 2 4 7 2 7" xfId="24210" xr:uid="{00000000-0005-0000-0000-0000715E0000}"/>
    <cellStyle name="Normal 2 2 4 7 2 8" xfId="24211" xr:uid="{00000000-0005-0000-0000-0000725E0000}"/>
    <cellStyle name="Normal 2 2 4 7 2 9" xfId="24212" xr:uid="{00000000-0005-0000-0000-0000735E0000}"/>
    <cellStyle name="Normal 2 2 4 7 3" xfId="24213" xr:uid="{00000000-0005-0000-0000-0000745E0000}"/>
    <cellStyle name="Normal 2 2 4 7 3 10" xfId="24214" xr:uid="{00000000-0005-0000-0000-0000755E0000}"/>
    <cellStyle name="Normal 2 2 4 7 3 2" xfId="24215" xr:uid="{00000000-0005-0000-0000-0000765E0000}"/>
    <cellStyle name="Normal 2 2 4 7 3 3" xfId="24216" xr:uid="{00000000-0005-0000-0000-0000775E0000}"/>
    <cellStyle name="Normal 2 2 4 7 3 4" xfId="24217" xr:uid="{00000000-0005-0000-0000-0000785E0000}"/>
    <cellStyle name="Normal 2 2 4 7 3 5" xfId="24218" xr:uid="{00000000-0005-0000-0000-0000795E0000}"/>
    <cellStyle name="Normal 2 2 4 7 3 6" xfId="24219" xr:uid="{00000000-0005-0000-0000-00007A5E0000}"/>
    <cellStyle name="Normal 2 2 4 7 3 7" xfId="24220" xr:uid="{00000000-0005-0000-0000-00007B5E0000}"/>
    <cellStyle name="Normal 2 2 4 7 3 8" xfId="24221" xr:uid="{00000000-0005-0000-0000-00007C5E0000}"/>
    <cellStyle name="Normal 2 2 4 7 3 9" xfId="24222" xr:uid="{00000000-0005-0000-0000-00007D5E0000}"/>
    <cellStyle name="Normal 2 2 4 7 4" xfId="24223" xr:uid="{00000000-0005-0000-0000-00007E5E0000}"/>
    <cellStyle name="Normal 2 2 4 7 4 10" xfId="24224" xr:uid="{00000000-0005-0000-0000-00007F5E0000}"/>
    <cellStyle name="Normal 2 2 4 7 4 2" xfId="24225" xr:uid="{00000000-0005-0000-0000-0000805E0000}"/>
    <cellStyle name="Normal 2 2 4 7 4 3" xfId="24226" xr:uid="{00000000-0005-0000-0000-0000815E0000}"/>
    <cellStyle name="Normal 2 2 4 7 4 4" xfId="24227" xr:uid="{00000000-0005-0000-0000-0000825E0000}"/>
    <cellStyle name="Normal 2 2 4 7 4 5" xfId="24228" xr:uid="{00000000-0005-0000-0000-0000835E0000}"/>
    <cellStyle name="Normal 2 2 4 7 4 6" xfId="24229" xr:uid="{00000000-0005-0000-0000-0000845E0000}"/>
    <cellStyle name="Normal 2 2 4 7 4 7" xfId="24230" xr:uid="{00000000-0005-0000-0000-0000855E0000}"/>
    <cellStyle name="Normal 2 2 4 7 4 8" xfId="24231" xr:uid="{00000000-0005-0000-0000-0000865E0000}"/>
    <cellStyle name="Normal 2 2 4 7 4 9" xfId="24232" xr:uid="{00000000-0005-0000-0000-0000875E0000}"/>
    <cellStyle name="Normal 2 2 4 7 5" xfId="24233" xr:uid="{00000000-0005-0000-0000-0000885E0000}"/>
    <cellStyle name="Normal 2 2 4 7 5 10" xfId="24234" xr:uid="{00000000-0005-0000-0000-0000895E0000}"/>
    <cellStyle name="Normal 2 2 4 7 5 2" xfId="24235" xr:uid="{00000000-0005-0000-0000-00008A5E0000}"/>
    <cellStyle name="Normal 2 2 4 7 5 3" xfId="24236" xr:uid="{00000000-0005-0000-0000-00008B5E0000}"/>
    <cellStyle name="Normal 2 2 4 7 5 4" xfId="24237" xr:uid="{00000000-0005-0000-0000-00008C5E0000}"/>
    <cellStyle name="Normal 2 2 4 7 5 5" xfId="24238" xr:uid="{00000000-0005-0000-0000-00008D5E0000}"/>
    <cellStyle name="Normal 2 2 4 7 5 6" xfId="24239" xr:uid="{00000000-0005-0000-0000-00008E5E0000}"/>
    <cellStyle name="Normal 2 2 4 7 5 7" xfId="24240" xr:uid="{00000000-0005-0000-0000-00008F5E0000}"/>
    <cellStyle name="Normal 2 2 4 7 5 8" xfId="24241" xr:uid="{00000000-0005-0000-0000-0000905E0000}"/>
    <cellStyle name="Normal 2 2 4 7 5 9" xfId="24242" xr:uid="{00000000-0005-0000-0000-0000915E0000}"/>
    <cellStyle name="Normal 2 2 4 7 6" xfId="24243" xr:uid="{00000000-0005-0000-0000-0000925E0000}"/>
    <cellStyle name="Normal 2 2 4 7 7" xfId="24244" xr:uid="{00000000-0005-0000-0000-0000935E0000}"/>
    <cellStyle name="Normal 2 2 4 7 8" xfId="24245" xr:uid="{00000000-0005-0000-0000-0000945E0000}"/>
    <cellStyle name="Normal 2 2 4 7 9" xfId="24246" xr:uid="{00000000-0005-0000-0000-0000955E0000}"/>
    <cellStyle name="Normal 2 2 4 8" xfId="24247" xr:uid="{00000000-0005-0000-0000-0000965E0000}"/>
    <cellStyle name="Normal 2 2 4 8 10" xfId="24248" xr:uid="{00000000-0005-0000-0000-0000975E0000}"/>
    <cellStyle name="Normal 2 2 4 8 11" xfId="24249" xr:uid="{00000000-0005-0000-0000-0000985E0000}"/>
    <cellStyle name="Normal 2 2 4 8 12" xfId="24250" xr:uid="{00000000-0005-0000-0000-0000995E0000}"/>
    <cellStyle name="Normal 2 2 4 8 13" xfId="24251" xr:uid="{00000000-0005-0000-0000-00009A5E0000}"/>
    <cellStyle name="Normal 2 2 4 8 14" xfId="24252" xr:uid="{00000000-0005-0000-0000-00009B5E0000}"/>
    <cellStyle name="Normal 2 2 4 8 2" xfId="24253" xr:uid="{00000000-0005-0000-0000-00009C5E0000}"/>
    <cellStyle name="Normal 2 2 4 8 2 10" xfId="24254" xr:uid="{00000000-0005-0000-0000-00009D5E0000}"/>
    <cellStyle name="Normal 2 2 4 8 2 2" xfId="24255" xr:uid="{00000000-0005-0000-0000-00009E5E0000}"/>
    <cellStyle name="Normal 2 2 4 8 2 3" xfId="24256" xr:uid="{00000000-0005-0000-0000-00009F5E0000}"/>
    <cellStyle name="Normal 2 2 4 8 2 4" xfId="24257" xr:uid="{00000000-0005-0000-0000-0000A05E0000}"/>
    <cellStyle name="Normal 2 2 4 8 2 5" xfId="24258" xr:uid="{00000000-0005-0000-0000-0000A15E0000}"/>
    <cellStyle name="Normal 2 2 4 8 2 6" xfId="24259" xr:uid="{00000000-0005-0000-0000-0000A25E0000}"/>
    <cellStyle name="Normal 2 2 4 8 2 7" xfId="24260" xr:uid="{00000000-0005-0000-0000-0000A35E0000}"/>
    <cellStyle name="Normal 2 2 4 8 2 8" xfId="24261" xr:uid="{00000000-0005-0000-0000-0000A45E0000}"/>
    <cellStyle name="Normal 2 2 4 8 2 9" xfId="24262" xr:uid="{00000000-0005-0000-0000-0000A55E0000}"/>
    <cellStyle name="Normal 2 2 4 8 3" xfId="24263" xr:uid="{00000000-0005-0000-0000-0000A65E0000}"/>
    <cellStyle name="Normal 2 2 4 8 3 10" xfId="24264" xr:uid="{00000000-0005-0000-0000-0000A75E0000}"/>
    <cellStyle name="Normal 2 2 4 8 3 2" xfId="24265" xr:uid="{00000000-0005-0000-0000-0000A85E0000}"/>
    <cellStyle name="Normal 2 2 4 8 3 3" xfId="24266" xr:uid="{00000000-0005-0000-0000-0000A95E0000}"/>
    <cellStyle name="Normal 2 2 4 8 3 4" xfId="24267" xr:uid="{00000000-0005-0000-0000-0000AA5E0000}"/>
    <cellStyle name="Normal 2 2 4 8 3 5" xfId="24268" xr:uid="{00000000-0005-0000-0000-0000AB5E0000}"/>
    <cellStyle name="Normal 2 2 4 8 3 6" xfId="24269" xr:uid="{00000000-0005-0000-0000-0000AC5E0000}"/>
    <cellStyle name="Normal 2 2 4 8 3 7" xfId="24270" xr:uid="{00000000-0005-0000-0000-0000AD5E0000}"/>
    <cellStyle name="Normal 2 2 4 8 3 8" xfId="24271" xr:uid="{00000000-0005-0000-0000-0000AE5E0000}"/>
    <cellStyle name="Normal 2 2 4 8 3 9" xfId="24272" xr:uid="{00000000-0005-0000-0000-0000AF5E0000}"/>
    <cellStyle name="Normal 2 2 4 8 4" xfId="24273" xr:uid="{00000000-0005-0000-0000-0000B05E0000}"/>
    <cellStyle name="Normal 2 2 4 8 4 10" xfId="24274" xr:uid="{00000000-0005-0000-0000-0000B15E0000}"/>
    <cellStyle name="Normal 2 2 4 8 4 2" xfId="24275" xr:uid="{00000000-0005-0000-0000-0000B25E0000}"/>
    <cellStyle name="Normal 2 2 4 8 4 3" xfId="24276" xr:uid="{00000000-0005-0000-0000-0000B35E0000}"/>
    <cellStyle name="Normal 2 2 4 8 4 4" xfId="24277" xr:uid="{00000000-0005-0000-0000-0000B45E0000}"/>
    <cellStyle name="Normal 2 2 4 8 4 5" xfId="24278" xr:uid="{00000000-0005-0000-0000-0000B55E0000}"/>
    <cellStyle name="Normal 2 2 4 8 4 6" xfId="24279" xr:uid="{00000000-0005-0000-0000-0000B65E0000}"/>
    <cellStyle name="Normal 2 2 4 8 4 7" xfId="24280" xr:uid="{00000000-0005-0000-0000-0000B75E0000}"/>
    <cellStyle name="Normal 2 2 4 8 4 8" xfId="24281" xr:uid="{00000000-0005-0000-0000-0000B85E0000}"/>
    <cellStyle name="Normal 2 2 4 8 4 9" xfId="24282" xr:uid="{00000000-0005-0000-0000-0000B95E0000}"/>
    <cellStyle name="Normal 2 2 4 8 5" xfId="24283" xr:uid="{00000000-0005-0000-0000-0000BA5E0000}"/>
    <cellStyle name="Normal 2 2 4 8 5 10" xfId="24284" xr:uid="{00000000-0005-0000-0000-0000BB5E0000}"/>
    <cellStyle name="Normal 2 2 4 8 5 2" xfId="24285" xr:uid="{00000000-0005-0000-0000-0000BC5E0000}"/>
    <cellStyle name="Normal 2 2 4 8 5 3" xfId="24286" xr:uid="{00000000-0005-0000-0000-0000BD5E0000}"/>
    <cellStyle name="Normal 2 2 4 8 5 4" xfId="24287" xr:uid="{00000000-0005-0000-0000-0000BE5E0000}"/>
    <cellStyle name="Normal 2 2 4 8 5 5" xfId="24288" xr:uid="{00000000-0005-0000-0000-0000BF5E0000}"/>
    <cellStyle name="Normal 2 2 4 8 5 6" xfId="24289" xr:uid="{00000000-0005-0000-0000-0000C05E0000}"/>
    <cellStyle name="Normal 2 2 4 8 5 7" xfId="24290" xr:uid="{00000000-0005-0000-0000-0000C15E0000}"/>
    <cellStyle name="Normal 2 2 4 8 5 8" xfId="24291" xr:uid="{00000000-0005-0000-0000-0000C25E0000}"/>
    <cellStyle name="Normal 2 2 4 8 5 9" xfId="24292" xr:uid="{00000000-0005-0000-0000-0000C35E0000}"/>
    <cellStyle name="Normal 2 2 4 8 6" xfId="24293" xr:uid="{00000000-0005-0000-0000-0000C45E0000}"/>
    <cellStyle name="Normal 2 2 4 8 7" xfId="24294" xr:uid="{00000000-0005-0000-0000-0000C55E0000}"/>
    <cellStyle name="Normal 2 2 4 8 8" xfId="24295" xr:uid="{00000000-0005-0000-0000-0000C65E0000}"/>
    <cellStyle name="Normal 2 2 4 8 9" xfId="24296" xr:uid="{00000000-0005-0000-0000-0000C75E0000}"/>
    <cellStyle name="Normal 2 2 4 9" xfId="24297" xr:uid="{00000000-0005-0000-0000-0000C85E0000}"/>
    <cellStyle name="Normal 2 2 4 9 10" xfId="24298" xr:uid="{00000000-0005-0000-0000-0000C95E0000}"/>
    <cellStyle name="Normal 2 2 4 9 11" xfId="24299" xr:uid="{00000000-0005-0000-0000-0000CA5E0000}"/>
    <cellStyle name="Normal 2 2 4 9 12" xfId="24300" xr:uid="{00000000-0005-0000-0000-0000CB5E0000}"/>
    <cellStyle name="Normal 2 2 4 9 13" xfId="24301" xr:uid="{00000000-0005-0000-0000-0000CC5E0000}"/>
    <cellStyle name="Normal 2 2 4 9 14" xfId="24302" xr:uid="{00000000-0005-0000-0000-0000CD5E0000}"/>
    <cellStyle name="Normal 2 2 4 9 2" xfId="24303" xr:uid="{00000000-0005-0000-0000-0000CE5E0000}"/>
    <cellStyle name="Normal 2 2 4 9 2 10" xfId="24304" xr:uid="{00000000-0005-0000-0000-0000CF5E0000}"/>
    <cellStyle name="Normal 2 2 4 9 2 2" xfId="24305" xr:uid="{00000000-0005-0000-0000-0000D05E0000}"/>
    <cellStyle name="Normal 2 2 4 9 2 3" xfId="24306" xr:uid="{00000000-0005-0000-0000-0000D15E0000}"/>
    <cellStyle name="Normal 2 2 4 9 2 4" xfId="24307" xr:uid="{00000000-0005-0000-0000-0000D25E0000}"/>
    <cellStyle name="Normal 2 2 4 9 2 5" xfId="24308" xr:uid="{00000000-0005-0000-0000-0000D35E0000}"/>
    <cellStyle name="Normal 2 2 4 9 2 6" xfId="24309" xr:uid="{00000000-0005-0000-0000-0000D45E0000}"/>
    <cellStyle name="Normal 2 2 4 9 2 7" xfId="24310" xr:uid="{00000000-0005-0000-0000-0000D55E0000}"/>
    <cellStyle name="Normal 2 2 4 9 2 8" xfId="24311" xr:uid="{00000000-0005-0000-0000-0000D65E0000}"/>
    <cellStyle name="Normal 2 2 4 9 2 9" xfId="24312" xr:uid="{00000000-0005-0000-0000-0000D75E0000}"/>
    <cellStyle name="Normal 2 2 4 9 3" xfId="24313" xr:uid="{00000000-0005-0000-0000-0000D85E0000}"/>
    <cellStyle name="Normal 2 2 4 9 3 10" xfId="24314" xr:uid="{00000000-0005-0000-0000-0000D95E0000}"/>
    <cellStyle name="Normal 2 2 4 9 3 2" xfId="24315" xr:uid="{00000000-0005-0000-0000-0000DA5E0000}"/>
    <cellStyle name="Normal 2 2 4 9 3 3" xfId="24316" xr:uid="{00000000-0005-0000-0000-0000DB5E0000}"/>
    <cellStyle name="Normal 2 2 4 9 3 4" xfId="24317" xr:uid="{00000000-0005-0000-0000-0000DC5E0000}"/>
    <cellStyle name="Normal 2 2 4 9 3 5" xfId="24318" xr:uid="{00000000-0005-0000-0000-0000DD5E0000}"/>
    <cellStyle name="Normal 2 2 4 9 3 6" xfId="24319" xr:uid="{00000000-0005-0000-0000-0000DE5E0000}"/>
    <cellStyle name="Normal 2 2 4 9 3 7" xfId="24320" xr:uid="{00000000-0005-0000-0000-0000DF5E0000}"/>
    <cellStyle name="Normal 2 2 4 9 3 8" xfId="24321" xr:uid="{00000000-0005-0000-0000-0000E05E0000}"/>
    <cellStyle name="Normal 2 2 4 9 3 9" xfId="24322" xr:uid="{00000000-0005-0000-0000-0000E15E0000}"/>
    <cellStyle name="Normal 2 2 4 9 4" xfId="24323" xr:uid="{00000000-0005-0000-0000-0000E25E0000}"/>
    <cellStyle name="Normal 2 2 4 9 4 10" xfId="24324" xr:uid="{00000000-0005-0000-0000-0000E35E0000}"/>
    <cellStyle name="Normal 2 2 4 9 4 2" xfId="24325" xr:uid="{00000000-0005-0000-0000-0000E45E0000}"/>
    <cellStyle name="Normal 2 2 4 9 4 3" xfId="24326" xr:uid="{00000000-0005-0000-0000-0000E55E0000}"/>
    <cellStyle name="Normal 2 2 4 9 4 4" xfId="24327" xr:uid="{00000000-0005-0000-0000-0000E65E0000}"/>
    <cellStyle name="Normal 2 2 4 9 4 5" xfId="24328" xr:uid="{00000000-0005-0000-0000-0000E75E0000}"/>
    <cellStyle name="Normal 2 2 4 9 4 6" xfId="24329" xr:uid="{00000000-0005-0000-0000-0000E85E0000}"/>
    <cellStyle name="Normal 2 2 4 9 4 7" xfId="24330" xr:uid="{00000000-0005-0000-0000-0000E95E0000}"/>
    <cellStyle name="Normal 2 2 4 9 4 8" xfId="24331" xr:uid="{00000000-0005-0000-0000-0000EA5E0000}"/>
    <cellStyle name="Normal 2 2 4 9 4 9" xfId="24332" xr:uid="{00000000-0005-0000-0000-0000EB5E0000}"/>
    <cellStyle name="Normal 2 2 4 9 5" xfId="24333" xr:uid="{00000000-0005-0000-0000-0000EC5E0000}"/>
    <cellStyle name="Normal 2 2 4 9 5 10" xfId="24334" xr:uid="{00000000-0005-0000-0000-0000ED5E0000}"/>
    <cellStyle name="Normal 2 2 4 9 5 2" xfId="24335" xr:uid="{00000000-0005-0000-0000-0000EE5E0000}"/>
    <cellStyle name="Normal 2 2 4 9 5 3" xfId="24336" xr:uid="{00000000-0005-0000-0000-0000EF5E0000}"/>
    <cellStyle name="Normal 2 2 4 9 5 4" xfId="24337" xr:uid="{00000000-0005-0000-0000-0000F05E0000}"/>
    <cellStyle name="Normal 2 2 4 9 5 5" xfId="24338" xr:uid="{00000000-0005-0000-0000-0000F15E0000}"/>
    <cellStyle name="Normal 2 2 4 9 5 6" xfId="24339" xr:uid="{00000000-0005-0000-0000-0000F25E0000}"/>
    <cellStyle name="Normal 2 2 4 9 5 7" xfId="24340" xr:uid="{00000000-0005-0000-0000-0000F35E0000}"/>
    <cellStyle name="Normal 2 2 4 9 5 8" xfId="24341" xr:uid="{00000000-0005-0000-0000-0000F45E0000}"/>
    <cellStyle name="Normal 2 2 4 9 5 9" xfId="24342" xr:uid="{00000000-0005-0000-0000-0000F55E0000}"/>
    <cellStyle name="Normal 2 2 4 9 6" xfId="24343" xr:uid="{00000000-0005-0000-0000-0000F65E0000}"/>
    <cellStyle name="Normal 2 2 4 9 7" xfId="24344" xr:uid="{00000000-0005-0000-0000-0000F75E0000}"/>
    <cellStyle name="Normal 2 2 4 9 8" xfId="24345" xr:uid="{00000000-0005-0000-0000-0000F85E0000}"/>
    <cellStyle name="Normal 2 2 4 9 9" xfId="24346" xr:uid="{00000000-0005-0000-0000-0000F95E0000}"/>
    <cellStyle name="Normal 2 2 40" xfId="24347" xr:uid="{00000000-0005-0000-0000-0000FA5E0000}"/>
    <cellStyle name="Normal 2 2 41" xfId="24348" xr:uid="{00000000-0005-0000-0000-0000FB5E0000}"/>
    <cellStyle name="Normal 2 2 41 10" xfId="24349" xr:uid="{00000000-0005-0000-0000-0000FC5E0000}"/>
    <cellStyle name="Normal 2 2 41 2" xfId="24350" xr:uid="{00000000-0005-0000-0000-0000FD5E0000}"/>
    <cellStyle name="Normal 2 2 41 3" xfId="24351" xr:uid="{00000000-0005-0000-0000-0000FE5E0000}"/>
    <cellStyle name="Normal 2 2 41 4" xfId="24352" xr:uid="{00000000-0005-0000-0000-0000FF5E0000}"/>
    <cellStyle name="Normal 2 2 41 5" xfId="24353" xr:uid="{00000000-0005-0000-0000-0000005F0000}"/>
    <cellStyle name="Normal 2 2 41 6" xfId="24354" xr:uid="{00000000-0005-0000-0000-0000015F0000}"/>
    <cellStyle name="Normal 2 2 41 7" xfId="24355" xr:uid="{00000000-0005-0000-0000-0000025F0000}"/>
    <cellStyle name="Normal 2 2 41 8" xfId="24356" xr:uid="{00000000-0005-0000-0000-0000035F0000}"/>
    <cellStyle name="Normal 2 2 41 9" xfId="24357" xr:uid="{00000000-0005-0000-0000-0000045F0000}"/>
    <cellStyle name="Normal 2 2 42" xfId="24358" xr:uid="{00000000-0005-0000-0000-0000055F0000}"/>
    <cellStyle name="Normal 2 2 43" xfId="24359" xr:uid="{00000000-0005-0000-0000-0000065F0000}"/>
    <cellStyle name="Normal 2 2 44" xfId="24360" xr:uid="{00000000-0005-0000-0000-0000075F0000}"/>
    <cellStyle name="Normal 2 2 45" xfId="24361" xr:uid="{00000000-0005-0000-0000-0000085F0000}"/>
    <cellStyle name="Normal 2 2 46" xfId="24362" xr:uid="{00000000-0005-0000-0000-0000095F0000}"/>
    <cellStyle name="Normal 2 2 47" xfId="24363" xr:uid="{00000000-0005-0000-0000-00000A5F0000}"/>
    <cellStyle name="Normal 2 2 48" xfId="24364" xr:uid="{00000000-0005-0000-0000-00000B5F0000}"/>
    <cellStyle name="Normal 2 2 49" xfId="24365" xr:uid="{00000000-0005-0000-0000-00000C5F0000}"/>
    <cellStyle name="Normal 2 2 5" xfId="36" xr:uid="{00000000-0005-0000-0000-00000D5F0000}"/>
    <cellStyle name="Normal 2 2 5 10" xfId="24367" xr:uid="{00000000-0005-0000-0000-00000E5F0000}"/>
    <cellStyle name="Normal 2 2 5 10 10" xfId="24368" xr:uid="{00000000-0005-0000-0000-00000F5F0000}"/>
    <cellStyle name="Normal 2 2 5 10 11" xfId="24369" xr:uid="{00000000-0005-0000-0000-0000105F0000}"/>
    <cellStyle name="Normal 2 2 5 10 12" xfId="24370" xr:uid="{00000000-0005-0000-0000-0000115F0000}"/>
    <cellStyle name="Normal 2 2 5 10 13" xfId="24371" xr:uid="{00000000-0005-0000-0000-0000125F0000}"/>
    <cellStyle name="Normal 2 2 5 10 14" xfId="24372" xr:uid="{00000000-0005-0000-0000-0000135F0000}"/>
    <cellStyle name="Normal 2 2 5 10 2" xfId="24373" xr:uid="{00000000-0005-0000-0000-0000145F0000}"/>
    <cellStyle name="Normal 2 2 5 10 2 10" xfId="24374" xr:uid="{00000000-0005-0000-0000-0000155F0000}"/>
    <cellStyle name="Normal 2 2 5 10 2 2" xfId="24375" xr:uid="{00000000-0005-0000-0000-0000165F0000}"/>
    <cellStyle name="Normal 2 2 5 10 2 3" xfId="24376" xr:uid="{00000000-0005-0000-0000-0000175F0000}"/>
    <cellStyle name="Normal 2 2 5 10 2 4" xfId="24377" xr:uid="{00000000-0005-0000-0000-0000185F0000}"/>
    <cellStyle name="Normal 2 2 5 10 2 5" xfId="24378" xr:uid="{00000000-0005-0000-0000-0000195F0000}"/>
    <cellStyle name="Normal 2 2 5 10 2 6" xfId="24379" xr:uid="{00000000-0005-0000-0000-00001A5F0000}"/>
    <cellStyle name="Normal 2 2 5 10 2 7" xfId="24380" xr:uid="{00000000-0005-0000-0000-00001B5F0000}"/>
    <cellStyle name="Normal 2 2 5 10 2 8" xfId="24381" xr:uid="{00000000-0005-0000-0000-00001C5F0000}"/>
    <cellStyle name="Normal 2 2 5 10 2 9" xfId="24382" xr:uid="{00000000-0005-0000-0000-00001D5F0000}"/>
    <cellStyle name="Normal 2 2 5 10 3" xfId="24383" xr:uid="{00000000-0005-0000-0000-00001E5F0000}"/>
    <cellStyle name="Normal 2 2 5 10 3 10" xfId="24384" xr:uid="{00000000-0005-0000-0000-00001F5F0000}"/>
    <cellStyle name="Normal 2 2 5 10 3 2" xfId="24385" xr:uid="{00000000-0005-0000-0000-0000205F0000}"/>
    <cellStyle name="Normal 2 2 5 10 3 3" xfId="24386" xr:uid="{00000000-0005-0000-0000-0000215F0000}"/>
    <cellStyle name="Normal 2 2 5 10 3 4" xfId="24387" xr:uid="{00000000-0005-0000-0000-0000225F0000}"/>
    <cellStyle name="Normal 2 2 5 10 3 5" xfId="24388" xr:uid="{00000000-0005-0000-0000-0000235F0000}"/>
    <cellStyle name="Normal 2 2 5 10 3 6" xfId="24389" xr:uid="{00000000-0005-0000-0000-0000245F0000}"/>
    <cellStyle name="Normal 2 2 5 10 3 7" xfId="24390" xr:uid="{00000000-0005-0000-0000-0000255F0000}"/>
    <cellStyle name="Normal 2 2 5 10 3 8" xfId="24391" xr:uid="{00000000-0005-0000-0000-0000265F0000}"/>
    <cellStyle name="Normal 2 2 5 10 3 9" xfId="24392" xr:uid="{00000000-0005-0000-0000-0000275F0000}"/>
    <cellStyle name="Normal 2 2 5 10 4" xfId="24393" xr:uid="{00000000-0005-0000-0000-0000285F0000}"/>
    <cellStyle name="Normal 2 2 5 10 4 10" xfId="24394" xr:uid="{00000000-0005-0000-0000-0000295F0000}"/>
    <cellStyle name="Normal 2 2 5 10 4 2" xfId="24395" xr:uid="{00000000-0005-0000-0000-00002A5F0000}"/>
    <cellStyle name="Normal 2 2 5 10 4 3" xfId="24396" xr:uid="{00000000-0005-0000-0000-00002B5F0000}"/>
    <cellStyle name="Normal 2 2 5 10 4 4" xfId="24397" xr:uid="{00000000-0005-0000-0000-00002C5F0000}"/>
    <cellStyle name="Normal 2 2 5 10 4 5" xfId="24398" xr:uid="{00000000-0005-0000-0000-00002D5F0000}"/>
    <cellStyle name="Normal 2 2 5 10 4 6" xfId="24399" xr:uid="{00000000-0005-0000-0000-00002E5F0000}"/>
    <cellStyle name="Normal 2 2 5 10 4 7" xfId="24400" xr:uid="{00000000-0005-0000-0000-00002F5F0000}"/>
    <cellStyle name="Normal 2 2 5 10 4 8" xfId="24401" xr:uid="{00000000-0005-0000-0000-0000305F0000}"/>
    <cellStyle name="Normal 2 2 5 10 4 9" xfId="24402" xr:uid="{00000000-0005-0000-0000-0000315F0000}"/>
    <cellStyle name="Normal 2 2 5 10 5" xfId="24403" xr:uid="{00000000-0005-0000-0000-0000325F0000}"/>
    <cellStyle name="Normal 2 2 5 10 5 10" xfId="24404" xr:uid="{00000000-0005-0000-0000-0000335F0000}"/>
    <cellStyle name="Normal 2 2 5 10 5 2" xfId="24405" xr:uid="{00000000-0005-0000-0000-0000345F0000}"/>
    <cellStyle name="Normal 2 2 5 10 5 3" xfId="24406" xr:uid="{00000000-0005-0000-0000-0000355F0000}"/>
    <cellStyle name="Normal 2 2 5 10 5 4" xfId="24407" xr:uid="{00000000-0005-0000-0000-0000365F0000}"/>
    <cellStyle name="Normal 2 2 5 10 5 5" xfId="24408" xr:uid="{00000000-0005-0000-0000-0000375F0000}"/>
    <cellStyle name="Normal 2 2 5 10 5 6" xfId="24409" xr:uid="{00000000-0005-0000-0000-0000385F0000}"/>
    <cellStyle name="Normal 2 2 5 10 5 7" xfId="24410" xr:uid="{00000000-0005-0000-0000-0000395F0000}"/>
    <cellStyle name="Normal 2 2 5 10 5 8" xfId="24411" xr:uid="{00000000-0005-0000-0000-00003A5F0000}"/>
    <cellStyle name="Normal 2 2 5 10 5 9" xfId="24412" xr:uid="{00000000-0005-0000-0000-00003B5F0000}"/>
    <cellStyle name="Normal 2 2 5 10 6" xfId="24413" xr:uid="{00000000-0005-0000-0000-00003C5F0000}"/>
    <cellStyle name="Normal 2 2 5 10 7" xfId="24414" xr:uid="{00000000-0005-0000-0000-00003D5F0000}"/>
    <cellStyle name="Normal 2 2 5 10 8" xfId="24415" xr:uid="{00000000-0005-0000-0000-00003E5F0000}"/>
    <cellStyle name="Normal 2 2 5 10 9" xfId="24416" xr:uid="{00000000-0005-0000-0000-00003F5F0000}"/>
    <cellStyle name="Normal 2 2 5 11" xfId="24417" xr:uid="{00000000-0005-0000-0000-0000405F0000}"/>
    <cellStyle name="Normal 2 2 5 11 10" xfId="24418" xr:uid="{00000000-0005-0000-0000-0000415F0000}"/>
    <cellStyle name="Normal 2 2 5 11 11" xfId="24419" xr:uid="{00000000-0005-0000-0000-0000425F0000}"/>
    <cellStyle name="Normal 2 2 5 11 12" xfId="24420" xr:uid="{00000000-0005-0000-0000-0000435F0000}"/>
    <cellStyle name="Normal 2 2 5 11 13" xfId="24421" xr:uid="{00000000-0005-0000-0000-0000445F0000}"/>
    <cellStyle name="Normal 2 2 5 11 14" xfId="24422" xr:uid="{00000000-0005-0000-0000-0000455F0000}"/>
    <cellStyle name="Normal 2 2 5 11 2" xfId="24423" xr:uid="{00000000-0005-0000-0000-0000465F0000}"/>
    <cellStyle name="Normal 2 2 5 11 2 10" xfId="24424" xr:uid="{00000000-0005-0000-0000-0000475F0000}"/>
    <cellStyle name="Normal 2 2 5 11 2 2" xfId="24425" xr:uid="{00000000-0005-0000-0000-0000485F0000}"/>
    <cellStyle name="Normal 2 2 5 11 2 3" xfId="24426" xr:uid="{00000000-0005-0000-0000-0000495F0000}"/>
    <cellStyle name="Normal 2 2 5 11 2 4" xfId="24427" xr:uid="{00000000-0005-0000-0000-00004A5F0000}"/>
    <cellStyle name="Normal 2 2 5 11 2 5" xfId="24428" xr:uid="{00000000-0005-0000-0000-00004B5F0000}"/>
    <cellStyle name="Normal 2 2 5 11 2 6" xfId="24429" xr:uid="{00000000-0005-0000-0000-00004C5F0000}"/>
    <cellStyle name="Normal 2 2 5 11 2 7" xfId="24430" xr:uid="{00000000-0005-0000-0000-00004D5F0000}"/>
    <cellStyle name="Normal 2 2 5 11 2 8" xfId="24431" xr:uid="{00000000-0005-0000-0000-00004E5F0000}"/>
    <cellStyle name="Normal 2 2 5 11 2 9" xfId="24432" xr:uid="{00000000-0005-0000-0000-00004F5F0000}"/>
    <cellStyle name="Normal 2 2 5 11 3" xfId="24433" xr:uid="{00000000-0005-0000-0000-0000505F0000}"/>
    <cellStyle name="Normal 2 2 5 11 3 10" xfId="24434" xr:uid="{00000000-0005-0000-0000-0000515F0000}"/>
    <cellStyle name="Normal 2 2 5 11 3 2" xfId="24435" xr:uid="{00000000-0005-0000-0000-0000525F0000}"/>
    <cellStyle name="Normal 2 2 5 11 3 3" xfId="24436" xr:uid="{00000000-0005-0000-0000-0000535F0000}"/>
    <cellStyle name="Normal 2 2 5 11 3 4" xfId="24437" xr:uid="{00000000-0005-0000-0000-0000545F0000}"/>
    <cellStyle name="Normal 2 2 5 11 3 5" xfId="24438" xr:uid="{00000000-0005-0000-0000-0000555F0000}"/>
    <cellStyle name="Normal 2 2 5 11 3 6" xfId="24439" xr:uid="{00000000-0005-0000-0000-0000565F0000}"/>
    <cellStyle name="Normal 2 2 5 11 3 7" xfId="24440" xr:uid="{00000000-0005-0000-0000-0000575F0000}"/>
    <cellStyle name="Normal 2 2 5 11 3 8" xfId="24441" xr:uid="{00000000-0005-0000-0000-0000585F0000}"/>
    <cellStyle name="Normal 2 2 5 11 3 9" xfId="24442" xr:uid="{00000000-0005-0000-0000-0000595F0000}"/>
    <cellStyle name="Normal 2 2 5 11 4" xfId="24443" xr:uid="{00000000-0005-0000-0000-00005A5F0000}"/>
    <cellStyle name="Normal 2 2 5 11 4 10" xfId="24444" xr:uid="{00000000-0005-0000-0000-00005B5F0000}"/>
    <cellStyle name="Normal 2 2 5 11 4 2" xfId="24445" xr:uid="{00000000-0005-0000-0000-00005C5F0000}"/>
    <cellStyle name="Normal 2 2 5 11 4 3" xfId="24446" xr:uid="{00000000-0005-0000-0000-00005D5F0000}"/>
    <cellStyle name="Normal 2 2 5 11 4 4" xfId="24447" xr:uid="{00000000-0005-0000-0000-00005E5F0000}"/>
    <cellStyle name="Normal 2 2 5 11 4 5" xfId="24448" xr:uid="{00000000-0005-0000-0000-00005F5F0000}"/>
    <cellStyle name="Normal 2 2 5 11 4 6" xfId="24449" xr:uid="{00000000-0005-0000-0000-0000605F0000}"/>
    <cellStyle name="Normal 2 2 5 11 4 7" xfId="24450" xr:uid="{00000000-0005-0000-0000-0000615F0000}"/>
    <cellStyle name="Normal 2 2 5 11 4 8" xfId="24451" xr:uid="{00000000-0005-0000-0000-0000625F0000}"/>
    <cellStyle name="Normal 2 2 5 11 4 9" xfId="24452" xr:uid="{00000000-0005-0000-0000-0000635F0000}"/>
    <cellStyle name="Normal 2 2 5 11 5" xfId="24453" xr:uid="{00000000-0005-0000-0000-0000645F0000}"/>
    <cellStyle name="Normal 2 2 5 11 5 10" xfId="24454" xr:uid="{00000000-0005-0000-0000-0000655F0000}"/>
    <cellStyle name="Normal 2 2 5 11 5 2" xfId="24455" xr:uid="{00000000-0005-0000-0000-0000665F0000}"/>
    <cellStyle name="Normal 2 2 5 11 5 3" xfId="24456" xr:uid="{00000000-0005-0000-0000-0000675F0000}"/>
    <cellStyle name="Normal 2 2 5 11 5 4" xfId="24457" xr:uid="{00000000-0005-0000-0000-0000685F0000}"/>
    <cellStyle name="Normal 2 2 5 11 5 5" xfId="24458" xr:uid="{00000000-0005-0000-0000-0000695F0000}"/>
    <cellStyle name="Normal 2 2 5 11 5 6" xfId="24459" xr:uid="{00000000-0005-0000-0000-00006A5F0000}"/>
    <cellStyle name="Normal 2 2 5 11 5 7" xfId="24460" xr:uid="{00000000-0005-0000-0000-00006B5F0000}"/>
    <cellStyle name="Normal 2 2 5 11 5 8" xfId="24461" xr:uid="{00000000-0005-0000-0000-00006C5F0000}"/>
    <cellStyle name="Normal 2 2 5 11 5 9" xfId="24462" xr:uid="{00000000-0005-0000-0000-00006D5F0000}"/>
    <cellStyle name="Normal 2 2 5 11 6" xfId="24463" xr:uid="{00000000-0005-0000-0000-00006E5F0000}"/>
    <cellStyle name="Normal 2 2 5 11 7" xfId="24464" xr:uid="{00000000-0005-0000-0000-00006F5F0000}"/>
    <cellStyle name="Normal 2 2 5 11 8" xfId="24465" xr:uid="{00000000-0005-0000-0000-0000705F0000}"/>
    <cellStyle name="Normal 2 2 5 11 9" xfId="24466" xr:uid="{00000000-0005-0000-0000-0000715F0000}"/>
    <cellStyle name="Normal 2 2 5 12" xfId="24467" xr:uid="{00000000-0005-0000-0000-0000725F0000}"/>
    <cellStyle name="Normal 2 2 5 12 10" xfId="24468" xr:uid="{00000000-0005-0000-0000-0000735F0000}"/>
    <cellStyle name="Normal 2 2 5 12 11" xfId="24469" xr:uid="{00000000-0005-0000-0000-0000745F0000}"/>
    <cellStyle name="Normal 2 2 5 12 12" xfId="24470" xr:uid="{00000000-0005-0000-0000-0000755F0000}"/>
    <cellStyle name="Normal 2 2 5 12 13" xfId="24471" xr:uid="{00000000-0005-0000-0000-0000765F0000}"/>
    <cellStyle name="Normal 2 2 5 12 14" xfId="24472" xr:uid="{00000000-0005-0000-0000-0000775F0000}"/>
    <cellStyle name="Normal 2 2 5 12 2" xfId="24473" xr:uid="{00000000-0005-0000-0000-0000785F0000}"/>
    <cellStyle name="Normal 2 2 5 12 2 10" xfId="24474" xr:uid="{00000000-0005-0000-0000-0000795F0000}"/>
    <cellStyle name="Normal 2 2 5 12 2 2" xfId="24475" xr:uid="{00000000-0005-0000-0000-00007A5F0000}"/>
    <cellStyle name="Normal 2 2 5 12 2 3" xfId="24476" xr:uid="{00000000-0005-0000-0000-00007B5F0000}"/>
    <cellStyle name="Normal 2 2 5 12 2 4" xfId="24477" xr:uid="{00000000-0005-0000-0000-00007C5F0000}"/>
    <cellStyle name="Normal 2 2 5 12 2 5" xfId="24478" xr:uid="{00000000-0005-0000-0000-00007D5F0000}"/>
    <cellStyle name="Normal 2 2 5 12 2 6" xfId="24479" xr:uid="{00000000-0005-0000-0000-00007E5F0000}"/>
    <cellStyle name="Normal 2 2 5 12 2 7" xfId="24480" xr:uid="{00000000-0005-0000-0000-00007F5F0000}"/>
    <cellStyle name="Normal 2 2 5 12 2 8" xfId="24481" xr:uid="{00000000-0005-0000-0000-0000805F0000}"/>
    <cellStyle name="Normal 2 2 5 12 2 9" xfId="24482" xr:uid="{00000000-0005-0000-0000-0000815F0000}"/>
    <cellStyle name="Normal 2 2 5 12 3" xfId="24483" xr:uid="{00000000-0005-0000-0000-0000825F0000}"/>
    <cellStyle name="Normal 2 2 5 12 3 10" xfId="24484" xr:uid="{00000000-0005-0000-0000-0000835F0000}"/>
    <cellStyle name="Normal 2 2 5 12 3 2" xfId="24485" xr:uid="{00000000-0005-0000-0000-0000845F0000}"/>
    <cellStyle name="Normal 2 2 5 12 3 3" xfId="24486" xr:uid="{00000000-0005-0000-0000-0000855F0000}"/>
    <cellStyle name="Normal 2 2 5 12 3 4" xfId="24487" xr:uid="{00000000-0005-0000-0000-0000865F0000}"/>
    <cellStyle name="Normal 2 2 5 12 3 5" xfId="24488" xr:uid="{00000000-0005-0000-0000-0000875F0000}"/>
    <cellStyle name="Normal 2 2 5 12 3 6" xfId="24489" xr:uid="{00000000-0005-0000-0000-0000885F0000}"/>
    <cellStyle name="Normal 2 2 5 12 3 7" xfId="24490" xr:uid="{00000000-0005-0000-0000-0000895F0000}"/>
    <cellStyle name="Normal 2 2 5 12 3 8" xfId="24491" xr:uid="{00000000-0005-0000-0000-00008A5F0000}"/>
    <cellStyle name="Normal 2 2 5 12 3 9" xfId="24492" xr:uid="{00000000-0005-0000-0000-00008B5F0000}"/>
    <cellStyle name="Normal 2 2 5 12 4" xfId="24493" xr:uid="{00000000-0005-0000-0000-00008C5F0000}"/>
    <cellStyle name="Normal 2 2 5 12 4 10" xfId="24494" xr:uid="{00000000-0005-0000-0000-00008D5F0000}"/>
    <cellStyle name="Normal 2 2 5 12 4 2" xfId="24495" xr:uid="{00000000-0005-0000-0000-00008E5F0000}"/>
    <cellStyle name="Normal 2 2 5 12 4 3" xfId="24496" xr:uid="{00000000-0005-0000-0000-00008F5F0000}"/>
    <cellStyle name="Normal 2 2 5 12 4 4" xfId="24497" xr:uid="{00000000-0005-0000-0000-0000905F0000}"/>
    <cellStyle name="Normal 2 2 5 12 4 5" xfId="24498" xr:uid="{00000000-0005-0000-0000-0000915F0000}"/>
    <cellStyle name="Normal 2 2 5 12 4 6" xfId="24499" xr:uid="{00000000-0005-0000-0000-0000925F0000}"/>
    <cellStyle name="Normal 2 2 5 12 4 7" xfId="24500" xr:uid="{00000000-0005-0000-0000-0000935F0000}"/>
    <cellStyle name="Normal 2 2 5 12 4 8" xfId="24501" xr:uid="{00000000-0005-0000-0000-0000945F0000}"/>
    <cellStyle name="Normal 2 2 5 12 4 9" xfId="24502" xr:uid="{00000000-0005-0000-0000-0000955F0000}"/>
    <cellStyle name="Normal 2 2 5 12 5" xfId="24503" xr:uid="{00000000-0005-0000-0000-0000965F0000}"/>
    <cellStyle name="Normal 2 2 5 12 5 10" xfId="24504" xr:uid="{00000000-0005-0000-0000-0000975F0000}"/>
    <cellStyle name="Normal 2 2 5 12 5 2" xfId="24505" xr:uid="{00000000-0005-0000-0000-0000985F0000}"/>
    <cellStyle name="Normal 2 2 5 12 5 3" xfId="24506" xr:uid="{00000000-0005-0000-0000-0000995F0000}"/>
    <cellStyle name="Normal 2 2 5 12 5 4" xfId="24507" xr:uid="{00000000-0005-0000-0000-00009A5F0000}"/>
    <cellStyle name="Normal 2 2 5 12 5 5" xfId="24508" xr:uid="{00000000-0005-0000-0000-00009B5F0000}"/>
    <cellStyle name="Normal 2 2 5 12 5 6" xfId="24509" xr:uid="{00000000-0005-0000-0000-00009C5F0000}"/>
    <cellStyle name="Normal 2 2 5 12 5 7" xfId="24510" xr:uid="{00000000-0005-0000-0000-00009D5F0000}"/>
    <cellStyle name="Normal 2 2 5 12 5 8" xfId="24511" xr:uid="{00000000-0005-0000-0000-00009E5F0000}"/>
    <cellStyle name="Normal 2 2 5 12 5 9" xfId="24512" xr:uid="{00000000-0005-0000-0000-00009F5F0000}"/>
    <cellStyle name="Normal 2 2 5 12 6" xfId="24513" xr:uid="{00000000-0005-0000-0000-0000A05F0000}"/>
    <cellStyle name="Normal 2 2 5 12 7" xfId="24514" xr:uid="{00000000-0005-0000-0000-0000A15F0000}"/>
    <cellStyle name="Normal 2 2 5 12 8" xfId="24515" xr:uid="{00000000-0005-0000-0000-0000A25F0000}"/>
    <cellStyle name="Normal 2 2 5 12 9" xfId="24516" xr:uid="{00000000-0005-0000-0000-0000A35F0000}"/>
    <cellStyle name="Normal 2 2 5 13" xfId="24517" xr:uid="{00000000-0005-0000-0000-0000A45F0000}"/>
    <cellStyle name="Normal 2 2 5 13 10" xfId="24518" xr:uid="{00000000-0005-0000-0000-0000A55F0000}"/>
    <cellStyle name="Normal 2 2 5 13 11" xfId="24519" xr:uid="{00000000-0005-0000-0000-0000A65F0000}"/>
    <cellStyle name="Normal 2 2 5 13 12" xfId="24520" xr:uid="{00000000-0005-0000-0000-0000A75F0000}"/>
    <cellStyle name="Normal 2 2 5 13 13" xfId="24521" xr:uid="{00000000-0005-0000-0000-0000A85F0000}"/>
    <cellStyle name="Normal 2 2 5 13 14" xfId="24522" xr:uid="{00000000-0005-0000-0000-0000A95F0000}"/>
    <cellStyle name="Normal 2 2 5 13 2" xfId="24523" xr:uid="{00000000-0005-0000-0000-0000AA5F0000}"/>
    <cellStyle name="Normal 2 2 5 13 2 10" xfId="24524" xr:uid="{00000000-0005-0000-0000-0000AB5F0000}"/>
    <cellStyle name="Normal 2 2 5 13 2 2" xfId="24525" xr:uid="{00000000-0005-0000-0000-0000AC5F0000}"/>
    <cellStyle name="Normal 2 2 5 13 2 3" xfId="24526" xr:uid="{00000000-0005-0000-0000-0000AD5F0000}"/>
    <cellStyle name="Normal 2 2 5 13 2 4" xfId="24527" xr:uid="{00000000-0005-0000-0000-0000AE5F0000}"/>
    <cellStyle name="Normal 2 2 5 13 2 5" xfId="24528" xr:uid="{00000000-0005-0000-0000-0000AF5F0000}"/>
    <cellStyle name="Normal 2 2 5 13 2 6" xfId="24529" xr:uid="{00000000-0005-0000-0000-0000B05F0000}"/>
    <cellStyle name="Normal 2 2 5 13 2 7" xfId="24530" xr:uid="{00000000-0005-0000-0000-0000B15F0000}"/>
    <cellStyle name="Normal 2 2 5 13 2 8" xfId="24531" xr:uid="{00000000-0005-0000-0000-0000B25F0000}"/>
    <cellStyle name="Normal 2 2 5 13 2 9" xfId="24532" xr:uid="{00000000-0005-0000-0000-0000B35F0000}"/>
    <cellStyle name="Normal 2 2 5 13 3" xfId="24533" xr:uid="{00000000-0005-0000-0000-0000B45F0000}"/>
    <cellStyle name="Normal 2 2 5 13 3 10" xfId="24534" xr:uid="{00000000-0005-0000-0000-0000B55F0000}"/>
    <cellStyle name="Normal 2 2 5 13 3 2" xfId="24535" xr:uid="{00000000-0005-0000-0000-0000B65F0000}"/>
    <cellStyle name="Normal 2 2 5 13 3 3" xfId="24536" xr:uid="{00000000-0005-0000-0000-0000B75F0000}"/>
    <cellStyle name="Normal 2 2 5 13 3 4" xfId="24537" xr:uid="{00000000-0005-0000-0000-0000B85F0000}"/>
    <cellStyle name="Normal 2 2 5 13 3 5" xfId="24538" xr:uid="{00000000-0005-0000-0000-0000B95F0000}"/>
    <cellStyle name="Normal 2 2 5 13 3 6" xfId="24539" xr:uid="{00000000-0005-0000-0000-0000BA5F0000}"/>
    <cellStyle name="Normal 2 2 5 13 3 7" xfId="24540" xr:uid="{00000000-0005-0000-0000-0000BB5F0000}"/>
    <cellStyle name="Normal 2 2 5 13 3 8" xfId="24541" xr:uid="{00000000-0005-0000-0000-0000BC5F0000}"/>
    <cellStyle name="Normal 2 2 5 13 3 9" xfId="24542" xr:uid="{00000000-0005-0000-0000-0000BD5F0000}"/>
    <cellStyle name="Normal 2 2 5 13 4" xfId="24543" xr:uid="{00000000-0005-0000-0000-0000BE5F0000}"/>
    <cellStyle name="Normal 2 2 5 13 4 10" xfId="24544" xr:uid="{00000000-0005-0000-0000-0000BF5F0000}"/>
    <cellStyle name="Normal 2 2 5 13 4 2" xfId="24545" xr:uid="{00000000-0005-0000-0000-0000C05F0000}"/>
    <cellStyle name="Normal 2 2 5 13 4 3" xfId="24546" xr:uid="{00000000-0005-0000-0000-0000C15F0000}"/>
    <cellStyle name="Normal 2 2 5 13 4 4" xfId="24547" xr:uid="{00000000-0005-0000-0000-0000C25F0000}"/>
    <cellStyle name="Normal 2 2 5 13 4 5" xfId="24548" xr:uid="{00000000-0005-0000-0000-0000C35F0000}"/>
    <cellStyle name="Normal 2 2 5 13 4 6" xfId="24549" xr:uid="{00000000-0005-0000-0000-0000C45F0000}"/>
    <cellStyle name="Normal 2 2 5 13 4 7" xfId="24550" xr:uid="{00000000-0005-0000-0000-0000C55F0000}"/>
    <cellStyle name="Normal 2 2 5 13 4 8" xfId="24551" xr:uid="{00000000-0005-0000-0000-0000C65F0000}"/>
    <cellStyle name="Normal 2 2 5 13 4 9" xfId="24552" xr:uid="{00000000-0005-0000-0000-0000C75F0000}"/>
    <cellStyle name="Normal 2 2 5 13 5" xfId="24553" xr:uid="{00000000-0005-0000-0000-0000C85F0000}"/>
    <cellStyle name="Normal 2 2 5 13 5 10" xfId="24554" xr:uid="{00000000-0005-0000-0000-0000C95F0000}"/>
    <cellStyle name="Normal 2 2 5 13 5 2" xfId="24555" xr:uid="{00000000-0005-0000-0000-0000CA5F0000}"/>
    <cellStyle name="Normal 2 2 5 13 5 3" xfId="24556" xr:uid="{00000000-0005-0000-0000-0000CB5F0000}"/>
    <cellStyle name="Normal 2 2 5 13 5 4" xfId="24557" xr:uid="{00000000-0005-0000-0000-0000CC5F0000}"/>
    <cellStyle name="Normal 2 2 5 13 5 5" xfId="24558" xr:uid="{00000000-0005-0000-0000-0000CD5F0000}"/>
    <cellStyle name="Normal 2 2 5 13 5 6" xfId="24559" xr:uid="{00000000-0005-0000-0000-0000CE5F0000}"/>
    <cellStyle name="Normal 2 2 5 13 5 7" xfId="24560" xr:uid="{00000000-0005-0000-0000-0000CF5F0000}"/>
    <cellStyle name="Normal 2 2 5 13 5 8" xfId="24561" xr:uid="{00000000-0005-0000-0000-0000D05F0000}"/>
    <cellStyle name="Normal 2 2 5 13 5 9" xfId="24562" xr:uid="{00000000-0005-0000-0000-0000D15F0000}"/>
    <cellStyle name="Normal 2 2 5 13 6" xfId="24563" xr:uid="{00000000-0005-0000-0000-0000D25F0000}"/>
    <cellStyle name="Normal 2 2 5 13 7" xfId="24564" xr:uid="{00000000-0005-0000-0000-0000D35F0000}"/>
    <cellStyle name="Normal 2 2 5 13 8" xfId="24565" xr:uid="{00000000-0005-0000-0000-0000D45F0000}"/>
    <cellStyle name="Normal 2 2 5 13 9" xfId="24566" xr:uid="{00000000-0005-0000-0000-0000D55F0000}"/>
    <cellStyle name="Normal 2 2 5 14" xfId="24567" xr:uid="{00000000-0005-0000-0000-0000D65F0000}"/>
    <cellStyle name="Normal 2 2 5 14 10" xfId="24568" xr:uid="{00000000-0005-0000-0000-0000D75F0000}"/>
    <cellStyle name="Normal 2 2 5 14 11" xfId="24569" xr:uid="{00000000-0005-0000-0000-0000D85F0000}"/>
    <cellStyle name="Normal 2 2 5 14 12" xfId="24570" xr:uid="{00000000-0005-0000-0000-0000D95F0000}"/>
    <cellStyle name="Normal 2 2 5 14 13" xfId="24571" xr:uid="{00000000-0005-0000-0000-0000DA5F0000}"/>
    <cellStyle name="Normal 2 2 5 14 14" xfId="24572" xr:uid="{00000000-0005-0000-0000-0000DB5F0000}"/>
    <cellStyle name="Normal 2 2 5 14 2" xfId="24573" xr:uid="{00000000-0005-0000-0000-0000DC5F0000}"/>
    <cellStyle name="Normal 2 2 5 14 2 10" xfId="24574" xr:uid="{00000000-0005-0000-0000-0000DD5F0000}"/>
    <cellStyle name="Normal 2 2 5 14 2 2" xfId="24575" xr:uid="{00000000-0005-0000-0000-0000DE5F0000}"/>
    <cellStyle name="Normal 2 2 5 14 2 3" xfId="24576" xr:uid="{00000000-0005-0000-0000-0000DF5F0000}"/>
    <cellStyle name="Normal 2 2 5 14 2 4" xfId="24577" xr:uid="{00000000-0005-0000-0000-0000E05F0000}"/>
    <cellStyle name="Normal 2 2 5 14 2 5" xfId="24578" xr:uid="{00000000-0005-0000-0000-0000E15F0000}"/>
    <cellStyle name="Normal 2 2 5 14 2 6" xfId="24579" xr:uid="{00000000-0005-0000-0000-0000E25F0000}"/>
    <cellStyle name="Normal 2 2 5 14 2 7" xfId="24580" xr:uid="{00000000-0005-0000-0000-0000E35F0000}"/>
    <cellStyle name="Normal 2 2 5 14 2 8" xfId="24581" xr:uid="{00000000-0005-0000-0000-0000E45F0000}"/>
    <cellStyle name="Normal 2 2 5 14 2 9" xfId="24582" xr:uid="{00000000-0005-0000-0000-0000E55F0000}"/>
    <cellStyle name="Normal 2 2 5 14 3" xfId="24583" xr:uid="{00000000-0005-0000-0000-0000E65F0000}"/>
    <cellStyle name="Normal 2 2 5 14 3 10" xfId="24584" xr:uid="{00000000-0005-0000-0000-0000E75F0000}"/>
    <cellStyle name="Normal 2 2 5 14 3 2" xfId="24585" xr:uid="{00000000-0005-0000-0000-0000E85F0000}"/>
    <cellStyle name="Normal 2 2 5 14 3 3" xfId="24586" xr:uid="{00000000-0005-0000-0000-0000E95F0000}"/>
    <cellStyle name="Normal 2 2 5 14 3 4" xfId="24587" xr:uid="{00000000-0005-0000-0000-0000EA5F0000}"/>
    <cellStyle name="Normal 2 2 5 14 3 5" xfId="24588" xr:uid="{00000000-0005-0000-0000-0000EB5F0000}"/>
    <cellStyle name="Normal 2 2 5 14 3 6" xfId="24589" xr:uid="{00000000-0005-0000-0000-0000EC5F0000}"/>
    <cellStyle name="Normal 2 2 5 14 3 7" xfId="24590" xr:uid="{00000000-0005-0000-0000-0000ED5F0000}"/>
    <cellStyle name="Normal 2 2 5 14 3 8" xfId="24591" xr:uid="{00000000-0005-0000-0000-0000EE5F0000}"/>
    <cellStyle name="Normal 2 2 5 14 3 9" xfId="24592" xr:uid="{00000000-0005-0000-0000-0000EF5F0000}"/>
    <cellStyle name="Normal 2 2 5 14 4" xfId="24593" xr:uid="{00000000-0005-0000-0000-0000F05F0000}"/>
    <cellStyle name="Normal 2 2 5 14 4 10" xfId="24594" xr:uid="{00000000-0005-0000-0000-0000F15F0000}"/>
    <cellStyle name="Normal 2 2 5 14 4 2" xfId="24595" xr:uid="{00000000-0005-0000-0000-0000F25F0000}"/>
    <cellStyle name="Normal 2 2 5 14 4 3" xfId="24596" xr:uid="{00000000-0005-0000-0000-0000F35F0000}"/>
    <cellStyle name="Normal 2 2 5 14 4 4" xfId="24597" xr:uid="{00000000-0005-0000-0000-0000F45F0000}"/>
    <cellStyle name="Normal 2 2 5 14 4 5" xfId="24598" xr:uid="{00000000-0005-0000-0000-0000F55F0000}"/>
    <cellStyle name="Normal 2 2 5 14 4 6" xfId="24599" xr:uid="{00000000-0005-0000-0000-0000F65F0000}"/>
    <cellStyle name="Normal 2 2 5 14 4 7" xfId="24600" xr:uid="{00000000-0005-0000-0000-0000F75F0000}"/>
    <cellStyle name="Normal 2 2 5 14 4 8" xfId="24601" xr:uid="{00000000-0005-0000-0000-0000F85F0000}"/>
    <cellStyle name="Normal 2 2 5 14 4 9" xfId="24602" xr:uid="{00000000-0005-0000-0000-0000F95F0000}"/>
    <cellStyle name="Normal 2 2 5 14 5" xfId="24603" xr:uid="{00000000-0005-0000-0000-0000FA5F0000}"/>
    <cellStyle name="Normal 2 2 5 14 5 10" xfId="24604" xr:uid="{00000000-0005-0000-0000-0000FB5F0000}"/>
    <cellStyle name="Normal 2 2 5 14 5 2" xfId="24605" xr:uid="{00000000-0005-0000-0000-0000FC5F0000}"/>
    <cellStyle name="Normal 2 2 5 14 5 3" xfId="24606" xr:uid="{00000000-0005-0000-0000-0000FD5F0000}"/>
    <cellStyle name="Normal 2 2 5 14 5 4" xfId="24607" xr:uid="{00000000-0005-0000-0000-0000FE5F0000}"/>
    <cellStyle name="Normal 2 2 5 14 5 5" xfId="24608" xr:uid="{00000000-0005-0000-0000-0000FF5F0000}"/>
    <cellStyle name="Normal 2 2 5 14 5 6" xfId="24609" xr:uid="{00000000-0005-0000-0000-000000600000}"/>
    <cellStyle name="Normal 2 2 5 14 5 7" xfId="24610" xr:uid="{00000000-0005-0000-0000-000001600000}"/>
    <cellStyle name="Normal 2 2 5 14 5 8" xfId="24611" xr:uid="{00000000-0005-0000-0000-000002600000}"/>
    <cellStyle name="Normal 2 2 5 14 5 9" xfId="24612" xr:uid="{00000000-0005-0000-0000-000003600000}"/>
    <cellStyle name="Normal 2 2 5 14 6" xfId="24613" xr:uid="{00000000-0005-0000-0000-000004600000}"/>
    <cellStyle name="Normal 2 2 5 14 7" xfId="24614" xr:uid="{00000000-0005-0000-0000-000005600000}"/>
    <cellStyle name="Normal 2 2 5 14 8" xfId="24615" xr:uid="{00000000-0005-0000-0000-000006600000}"/>
    <cellStyle name="Normal 2 2 5 14 9" xfId="24616" xr:uid="{00000000-0005-0000-0000-000007600000}"/>
    <cellStyle name="Normal 2 2 5 15" xfId="24617" xr:uid="{00000000-0005-0000-0000-000008600000}"/>
    <cellStyle name="Normal 2 2 5 15 10" xfId="24618" xr:uid="{00000000-0005-0000-0000-000009600000}"/>
    <cellStyle name="Normal 2 2 5 15 11" xfId="24619" xr:uid="{00000000-0005-0000-0000-00000A600000}"/>
    <cellStyle name="Normal 2 2 5 15 12" xfId="24620" xr:uid="{00000000-0005-0000-0000-00000B600000}"/>
    <cellStyle name="Normal 2 2 5 15 13" xfId="24621" xr:uid="{00000000-0005-0000-0000-00000C600000}"/>
    <cellStyle name="Normal 2 2 5 15 14" xfId="24622" xr:uid="{00000000-0005-0000-0000-00000D600000}"/>
    <cellStyle name="Normal 2 2 5 15 2" xfId="24623" xr:uid="{00000000-0005-0000-0000-00000E600000}"/>
    <cellStyle name="Normal 2 2 5 15 2 10" xfId="24624" xr:uid="{00000000-0005-0000-0000-00000F600000}"/>
    <cellStyle name="Normal 2 2 5 15 2 2" xfId="24625" xr:uid="{00000000-0005-0000-0000-000010600000}"/>
    <cellStyle name="Normal 2 2 5 15 2 3" xfId="24626" xr:uid="{00000000-0005-0000-0000-000011600000}"/>
    <cellStyle name="Normal 2 2 5 15 2 4" xfId="24627" xr:uid="{00000000-0005-0000-0000-000012600000}"/>
    <cellStyle name="Normal 2 2 5 15 2 5" xfId="24628" xr:uid="{00000000-0005-0000-0000-000013600000}"/>
    <cellStyle name="Normal 2 2 5 15 2 6" xfId="24629" xr:uid="{00000000-0005-0000-0000-000014600000}"/>
    <cellStyle name="Normal 2 2 5 15 2 7" xfId="24630" xr:uid="{00000000-0005-0000-0000-000015600000}"/>
    <cellStyle name="Normal 2 2 5 15 2 8" xfId="24631" xr:uid="{00000000-0005-0000-0000-000016600000}"/>
    <cellStyle name="Normal 2 2 5 15 2 9" xfId="24632" xr:uid="{00000000-0005-0000-0000-000017600000}"/>
    <cellStyle name="Normal 2 2 5 15 3" xfId="24633" xr:uid="{00000000-0005-0000-0000-000018600000}"/>
    <cellStyle name="Normal 2 2 5 15 3 10" xfId="24634" xr:uid="{00000000-0005-0000-0000-000019600000}"/>
    <cellStyle name="Normal 2 2 5 15 3 2" xfId="24635" xr:uid="{00000000-0005-0000-0000-00001A600000}"/>
    <cellStyle name="Normal 2 2 5 15 3 3" xfId="24636" xr:uid="{00000000-0005-0000-0000-00001B600000}"/>
    <cellStyle name="Normal 2 2 5 15 3 4" xfId="24637" xr:uid="{00000000-0005-0000-0000-00001C600000}"/>
    <cellStyle name="Normal 2 2 5 15 3 5" xfId="24638" xr:uid="{00000000-0005-0000-0000-00001D600000}"/>
    <cellStyle name="Normal 2 2 5 15 3 6" xfId="24639" xr:uid="{00000000-0005-0000-0000-00001E600000}"/>
    <cellStyle name="Normal 2 2 5 15 3 7" xfId="24640" xr:uid="{00000000-0005-0000-0000-00001F600000}"/>
    <cellStyle name="Normal 2 2 5 15 3 8" xfId="24641" xr:uid="{00000000-0005-0000-0000-000020600000}"/>
    <cellStyle name="Normal 2 2 5 15 3 9" xfId="24642" xr:uid="{00000000-0005-0000-0000-000021600000}"/>
    <cellStyle name="Normal 2 2 5 15 4" xfId="24643" xr:uid="{00000000-0005-0000-0000-000022600000}"/>
    <cellStyle name="Normal 2 2 5 15 4 10" xfId="24644" xr:uid="{00000000-0005-0000-0000-000023600000}"/>
    <cellStyle name="Normal 2 2 5 15 4 2" xfId="24645" xr:uid="{00000000-0005-0000-0000-000024600000}"/>
    <cellStyle name="Normal 2 2 5 15 4 3" xfId="24646" xr:uid="{00000000-0005-0000-0000-000025600000}"/>
    <cellStyle name="Normal 2 2 5 15 4 4" xfId="24647" xr:uid="{00000000-0005-0000-0000-000026600000}"/>
    <cellStyle name="Normal 2 2 5 15 4 5" xfId="24648" xr:uid="{00000000-0005-0000-0000-000027600000}"/>
    <cellStyle name="Normal 2 2 5 15 4 6" xfId="24649" xr:uid="{00000000-0005-0000-0000-000028600000}"/>
    <cellStyle name="Normal 2 2 5 15 4 7" xfId="24650" xr:uid="{00000000-0005-0000-0000-000029600000}"/>
    <cellStyle name="Normal 2 2 5 15 4 8" xfId="24651" xr:uid="{00000000-0005-0000-0000-00002A600000}"/>
    <cellStyle name="Normal 2 2 5 15 4 9" xfId="24652" xr:uid="{00000000-0005-0000-0000-00002B600000}"/>
    <cellStyle name="Normal 2 2 5 15 5" xfId="24653" xr:uid="{00000000-0005-0000-0000-00002C600000}"/>
    <cellStyle name="Normal 2 2 5 15 5 10" xfId="24654" xr:uid="{00000000-0005-0000-0000-00002D600000}"/>
    <cellStyle name="Normal 2 2 5 15 5 2" xfId="24655" xr:uid="{00000000-0005-0000-0000-00002E600000}"/>
    <cellStyle name="Normal 2 2 5 15 5 3" xfId="24656" xr:uid="{00000000-0005-0000-0000-00002F600000}"/>
    <cellStyle name="Normal 2 2 5 15 5 4" xfId="24657" xr:uid="{00000000-0005-0000-0000-000030600000}"/>
    <cellStyle name="Normal 2 2 5 15 5 5" xfId="24658" xr:uid="{00000000-0005-0000-0000-000031600000}"/>
    <cellStyle name="Normal 2 2 5 15 5 6" xfId="24659" xr:uid="{00000000-0005-0000-0000-000032600000}"/>
    <cellStyle name="Normal 2 2 5 15 5 7" xfId="24660" xr:uid="{00000000-0005-0000-0000-000033600000}"/>
    <cellStyle name="Normal 2 2 5 15 5 8" xfId="24661" xr:uid="{00000000-0005-0000-0000-000034600000}"/>
    <cellStyle name="Normal 2 2 5 15 5 9" xfId="24662" xr:uid="{00000000-0005-0000-0000-000035600000}"/>
    <cellStyle name="Normal 2 2 5 15 6" xfId="24663" xr:uid="{00000000-0005-0000-0000-000036600000}"/>
    <cellStyle name="Normal 2 2 5 15 7" xfId="24664" xr:uid="{00000000-0005-0000-0000-000037600000}"/>
    <cellStyle name="Normal 2 2 5 15 8" xfId="24665" xr:uid="{00000000-0005-0000-0000-000038600000}"/>
    <cellStyle name="Normal 2 2 5 15 9" xfId="24666" xr:uid="{00000000-0005-0000-0000-000039600000}"/>
    <cellStyle name="Normal 2 2 5 16" xfId="24667" xr:uid="{00000000-0005-0000-0000-00003A600000}"/>
    <cellStyle name="Normal 2 2 5 16 10" xfId="24668" xr:uid="{00000000-0005-0000-0000-00003B600000}"/>
    <cellStyle name="Normal 2 2 5 16 11" xfId="24669" xr:uid="{00000000-0005-0000-0000-00003C600000}"/>
    <cellStyle name="Normal 2 2 5 16 12" xfId="24670" xr:uid="{00000000-0005-0000-0000-00003D600000}"/>
    <cellStyle name="Normal 2 2 5 16 13" xfId="24671" xr:uid="{00000000-0005-0000-0000-00003E600000}"/>
    <cellStyle name="Normal 2 2 5 16 14" xfId="24672" xr:uid="{00000000-0005-0000-0000-00003F600000}"/>
    <cellStyle name="Normal 2 2 5 16 2" xfId="24673" xr:uid="{00000000-0005-0000-0000-000040600000}"/>
    <cellStyle name="Normal 2 2 5 16 2 10" xfId="24674" xr:uid="{00000000-0005-0000-0000-000041600000}"/>
    <cellStyle name="Normal 2 2 5 16 2 2" xfId="24675" xr:uid="{00000000-0005-0000-0000-000042600000}"/>
    <cellStyle name="Normal 2 2 5 16 2 3" xfId="24676" xr:uid="{00000000-0005-0000-0000-000043600000}"/>
    <cellStyle name="Normal 2 2 5 16 2 4" xfId="24677" xr:uid="{00000000-0005-0000-0000-000044600000}"/>
    <cellStyle name="Normal 2 2 5 16 2 5" xfId="24678" xr:uid="{00000000-0005-0000-0000-000045600000}"/>
    <cellStyle name="Normal 2 2 5 16 2 6" xfId="24679" xr:uid="{00000000-0005-0000-0000-000046600000}"/>
    <cellStyle name="Normal 2 2 5 16 2 7" xfId="24680" xr:uid="{00000000-0005-0000-0000-000047600000}"/>
    <cellStyle name="Normal 2 2 5 16 2 8" xfId="24681" xr:uid="{00000000-0005-0000-0000-000048600000}"/>
    <cellStyle name="Normal 2 2 5 16 2 9" xfId="24682" xr:uid="{00000000-0005-0000-0000-000049600000}"/>
    <cellStyle name="Normal 2 2 5 16 3" xfId="24683" xr:uid="{00000000-0005-0000-0000-00004A600000}"/>
    <cellStyle name="Normal 2 2 5 16 3 10" xfId="24684" xr:uid="{00000000-0005-0000-0000-00004B600000}"/>
    <cellStyle name="Normal 2 2 5 16 3 2" xfId="24685" xr:uid="{00000000-0005-0000-0000-00004C600000}"/>
    <cellStyle name="Normal 2 2 5 16 3 3" xfId="24686" xr:uid="{00000000-0005-0000-0000-00004D600000}"/>
    <cellStyle name="Normal 2 2 5 16 3 4" xfId="24687" xr:uid="{00000000-0005-0000-0000-00004E600000}"/>
    <cellStyle name="Normal 2 2 5 16 3 5" xfId="24688" xr:uid="{00000000-0005-0000-0000-00004F600000}"/>
    <cellStyle name="Normal 2 2 5 16 3 6" xfId="24689" xr:uid="{00000000-0005-0000-0000-000050600000}"/>
    <cellStyle name="Normal 2 2 5 16 3 7" xfId="24690" xr:uid="{00000000-0005-0000-0000-000051600000}"/>
    <cellStyle name="Normal 2 2 5 16 3 8" xfId="24691" xr:uid="{00000000-0005-0000-0000-000052600000}"/>
    <cellStyle name="Normal 2 2 5 16 3 9" xfId="24692" xr:uid="{00000000-0005-0000-0000-000053600000}"/>
    <cellStyle name="Normal 2 2 5 16 4" xfId="24693" xr:uid="{00000000-0005-0000-0000-000054600000}"/>
    <cellStyle name="Normal 2 2 5 16 4 10" xfId="24694" xr:uid="{00000000-0005-0000-0000-000055600000}"/>
    <cellStyle name="Normal 2 2 5 16 4 2" xfId="24695" xr:uid="{00000000-0005-0000-0000-000056600000}"/>
    <cellStyle name="Normal 2 2 5 16 4 3" xfId="24696" xr:uid="{00000000-0005-0000-0000-000057600000}"/>
    <cellStyle name="Normal 2 2 5 16 4 4" xfId="24697" xr:uid="{00000000-0005-0000-0000-000058600000}"/>
    <cellStyle name="Normal 2 2 5 16 4 5" xfId="24698" xr:uid="{00000000-0005-0000-0000-000059600000}"/>
    <cellStyle name="Normal 2 2 5 16 4 6" xfId="24699" xr:uid="{00000000-0005-0000-0000-00005A600000}"/>
    <cellStyle name="Normal 2 2 5 16 4 7" xfId="24700" xr:uid="{00000000-0005-0000-0000-00005B600000}"/>
    <cellStyle name="Normal 2 2 5 16 4 8" xfId="24701" xr:uid="{00000000-0005-0000-0000-00005C600000}"/>
    <cellStyle name="Normal 2 2 5 16 4 9" xfId="24702" xr:uid="{00000000-0005-0000-0000-00005D600000}"/>
    <cellStyle name="Normal 2 2 5 16 5" xfId="24703" xr:uid="{00000000-0005-0000-0000-00005E600000}"/>
    <cellStyle name="Normal 2 2 5 16 5 10" xfId="24704" xr:uid="{00000000-0005-0000-0000-00005F600000}"/>
    <cellStyle name="Normal 2 2 5 16 5 2" xfId="24705" xr:uid="{00000000-0005-0000-0000-000060600000}"/>
    <cellStyle name="Normal 2 2 5 16 5 3" xfId="24706" xr:uid="{00000000-0005-0000-0000-000061600000}"/>
    <cellStyle name="Normal 2 2 5 16 5 4" xfId="24707" xr:uid="{00000000-0005-0000-0000-000062600000}"/>
    <cellStyle name="Normal 2 2 5 16 5 5" xfId="24708" xr:uid="{00000000-0005-0000-0000-000063600000}"/>
    <cellStyle name="Normal 2 2 5 16 5 6" xfId="24709" xr:uid="{00000000-0005-0000-0000-000064600000}"/>
    <cellStyle name="Normal 2 2 5 16 5 7" xfId="24710" xr:uid="{00000000-0005-0000-0000-000065600000}"/>
    <cellStyle name="Normal 2 2 5 16 5 8" xfId="24711" xr:uid="{00000000-0005-0000-0000-000066600000}"/>
    <cellStyle name="Normal 2 2 5 16 5 9" xfId="24712" xr:uid="{00000000-0005-0000-0000-000067600000}"/>
    <cellStyle name="Normal 2 2 5 16 6" xfId="24713" xr:uid="{00000000-0005-0000-0000-000068600000}"/>
    <cellStyle name="Normal 2 2 5 16 7" xfId="24714" xr:uid="{00000000-0005-0000-0000-000069600000}"/>
    <cellStyle name="Normal 2 2 5 16 8" xfId="24715" xr:uid="{00000000-0005-0000-0000-00006A600000}"/>
    <cellStyle name="Normal 2 2 5 16 9" xfId="24716" xr:uid="{00000000-0005-0000-0000-00006B600000}"/>
    <cellStyle name="Normal 2 2 5 17" xfId="24717" xr:uid="{00000000-0005-0000-0000-00006C600000}"/>
    <cellStyle name="Normal 2 2 5 17 10" xfId="24718" xr:uid="{00000000-0005-0000-0000-00006D600000}"/>
    <cellStyle name="Normal 2 2 5 17 11" xfId="24719" xr:uid="{00000000-0005-0000-0000-00006E600000}"/>
    <cellStyle name="Normal 2 2 5 17 12" xfId="24720" xr:uid="{00000000-0005-0000-0000-00006F600000}"/>
    <cellStyle name="Normal 2 2 5 17 13" xfId="24721" xr:uid="{00000000-0005-0000-0000-000070600000}"/>
    <cellStyle name="Normal 2 2 5 17 14" xfId="24722" xr:uid="{00000000-0005-0000-0000-000071600000}"/>
    <cellStyle name="Normal 2 2 5 17 2" xfId="24723" xr:uid="{00000000-0005-0000-0000-000072600000}"/>
    <cellStyle name="Normal 2 2 5 17 2 10" xfId="24724" xr:uid="{00000000-0005-0000-0000-000073600000}"/>
    <cellStyle name="Normal 2 2 5 17 2 2" xfId="24725" xr:uid="{00000000-0005-0000-0000-000074600000}"/>
    <cellStyle name="Normal 2 2 5 17 2 3" xfId="24726" xr:uid="{00000000-0005-0000-0000-000075600000}"/>
    <cellStyle name="Normal 2 2 5 17 2 4" xfId="24727" xr:uid="{00000000-0005-0000-0000-000076600000}"/>
    <cellStyle name="Normal 2 2 5 17 2 5" xfId="24728" xr:uid="{00000000-0005-0000-0000-000077600000}"/>
    <cellStyle name="Normal 2 2 5 17 2 6" xfId="24729" xr:uid="{00000000-0005-0000-0000-000078600000}"/>
    <cellStyle name="Normal 2 2 5 17 2 7" xfId="24730" xr:uid="{00000000-0005-0000-0000-000079600000}"/>
    <cellStyle name="Normal 2 2 5 17 2 8" xfId="24731" xr:uid="{00000000-0005-0000-0000-00007A600000}"/>
    <cellStyle name="Normal 2 2 5 17 2 9" xfId="24732" xr:uid="{00000000-0005-0000-0000-00007B600000}"/>
    <cellStyle name="Normal 2 2 5 17 3" xfId="24733" xr:uid="{00000000-0005-0000-0000-00007C600000}"/>
    <cellStyle name="Normal 2 2 5 17 3 10" xfId="24734" xr:uid="{00000000-0005-0000-0000-00007D600000}"/>
    <cellStyle name="Normal 2 2 5 17 3 2" xfId="24735" xr:uid="{00000000-0005-0000-0000-00007E600000}"/>
    <cellStyle name="Normal 2 2 5 17 3 3" xfId="24736" xr:uid="{00000000-0005-0000-0000-00007F600000}"/>
    <cellStyle name="Normal 2 2 5 17 3 4" xfId="24737" xr:uid="{00000000-0005-0000-0000-000080600000}"/>
    <cellStyle name="Normal 2 2 5 17 3 5" xfId="24738" xr:uid="{00000000-0005-0000-0000-000081600000}"/>
    <cellStyle name="Normal 2 2 5 17 3 6" xfId="24739" xr:uid="{00000000-0005-0000-0000-000082600000}"/>
    <cellStyle name="Normal 2 2 5 17 3 7" xfId="24740" xr:uid="{00000000-0005-0000-0000-000083600000}"/>
    <cellStyle name="Normal 2 2 5 17 3 8" xfId="24741" xr:uid="{00000000-0005-0000-0000-000084600000}"/>
    <cellStyle name="Normal 2 2 5 17 3 9" xfId="24742" xr:uid="{00000000-0005-0000-0000-000085600000}"/>
    <cellStyle name="Normal 2 2 5 17 4" xfId="24743" xr:uid="{00000000-0005-0000-0000-000086600000}"/>
    <cellStyle name="Normal 2 2 5 17 4 10" xfId="24744" xr:uid="{00000000-0005-0000-0000-000087600000}"/>
    <cellStyle name="Normal 2 2 5 17 4 2" xfId="24745" xr:uid="{00000000-0005-0000-0000-000088600000}"/>
    <cellStyle name="Normal 2 2 5 17 4 3" xfId="24746" xr:uid="{00000000-0005-0000-0000-000089600000}"/>
    <cellStyle name="Normal 2 2 5 17 4 4" xfId="24747" xr:uid="{00000000-0005-0000-0000-00008A600000}"/>
    <cellStyle name="Normal 2 2 5 17 4 5" xfId="24748" xr:uid="{00000000-0005-0000-0000-00008B600000}"/>
    <cellStyle name="Normal 2 2 5 17 4 6" xfId="24749" xr:uid="{00000000-0005-0000-0000-00008C600000}"/>
    <cellStyle name="Normal 2 2 5 17 4 7" xfId="24750" xr:uid="{00000000-0005-0000-0000-00008D600000}"/>
    <cellStyle name="Normal 2 2 5 17 4 8" xfId="24751" xr:uid="{00000000-0005-0000-0000-00008E600000}"/>
    <cellStyle name="Normal 2 2 5 17 4 9" xfId="24752" xr:uid="{00000000-0005-0000-0000-00008F600000}"/>
    <cellStyle name="Normal 2 2 5 17 5" xfId="24753" xr:uid="{00000000-0005-0000-0000-000090600000}"/>
    <cellStyle name="Normal 2 2 5 17 5 10" xfId="24754" xr:uid="{00000000-0005-0000-0000-000091600000}"/>
    <cellStyle name="Normal 2 2 5 17 5 2" xfId="24755" xr:uid="{00000000-0005-0000-0000-000092600000}"/>
    <cellStyle name="Normal 2 2 5 17 5 3" xfId="24756" xr:uid="{00000000-0005-0000-0000-000093600000}"/>
    <cellStyle name="Normal 2 2 5 17 5 4" xfId="24757" xr:uid="{00000000-0005-0000-0000-000094600000}"/>
    <cellStyle name="Normal 2 2 5 17 5 5" xfId="24758" xr:uid="{00000000-0005-0000-0000-000095600000}"/>
    <cellStyle name="Normal 2 2 5 17 5 6" xfId="24759" xr:uid="{00000000-0005-0000-0000-000096600000}"/>
    <cellStyle name="Normal 2 2 5 17 5 7" xfId="24760" xr:uid="{00000000-0005-0000-0000-000097600000}"/>
    <cellStyle name="Normal 2 2 5 17 5 8" xfId="24761" xr:uid="{00000000-0005-0000-0000-000098600000}"/>
    <cellStyle name="Normal 2 2 5 17 5 9" xfId="24762" xr:uid="{00000000-0005-0000-0000-000099600000}"/>
    <cellStyle name="Normal 2 2 5 17 6" xfId="24763" xr:uid="{00000000-0005-0000-0000-00009A600000}"/>
    <cellStyle name="Normal 2 2 5 17 7" xfId="24764" xr:uid="{00000000-0005-0000-0000-00009B600000}"/>
    <cellStyle name="Normal 2 2 5 17 8" xfId="24765" xr:uid="{00000000-0005-0000-0000-00009C600000}"/>
    <cellStyle name="Normal 2 2 5 17 9" xfId="24766" xr:uid="{00000000-0005-0000-0000-00009D600000}"/>
    <cellStyle name="Normal 2 2 5 18" xfId="24767" xr:uid="{00000000-0005-0000-0000-00009E600000}"/>
    <cellStyle name="Normal 2 2 5 18 10" xfId="24768" xr:uid="{00000000-0005-0000-0000-00009F600000}"/>
    <cellStyle name="Normal 2 2 5 18 11" xfId="24769" xr:uid="{00000000-0005-0000-0000-0000A0600000}"/>
    <cellStyle name="Normal 2 2 5 18 12" xfId="24770" xr:uid="{00000000-0005-0000-0000-0000A1600000}"/>
    <cellStyle name="Normal 2 2 5 18 13" xfId="24771" xr:uid="{00000000-0005-0000-0000-0000A2600000}"/>
    <cellStyle name="Normal 2 2 5 18 14" xfId="24772" xr:uid="{00000000-0005-0000-0000-0000A3600000}"/>
    <cellStyle name="Normal 2 2 5 18 2" xfId="24773" xr:uid="{00000000-0005-0000-0000-0000A4600000}"/>
    <cellStyle name="Normal 2 2 5 18 2 10" xfId="24774" xr:uid="{00000000-0005-0000-0000-0000A5600000}"/>
    <cellStyle name="Normal 2 2 5 18 2 2" xfId="24775" xr:uid="{00000000-0005-0000-0000-0000A6600000}"/>
    <cellStyle name="Normal 2 2 5 18 2 3" xfId="24776" xr:uid="{00000000-0005-0000-0000-0000A7600000}"/>
    <cellStyle name="Normal 2 2 5 18 2 4" xfId="24777" xr:uid="{00000000-0005-0000-0000-0000A8600000}"/>
    <cellStyle name="Normal 2 2 5 18 2 5" xfId="24778" xr:uid="{00000000-0005-0000-0000-0000A9600000}"/>
    <cellStyle name="Normal 2 2 5 18 2 6" xfId="24779" xr:uid="{00000000-0005-0000-0000-0000AA600000}"/>
    <cellStyle name="Normal 2 2 5 18 2 7" xfId="24780" xr:uid="{00000000-0005-0000-0000-0000AB600000}"/>
    <cellStyle name="Normal 2 2 5 18 2 8" xfId="24781" xr:uid="{00000000-0005-0000-0000-0000AC600000}"/>
    <cellStyle name="Normal 2 2 5 18 2 9" xfId="24782" xr:uid="{00000000-0005-0000-0000-0000AD600000}"/>
    <cellStyle name="Normal 2 2 5 18 3" xfId="24783" xr:uid="{00000000-0005-0000-0000-0000AE600000}"/>
    <cellStyle name="Normal 2 2 5 18 3 10" xfId="24784" xr:uid="{00000000-0005-0000-0000-0000AF600000}"/>
    <cellStyle name="Normal 2 2 5 18 3 2" xfId="24785" xr:uid="{00000000-0005-0000-0000-0000B0600000}"/>
    <cellStyle name="Normal 2 2 5 18 3 3" xfId="24786" xr:uid="{00000000-0005-0000-0000-0000B1600000}"/>
    <cellStyle name="Normal 2 2 5 18 3 4" xfId="24787" xr:uid="{00000000-0005-0000-0000-0000B2600000}"/>
    <cellStyle name="Normal 2 2 5 18 3 5" xfId="24788" xr:uid="{00000000-0005-0000-0000-0000B3600000}"/>
    <cellStyle name="Normal 2 2 5 18 3 6" xfId="24789" xr:uid="{00000000-0005-0000-0000-0000B4600000}"/>
    <cellStyle name="Normal 2 2 5 18 3 7" xfId="24790" xr:uid="{00000000-0005-0000-0000-0000B5600000}"/>
    <cellStyle name="Normal 2 2 5 18 3 8" xfId="24791" xr:uid="{00000000-0005-0000-0000-0000B6600000}"/>
    <cellStyle name="Normal 2 2 5 18 3 9" xfId="24792" xr:uid="{00000000-0005-0000-0000-0000B7600000}"/>
    <cellStyle name="Normal 2 2 5 18 4" xfId="24793" xr:uid="{00000000-0005-0000-0000-0000B8600000}"/>
    <cellStyle name="Normal 2 2 5 18 4 10" xfId="24794" xr:uid="{00000000-0005-0000-0000-0000B9600000}"/>
    <cellStyle name="Normal 2 2 5 18 4 2" xfId="24795" xr:uid="{00000000-0005-0000-0000-0000BA600000}"/>
    <cellStyle name="Normal 2 2 5 18 4 3" xfId="24796" xr:uid="{00000000-0005-0000-0000-0000BB600000}"/>
    <cellStyle name="Normal 2 2 5 18 4 4" xfId="24797" xr:uid="{00000000-0005-0000-0000-0000BC600000}"/>
    <cellStyle name="Normal 2 2 5 18 4 5" xfId="24798" xr:uid="{00000000-0005-0000-0000-0000BD600000}"/>
    <cellStyle name="Normal 2 2 5 18 4 6" xfId="24799" xr:uid="{00000000-0005-0000-0000-0000BE600000}"/>
    <cellStyle name="Normal 2 2 5 18 4 7" xfId="24800" xr:uid="{00000000-0005-0000-0000-0000BF600000}"/>
    <cellStyle name="Normal 2 2 5 18 4 8" xfId="24801" xr:uid="{00000000-0005-0000-0000-0000C0600000}"/>
    <cellStyle name="Normal 2 2 5 18 4 9" xfId="24802" xr:uid="{00000000-0005-0000-0000-0000C1600000}"/>
    <cellStyle name="Normal 2 2 5 18 5" xfId="24803" xr:uid="{00000000-0005-0000-0000-0000C2600000}"/>
    <cellStyle name="Normal 2 2 5 18 5 10" xfId="24804" xr:uid="{00000000-0005-0000-0000-0000C3600000}"/>
    <cellStyle name="Normal 2 2 5 18 5 2" xfId="24805" xr:uid="{00000000-0005-0000-0000-0000C4600000}"/>
    <cellStyle name="Normal 2 2 5 18 5 3" xfId="24806" xr:uid="{00000000-0005-0000-0000-0000C5600000}"/>
    <cellStyle name="Normal 2 2 5 18 5 4" xfId="24807" xr:uid="{00000000-0005-0000-0000-0000C6600000}"/>
    <cellStyle name="Normal 2 2 5 18 5 5" xfId="24808" xr:uid="{00000000-0005-0000-0000-0000C7600000}"/>
    <cellStyle name="Normal 2 2 5 18 5 6" xfId="24809" xr:uid="{00000000-0005-0000-0000-0000C8600000}"/>
    <cellStyle name="Normal 2 2 5 18 5 7" xfId="24810" xr:uid="{00000000-0005-0000-0000-0000C9600000}"/>
    <cellStyle name="Normal 2 2 5 18 5 8" xfId="24811" xr:uid="{00000000-0005-0000-0000-0000CA600000}"/>
    <cellStyle name="Normal 2 2 5 18 5 9" xfId="24812" xr:uid="{00000000-0005-0000-0000-0000CB600000}"/>
    <cellStyle name="Normal 2 2 5 18 6" xfId="24813" xr:uid="{00000000-0005-0000-0000-0000CC600000}"/>
    <cellStyle name="Normal 2 2 5 18 7" xfId="24814" xr:uid="{00000000-0005-0000-0000-0000CD600000}"/>
    <cellStyle name="Normal 2 2 5 18 8" xfId="24815" xr:uid="{00000000-0005-0000-0000-0000CE600000}"/>
    <cellStyle name="Normal 2 2 5 18 9" xfId="24816" xr:uid="{00000000-0005-0000-0000-0000CF600000}"/>
    <cellStyle name="Normal 2 2 5 19" xfId="24817" xr:uid="{00000000-0005-0000-0000-0000D0600000}"/>
    <cellStyle name="Normal 2 2 5 19 10" xfId="24818" xr:uid="{00000000-0005-0000-0000-0000D1600000}"/>
    <cellStyle name="Normal 2 2 5 19 11" xfId="24819" xr:uid="{00000000-0005-0000-0000-0000D2600000}"/>
    <cellStyle name="Normal 2 2 5 19 12" xfId="24820" xr:uid="{00000000-0005-0000-0000-0000D3600000}"/>
    <cellStyle name="Normal 2 2 5 19 13" xfId="24821" xr:uid="{00000000-0005-0000-0000-0000D4600000}"/>
    <cellStyle name="Normal 2 2 5 19 14" xfId="24822" xr:uid="{00000000-0005-0000-0000-0000D5600000}"/>
    <cellStyle name="Normal 2 2 5 19 2" xfId="24823" xr:uid="{00000000-0005-0000-0000-0000D6600000}"/>
    <cellStyle name="Normal 2 2 5 19 2 10" xfId="24824" xr:uid="{00000000-0005-0000-0000-0000D7600000}"/>
    <cellStyle name="Normal 2 2 5 19 2 2" xfId="24825" xr:uid="{00000000-0005-0000-0000-0000D8600000}"/>
    <cellStyle name="Normal 2 2 5 19 2 3" xfId="24826" xr:uid="{00000000-0005-0000-0000-0000D9600000}"/>
    <cellStyle name="Normal 2 2 5 19 2 4" xfId="24827" xr:uid="{00000000-0005-0000-0000-0000DA600000}"/>
    <cellStyle name="Normal 2 2 5 19 2 5" xfId="24828" xr:uid="{00000000-0005-0000-0000-0000DB600000}"/>
    <cellStyle name="Normal 2 2 5 19 2 6" xfId="24829" xr:uid="{00000000-0005-0000-0000-0000DC600000}"/>
    <cellStyle name="Normal 2 2 5 19 2 7" xfId="24830" xr:uid="{00000000-0005-0000-0000-0000DD600000}"/>
    <cellStyle name="Normal 2 2 5 19 2 8" xfId="24831" xr:uid="{00000000-0005-0000-0000-0000DE600000}"/>
    <cellStyle name="Normal 2 2 5 19 2 9" xfId="24832" xr:uid="{00000000-0005-0000-0000-0000DF600000}"/>
    <cellStyle name="Normal 2 2 5 19 3" xfId="24833" xr:uid="{00000000-0005-0000-0000-0000E0600000}"/>
    <cellStyle name="Normal 2 2 5 19 3 10" xfId="24834" xr:uid="{00000000-0005-0000-0000-0000E1600000}"/>
    <cellStyle name="Normal 2 2 5 19 3 2" xfId="24835" xr:uid="{00000000-0005-0000-0000-0000E2600000}"/>
    <cellStyle name="Normal 2 2 5 19 3 3" xfId="24836" xr:uid="{00000000-0005-0000-0000-0000E3600000}"/>
    <cellStyle name="Normal 2 2 5 19 3 4" xfId="24837" xr:uid="{00000000-0005-0000-0000-0000E4600000}"/>
    <cellStyle name="Normal 2 2 5 19 3 5" xfId="24838" xr:uid="{00000000-0005-0000-0000-0000E5600000}"/>
    <cellStyle name="Normal 2 2 5 19 3 6" xfId="24839" xr:uid="{00000000-0005-0000-0000-0000E6600000}"/>
    <cellStyle name="Normal 2 2 5 19 3 7" xfId="24840" xr:uid="{00000000-0005-0000-0000-0000E7600000}"/>
    <cellStyle name="Normal 2 2 5 19 3 8" xfId="24841" xr:uid="{00000000-0005-0000-0000-0000E8600000}"/>
    <cellStyle name="Normal 2 2 5 19 3 9" xfId="24842" xr:uid="{00000000-0005-0000-0000-0000E9600000}"/>
    <cellStyle name="Normal 2 2 5 19 4" xfId="24843" xr:uid="{00000000-0005-0000-0000-0000EA600000}"/>
    <cellStyle name="Normal 2 2 5 19 4 10" xfId="24844" xr:uid="{00000000-0005-0000-0000-0000EB600000}"/>
    <cellStyle name="Normal 2 2 5 19 4 2" xfId="24845" xr:uid="{00000000-0005-0000-0000-0000EC600000}"/>
    <cellStyle name="Normal 2 2 5 19 4 3" xfId="24846" xr:uid="{00000000-0005-0000-0000-0000ED600000}"/>
    <cellStyle name="Normal 2 2 5 19 4 4" xfId="24847" xr:uid="{00000000-0005-0000-0000-0000EE600000}"/>
    <cellStyle name="Normal 2 2 5 19 4 5" xfId="24848" xr:uid="{00000000-0005-0000-0000-0000EF600000}"/>
    <cellStyle name="Normal 2 2 5 19 4 6" xfId="24849" xr:uid="{00000000-0005-0000-0000-0000F0600000}"/>
    <cellStyle name="Normal 2 2 5 19 4 7" xfId="24850" xr:uid="{00000000-0005-0000-0000-0000F1600000}"/>
    <cellStyle name="Normal 2 2 5 19 4 8" xfId="24851" xr:uid="{00000000-0005-0000-0000-0000F2600000}"/>
    <cellStyle name="Normal 2 2 5 19 4 9" xfId="24852" xr:uid="{00000000-0005-0000-0000-0000F3600000}"/>
    <cellStyle name="Normal 2 2 5 19 5" xfId="24853" xr:uid="{00000000-0005-0000-0000-0000F4600000}"/>
    <cellStyle name="Normal 2 2 5 19 5 10" xfId="24854" xr:uid="{00000000-0005-0000-0000-0000F5600000}"/>
    <cellStyle name="Normal 2 2 5 19 5 2" xfId="24855" xr:uid="{00000000-0005-0000-0000-0000F6600000}"/>
    <cellStyle name="Normal 2 2 5 19 5 3" xfId="24856" xr:uid="{00000000-0005-0000-0000-0000F7600000}"/>
    <cellStyle name="Normal 2 2 5 19 5 4" xfId="24857" xr:uid="{00000000-0005-0000-0000-0000F8600000}"/>
    <cellStyle name="Normal 2 2 5 19 5 5" xfId="24858" xr:uid="{00000000-0005-0000-0000-0000F9600000}"/>
    <cellStyle name="Normal 2 2 5 19 5 6" xfId="24859" xr:uid="{00000000-0005-0000-0000-0000FA600000}"/>
    <cellStyle name="Normal 2 2 5 19 5 7" xfId="24860" xr:uid="{00000000-0005-0000-0000-0000FB600000}"/>
    <cellStyle name="Normal 2 2 5 19 5 8" xfId="24861" xr:uid="{00000000-0005-0000-0000-0000FC600000}"/>
    <cellStyle name="Normal 2 2 5 19 5 9" xfId="24862" xr:uid="{00000000-0005-0000-0000-0000FD600000}"/>
    <cellStyle name="Normal 2 2 5 19 6" xfId="24863" xr:uid="{00000000-0005-0000-0000-0000FE600000}"/>
    <cellStyle name="Normal 2 2 5 19 7" xfId="24864" xr:uid="{00000000-0005-0000-0000-0000FF600000}"/>
    <cellStyle name="Normal 2 2 5 19 8" xfId="24865" xr:uid="{00000000-0005-0000-0000-000000610000}"/>
    <cellStyle name="Normal 2 2 5 19 9" xfId="24866" xr:uid="{00000000-0005-0000-0000-000001610000}"/>
    <cellStyle name="Normal 2 2 5 2" xfId="24867" xr:uid="{00000000-0005-0000-0000-000002610000}"/>
    <cellStyle name="Normal 2 2 5 2 10" xfId="24868" xr:uid="{00000000-0005-0000-0000-000003610000}"/>
    <cellStyle name="Normal 2 2 5 2 11" xfId="24869" xr:uid="{00000000-0005-0000-0000-000004610000}"/>
    <cellStyle name="Normal 2 2 5 2 12" xfId="24870" xr:uid="{00000000-0005-0000-0000-000005610000}"/>
    <cellStyle name="Normal 2 2 5 2 13" xfId="24871" xr:uid="{00000000-0005-0000-0000-000006610000}"/>
    <cellStyle name="Normal 2 2 5 2 14" xfId="24872" xr:uid="{00000000-0005-0000-0000-000007610000}"/>
    <cellStyle name="Normal 2 2 5 2 15" xfId="24873" xr:uid="{00000000-0005-0000-0000-000008610000}"/>
    <cellStyle name="Normal 2 2 5 2 16" xfId="24874" xr:uid="{00000000-0005-0000-0000-000009610000}"/>
    <cellStyle name="Normal 2 2 5 2 17" xfId="24875" xr:uid="{00000000-0005-0000-0000-00000A610000}"/>
    <cellStyle name="Normal 2 2 5 2 18" xfId="24876" xr:uid="{00000000-0005-0000-0000-00000B610000}"/>
    <cellStyle name="Normal 2 2 5 2 19" xfId="24877" xr:uid="{00000000-0005-0000-0000-00000C610000}"/>
    <cellStyle name="Normal 2 2 5 2 2" xfId="24878" xr:uid="{00000000-0005-0000-0000-00000D610000}"/>
    <cellStyle name="Normal 2 2 5 2 20" xfId="24879" xr:uid="{00000000-0005-0000-0000-00000E610000}"/>
    <cellStyle name="Normal 2 2 5 2 21" xfId="24880" xr:uid="{00000000-0005-0000-0000-00000F610000}"/>
    <cellStyle name="Normal 2 2 5 2 21 10" xfId="24881" xr:uid="{00000000-0005-0000-0000-000010610000}"/>
    <cellStyle name="Normal 2 2 5 2 21 2" xfId="24882" xr:uid="{00000000-0005-0000-0000-000011610000}"/>
    <cellStyle name="Normal 2 2 5 2 21 3" xfId="24883" xr:uid="{00000000-0005-0000-0000-000012610000}"/>
    <cellStyle name="Normal 2 2 5 2 21 4" xfId="24884" xr:uid="{00000000-0005-0000-0000-000013610000}"/>
    <cellStyle name="Normal 2 2 5 2 21 5" xfId="24885" xr:uid="{00000000-0005-0000-0000-000014610000}"/>
    <cellStyle name="Normal 2 2 5 2 21 6" xfId="24886" xr:uid="{00000000-0005-0000-0000-000015610000}"/>
    <cellStyle name="Normal 2 2 5 2 21 7" xfId="24887" xr:uid="{00000000-0005-0000-0000-000016610000}"/>
    <cellStyle name="Normal 2 2 5 2 21 8" xfId="24888" xr:uid="{00000000-0005-0000-0000-000017610000}"/>
    <cellStyle name="Normal 2 2 5 2 21 9" xfId="24889" xr:uid="{00000000-0005-0000-0000-000018610000}"/>
    <cellStyle name="Normal 2 2 5 2 22" xfId="24890" xr:uid="{00000000-0005-0000-0000-000019610000}"/>
    <cellStyle name="Normal 2 2 5 2 22 10" xfId="24891" xr:uid="{00000000-0005-0000-0000-00001A610000}"/>
    <cellStyle name="Normal 2 2 5 2 22 2" xfId="24892" xr:uid="{00000000-0005-0000-0000-00001B610000}"/>
    <cellStyle name="Normal 2 2 5 2 22 3" xfId="24893" xr:uid="{00000000-0005-0000-0000-00001C610000}"/>
    <cellStyle name="Normal 2 2 5 2 22 4" xfId="24894" xr:uid="{00000000-0005-0000-0000-00001D610000}"/>
    <cellStyle name="Normal 2 2 5 2 22 5" xfId="24895" xr:uid="{00000000-0005-0000-0000-00001E610000}"/>
    <cellStyle name="Normal 2 2 5 2 22 6" xfId="24896" xr:uid="{00000000-0005-0000-0000-00001F610000}"/>
    <cellStyle name="Normal 2 2 5 2 22 7" xfId="24897" xr:uid="{00000000-0005-0000-0000-000020610000}"/>
    <cellStyle name="Normal 2 2 5 2 22 8" xfId="24898" xr:uid="{00000000-0005-0000-0000-000021610000}"/>
    <cellStyle name="Normal 2 2 5 2 22 9" xfId="24899" xr:uid="{00000000-0005-0000-0000-000022610000}"/>
    <cellStyle name="Normal 2 2 5 2 23" xfId="24900" xr:uid="{00000000-0005-0000-0000-000023610000}"/>
    <cellStyle name="Normal 2 2 5 2 23 10" xfId="24901" xr:uid="{00000000-0005-0000-0000-000024610000}"/>
    <cellStyle name="Normal 2 2 5 2 23 2" xfId="24902" xr:uid="{00000000-0005-0000-0000-000025610000}"/>
    <cellStyle name="Normal 2 2 5 2 23 3" xfId="24903" xr:uid="{00000000-0005-0000-0000-000026610000}"/>
    <cellStyle name="Normal 2 2 5 2 23 4" xfId="24904" xr:uid="{00000000-0005-0000-0000-000027610000}"/>
    <cellStyle name="Normal 2 2 5 2 23 5" xfId="24905" xr:uid="{00000000-0005-0000-0000-000028610000}"/>
    <cellStyle name="Normal 2 2 5 2 23 6" xfId="24906" xr:uid="{00000000-0005-0000-0000-000029610000}"/>
    <cellStyle name="Normal 2 2 5 2 23 7" xfId="24907" xr:uid="{00000000-0005-0000-0000-00002A610000}"/>
    <cellStyle name="Normal 2 2 5 2 23 8" xfId="24908" xr:uid="{00000000-0005-0000-0000-00002B610000}"/>
    <cellStyle name="Normal 2 2 5 2 23 9" xfId="24909" xr:uid="{00000000-0005-0000-0000-00002C610000}"/>
    <cellStyle name="Normal 2 2 5 2 24" xfId="24910" xr:uid="{00000000-0005-0000-0000-00002D610000}"/>
    <cellStyle name="Normal 2 2 5 2 24 10" xfId="24911" xr:uid="{00000000-0005-0000-0000-00002E610000}"/>
    <cellStyle name="Normal 2 2 5 2 24 2" xfId="24912" xr:uid="{00000000-0005-0000-0000-00002F610000}"/>
    <cellStyle name="Normal 2 2 5 2 24 3" xfId="24913" xr:uid="{00000000-0005-0000-0000-000030610000}"/>
    <cellStyle name="Normal 2 2 5 2 24 4" xfId="24914" xr:uid="{00000000-0005-0000-0000-000031610000}"/>
    <cellStyle name="Normal 2 2 5 2 24 5" xfId="24915" xr:uid="{00000000-0005-0000-0000-000032610000}"/>
    <cellStyle name="Normal 2 2 5 2 24 6" xfId="24916" xr:uid="{00000000-0005-0000-0000-000033610000}"/>
    <cellStyle name="Normal 2 2 5 2 24 7" xfId="24917" xr:uid="{00000000-0005-0000-0000-000034610000}"/>
    <cellStyle name="Normal 2 2 5 2 24 8" xfId="24918" xr:uid="{00000000-0005-0000-0000-000035610000}"/>
    <cellStyle name="Normal 2 2 5 2 24 9" xfId="24919" xr:uid="{00000000-0005-0000-0000-000036610000}"/>
    <cellStyle name="Normal 2 2 5 2 25" xfId="24920" xr:uid="{00000000-0005-0000-0000-000037610000}"/>
    <cellStyle name="Normal 2 2 5 2 26" xfId="24921" xr:uid="{00000000-0005-0000-0000-000038610000}"/>
    <cellStyle name="Normal 2 2 5 2 27" xfId="24922" xr:uid="{00000000-0005-0000-0000-000039610000}"/>
    <cellStyle name="Normal 2 2 5 2 28" xfId="24923" xr:uid="{00000000-0005-0000-0000-00003A610000}"/>
    <cellStyle name="Normal 2 2 5 2 29" xfId="24924" xr:uid="{00000000-0005-0000-0000-00003B610000}"/>
    <cellStyle name="Normal 2 2 5 2 3" xfId="24925" xr:uid="{00000000-0005-0000-0000-00003C610000}"/>
    <cellStyle name="Normal 2 2 5 2 30" xfId="24926" xr:uid="{00000000-0005-0000-0000-00003D610000}"/>
    <cellStyle name="Normal 2 2 5 2 31" xfId="24927" xr:uid="{00000000-0005-0000-0000-00003E610000}"/>
    <cellStyle name="Normal 2 2 5 2 32" xfId="24928" xr:uid="{00000000-0005-0000-0000-00003F610000}"/>
    <cellStyle name="Normal 2 2 5 2 33" xfId="24929" xr:uid="{00000000-0005-0000-0000-000040610000}"/>
    <cellStyle name="Normal 2 2 5 2 4" xfId="24930" xr:uid="{00000000-0005-0000-0000-000041610000}"/>
    <cellStyle name="Normal 2 2 5 2 5" xfId="24931" xr:uid="{00000000-0005-0000-0000-000042610000}"/>
    <cellStyle name="Normal 2 2 5 2 6" xfId="24932" xr:uid="{00000000-0005-0000-0000-000043610000}"/>
    <cellStyle name="Normal 2 2 5 2 7" xfId="24933" xr:uid="{00000000-0005-0000-0000-000044610000}"/>
    <cellStyle name="Normal 2 2 5 2 8" xfId="24934" xr:uid="{00000000-0005-0000-0000-000045610000}"/>
    <cellStyle name="Normal 2 2 5 2 9" xfId="24935" xr:uid="{00000000-0005-0000-0000-000046610000}"/>
    <cellStyle name="Normal 2 2 5 20" xfId="24936" xr:uid="{00000000-0005-0000-0000-000047610000}"/>
    <cellStyle name="Normal 2 2 5 20 10" xfId="24937" xr:uid="{00000000-0005-0000-0000-000048610000}"/>
    <cellStyle name="Normal 2 2 5 20 11" xfId="24938" xr:uid="{00000000-0005-0000-0000-000049610000}"/>
    <cellStyle name="Normal 2 2 5 20 12" xfId="24939" xr:uid="{00000000-0005-0000-0000-00004A610000}"/>
    <cellStyle name="Normal 2 2 5 20 13" xfId="24940" xr:uid="{00000000-0005-0000-0000-00004B610000}"/>
    <cellStyle name="Normal 2 2 5 20 14" xfId="24941" xr:uid="{00000000-0005-0000-0000-00004C610000}"/>
    <cellStyle name="Normal 2 2 5 20 2" xfId="24942" xr:uid="{00000000-0005-0000-0000-00004D610000}"/>
    <cellStyle name="Normal 2 2 5 20 2 10" xfId="24943" xr:uid="{00000000-0005-0000-0000-00004E610000}"/>
    <cellStyle name="Normal 2 2 5 20 2 2" xfId="24944" xr:uid="{00000000-0005-0000-0000-00004F610000}"/>
    <cellStyle name="Normal 2 2 5 20 2 3" xfId="24945" xr:uid="{00000000-0005-0000-0000-000050610000}"/>
    <cellStyle name="Normal 2 2 5 20 2 4" xfId="24946" xr:uid="{00000000-0005-0000-0000-000051610000}"/>
    <cellStyle name="Normal 2 2 5 20 2 5" xfId="24947" xr:uid="{00000000-0005-0000-0000-000052610000}"/>
    <cellStyle name="Normal 2 2 5 20 2 6" xfId="24948" xr:uid="{00000000-0005-0000-0000-000053610000}"/>
    <cellStyle name="Normal 2 2 5 20 2 7" xfId="24949" xr:uid="{00000000-0005-0000-0000-000054610000}"/>
    <cellStyle name="Normal 2 2 5 20 2 8" xfId="24950" xr:uid="{00000000-0005-0000-0000-000055610000}"/>
    <cellStyle name="Normal 2 2 5 20 2 9" xfId="24951" xr:uid="{00000000-0005-0000-0000-000056610000}"/>
    <cellStyle name="Normal 2 2 5 20 3" xfId="24952" xr:uid="{00000000-0005-0000-0000-000057610000}"/>
    <cellStyle name="Normal 2 2 5 20 3 10" xfId="24953" xr:uid="{00000000-0005-0000-0000-000058610000}"/>
    <cellStyle name="Normal 2 2 5 20 3 2" xfId="24954" xr:uid="{00000000-0005-0000-0000-000059610000}"/>
    <cellStyle name="Normal 2 2 5 20 3 3" xfId="24955" xr:uid="{00000000-0005-0000-0000-00005A610000}"/>
    <cellStyle name="Normal 2 2 5 20 3 4" xfId="24956" xr:uid="{00000000-0005-0000-0000-00005B610000}"/>
    <cellStyle name="Normal 2 2 5 20 3 5" xfId="24957" xr:uid="{00000000-0005-0000-0000-00005C610000}"/>
    <cellStyle name="Normal 2 2 5 20 3 6" xfId="24958" xr:uid="{00000000-0005-0000-0000-00005D610000}"/>
    <cellStyle name="Normal 2 2 5 20 3 7" xfId="24959" xr:uid="{00000000-0005-0000-0000-00005E610000}"/>
    <cellStyle name="Normal 2 2 5 20 3 8" xfId="24960" xr:uid="{00000000-0005-0000-0000-00005F610000}"/>
    <cellStyle name="Normal 2 2 5 20 3 9" xfId="24961" xr:uid="{00000000-0005-0000-0000-000060610000}"/>
    <cellStyle name="Normal 2 2 5 20 4" xfId="24962" xr:uid="{00000000-0005-0000-0000-000061610000}"/>
    <cellStyle name="Normal 2 2 5 20 4 10" xfId="24963" xr:uid="{00000000-0005-0000-0000-000062610000}"/>
    <cellStyle name="Normal 2 2 5 20 4 2" xfId="24964" xr:uid="{00000000-0005-0000-0000-000063610000}"/>
    <cellStyle name="Normal 2 2 5 20 4 3" xfId="24965" xr:uid="{00000000-0005-0000-0000-000064610000}"/>
    <cellStyle name="Normal 2 2 5 20 4 4" xfId="24966" xr:uid="{00000000-0005-0000-0000-000065610000}"/>
    <cellStyle name="Normal 2 2 5 20 4 5" xfId="24967" xr:uid="{00000000-0005-0000-0000-000066610000}"/>
    <cellStyle name="Normal 2 2 5 20 4 6" xfId="24968" xr:uid="{00000000-0005-0000-0000-000067610000}"/>
    <cellStyle name="Normal 2 2 5 20 4 7" xfId="24969" xr:uid="{00000000-0005-0000-0000-000068610000}"/>
    <cellStyle name="Normal 2 2 5 20 4 8" xfId="24970" xr:uid="{00000000-0005-0000-0000-000069610000}"/>
    <cellStyle name="Normal 2 2 5 20 4 9" xfId="24971" xr:uid="{00000000-0005-0000-0000-00006A610000}"/>
    <cellStyle name="Normal 2 2 5 20 5" xfId="24972" xr:uid="{00000000-0005-0000-0000-00006B610000}"/>
    <cellStyle name="Normal 2 2 5 20 5 10" xfId="24973" xr:uid="{00000000-0005-0000-0000-00006C610000}"/>
    <cellStyle name="Normal 2 2 5 20 5 2" xfId="24974" xr:uid="{00000000-0005-0000-0000-00006D610000}"/>
    <cellStyle name="Normal 2 2 5 20 5 3" xfId="24975" xr:uid="{00000000-0005-0000-0000-00006E610000}"/>
    <cellStyle name="Normal 2 2 5 20 5 4" xfId="24976" xr:uid="{00000000-0005-0000-0000-00006F610000}"/>
    <cellStyle name="Normal 2 2 5 20 5 5" xfId="24977" xr:uid="{00000000-0005-0000-0000-000070610000}"/>
    <cellStyle name="Normal 2 2 5 20 5 6" xfId="24978" xr:uid="{00000000-0005-0000-0000-000071610000}"/>
    <cellStyle name="Normal 2 2 5 20 5 7" xfId="24979" xr:uid="{00000000-0005-0000-0000-000072610000}"/>
    <cellStyle name="Normal 2 2 5 20 5 8" xfId="24980" xr:uid="{00000000-0005-0000-0000-000073610000}"/>
    <cellStyle name="Normal 2 2 5 20 5 9" xfId="24981" xr:uid="{00000000-0005-0000-0000-000074610000}"/>
    <cellStyle name="Normal 2 2 5 20 6" xfId="24982" xr:uid="{00000000-0005-0000-0000-000075610000}"/>
    <cellStyle name="Normal 2 2 5 20 7" xfId="24983" xr:uid="{00000000-0005-0000-0000-000076610000}"/>
    <cellStyle name="Normal 2 2 5 20 8" xfId="24984" xr:uid="{00000000-0005-0000-0000-000077610000}"/>
    <cellStyle name="Normal 2 2 5 20 9" xfId="24985" xr:uid="{00000000-0005-0000-0000-000078610000}"/>
    <cellStyle name="Normal 2 2 5 21" xfId="24986" xr:uid="{00000000-0005-0000-0000-000079610000}"/>
    <cellStyle name="Normal 2 2 5 22" xfId="24987" xr:uid="{00000000-0005-0000-0000-00007A610000}"/>
    <cellStyle name="Normal 2 2 5 23" xfId="24988" xr:uid="{00000000-0005-0000-0000-00007B610000}"/>
    <cellStyle name="Normal 2 2 5 24" xfId="24366" xr:uid="{00000000-0005-0000-0000-00007C610000}"/>
    <cellStyle name="Normal 2 2 5 3" xfId="24989" xr:uid="{00000000-0005-0000-0000-00007D610000}"/>
    <cellStyle name="Normal 2 2 5 3 10" xfId="24990" xr:uid="{00000000-0005-0000-0000-00007E610000}"/>
    <cellStyle name="Normal 2 2 5 3 11" xfId="24991" xr:uid="{00000000-0005-0000-0000-00007F610000}"/>
    <cellStyle name="Normal 2 2 5 3 12" xfId="24992" xr:uid="{00000000-0005-0000-0000-000080610000}"/>
    <cellStyle name="Normal 2 2 5 3 13" xfId="24993" xr:uid="{00000000-0005-0000-0000-000081610000}"/>
    <cellStyle name="Normal 2 2 5 3 14" xfId="24994" xr:uid="{00000000-0005-0000-0000-000082610000}"/>
    <cellStyle name="Normal 2 2 5 3 2" xfId="24995" xr:uid="{00000000-0005-0000-0000-000083610000}"/>
    <cellStyle name="Normal 2 2 5 3 2 10" xfId="24996" xr:uid="{00000000-0005-0000-0000-000084610000}"/>
    <cellStyle name="Normal 2 2 5 3 2 2" xfId="24997" xr:uid="{00000000-0005-0000-0000-000085610000}"/>
    <cellStyle name="Normal 2 2 5 3 2 3" xfId="24998" xr:uid="{00000000-0005-0000-0000-000086610000}"/>
    <cellStyle name="Normal 2 2 5 3 2 4" xfId="24999" xr:uid="{00000000-0005-0000-0000-000087610000}"/>
    <cellStyle name="Normal 2 2 5 3 2 5" xfId="25000" xr:uid="{00000000-0005-0000-0000-000088610000}"/>
    <cellStyle name="Normal 2 2 5 3 2 6" xfId="25001" xr:uid="{00000000-0005-0000-0000-000089610000}"/>
    <cellStyle name="Normal 2 2 5 3 2 7" xfId="25002" xr:uid="{00000000-0005-0000-0000-00008A610000}"/>
    <cellStyle name="Normal 2 2 5 3 2 8" xfId="25003" xr:uid="{00000000-0005-0000-0000-00008B610000}"/>
    <cellStyle name="Normal 2 2 5 3 2 9" xfId="25004" xr:uid="{00000000-0005-0000-0000-00008C610000}"/>
    <cellStyle name="Normal 2 2 5 3 3" xfId="25005" xr:uid="{00000000-0005-0000-0000-00008D610000}"/>
    <cellStyle name="Normal 2 2 5 3 3 10" xfId="25006" xr:uid="{00000000-0005-0000-0000-00008E610000}"/>
    <cellStyle name="Normal 2 2 5 3 3 2" xfId="25007" xr:uid="{00000000-0005-0000-0000-00008F610000}"/>
    <cellStyle name="Normal 2 2 5 3 3 3" xfId="25008" xr:uid="{00000000-0005-0000-0000-000090610000}"/>
    <cellStyle name="Normal 2 2 5 3 3 4" xfId="25009" xr:uid="{00000000-0005-0000-0000-000091610000}"/>
    <cellStyle name="Normal 2 2 5 3 3 5" xfId="25010" xr:uid="{00000000-0005-0000-0000-000092610000}"/>
    <cellStyle name="Normal 2 2 5 3 3 6" xfId="25011" xr:uid="{00000000-0005-0000-0000-000093610000}"/>
    <cellStyle name="Normal 2 2 5 3 3 7" xfId="25012" xr:uid="{00000000-0005-0000-0000-000094610000}"/>
    <cellStyle name="Normal 2 2 5 3 3 8" xfId="25013" xr:uid="{00000000-0005-0000-0000-000095610000}"/>
    <cellStyle name="Normal 2 2 5 3 3 9" xfId="25014" xr:uid="{00000000-0005-0000-0000-000096610000}"/>
    <cellStyle name="Normal 2 2 5 3 4" xfId="25015" xr:uid="{00000000-0005-0000-0000-000097610000}"/>
    <cellStyle name="Normal 2 2 5 3 4 10" xfId="25016" xr:uid="{00000000-0005-0000-0000-000098610000}"/>
    <cellStyle name="Normal 2 2 5 3 4 2" xfId="25017" xr:uid="{00000000-0005-0000-0000-000099610000}"/>
    <cellStyle name="Normal 2 2 5 3 4 3" xfId="25018" xr:uid="{00000000-0005-0000-0000-00009A610000}"/>
    <cellStyle name="Normal 2 2 5 3 4 4" xfId="25019" xr:uid="{00000000-0005-0000-0000-00009B610000}"/>
    <cellStyle name="Normal 2 2 5 3 4 5" xfId="25020" xr:uid="{00000000-0005-0000-0000-00009C610000}"/>
    <cellStyle name="Normal 2 2 5 3 4 6" xfId="25021" xr:uid="{00000000-0005-0000-0000-00009D610000}"/>
    <cellStyle name="Normal 2 2 5 3 4 7" xfId="25022" xr:uid="{00000000-0005-0000-0000-00009E610000}"/>
    <cellStyle name="Normal 2 2 5 3 4 8" xfId="25023" xr:uid="{00000000-0005-0000-0000-00009F610000}"/>
    <cellStyle name="Normal 2 2 5 3 4 9" xfId="25024" xr:uid="{00000000-0005-0000-0000-0000A0610000}"/>
    <cellStyle name="Normal 2 2 5 3 5" xfId="25025" xr:uid="{00000000-0005-0000-0000-0000A1610000}"/>
    <cellStyle name="Normal 2 2 5 3 5 10" xfId="25026" xr:uid="{00000000-0005-0000-0000-0000A2610000}"/>
    <cellStyle name="Normal 2 2 5 3 5 2" xfId="25027" xr:uid="{00000000-0005-0000-0000-0000A3610000}"/>
    <cellStyle name="Normal 2 2 5 3 5 3" xfId="25028" xr:uid="{00000000-0005-0000-0000-0000A4610000}"/>
    <cellStyle name="Normal 2 2 5 3 5 4" xfId="25029" xr:uid="{00000000-0005-0000-0000-0000A5610000}"/>
    <cellStyle name="Normal 2 2 5 3 5 5" xfId="25030" xr:uid="{00000000-0005-0000-0000-0000A6610000}"/>
    <cellStyle name="Normal 2 2 5 3 5 6" xfId="25031" xr:uid="{00000000-0005-0000-0000-0000A7610000}"/>
    <cellStyle name="Normal 2 2 5 3 5 7" xfId="25032" xr:uid="{00000000-0005-0000-0000-0000A8610000}"/>
    <cellStyle name="Normal 2 2 5 3 5 8" xfId="25033" xr:uid="{00000000-0005-0000-0000-0000A9610000}"/>
    <cellStyle name="Normal 2 2 5 3 5 9" xfId="25034" xr:uid="{00000000-0005-0000-0000-0000AA610000}"/>
    <cellStyle name="Normal 2 2 5 3 6" xfId="25035" xr:uid="{00000000-0005-0000-0000-0000AB610000}"/>
    <cellStyle name="Normal 2 2 5 3 7" xfId="25036" xr:uid="{00000000-0005-0000-0000-0000AC610000}"/>
    <cellStyle name="Normal 2 2 5 3 8" xfId="25037" xr:uid="{00000000-0005-0000-0000-0000AD610000}"/>
    <cellStyle name="Normal 2 2 5 3 9" xfId="25038" xr:uid="{00000000-0005-0000-0000-0000AE610000}"/>
    <cellStyle name="Normal 2 2 5 4" xfId="25039" xr:uid="{00000000-0005-0000-0000-0000AF610000}"/>
    <cellStyle name="Normal 2 2 5 4 10" xfId="25040" xr:uid="{00000000-0005-0000-0000-0000B0610000}"/>
    <cellStyle name="Normal 2 2 5 4 11" xfId="25041" xr:uid="{00000000-0005-0000-0000-0000B1610000}"/>
    <cellStyle name="Normal 2 2 5 4 12" xfId="25042" xr:uid="{00000000-0005-0000-0000-0000B2610000}"/>
    <cellStyle name="Normal 2 2 5 4 13" xfId="25043" xr:uid="{00000000-0005-0000-0000-0000B3610000}"/>
    <cellStyle name="Normal 2 2 5 4 14" xfId="25044" xr:uid="{00000000-0005-0000-0000-0000B4610000}"/>
    <cellStyle name="Normal 2 2 5 4 2" xfId="25045" xr:uid="{00000000-0005-0000-0000-0000B5610000}"/>
    <cellStyle name="Normal 2 2 5 4 2 10" xfId="25046" xr:uid="{00000000-0005-0000-0000-0000B6610000}"/>
    <cellStyle name="Normal 2 2 5 4 2 2" xfId="25047" xr:uid="{00000000-0005-0000-0000-0000B7610000}"/>
    <cellStyle name="Normal 2 2 5 4 2 3" xfId="25048" xr:uid="{00000000-0005-0000-0000-0000B8610000}"/>
    <cellStyle name="Normal 2 2 5 4 2 4" xfId="25049" xr:uid="{00000000-0005-0000-0000-0000B9610000}"/>
    <cellStyle name="Normal 2 2 5 4 2 5" xfId="25050" xr:uid="{00000000-0005-0000-0000-0000BA610000}"/>
    <cellStyle name="Normal 2 2 5 4 2 6" xfId="25051" xr:uid="{00000000-0005-0000-0000-0000BB610000}"/>
    <cellStyle name="Normal 2 2 5 4 2 7" xfId="25052" xr:uid="{00000000-0005-0000-0000-0000BC610000}"/>
    <cellStyle name="Normal 2 2 5 4 2 8" xfId="25053" xr:uid="{00000000-0005-0000-0000-0000BD610000}"/>
    <cellStyle name="Normal 2 2 5 4 2 9" xfId="25054" xr:uid="{00000000-0005-0000-0000-0000BE610000}"/>
    <cellStyle name="Normal 2 2 5 4 3" xfId="25055" xr:uid="{00000000-0005-0000-0000-0000BF610000}"/>
    <cellStyle name="Normal 2 2 5 4 3 10" xfId="25056" xr:uid="{00000000-0005-0000-0000-0000C0610000}"/>
    <cellStyle name="Normal 2 2 5 4 3 2" xfId="25057" xr:uid="{00000000-0005-0000-0000-0000C1610000}"/>
    <cellStyle name="Normal 2 2 5 4 3 3" xfId="25058" xr:uid="{00000000-0005-0000-0000-0000C2610000}"/>
    <cellStyle name="Normal 2 2 5 4 3 4" xfId="25059" xr:uid="{00000000-0005-0000-0000-0000C3610000}"/>
    <cellStyle name="Normal 2 2 5 4 3 5" xfId="25060" xr:uid="{00000000-0005-0000-0000-0000C4610000}"/>
    <cellStyle name="Normal 2 2 5 4 3 6" xfId="25061" xr:uid="{00000000-0005-0000-0000-0000C5610000}"/>
    <cellStyle name="Normal 2 2 5 4 3 7" xfId="25062" xr:uid="{00000000-0005-0000-0000-0000C6610000}"/>
    <cellStyle name="Normal 2 2 5 4 3 8" xfId="25063" xr:uid="{00000000-0005-0000-0000-0000C7610000}"/>
    <cellStyle name="Normal 2 2 5 4 3 9" xfId="25064" xr:uid="{00000000-0005-0000-0000-0000C8610000}"/>
    <cellStyle name="Normal 2 2 5 4 4" xfId="25065" xr:uid="{00000000-0005-0000-0000-0000C9610000}"/>
    <cellStyle name="Normal 2 2 5 4 4 10" xfId="25066" xr:uid="{00000000-0005-0000-0000-0000CA610000}"/>
    <cellStyle name="Normal 2 2 5 4 4 2" xfId="25067" xr:uid="{00000000-0005-0000-0000-0000CB610000}"/>
    <cellStyle name="Normal 2 2 5 4 4 3" xfId="25068" xr:uid="{00000000-0005-0000-0000-0000CC610000}"/>
    <cellStyle name="Normal 2 2 5 4 4 4" xfId="25069" xr:uid="{00000000-0005-0000-0000-0000CD610000}"/>
    <cellStyle name="Normal 2 2 5 4 4 5" xfId="25070" xr:uid="{00000000-0005-0000-0000-0000CE610000}"/>
    <cellStyle name="Normal 2 2 5 4 4 6" xfId="25071" xr:uid="{00000000-0005-0000-0000-0000CF610000}"/>
    <cellStyle name="Normal 2 2 5 4 4 7" xfId="25072" xr:uid="{00000000-0005-0000-0000-0000D0610000}"/>
    <cellStyle name="Normal 2 2 5 4 4 8" xfId="25073" xr:uid="{00000000-0005-0000-0000-0000D1610000}"/>
    <cellStyle name="Normal 2 2 5 4 4 9" xfId="25074" xr:uid="{00000000-0005-0000-0000-0000D2610000}"/>
    <cellStyle name="Normal 2 2 5 4 5" xfId="25075" xr:uid="{00000000-0005-0000-0000-0000D3610000}"/>
    <cellStyle name="Normal 2 2 5 4 5 10" xfId="25076" xr:uid="{00000000-0005-0000-0000-0000D4610000}"/>
    <cellStyle name="Normal 2 2 5 4 5 2" xfId="25077" xr:uid="{00000000-0005-0000-0000-0000D5610000}"/>
    <cellStyle name="Normal 2 2 5 4 5 3" xfId="25078" xr:uid="{00000000-0005-0000-0000-0000D6610000}"/>
    <cellStyle name="Normal 2 2 5 4 5 4" xfId="25079" xr:uid="{00000000-0005-0000-0000-0000D7610000}"/>
    <cellStyle name="Normal 2 2 5 4 5 5" xfId="25080" xr:uid="{00000000-0005-0000-0000-0000D8610000}"/>
    <cellStyle name="Normal 2 2 5 4 5 6" xfId="25081" xr:uid="{00000000-0005-0000-0000-0000D9610000}"/>
    <cellStyle name="Normal 2 2 5 4 5 7" xfId="25082" xr:uid="{00000000-0005-0000-0000-0000DA610000}"/>
    <cellStyle name="Normal 2 2 5 4 5 8" xfId="25083" xr:uid="{00000000-0005-0000-0000-0000DB610000}"/>
    <cellStyle name="Normal 2 2 5 4 5 9" xfId="25084" xr:uid="{00000000-0005-0000-0000-0000DC610000}"/>
    <cellStyle name="Normal 2 2 5 4 6" xfId="25085" xr:uid="{00000000-0005-0000-0000-0000DD610000}"/>
    <cellStyle name="Normal 2 2 5 4 7" xfId="25086" xr:uid="{00000000-0005-0000-0000-0000DE610000}"/>
    <cellStyle name="Normal 2 2 5 4 8" xfId="25087" xr:uid="{00000000-0005-0000-0000-0000DF610000}"/>
    <cellStyle name="Normal 2 2 5 4 9" xfId="25088" xr:uid="{00000000-0005-0000-0000-0000E0610000}"/>
    <cellStyle name="Normal 2 2 5 5" xfId="25089" xr:uid="{00000000-0005-0000-0000-0000E1610000}"/>
    <cellStyle name="Normal 2 2 5 5 10" xfId="25090" xr:uid="{00000000-0005-0000-0000-0000E2610000}"/>
    <cellStyle name="Normal 2 2 5 5 11" xfId="25091" xr:uid="{00000000-0005-0000-0000-0000E3610000}"/>
    <cellStyle name="Normal 2 2 5 5 12" xfId="25092" xr:uid="{00000000-0005-0000-0000-0000E4610000}"/>
    <cellStyle name="Normal 2 2 5 5 13" xfId="25093" xr:uid="{00000000-0005-0000-0000-0000E5610000}"/>
    <cellStyle name="Normal 2 2 5 5 14" xfId="25094" xr:uid="{00000000-0005-0000-0000-0000E6610000}"/>
    <cellStyle name="Normal 2 2 5 5 2" xfId="25095" xr:uid="{00000000-0005-0000-0000-0000E7610000}"/>
    <cellStyle name="Normal 2 2 5 5 2 10" xfId="25096" xr:uid="{00000000-0005-0000-0000-0000E8610000}"/>
    <cellStyle name="Normal 2 2 5 5 2 2" xfId="25097" xr:uid="{00000000-0005-0000-0000-0000E9610000}"/>
    <cellStyle name="Normal 2 2 5 5 2 3" xfId="25098" xr:uid="{00000000-0005-0000-0000-0000EA610000}"/>
    <cellStyle name="Normal 2 2 5 5 2 4" xfId="25099" xr:uid="{00000000-0005-0000-0000-0000EB610000}"/>
    <cellStyle name="Normal 2 2 5 5 2 5" xfId="25100" xr:uid="{00000000-0005-0000-0000-0000EC610000}"/>
    <cellStyle name="Normal 2 2 5 5 2 6" xfId="25101" xr:uid="{00000000-0005-0000-0000-0000ED610000}"/>
    <cellStyle name="Normal 2 2 5 5 2 7" xfId="25102" xr:uid="{00000000-0005-0000-0000-0000EE610000}"/>
    <cellStyle name="Normal 2 2 5 5 2 8" xfId="25103" xr:uid="{00000000-0005-0000-0000-0000EF610000}"/>
    <cellStyle name="Normal 2 2 5 5 2 9" xfId="25104" xr:uid="{00000000-0005-0000-0000-0000F0610000}"/>
    <cellStyle name="Normal 2 2 5 5 3" xfId="25105" xr:uid="{00000000-0005-0000-0000-0000F1610000}"/>
    <cellStyle name="Normal 2 2 5 5 3 10" xfId="25106" xr:uid="{00000000-0005-0000-0000-0000F2610000}"/>
    <cellStyle name="Normal 2 2 5 5 3 2" xfId="25107" xr:uid="{00000000-0005-0000-0000-0000F3610000}"/>
    <cellStyle name="Normal 2 2 5 5 3 3" xfId="25108" xr:uid="{00000000-0005-0000-0000-0000F4610000}"/>
    <cellStyle name="Normal 2 2 5 5 3 4" xfId="25109" xr:uid="{00000000-0005-0000-0000-0000F5610000}"/>
    <cellStyle name="Normal 2 2 5 5 3 5" xfId="25110" xr:uid="{00000000-0005-0000-0000-0000F6610000}"/>
    <cellStyle name="Normal 2 2 5 5 3 6" xfId="25111" xr:uid="{00000000-0005-0000-0000-0000F7610000}"/>
    <cellStyle name="Normal 2 2 5 5 3 7" xfId="25112" xr:uid="{00000000-0005-0000-0000-0000F8610000}"/>
    <cellStyle name="Normal 2 2 5 5 3 8" xfId="25113" xr:uid="{00000000-0005-0000-0000-0000F9610000}"/>
    <cellStyle name="Normal 2 2 5 5 3 9" xfId="25114" xr:uid="{00000000-0005-0000-0000-0000FA610000}"/>
    <cellStyle name="Normal 2 2 5 5 4" xfId="25115" xr:uid="{00000000-0005-0000-0000-0000FB610000}"/>
    <cellStyle name="Normal 2 2 5 5 4 10" xfId="25116" xr:uid="{00000000-0005-0000-0000-0000FC610000}"/>
    <cellStyle name="Normal 2 2 5 5 4 2" xfId="25117" xr:uid="{00000000-0005-0000-0000-0000FD610000}"/>
    <cellStyle name="Normal 2 2 5 5 4 3" xfId="25118" xr:uid="{00000000-0005-0000-0000-0000FE610000}"/>
    <cellStyle name="Normal 2 2 5 5 4 4" xfId="25119" xr:uid="{00000000-0005-0000-0000-0000FF610000}"/>
    <cellStyle name="Normal 2 2 5 5 4 5" xfId="25120" xr:uid="{00000000-0005-0000-0000-000000620000}"/>
    <cellStyle name="Normal 2 2 5 5 4 6" xfId="25121" xr:uid="{00000000-0005-0000-0000-000001620000}"/>
    <cellStyle name="Normal 2 2 5 5 4 7" xfId="25122" xr:uid="{00000000-0005-0000-0000-000002620000}"/>
    <cellStyle name="Normal 2 2 5 5 4 8" xfId="25123" xr:uid="{00000000-0005-0000-0000-000003620000}"/>
    <cellStyle name="Normal 2 2 5 5 4 9" xfId="25124" xr:uid="{00000000-0005-0000-0000-000004620000}"/>
    <cellStyle name="Normal 2 2 5 5 5" xfId="25125" xr:uid="{00000000-0005-0000-0000-000005620000}"/>
    <cellStyle name="Normal 2 2 5 5 5 10" xfId="25126" xr:uid="{00000000-0005-0000-0000-000006620000}"/>
    <cellStyle name="Normal 2 2 5 5 5 2" xfId="25127" xr:uid="{00000000-0005-0000-0000-000007620000}"/>
    <cellStyle name="Normal 2 2 5 5 5 3" xfId="25128" xr:uid="{00000000-0005-0000-0000-000008620000}"/>
    <cellStyle name="Normal 2 2 5 5 5 4" xfId="25129" xr:uid="{00000000-0005-0000-0000-000009620000}"/>
    <cellStyle name="Normal 2 2 5 5 5 5" xfId="25130" xr:uid="{00000000-0005-0000-0000-00000A620000}"/>
    <cellStyle name="Normal 2 2 5 5 5 6" xfId="25131" xr:uid="{00000000-0005-0000-0000-00000B620000}"/>
    <cellStyle name="Normal 2 2 5 5 5 7" xfId="25132" xr:uid="{00000000-0005-0000-0000-00000C620000}"/>
    <cellStyle name="Normal 2 2 5 5 5 8" xfId="25133" xr:uid="{00000000-0005-0000-0000-00000D620000}"/>
    <cellStyle name="Normal 2 2 5 5 5 9" xfId="25134" xr:uid="{00000000-0005-0000-0000-00000E620000}"/>
    <cellStyle name="Normal 2 2 5 5 6" xfId="25135" xr:uid="{00000000-0005-0000-0000-00000F620000}"/>
    <cellStyle name="Normal 2 2 5 5 7" xfId="25136" xr:uid="{00000000-0005-0000-0000-000010620000}"/>
    <cellStyle name="Normal 2 2 5 5 8" xfId="25137" xr:uid="{00000000-0005-0000-0000-000011620000}"/>
    <cellStyle name="Normal 2 2 5 5 9" xfId="25138" xr:uid="{00000000-0005-0000-0000-000012620000}"/>
    <cellStyle name="Normal 2 2 5 6" xfId="25139" xr:uid="{00000000-0005-0000-0000-000013620000}"/>
    <cellStyle name="Normal 2 2 5 6 10" xfId="25140" xr:uid="{00000000-0005-0000-0000-000014620000}"/>
    <cellStyle name="Normal 2 2 5 6 11" xfId="25141" xr:uid="{00000000-0005-0000-0000-000015620000}"/>
    <cellStyle name="Normal 2 2 5 6 12" xfId="25142" xr:uid="{00000000-0005-0000-0000-000016620000}"/>
    <cellStyle name="Normal 2 2 5 6 13" xfId="25143" xr:uid="{00000000-0005-0000-0000-000017620000}"/>
    <cellStyle name="Normal 2 2 5 6 14" xfId="25144" xr:uid="{00000000-0005-0000-0000-000018620000}"/>
    <cellStyle name="Normal 2 2 5 6 2" xfId="25145" xr:uid="{00000000-0005-0000-0000-000019620000}"/>
    <cellStyle name="Normal 2 2 5 6 2 10" xfId="25146" xr:uid="{00000000-0005-0000-0000-00001A620000}"/>
    <cellStyle name="Normal 2 2 5 6 2 2" xfId="25147" xr:uid="{00000000-0005-0000-0000-00001B620000}"/>
    <cellStyle name="Normal 2 2 5 6 2 3" xfId="25148" xr:uid="{00000000-0005-0000-0000-00001C620000}"/>
    <cellStyle name="Normal 2 2 5 6 2 4" xfId="25149" xr:uid="{00000000-0005-0000-0000-00001D620000}"/>
    <cellStyle name="Normal 2 2 5 6 2 5" xfId="25150" xr:uid="{00000000-0005-0000-0000-00001E620000}"/>
    <cellStyle name="Normal 2 2 5 6 2 6" xfId="25151" xr:uid="{00000000-0005-0000-0000-00001F620000}"/>
    <cellStyle name="Normal 2 2 5 6 2 7" xfId="25152" xr:uid="{00000000-0005-0000-0000-000020620000}"/>
    <cellStyle name="Normal 2 2 5 6 2 8" xfId="25153" xr:uid="{00000000-0005-0000-0000-000021620000}"/>
    <cellStyle name="Normal 2 2 5 6 2 9" xfId="25154" xr:uid="{00000000-0005-0000-0000-000022620000}"/>
    <cellStyle name="Normal 2 2 5 6 3" xfId="25155" xr:uid="{00000000-0005-0000-0000-000023620000}"/>
    <cellStyle name="Normal 2 2 5 6 3 10" xfId="25156" xr:uid="{00000000-0005-0000-0000-000024620000}"/>
    <cellStyle name="Normal 2 2 5 6 3 2" xfId="25157" xr:uid="{00000000-0005-0000-0000-000025620000}"/>
    <cellStyle name="Normal 2 2 5 6 3 3" xfId="25158" xr:uid="{00000000-0005-0000-0000-000026620000}"/>
    <cellStyle name="Normal 2 2 5 6 3 4" xfId="25159" xr:uid="{00000000-0005-0000-0000-000027620000}"/>
    <cellStyle name="Normal 2 2 5 6 3 5" xfId="25160" xr:uid="{00000000-0005-0000-0000-000028620000}"/>
    <cellStyle name="Normal 2 2 5 6 3 6" xfId="25161" xr:uid="{00000000-0005-0000-0000-000029620000}"/>
    <cellStyle name="Normal 2 2 5 6 3 7" xfId="25162" xr:uid="{00000000-0005-0000-0000-00002A620000}"/>
    <cellStyle name="Normal 2 2 5 6 3 8" xfId="25163" xr:uid="{00000000-0005-0000-0000-00002B620000}"/>
    <cellStyle name="Normal 2 2 5 6 3 9" xfId="25164" xr:uid="{00000000-0005-0000-0000-00002C620000}"/>
    <cellStyle name="Normal 2 2 5 6 4" xfId="25165" xr:uid="{00000000-0005-0000-0000-00002D620000}"/>
    <cellStyle name="Normal 2 2 5 6 4 10" xfId="25166" xr:uid="{00000000-0005-0000-0000-00002E620000}"/>
    <cellStyle name="Normal 2 2 5 6 4 2" xfId="25167" xr:uid="{00000000-0005-0000-0000-00002F620000}"/>
    <cellStyle name="Normal 2 2 5 6 4 3" xfId="25168" xr:uid="{00000000-0005-0000-0000-000030620000}"/>
    <cellStyle name="Normal 2 2 5 6 4 4" xfId="25169" xr:uid="{00000000-0005-0000-0000-000031620000}"/>
    <cellStyle name="Normal 2 2 5 6 4 5" xfId="25170" xr:uid="{00000000-0005-0000-0000-000032620000}"/>
    <cellStyle name="Normal 2 2 5 6 4 6" xfId="25171" xr:uid="{00000000-0005-0000-0000-000033620000}"/>
    <cellStyle name="Normal 2 2 5 6 4 7" xfId="25172" xr:uid="{00000000-0005-0000-0000-000034620000}"/>
    <cellStyle name="Normal 2 2 5 6 4 8" xfId="25173" xr:uid="{00000000-0005-0000-0000-000035620000}"/>
    <cellStyle name="Normal 2 2 5 6 4 9" xfId="25174" xr:uid="{00000000-0005-0000-0000-000036620000}"/>
    <cellStyle name="Normal 2 2 5 6 5" xfId="25175" xr:uid="{00000000-0005-0000-0000-000037620000}"/>
    <cellStyle name="Normal 2 2 5 6 5 10" xfId="25176" xr:uid="{00000000-0005-0000-0000-000038620000}"/>
    <cellStyle name="Normal 2 2 5 6 5 2" xfId="25177" xr:uid="{00000000-0005-0000-0000-000039620000}"/>
    <cellStyle name="Normal 2 2 5 6 5 3" xfId="25178" xr:uid="{00000000-0005-0000-0000-00003A620000}"/>
    <cellStyle name="Normal 2 2 5 6 5 4" xfId="25179" xr:uid="{00000000-0005-0000-0000-00003B620000}"/>
    <cellStyle name="Normal 2 2 5 6 5 5" xfId="25180" xr:uid="{00000000-0005-0000-0000-00003C620000}"/>
    <cellStyle name="Normal 2 2 5 6 5 6" xfId="25181" xr:uid="{00000000-0005-0000-0000-00003D620000}"/>
    <cellStyle name="Normal 2 2 5 6 5 7" xfId="25182" xr:uid="{00000000-0005-0000-0000-00003E620000}"/>
    <cellStyle name="Normal 2 2 5 6 5 8" xfId="25183" xr:uid="{00000000-0005-0000-0000-00003F620000}"/>
    <cellStyle name="Normal 2 2 5 6 5 9" xfId="25184" xr:uid="{00000000-0005-0000-0000-000040620000}"/>
    <cellStyle name="Normal 2 2 5 6 6" xfId="25185" xr:uid="{00000000-0005-0000-0000-000041620000}"/>
    <cellStyle name="Normal 2 2 5 6 7" xfId="25186" xr:uid="{00000000-0005-0000-0000-000042620000}"/>
    <cellStyle name="Normal 2 2 5 6 8" xfId="25187" xr:uid="{00000000-0005-0000-0000-000043620000}"/>
    <cellStyle name="Normal 2 2 5 6 9" xfId="25188" xr:uid="{00000000-0005-0000-0000-000044620000}"/>
    <cellStyle name="Normal 2 2 5 7" xfId="25189" xr:uid="{00000000-0005-0000-0000-000045620000}"/>
    <cellStyle name="Normal 2 2 5 7 10" xfId="25190" xr:uid="{00000000-0005-0000-0000-000046620000}"/>
    <cellStyle name="Normal 2 2 5 7 11" xfId="25191" xr:uid="{00000000-0005-0000-0000-000047620000}"/>
    <cellStyle name="Normal 2 2 5 7 12" xfId="25192" xr:uid="{00000000-0005-0000-0000-000048620000}"/>
    <cellStyle name="Normal 2 2 5 7 13" xfId="25193" xr:uid="{00000000-0005-0000-0000-000049620000}"/>
    <cellStyle name="Normal 2 2 5 7 14" xfId="25194" xr:uid="{00000000-0005-0000-0000-00004A620000}"/>
    <cellStyle name="Normal 2 2 5 7 2" xfId="25195" xr:uid="{00000000-0005-0000-0000-00004B620000}"/>
    <cellStyle name="Normal 2 2 5 7 2 10" xfId="25196" xr:uid="{00000000-0005-0000-0000-00004C620000}"/>
    <cellStyle name="Normal 2 2 5 7 2 2" xfId="25197" xr:uid="{00000000-0005-0000-0000-00004D620000}"/>
    <cellStyle name="Normal 2 2 5 7 2 3" xfId="25198" xr:uid="{00000000-0005-0000-0000-00004E620000}"/>
    <cellStyle name="Normal 2 2 5 7 2 4" xfId="25199" xr:uid="{00000000-0005-0000-0000-00004F620000}"/>
    <cellStyle name="Normal 2 2 5 7 2 5" xfId="25200" xr:uid="{00000000-0005-0000-0000-000050620000}"/>
    <cellStyle name="Normal 2 2 5 7 2 6" xfId="25201" xr:uid="{00000000-0005-0000-0000-000051620000}"/>
    <cellStyle name="Normal 2 2 5 7 2 7" xfId="25202" xr:uid="{00000000-0005-0000-0000-000052620000}"/>
    <cellStyle name="Normal 2 2 5 7 2 8" xfId="25203" xr:uid="{00000000-0005-0000-0000-000053620000}"/>
    <cellStyle name="Normal 2 2 5 7 2 9" xfId="25204" xr:uid="{00000000-0005-0000-0000-000054620000}"/>
    <cellStyle name="Normal 2 2 5 7 3" xfId="25205" xr:uid="{00000000-0005-0000-0000-000055620000}"/>
    <cellStyle name="Normal 2 2 5 7 3 10" xfId="25206" xr:uid="{00000000-0005-0000-0000-000056620000}"/>
    <cellStyle name="Normal 2 2 5 7 3 2" xfId="25207" xr:uid="{00000000-0005-0000-0000-000057620000}"/>
    <cellStyle name="Normal 2 2 5 7 3 3" xfId="25208" xr:uid="{00000000-0005-0000-0000-000058620000}"/>
    <cellStyle name="Normal 2 2 5 7 3 4" xfId="25209" xr:uid="{00000000-0005-0000-0000-000059620000}"/>
    <cellStyle name="Normal 2 2 5 7 3 5" xfId="25210" xr:uid="{00000000-0005-0000-0000-00005A620000}"/>
    <cellStyle name="Normal 2 2 5 7 3 6" xfId="25211" xr:uid="{00000000-0005-0000-0000-00005B620000}"/>
    <cellStyle name="Normal 2 2 5 7 3 7" xfId="25212" xr:uid="{00000000-0005-0000-0000-00005C620000}"/>
    <cellStyle name="Normal 2 2 5 7 3 8" xfId="25213" xr:uid="{00000000-0005-0000-0000-00005D620000}"/>
    <cellStyle name="Normal 2 2 5 7 3 9" xfId="25214" xr:uid="{00000000-0005-0000-0000-00005E620000}"/>
    <cellStyle name="Normal 2 2 5 7 4" xfId="25215" xr:uid="{00000000-0005-0000-0000-00005F620000}"/>
    <cellStyle name="Normal 2 2 5 7 4 10" xfId="25216" xr:uid="{00000000-0005-0000-0000-000060620000}"/>
    <cellStyle name="Normal 2 2 5 7 4 2" xfId="25217" xr:uid="{00000000-0005-0000-0000-000061620000}"/>
    <cellStyle name="Normal 2 2 5 7 4 3" xfId="25218" xr:uid="{00000000-0005-0000-0000-000062620000}"/>
    <cellStyle name="Normal 2 2 5 7 4 4" xfId="25219" xr:uid="{00000000-0005-0000-0000-000063620000}"/>
    <cellStyle name="Normal 2 2 5 7 4 5" xfId="25220" xr:uid="{00000000-0005-0000-0000-000064620000}"/>
    <cellStyle name="Normal 2 2 5 7 4 6" xfId="25221" xr:uid="{00000000-0005-0000-0000-000065620000}"/>
    <cellStyle name="Normal 2 2 5 7 4 7" xfId="25222" xr:uid="{00000000-0005-0000-0000-000066620000}"/>
    <cellStyle name="Normal 2 2 5 7 4 8" xfId="25223" xr:uid="{00000000-0005-0000-0000-000067620000}"/>
    <cellStyle name="Normal 2 2 5 7 4 9" xfId="25224" xr:uid="{00000000-0005-0000-0000-000068620000}"/>
    <cellStyle name="Normal 2 2 5 7 5" xfId="25225" xr:uid="{00000000-0005-0000-0000-000069620000}"/>
    <cellStyle name="Normal 2 2 5 7 5 10" xfId="25226" xr:uid="{00000000-0005-0000-0000-00006A620000}"/>
    <cellStyle name="Normal 2 2 5 7 5 2" xfId="25227" xr:uid="{00000000-0005-0000-0000-00006B620000}"/>
    <cellStyle name="Normal 2 2 5 7 5 3" xfId="25228" xr:uid="{00000000-0005-0000-0000-00006C620000}"/>
    <cellStyle name="Normal 2 2 5 7 5 4" xfId="25229" xr:uid="{00000000-0005-0000-0000-00006D620000}"/>
    <cellStyle name="Normal 2 2 5 7 5 5" xfId="25230" xr:uid="{00000000-0005-0000-0000-00006E620000}"/>
    <cellStyle name="Normal 2 2 5 7 5 6" xfId="25231" xr:uid="{00000000-0005-0000-0000-00006F620000}"/>
    <cellStyle name="Normal 2 2 5 7 5 7" xfId="25232" xr:uid="{00000000-0005-0000-0000-000070620000}"/>
    <cellStyle name="Normal 2 2 5 7 5 8" xfId="25233" xr:uid="{00000000-0005-0000-0000-000071620000}"/>
    <cellStyle name="Normal 2 2 5 7 5 9" xfId="25234" xr:uid="{00000000-0005-0000-0000-000072620000}"/>
    <cellStyle name="Normal 2 2 5 7 6" xfId="25235" xr:uid="{00000000-0005-0000-0000-000073620000}"/>
    <cellStyle name="Normal 2 2 5 7 7" xfId="25236" xr:uid="{00000000-0005-0000-0000-000074620000}"/>
    <cellStyle name="Normal 2 2 5 7 8" xfId="25237" xr:uid="{00000000-0005-0000-0000-000075620000}"/>
    <cellStyle name="Normal 2 2 5 7 9" xfId="25238" xr:uid="{00000000-0005-0000-0000-000076620000}"/>
    <cellStyle name="Normal 2 2 5 8" xfId="25239" xr:uid="{00000000-0005-0000-0000-000077620000}"/>
    <cellStyle name="Normal 2 2 5 8 10" xfId="25240" xr:uid="{00000000-0005-0000-0000-000078620000}"/>
    <cellStyle name="Normal 2 2 5 8 11" xfId="25241" xr:uid="{00000000-0005-0000-0000-000079620000}"/>
    <cellStyle name="Normal 2 2 5 8 12" xfId="25242" xr:uid="{00000000-0005-0000-0000-00007A620000}"/>
    <cellStyle name="Normal 2 2 5 8 13" xfId="25243" xr:uid="{00000000-0005-0000-0000-00007B620000}"/>
    <cellStyle name="Normal 2 2 5 8 14" xfId="25244" xr:uid="{00000000-0005-0000-0000-00007C620000}"/>
    <cellStyle name="Normal 2 2 5 8 2" xfId="25245" xr:uid="{00000000-0005-0000-0000-00007D620000}"/>
    <cellStyle name="Normal 2 2 5 8 2 10" xfId="25246" xr:uid="{00000000-0005-0000-0000-00007E620000}"/>
    <cellStyle name="Normal 2 2 5 8 2 2" xfId="25247" xr:uid="{00000000-0005-0000-0000-00007F620000}"/>
    <cellStyle name="Normal 2 2 5 8 2 3" xfId="25248" xr:uid="{00000000-0005-0000-0000-000080620000}"/>
    <cellStyle name="Normal 2 2 5 8 2 4" xfId="25249" xr:uid="{00000000-0005-0000-0000-000081620000}"/>
    <cellStyle name="Normal 2 2 5 8 2 5" xfId="25250" xr:uid="{00000000-0005-0000-0000-000082620000}"/>
    <cellStyle name="Normal 2 2 5 8 2 6" xfId="25251" xr:uid="{00000000-0005-0000-0000-000083620000}"/>
    <cellStyle name="Normal 2 2 5 8 2 7" xfId="25252" xr:uid="{00000000-0005-0000-0000-000084620000}"/>
    <cellStyle name="Normal 2 2 5 8 2 8" xfId="25253" xr:uid="{00000000-0005-0000-0000-000085620000}"/>
    <cellStyle name="Normal 2 2 5 8 2 9" xfId="25254" xr:uid="{00000000-0005-0000-0000-000086620000}"/>
    <cellStyle name="Normal 2 2 5 8 3" xfId="25255" xr:uid="{00000000-0005-0000-0000-000087620000}"/>
    <cellStyle name="Normal 2 2 5 8 3 10" xfId="25256" xr:uid="{00000000-0005-0000-0000-000088620000}"/>
    <cellStyle name="Normal 2 2 5 8 3 2" xfId="25257" xr:uid="{00000000-0005-0000-0000-000089620000}"/>
    <cellStyle name="Normal 2 2 5 8 3 3" xfId="25258" xr:uid="{00000000-0005-0000-0000-00008A620000}"/>
    <cellStyle name="Normal 2 2 5 8 3 4" xfId="25259" xr:uid="{00000000-0005-0000-0000-00008B620000}"/>
    <cellStyle name="Normal 2 2 5 8 3 5" xfId="25260" xr:uid="{00000000-0005-0000-0000-00008C620000}"/>
    <cellStyle name="Normal 2 2 5 8 3 6" xfId="25261" xr:uid="{00000000-0005-0000-0000-00008D620000}"/>
    <cellStyle name="Normal 2 2 5 8 3 7" xfId="25262" xr:uid="{00000000-0005-0000-0000-00008E620000}"/>
    <cellStyle name="Normal 2 2 5 8 3 8" xfId="25263" xr:uid="{00000000-0005-0000-0000-00008F620000}"/>
    <cellStyle name="Normal 2 2 5 8 3 9" xfId="25264" xr:uid="{00000000-0005-0000-0000-000090620000}"/>
    <cellStyle name="Normal 2 2 5 8 4" xfId="25265" xr:uid="{00000000-0005-0000-0000-000091620000}"/>
    <cellStyle name="Normal 2 2 5 8 4 10" xfId="25266" xr:uid="{00000000-0005-0000-0000-000092620000}"/>
    <cellStyle name="Normal 2 2 5 8 4 2" xfId="25267" xr:uid="{00000000-0005-0000-0000-000093620000}"/>
    <cellStyle name="Normal 2 2 5 8 4 3" xfId="25268" xr:uid="{00000000-0005-0000-0000-000094620000}"/>
    <cellStyle name="Normal 2 2 5 8 4 4" xfId="25269" xr:uid="{00000000-0005-0000-0000-000095620000}"/>
    <cellStyle name="Normal 2 2 5 8 4 5" xfId="25270" xr:uid="{00000000-0005-0000-0000-000096620000}"/>
    <cellStyle name="Normal 2 2 5 8 4 6" xfId="25271" xr:uid="{00000000-0005-0000-0000-000097620000}"/>
    <cellStyle name="Normal 2 2 5 8 4 7" xfId="25272" xr:uid="{00000000-0005-0000-0000-000098620000}"/>
    <cellStyle name="Normal 2 2 5 8 4 8" xfId="25273" xr:uid="{00000000-0005-0000-0000-000099620000}"/>
    <cellStyle name="Normal 2 2 5 8 4 9" xfId="25274" xr:uid="{00000000-0005-0000-0000-00009A620000}"/>
    <cellStyle name="Normal 2 2 5 8 5" xfId="25275" xr:uid="{00000000-0005-0000-0000-00009B620000}"/>
    <cellStyle name="Normal 2 2 5 8 5 10" xfId="25276" xr:uid="{00000000-0005-0000-0000-00009C620000}"/>
    <cellStyle name="Normal 2 2 5 8 5 2" xfId="25277" xr:uid="{00000000-0005-0000-0000-00009D620000}"/>
    <cellStyle name="Normal 2 2 5 8 5 3" xfId="25278" xr:uid="{00000000-0005-0000-0000-00009E620000}"/>
    <cellStyle name="Normal 2 2 5 8 5 4" xfId="25279" xr:uid="{00000000-0005-0000-0000-00009F620000}"/>
    <cellStyle name="Normal 2 2 5 8 5 5" xfId="25280" xr:uid="{00000000-0005-0000-0000-0000A0620000}"/>
    <cellStyle name="Normal 2 2 5 8 5 6" xfId="25281" xr:uid="{00000000-0005-0000-0000-0000A1620000}"/>
    <cellStyle name="Normal 2 2 5 8 5 7" xfId="25282" xr:uid="{00000000-0005-0000-0000-0000A2620000}"/>
    <cellStyle name="Normal 2 2 5 8 5 8" xfId="25283" xr:uid="{00000000-0005-0000-0000-0000A3620000}"/>
    <cellStyle name="Normal 2 2 5 8 5 9" xfId="25284" xr:uid="{00000000-0005-0000-0000-0000A4620000}"/>
    <cellStyle name="Normal 2 2 5 8 6" xfId="25285" xr:uid="{00000000-0005-0000-0000-0000A5620000}"/>
    <cellStyle name="Normal 2 2 5 8 7" xfId="25286" xr:uid="{00000000-0005-0000-0000-0000A6620000}"/>
    <cellStyle name="Normal 2 2 5 8 8" xfId="25287" xr:uid="{00000000-0005-0000-0000-0000A7620000}"/>
    <cellStyle name="Normal 2 2 5 8 9" xfId="25288" xr:uid="{00000000-0005-0000-0000-0000A8620000}"/>
    <cellStyle name="Normal 2 2 5 9" xfId="25289" xr:uid="{00000000-0005-0000-0000-0000A9620000}"/>
    <cellStyle name="Normal 2 2 5 9 10" xfId="25290" xr:uid="{00000000-0005-0000-0000-0000AA620000}"/>
    <cellStyle name="Normal 2 2 5 9 11" xfId="25291" xr:uid="{00000000-0005-0000-0000-0000AB620000}"/>
    <cellStyle name="Normal 2 2 5 9 12" xfId="25292" xr:uid="{00000000-0005-0000-0000-0000AC620000}"/>
    <cellStyle name="Normal 2 2 5 9 13" xfId="25293" xr:uid="{00000000-0005-0000-0000-0000AD620000}"/>
    <cellStyle name="Normal 2 2 5 9 14" xfId="25294" xr:uid="{00000000-0005-0000-0000-0000AE620000}"/>
    <cellStyle name="Normal 2 2 5 9 2" xfId="25295" xr:uid="{00000000-0005-0000-0000-0000AF620000}"/>
    <cellStyle name="Normal 2 2 5 9 2 10" xfId="25296" xr:uid="{00000000-0005-0000-0000-0000B0620000}"/>
    <cellStyle name="Normal 2 2 5 9 2 2" xfId="25297" xr:uid="{00000000-0005-0000-0000-0000B1620000}"/>
    <cellStyle name="Normal 2 2 5 9 2 3" xfId="25298" xr:uid="{00000000-0005-0000-0000-0000B2620000}"/>
    <cellStyle name="Normal 2 2 5 9 2 4" xfId="25299" xr:uid="{00000000-0005-0000-0000-0000B3620000}"/>
    <cellStyle name="Normal 2 2 5 9 2 5" xfId="25300" xr:uid="{00000000-0005-0000-0000-0000B4620000}"/>
    <cellStyle name="Normal 2 2 5 9 2 6" xfId="25301" xr:uid="{00000000-0005-0000-0000-0000B5620000}"/>
    <cellStyle name="Normal 2 2 5 9 2 7" xfId="25302" xr:uid="{00000000-0005-0000-0000-0000B6620000}"/>
    <cellStyle name="Normal 2 2 5 9 2 8" xfId="25303" xr:uid="{00000000-0005-0000-0000-0000B7620000}"/>
    <cellStyle name="Normal 2 2 5 9 2 9" xfId="25304" xr:uid="{00000000-0005-0000-0000-0000B8620000}"/>
    <cellStyle name="Normal 2 2 5 9 3" xfId="25305" xr:uid="{00000000-0005-0000-0000-0000B9620000}"/>
    <cellStyle name="Normal 2 2 5 9 3 10" xfId="25306" xr:uid="{00000000-0005-0000-0000-0000BA620000}"/>
    <cellStyle name="Normal 2 2 5 9 3 2" xfId="25307" xr:uid="{00000000-0005-0000-0000-0000BB620000}"/>
    <cellStyle name="Normal 2 2 5 9 3 3" xfId="25308" xr:uid="{00000000-0005-0000-0000-0000BC620000}"/>
    <cellStyle name="Normal 2 2 5 9 3 4" xfId="25309" xr:uid="{00000000-0005-0000-0000-0000BD620000}"/>
    <cellStyle name="Normal 2 2 5 9 3 5" xfId="25310" xr:uid="{00000000-0005-0000-0000-0000BE620000}"/>
    <cellStyle name="Normal 2 2 5 9 3 6" xfId="25311" xr:uid="{00000000-0005-0000-0000-0000BF620000}"/>
    <cellStyle name="Normal 2 2 5 9 3 7" xfId="25312" xr:uid="{00000000-0005-0000-0000-0000C0620000}"/>
    <cellStyle name="Normal 2 2 5 9 3 8" xfId="25313" xr:uid="{00000000-0005-0000-0000-0000C1620000}"/>
    <cellStyle name="Normal 2 2 5 9 3 9" xfId="25314" xr:uid="{00000000-0005-0000-0000-0000C2620000}"/>
    <cellStyle name="Normal 2 2 5 9 4" xfId="25315" xr:uid="{00000000-0005-0000-0000-0000C3620000}"/>
    <cellStyle name="Normal 2 2 5 9 4 10" xfId="25316" xr:uid="{00000000-0005-0000-0000-0000C4620000}"/>
    <cellStyle name="Normal 2 2 5 9 4 2" xfId="25317" xr:uid="{00000000-0005-0000-0000-0000C5620000}"/>
    <cellStyle name="Normal 2 2 5 9 4 3" xfId="25318" xr:uid="{00000000-0005-0000-0000-0000C6620000}"/>
    <cellStyle name="Normal 2 2 5 9 4 4" xfId="25319" xr:uid="{00000000-0005-0000-0000-0000C7620000}"/>
    <cellStyle name="Normal 2 2 5 9 4 5" xfId="25320" xr:uid="{00000000-0005-0000-0000-0000C8620000}"/>
    <cellStyle name="Normal 2 2 5 9 4 6" xfId="25321" xr:uid="{00000000-0005-0000-0000-0000C9620000}"/>
    <cellStyle name="Normal 2 2 5 9 4 7" xfId="25322" xr:uid="{00000000-0005-0000-0000-0000CA620000}"/>
    <cellStyle name="Normal 2 2 5 9 4 8" xfId="25323" xr:uid="{00000000-0005-0000-0000-0000CB620000}"/>
    <cellStyle name="Normal 2 2 5 9 4 9" xfId="25324" xr:uid="{00000000-0005-0000-0000-0000CC620000}"/>
    <cellStyle name="Normal 2 2 5 9 5" xfId="25325" xr:uid="{00000000-0005-0000-0000-0000CD620000}"/>
    <cellStyle name="Normal 2 2 5 9 5 10" xfId="25326" xr:uid="{00000000-0005-0000-0000-0000CE620000}"/>
    <cellStyle name="Normal 2 2 5 9 5 2" xfId="25327" xr:uid="{00000000-0005-0000-0000-0000CF620000}"/>
    <cellStyle name="Normal 2 2 5 9 5 3" xfId="25328" xr:uid="{00000000-0005-0000-0000-0000D0620000}"/>
    <cellStyle name="Normal 2 2 5 9 5 4" xfId="25329" xr:uid="{00000000-0005-0000-0000-0000D1620000}"/>
    <cellStyle name="Normal 2 2 5 9 5 5" xfId="25330" xr:uid="{00000000-0005-0000-0000-0000D2620000}"/>
    <cellStyle name="Normal 2 2 5 9 5 6" xfId="25331" xr:uid="{00000000-0005-0000-0000-0000D3620000}"/>
    <cellStyle name="Normal 2 2 5 9 5 7" xfId="25332" xr:uid="{00000000-0005-0000-0000-0000D4620000}"/>
    <cellStyle name="Normal 2 2 5 9 5 8" xfId="25333" xr:uid="{00000000-0005-0000-0000-0000D5620000}"/>
    <cellStyle name="Normal 2 2 5 9 5 9" xfId="25334" xr:uid="{00000000-0005-0000-0000-0000D6620000}"/>
    <cellStyle name="Normal 2 2 5 9 6" xfId="25335" xr:uid="{00000000-0005-0000-0000-0000D7620000}"/>
    <cellStyle name="Normal 2 2 5 9 7" xfId="25336" xr:uid="{00000000-0005-0000-0000-0000D8620000}"/>
    <cellStyle name="Normal 2 2 5 9 8" xfId="25337" xr:uid="{00000000-0005-0000-0000-0000D9620000}"/>
    <cellStyle name="Normal 2 2 5 9 9" xfId="25338" xr:uid="{00000000-0005-0000-0000-0000DA620000}"/>
    <cellStyle name="Normal 2 2 50" xfId="25339" xr:uid="{00000000-0005-0000-0000-0000DB620000}"/>
    <cellStyle name="Normal 2 2 51" xfId="25340" xr:uid="{00000000-0005-0000-0000-0000DC620000}"/>
    <cellStyle name="Normal 2 2 52" xfId="55" xr:uid="{00000000-0005-0000-0000-0000DD620000}"/>
    <cellStyle name="Normal 2 2 52 2" xfId="25341" xr:uid="{00000000-0005-0000-0000-0000DE620000}"/>
    <cellStyle name="Normal 2 2 53" xfId="6201" xr:uid="{00000000-0005-0000-0000-0000DF620000}"/>
    <cellStyle name="Normal 2 2 6" xfId="25342" xr:uid="{00000000-0005-0000-0000-0000E0620000}"/>
    <cellStyle name="Normal 2 2 6 2" xfId="25343" xr:uid="{00000000-0005-0000-0000-0000E1620000}"/>
    <cellStyle name="Normal 2 2 6 3" xfId="25344" xr:uid="{00000000-0005-0000-0000-0000E2620000}"/>
    <cellStyle name="Normal 2 2 7" xfId="25345" xr:uid="{00000000-0005-0000-0000-0000E3620000}"/>
    <cellStyle name="Normal 2 2 7 2" xfId="25346" xr:uid="{00000000-0005-0000-0000-0000E4620000}"/>
    <cellStyle name="Normal 2 2 7 3" xfId="25347" xr:uid="{00000000-0005-0000-0000-0000E5620000}"/>
    <cellStyle name="Normal 2 2 8" xfId="25348" xr:uid="{00000000-0005-0000-0000-0000E6620000}"/>
    <cellStyle name="Normal 2 2 8 2" xfId="25349" xr:uid="{00000000-0005-0000-0000-0000E7620000}"/>
    <cellStyle name="Normal 2 2 8 3" xfId="25350" xr:uid="{00000000-0005-0000-0000-0000E8620000}"/>
    <cellStyle name="Normal 2 2 9" xfId="25351" xr:uid="{00000000-0005-0000-0000-0000E9620000}"/>
    <cellStyle name="Normal 2 2 9 2" xfId="25352" xr:uid="{00000000-0005-0000-0000-0000EA620000}"/>
    <cellStyle name="Normal 2 2 9 3" xfId="25353" xr:uid="{00000000-0005-0000-0000-0000EB620000}"/>
    <cellStyle name="Normal 2 20" xfId="25354" xr:uid="{00000000-0005-0000-0000-0000EC620000}"/>
    <cellStyle name="Normal 2 20 2" xfId="25355" xr:uid="{00000000-0005-0000-0000-0000ED620000}"/>
    <cellStyle name="Normal 2 20 3" xfId="25356" xr:uid="{00000000-0005-0000-0000-0000EE620000}"/>
    <cellStyle name="Normal 2 21" xfId="25357" xr:uid="{00000000-0005-0000-0000-0000EF620000}"/>
    <cellStyle name="Normal 2 21 2" xfId="25358" xr:uid="{00000000-0005-0000-0000-0000F0620000}"/>
    <cellStyle name="Normal 2 21 3" xfId="25359" xr:uid="{00000000-0005-0000-0000-0000F1620000}"/>
    <cellStyle name="Normal 2 22" xfId="25360" xr:uid="{00000000-0005-0000-0000-0000F2620000}"/>
    <cellStyle name="Normal 2 22 2" xfId="25361" xr:uid="{00000000-0005-0000-0000-0000F3620000}"/>
    <cellStyle name="Normal 2 22 3" xfId="25362" xr:uid="{00000000-0005-0000-0000-0000F4620000}"/>
    <cellStyle name="Normal 2 23" xfId="25363" xr:uid="{00000000-0005-0000-0000-0000F5620000}"/>
    <cellStyle name="Normal 2 23 2" xfId="25364" xr:uid="{00000000-0005-0000-0000-0000F6620000}"/>
    <cellStyle name="Normal 2 23 2 2" xfId="25365" xr:uid="{00000000-0005-0000-0000-0000F7620000}"/>
    <cellStyle name="Normal 2 23 3" xfId="25366" xr:uid="{00000000-0005-0000-0000-0000F8620000}"/>
    <cellStyle name="Normal 2 24" xfId="25367" xr:uid="{00000000-0005-0000-0000-0000F9620000}"/>
    <cellStyle name="Normal 2 24 2" xfId="25368" xr:uid="{00000000-0005-0000-0000-0000FA620000}"/>
    <cellStyle name="Normal 2 24 3" xfId="25369" xr:uid="{00000000-0005-0000-0000-0000FB620000}"/>
    <cellStyle name="Normal 2 25" xfId="25370" xr:uid="{00000000-0005-0000-0000-0000FC620000}"/>
    <cellStyle name="Normal 2 25 2" xfId="25371" xr:uid="{00000000-0005-0000-0000-0000FD620000}"/>
    <cellStyle name="Normal 2 25 3" xfId="25372" xr:uid="{00000000-0005-0000-0000-0000FE620000}"/>
    <cellStyle name="Normal 2 26" xfId="25373" xr:uid="{00000000-0005-0000-0000-0000FF620000}"/>
    <cellStyle name="Normal 2 26 2" xfId="25374" xr:uid="{00000000-0005-0000-0000-000000630000}"/>
    <cellStyle name="Normal 2 26 3" xfId="25375" xr:uid="{00000000-0005-0000-0000-000001630000}"/>
    <cellStyle name="Normal 2 27" xfId="25376" xr:uid="{00000000-0005-0000-0000-000002630000}"/>
    <cellStyle name="Normal 2 27 2" xfId="25377" xr:uid="{00000000-0005-0000-0000-000003630000}"/>
    <cellStyle name="Normal 2 27 3" xfId="25378" xr:uid="{00000000-0005-0000-0000-000004630000}"/>
    <cellStyle name="Normal 2 28" xfId="25379" xr:uid="{00000000-0005-0000-0000-000005630000}"/>
    <cellStyle name="Normal 2 28 2" xfId="25380" xr:uid="{00000000-0005-0000-0000-000006630000}"/>
    <cellStyle name="Normal 2 28 3" xfId="25381" xr:uid="{00000000-0005-0000-0000-000007630000}"/>
    <cellStyle name="Normal 2 29" xfId="25382" xr:uid="{00000000-0005-0000-0000-000008630000}"/>
    <cellStyle name="Normal 2 29 2" xfId="25383" xr:uid="{00000000-0005-0000-0000-000009630000}"/>
    <cellStyle name="Normal 2 29 3" xfId="25384" xr:uid="{00000000-0005-0000-0000-00000A630000}"/>
    <cellStyle name="Normal 2 3" xfId="27" xr:uid="{00000000-0005-0000-0000-00000B630000}"/>
    <cellStyle name="Normal 2 3 10" xfId="25386" xr:uid="{00000000-0005-0000-0000-00000C630000}"/>
    <cellStyle name="Normal 2 3 10 10" xfId="25387" xr:uid="{00000000-0005-0000-0000-00000D630000}"/>
    <cellStyle name="Normal 2 3 10 11" xfId="25388" xr:uid="{00000000-0005-0000-0000-00000E630000}"/>
    <cellStyle name="Normal 2 3 10 12" xfId="25389" xr:uid="{00000000-0005-0000-0000-00000F630000}"/>
    <cellStyle name="Normal 2 3 10 13" xfId="25390" xr:uid="{00000000-0005-0000-0000-000010630000}"/>
    <cellStyle name="Normal 2 3 10 14" xfId="25391" xr:uid="{00000000-0005-0000-0000-000011630000}"/>
    <cellStyle name="Normal 2 3 10 2" xfId="25392" xr:uid="{00000000-0005-0000-0000-000012630000}"/>
    <cellStyle name="Normal 2 3 10 2 10" xfId="25393" xr:uid="{00000000-0005-0000-0000-000013630000}"/>
    <cellStyle name="Normal 2 3 10 2 2" xfId="25394" xr:uid="{00000000-0005-0000-0000-000014630000}"/>
    <cellStyle name="Normal 2 3 10 2 3" xfId="25395" xr:uid="{00000000-0005-0000-0000-000015630000}"/>
    <cellStyle name="Normal 2 3 10 2 4" xfId="25396" xr:uid="{00000000-0005-0000-0000-000016630000}"/>
    <cellStyle name="Normal 2 3 10 2 5" xfId="25397" xr:uid="{00000000-0005-0000-0000-000017630000}"/>
    <cellStyle name="Normal 2 3 10 2 6" xfId="25398" xr:uid="{00000000-0005-0000-0000-000018630000}"/>
    <cellStyle name="Normal 2 3 10 2 7" xfId="25399" xr:uid="{00000000-0005-0000-0000-000019630000}"/>
    <cellStyle name="Normal 2 3 10 2 8" xfId="25400" xr:uid="{00000000-0005-0000-0000-00001A630000}"/>
    <cellStyle name="Normal 2 3 10 2 9" xfId="25401" xr:uid="{00000000-0005-0000-0000-00001B630000}"/>
    <cellStyle name="Normal 2 3 10 3" xfId="25402" xr:uid="{00000000-0005-0000-0000-00001C630000}"/>
    <cellStyle name="Normal 2 3 10 3 10" xfId="25403" xr:uid="{00000000-0005-0000-0000-00001D630000}"/>
    <cellStyle name="Normal 2 3 10 3 2" xfId="25404" xr:uid="{00000000-0005-0000-0000-00001E630000}"/>
    <cellStyle name="Normal 2 3 10 3 3" xfId="25405" xr:uid="{00000000-0005-0000-0000-00001F630000}"/>
    <cellStyle name="Normal 2 3 10 3 4" xfId="25406" xr:uid="{00000000-0005-0000-0000-000020630000}"/>
    <cellStyle name="Normal 2 3 10 3 5" xfId="25407" xr:uid="{00000000-0005-0000-0000-000021630000}"/>
    <cellStyle name="Normal 2 3 10 3 6" xfId="25408" xr:uid="{00000000-0005-0000-0000-000022630000}"/>
    <cellStyle name="Normal 2 3 10 3 7" xfId="25409" xr:uid="{00000000-0005-0000-0000-000023630000}"/>
    <cellStyle name="Normal 2 3 10 3 8" xfId="25410" xr:uid="{00000000-0005-0000-0000-000024630000}"/>
    <cellStyle name="Normal 2 3 10 3 9" xfId="25411" xr:uid="{00000000-0005-0000-0000-000025630000}"/>
    <cellStyle name="Normal 2 3 10 4" xfId="25412" xr:uid="{00000000-0005-0000-0000-000026630000}"/>
    <cellStyle name="Normal 2 3 10 4 10" xfId="25413" xr:uid="{00000000-0005-0000-0000-000027630000}"/>
    <cellStyle name="Normal 2 3 10 4 2" xfId="25414" xr:uid="{00000000-0005-0000-0000-000028630000}"/>
    <cellStyle name="Normal 2 3 10 4 3" xfId="25415" xr:uid="{00000000-0005-0000-0000-000029630000}"/>
    <cellStyle name="Normal 2 3 10 4 4" xfId="25416" xr:uid="{00000000-0005-0000-0000-00002A630000}"/>
    <cellStyle name="Normal 2 3 10 4 5" xfId="25417" xr:uid="{00000000-0005-0000-0000-00002B630000}"/>
    <cellStyle name="Normal 2 3 10 4 6" xfId="25418" xr:uid="{00000000-0005-0000-0000-00002C630000}"/>
    <cellStyle name="Normal 2 3 10 4 7" xfId="25419" xr:uid="{00000000-0005-0000-0000-00002D630000}"/>
    <cellStyle name="Normal 2 3 10 4 8" xfId="25420" xr:uid="{00000000-0005-0000-0000-00002E630000}"/>
    <cellStyle name="Normal 2 3 10 4 9" xfId="25421" xr:uid="{00000000-0005-0000-0000-00002F630000}"/>
    <cellStyle name="Normal 2 3 10 5" xfId="25422" xr:uid="{00000000-0005-0000-0000-000030630000}"/>
    <cellStyle name="Normal 2 3 10 5 10" xfId="25423" xr:uid="{00000000-0005-0000-0000-000031630000}"/>
    <cellStyle name="Normal 2 3 10 5 2" xfId="25424" xr:uid="{00000000-0005-0000-0000-000032630000}"/>
    <cellStyle name="Normal 2 3 10 5 3" xfId="25425" xr:uid="{00000000-0005-0000-0000-000033630000}"/>
    <cellStyle name="Normal 2 3 10 5 4" xfId="25426" xr:uid="{00000000-0005-0000-0000-000034630000}"/>
    <cellStyle name="Normal 2 3 10 5 5" xfId="25427" xr:uid="{00000000-0005-0000-0000-000035630000}"/>
    <cellStyle name="Normal 2 3 10 5 6" xfId="25428" xr:uid="{00000000-0005-0000-0000-000036630000}"/>
    <cellStyle name="Normal 2 3 10 5 7" xfId="25429" xr:uid="{00000000-0005-0000-0000-000037630000}"/>
    <cellStyle name="Normal 2 3 10 5 8" xfId="25430" xr:uid="{00000000-0005-0000-0000-000038630000}"/>
    <cellStyle name="Normal 2 3 10 5 9" xfId="25431" xr:uid="{00000000-0005-0000-0000-000039630000}"/>
    <cellStyle name="Normal 2 3 10 6" xfId="25432" xr:uid="{00000000-0005-0000-0000-00003A630000}"/>
    <cellStyle name="Normal 2 3 10 7" xfId="25433" xr:uid="{00000000-0005-0000-0000-00003B630000}"/>
    <cellStyle name="Normal 2 3 10 8" xfId="25434" xr:uid="{00000000-0005-0000-0000-00003C630000}"/>
    <cellStyle name="Normal 2 3 10 9" xfId="25435" xr:uid="{00000000-0005-0000-0000-00003D630000}"/>
    <cellStyle name="Normal 2 3 11" xfId="25436" xr:uid="{00000000-0005-0000-0000-00003E630000}"/>
    <cellStyle name="Normal 2 3 11 10" xfId="25437" xr:uid="{00000000-0005-0000-0000-00003F630000}"/>
    <cellStyle name="Normal 2 3 11 11" xfId="25438" xr:uid="{00000000-0005-0000-0000-000040630000}"/>
    <cellStyle name="Normal 2 3 11 12" xfId="25439" xr:uid="{00000000-0005-0000-0000-000041630000}"/>
    <cellStyle name="Normal 2 3 11 13" xfId="25440" xr:uid="{00000000-0005-0000-0000-000042630000}"/>
    <cellStyle name="Normal 2 3 11 14" xfId="25441" xr:uid="{00000000-0005-0000-0000-000043630000}"/>
    <cellStyle name="Normal 2 3 11 2" xfId="25442" xr:uid="{00000000-0005-0000-0000-000044630000}"/>
    <cellStyle name="Normal 2 3 11 2 10" xfId="25443" xr:uid="{00000000-0005-0000-0000-000045630000}"/>
    <cellStyle name="Normal 2 3 11 2 2" xfId="25444" xr:uid="{00000000-0005-0000-0000-000046630000}"/>
    <cellStyle name="Normal 2 3 11 2 3" xfId="25445" xr:uid="{00000000-0005-0000-0000-000047630000}"/>
    <cellStyle name="Normal 2 3 11 2 4" xfId="25446" xr:uid="{00000000-0005-0000-0000-000048630000}"/>
    <cellStyle name="Normal 2 3 11 2 5" xfId="25447" xr:uid="{00000000-0005-0000-0000-000049630000}"/>
    <cellStyle name="Normal 2 3 11 2 6" xfId="25448" xr:uid="{00000000-0005-0000-0000-00004A630000}"/>
    <cellStyle name="Normal 2 3 11 2 7" xfId="25449" xr:uid="{00000000-0005-0000-0000-00004B630000}"/>
    <cellStyle name="Normal 2 3 11 2 8" xfId="25450" xr:uid="{00000000-0005-0000-0000-00004C630000}"/>
    <cellStyle name="Normal 2 3 11 2 9" xfId="25451" xr:uid="{00000000-0005-0000-0000-00004D630000}"/>
    <cellStyle name="Normal 2 3 11 3" xfId="25452" xr:uid="{00000000-0005-0000-0000-00004E630000}"/>
    <cellStyle name="Normal 2 3 11 3 10" xfId="25453" xr:uid="{00000000-0005-0000-0000-00004F630000}"/>
    <cellStyle name="Normal 2 3 11 3 2" xfId="25454" xr:uid="{00000000-0005-0000-0000-000050630000}"/>
    <cellStyle name="Normal 2 3 11 3 3" xfId="25455" xr:uid="{00000000-0005-0000-0000-000051630000}"/>
    <cellStyle name="Normal 2 3 11 3 4" xfId="25456" xr:uid="{00000000-0005-0000-0000-000052630000}"/>
    <cellStyle name="Normal 2 3 11 3 5" xfId="25457" xr:uid="{00000000-0005-0000-0000-000053630000}"/>
    <cellStyle name="Normal 2 3 11 3 6" xfId="25458" xr:uid="{00000000-0005-0000-0000-000054630000}"/>
    <cellStyle name="Normal 2 3 11 3 7" xfId="25459" xr:uid="{00000000-0005-0000-0000-000055630000}"/>
    <cellStyle name="Normal 2 3 11 3 8" xfId="25460" xr:uid="{00000000-0005-0000-0000-000056630000}"/>
    <cellStyle name="Normal 2 3 11 3 9" xfId="25461" xr:uid="{00000000-0005-0000-0000-000057630000}"/>
    <cellStyle name="Normal 2 3 11 4" xfId="25462" xr:uid="{00000000-0005-0000-0000-000058630000}"/>
    <cellStyle name="Normal 2 3 11 4 10" xfId="25463" xr:uid="{00000000-0005-0000-0000-000059630000}"/>
    <cellStyle name="Normal 2 3 11 4 2" xfId="25464" xr:uid="{00000000-0005-0000-0000-00005A630000}"/>
    <cellStyle name="Normal 2 3 11 4 3" xfId="25465" xr:uid="{00000000-0005-0000-0000-00005B630000}"/>
    <cellStyle name="Normal 2 3 11 4 4" xfId="25466" xr:uid="{00000000-0005-0000-0000-00005C630000}"/>
    <cellStyle name="Normal 2 3 11 4 5" xfId="25467" xr:uid="{00000000-0005-0000-0000-00005D630000}"/>
    <cellStyle name="Normal 2 3 11 4 6" xfId="25468" xr:uid="{00000000-0005-0000-0000-00005E630000}"/>
    <cellStyle name="Normal 2 3 11 4 7" xfId="25469" xr:uid="{00000000-0005-0000-0000-00005F630000}"/>
    <cellStyle name="Normal 2 3 11 4 8" xfId="25470" xr:uid="{00000000-0005-0000-0000-000060630000}"/>
    <cellStyle name="Normal 2 3 11 4 9" xfId="25471" xr:uid="{00000000-0005-0000-0000-000061630000}"/>
    <cellStyle name="Normal 2 3 11 5" xfId="25472" xr:uid="{00000000-0005-0000-0000-000062630000}"/>
    <cellStyle name="Normal 2 3 11 5 10" xfId="25473" xr:uid="{00000000-0005-0000-0000-000063630000}"/>
    <cellStyle name="Normal 2 3 11 5 2" xfId="25474" xr:uid="{00000000-0005-0000-0000-000064630000}"/>
    <cellStyle name="Normal 2 3 11 5 3" xfId="25475" xr:uid="{00000000-0005-0000-0000-000065630000}"/>
    <cellStyle name="Normal 2 3 11 5 4" xfId="25476" xr:uid="{00000000-0005-0000-0000-000066630000}"/>
    <cellStyle name="Normal 2 3 11 5 5" xfId="25477" xr:uid="{00000000-0005-0000-0000-000067630000}"/>
    <cellStyle name="Normal 2 3 11 5 6" xfId="25478" xr:uid="{00000000-0005-0000-0000-000068630000}"/>
    <cellStyle name="Normal 2 3 11 5 7" xfId="25479" xr:uid="{00000000-0005-0000-0000-000069630000}"/>
    <cellStyle name="Normal 2 3 11 5 8" xfId="25480" xr:uid="{00000000-0005-0000-0000-00006A630000}"/>
    <cellStyle name="Normal 2 3 11 5 9" xfId="25481" xr:uid="{00000000-0005-0000-0000-00006B630000}"/>
    <cellStyle name="Normal 2 3 11 6" xfId="25482" xr:uid="{00000000-0005-0000-0000-00006C630000}"/>
    <cellStyle name="Normal 2 3 11 7" xfId="25483" xr:uid="{00000000-0005-0000-0000-00006D630000}"/>
    <cellStyle name="Normal 2 3 11 8" xfId="25484" xr:uid="{00000000-0005-0000-0000-00006E630000}"/>
    <cellStyle name="Normal 2 3 11 9" xfId="25485" xr:uid="{00000000-0005-0000-0000-00006F630000}"/>
    <cellStyle name="Normal 2 3 12" xfId="25486" xr:uid="{00000000-0005-0000-0000-000070630000}"/>
    <cellStyle name="Normal 2 3 12 10" xfId="25487" xr:uid="{00000000-0005-0000-0000-000071630000}"/>
    <cellStyle name="Normal 2 3 12 11" xfId="25488" xr:uid="{00000000-0005-0000-0000-000072630000}"/>
    <cellStyle name="Normal 2 3 12 12" xfId="25489" xr:uid="{00000000-0005-0000-0000-000073630000}"/>
    <cellStyle name="Normal 2 3 12 13" xfId="25490" xr:uid="{00000000-0005-0000-0000-000074630000}"/>
    <cellStyle name="Normal 2 3 12 14" xfId="25491" xr:uid="{00000000-0005-0000-0000-000075630000}"/>
    <cellStyle name="Normal 2 3 12 2" xfId="25492" xr:uid="{00000000-0005-0000-0000-000076630000}"/>
    <cellStyle name="Normal 2 3 12 2 10" xfId="25493" xr:uid="{00000000-0005-0000-0000-000077630000}"/>
    <cellStyle name="Normal 2 3 12 2 2" xfId="25494" xr:uid="{00000000-0005-0000-0000-000078630000}"/>
    <cellStyle name="Normal 2 3 12 2 3" xfId="25495" xr:uid="{00000000-0005-0000-0000-000079630000}"/>
    <cellStyle name="Normal 2 3 12 2 4" xfId="25496" xr:uid="{00000000-0005-0000-0000-00007A630000}"/>
    <cellStyle name="Normal 2 3 12 2 5" xfId="25497" xr:uid="{00000000-0005-0000-0000-00007B630000}"/>
    <cellStyle name="Normal 2 3 12 2 6" xfId="25498" xr:uid="{00000000-0005-0000-0000-00007C630000}"/>
    <cellStyle name="Normal 2 3 12 2 7" xfId="25499" xr:uid="{00000000-0005-0000-0000-00007D630000}"/>
    <cellStyle name="Normal 2 3 12 2 8" xfId="25500" xr:uid="{00000000-0005-0000-0000-00007E630000}"/>
    <cellStyle name="Normal 2 3 12 2 9" xfId="25501" xr:uid="{00000000-0005-0000-0000-00007F630000}"/>
    <cellStyle name="Normal 2 3 12 3" xfId="25502" xr:uid="{00000000-0005-0000-0000-000080630000}"/>
    <cellStyle name="Normal 2 3 12 3 10" xfId="25503" xr:uid="{00000000-0005-0000-0000-000081630000}"/>
    <cellStyle name="Normal 2 3 12 3 2" xfId="25504" xr:uid="{00000000-0005-0000-0000-000082630000}"/>
    <cellStyle name="Normal 2 3 12 3 3" xfId="25505" xr:uid="{00000000-0005-0000-0000-000083630000}"/>
    <cellStyle name="Normal 2 3 12 3 4" xfId="25506" xr:uid="{00000000-0005-0000-0000-000084630000}"/>
    <cellStyle name="Normal 2 3 12 3 5" xfId="25507" xr:uid="{00000000-0005-0000-0000-000085630000}"/>
    <cellStyle name="Normal 2 3 12 3 6" xfId="25508" xr:uid="{00000000-0005-0000-0000-000086630000}"/>
    <cellStyle name="Normal 2 3 12 3 7" xfId="25509" xr:uid="{00000000-0005-0000-0000-000087630000}"/>
    <cellStyle name="Normal 2 3 12 3 8" xfId="25510" xr:uid="{00000000-0005-0000-0000-000088630000}"/>
    <cellStyle name="Normal 2 3 12 3 9" xfId="25511" xr:uid="{00000000-0005-0000-0000-000089630000}"/>
    <cellStyle name="Normal 2 3 12 4" xfId="25512" xr:uid="{00000000-0005-0000-0000-00008A630000}"/>
    <cellStyle name="Normal 2 3 12 4 10" xfId="25513" xr:uid="{00000000-0005-0000-0000-00008B630000}"/>
    <cellStyle name="Normal 2 3 12 4 2" xfId="25514" xr:uid="{00000000-0005-0000-0000-00008C630000}"/>
    <cellStyle name="Normal 2 3 12 4 3" xfId="25515" xr:uid="{00000000-0005-0000-0000-00008D630000}"/>
    <cellStyle name="Normal 2 3 12 4 4" xfId="25516" xr:uid="{00000000-0005-0000-0000-00008E630000}"/>
    <cellStyle name="Normal 2 3 12 4 5" xfId="25517" xr:uid="{00000000-0005-0000-0000-00008F630000}"/>
    <cellStyle name="Normal 2 3 12 4 6" xfId="25518" xr:uid="{00000000-0005-0000-0000-000090630000}"/>
    <cellStyle name="Normal 2 3 12 4 7" xfId="25519" xr:uid="{00000000-0005-0000-0000-000091630000}"/>
    <cellStyle name="Normal 2 3 12 4 8" xfId="25520" xr:uid="{00000000-0005-0000-0000-000092630000}"/>
    <cellStyle name="Normal 2 3 12 4 9" xfId="25521" xr:uid="{00000000-0005-0000-0000-000093630000}"/>
    <cellStyle name="Normal 2 3 12 5" xfId="25522" xr:uid="{00000000-0005-0000-0000-000094630000}"/>
    <cellStyle name="Normal 2 3 12 5 10" xfId="25523" xr:uid="{00000000-0005-0000-0000-000095630000}"/>
    <cellStyle name="Normal 2 3 12 5 2" xfId="25524" xr:uid="{00000000-0005-0000-0000-000096630000}"/>
    <cellStyle name="Normal 2 3 12 5 3" xfId="25525" xr:uid="{00000000-0005-0000-0000-000097630000}"/>
    <cellStyle name="Normal 2 3 12 5 4" xfId="25526" xr:uid="{00000000-0005-0000-0000-000098630000}"/>
    <cellStyle name="Normal 2 3 12 5 5" xfId="25527" xr:uid="{00000000-0005-0000-0000-000099630000}"/>
    <cellStyle name="Normal 2 3 12 5 6" xfId="25528" xr:uid="{00000000-0005-0000-0000-00009A630000}"/>
    <cellStyle name="Normal 2 3 12 5 7" xfId="25529" xr:uid="{00000000-0005-0000-0000-00009B630000}"/>
    <cellStyle name="Normal 2 3 12 5 8" xfId="25530" xr:uid="{00000000-0005-0000-0000-00009C630000}"/>
    <cellStyle name="Normal 2 3 12 5 9" xfId="25531" xr:uid="{00000000-0005-0000-0000-00009D630000}"/>
    <cellStyle name="Normal 2 3 12 6" xfId="25532" xr:uid="{00000000-0005-0000-0000-00009E630000}"/>
    <cellStyle name="Normal 2 3 12 7" xfId="25533" xr:uid="{00000000-0005-0000-0000-00009F630000}"/>
    <cellStyle name="Normal 2 3 12 8" xfId="25534" xr:uid="{00000000-0005-0000-0000-0000A0630000}"/>
    <cellStyle name="Normal 2 3 12 9" xfId="25535" xr:uid="{00000000-0005-0000-0000-0000A1630000}"/>
    <cellStyle name="Normal 2 3 13" xfId="25536" xr:uid="{00000000-0005-0000-0000-0000A2630000}"/>
    <cellStyle name="Normal 2 3 13 10" xfId="25537" xr:uid="{00000000-0005-0000-0000-0000A3630000}"/>
    <cellStyle name="Normal 2 3 13 11" xfId="25538" xr:uid="{00000000-0005-0000-0000-0000A4630000}"/>
    <cellStyle name="Normal 2 3 13 12" xfId="25539" xr:uid="{00000000-0005-0000-0000-0000A5630000}"/>
    <cellStyle name="Normal 2 3 13 13" xfId="25540" xr:uid="{00000000-0005-0000-0000-0000A6630000}"/>
    <cellStyle name="Normal 2 3 13 14" xfId="25541" xr:uid="{00000000-0005-0000-0000-0000A7630000}"/>
    <cellStyle name="Normal 2 3 13 2" xfId="25542" xr:uid="{00000000-0005-0000-0000-0000A8630000}"/>
    <cellStyle name="Normal 2 3 13 2 10" xfId="25543" xr:uid="{00000000-0005-0000-0000-0000A9630000}"/>
    <cellStyle name="Normal 2 3 13 2 2" xfId="25544" xr:uid="{00000000-0005-0000-0000-0000AA630000}"/>
    <cellStyle name="Normal 2 3 13 2 3" xfId="25545" xr:uid="{00000000-0005-0000-0000-0000AB630000}"/>
    <cellStyle name="Normal 2 3 13 2 4" xfId="25546" xr:uid="{00000000-0005-0000-0000-0000AC630000}"/>
    <cellStyle name="Normal 2 3 13 2 5" xfId="25547" xr:uid="{00000000-0005-0000-0000-0000AD630000}"/>
    <cellStyle name="Normal 2 3 13 2 6" xfId="25548" xr:uid="{00000000-0005-0000-0000-0000AE630000}"/>
    <cellStyle name="Normal 2 3 13 2 7" xfId="25549" xr:uid="{00000000-0005-0000-0000-0000AF630000}"/>
    <cellStyle name="Normal 2 3 13 2 8" xfId="25550" xr:uid="{00000000-0005-0000-0000-0000B0630000}"/>
    <cellStyle name="Normal 2 3 13 2 9" xfId="25551" xr:uid="{00000000-0005-0000-0000-0000B1630000}"/>
    <cellStyle name="Normal 2 3 13 3" xfId="25552" xr:uid="{00000000-0005-0000-0000-0000B2630000}"/>
    <cellStyle name="Normal 2 3 13 3 10" xfId="25553" xr:uid="{00000000-0005-0000-0000-0000B3630000}"/>
    <cellStyle name="Normal 2 3 13 3 2" xfId="25554" xr:uid="{00000000-0005-0000-0000-0000B4630000}"/>
    <cellStyle name="Normal 2 3 13 3 3" xfId="25555" xr:uid="{00000000-0005-0000-0000-0000B5630000}"/>
    <cellStyle name="Normal 2 3 13 3 4" xfId="25556" xr:uid="{00000000-0005-0000-0000-0000B6630000}"/>
    <cellStyle name="Normal 2 3 13 3 5" xfId="25557" xr:uid="{00000000-0005-0000-0000-0000B7630000}"/>
    <cellStyle name="Normal 2 3 13 3 6" xfId="25558" xr:uid="{00000000-0005-0000-0000-0000B8630000}"/>
    <cellStyle name="Normal 2 3 13 3 7" xfId="25559" xr:uid="{00000000-0005-0000-0000-0000B9630000}"/>
    <cellStyle name="Normal 2 3 13 3 8" xfId="25560" xr:uid="{00000000-0005-0000-0000-0000BA630000}"/>
    <cellStyle name="Normal 2 3 13 3 9" xfId="25561" xr:uid="{00000000-0005-0000-0000-0000BB630000}"/>
    <cellStyle name="Normal 2 3 13 4" xfId="25562" xr:uid="{00000000-0005-0000-0000-0000BC630000}"/>
    <cellStyle name="Normal 2 3 13 4 10" xfId="25563" xr:uid="{00000000-0005-0000-0000-0000BD630000}"/>
    <cellStyle name="Normal 2 3 13 4 2" xfId="25564" xr:uid="{00000000-0005-0000-0000-0000BE630000}"/>
    <cellStyle name="Normal 2 3 13 4 3" xfId="25565" xr:uid="{00000000-0005-0000-0000-0000BF630000}"/>
    <cellStyle name="Normal 2 3 13 4 4" xfId="25566" xr:uid="{00000000-0005-0000-0000-0000C0630000}"/>
    <cellStyle name="Normal 2 3 13 4 5" xfId="25567" xr:uid="{00000000-0005-0000-0000-0000C1630000}"/>
    <cellStyle name="Normal 2 3 13 4 6" xfId="25568" xr:uid="{00000000-0005-0000-0000-0000C2630000}"/>
    <cellStyle name="Normal 2 3 13 4 7" xfId="25569" xr:uid="{00000000-0005-0000-0000-0000C3630000}"/>
    <cellStyle name="Normal 2 3 13 4 8" xfId="25570" xr:uid="{00000000-0005-0000-0000-0000C4630000}"/>
    <cellStyle name="Normal 2 3 13 4 9" xfId="25571" xr:uid="{00000000-0005-0000-0000-0000C5630000}"/>
    <cellStyle name="Normal 2 3 13 5" xfId="25572" xr:uid="{00000000-0005-0000-0000-0000C6630000}"/>
    <cellStyle name="Normal 2 3 13 5 10" xfId="25573" xr:uid="{00000000-0005-0000-0000-0000C7630000}"/>
    <cellStyle name="Normal 2 3 13 5 2" xfId="25574" xr:uid="{00000000-0005-0000-0000-0000C8630000}"/>
    <cellStyle name="Normal 2 3 13 5 3" xfId="25575" xr:uid="{00000000-0005-0000-0000-0000C9630000}"/>
    <cellStyle name="Normal 2 3 13 5 4" xfId="25576" xr:uid="{00000000-0005-0000-0000-0000CA630000}"/>
    <cellStyle name="Normal 2 3 13 5 5" xfId="25577" xr:uid="{00000000-0005-0000-0000-0000CB630000}"/>
    <cellStyle name="Normal 2 3 13 5 6" xfId="25578" xr:uid="{00000000-0005-0000-0000-0000CC630000}"/>
    <cellStyle name="Normal 2 3 13 5 7" xfId="25579" xr:uid="{00000000-0005-0000-0000-0000CD630000}"/>
    <cellStyle name="Normal 2 3 13 5 8" xfId="25580" xr:uid="{00000000-0005-0000-0000-0000CE630000}"/>
    <cellStyle name="Normal 2 3 13 5 9" xfId="25581" xr:uid="{00000000-0005-0000-0000-0000CF630000}"/>
    <cellStyle name="Normal 2 3 13 6" xfId="25582" xr:uid="{00000000-0005-0000-0000-0000D0630000}"/>
    <cellStyle name="Normal 2 3 13 7" xfId="25583" xr:uid="{00000000-0005-0000-0000-0000D1630000}"/>
    <cellStyle name="Normal 2 3 13 8" xfId="25584" xr:uid="{00000000-0005-0000-0000-0000D2630000}"/>
    <cellStyle name="Normal 2 3 13 9" xfId="25585" xr:uid="{00000000-0005-0000-0000-0000D3630000}"/>
    <cellStyle name="Normal 2 3 14" xfId="25586" xr:uid="{00000000-0005-0000-0000-0000D4630000}"/>
    <cellStyle name="Normal 2 3 14 10" xfId="25587" xr:uid="{00000000-0005-0000-0000-0000D5630000}"/>
    <cellStyle name="Normal 2 3 14 11" xfId="25588" xr:uid="{00000000-0005-0000-0000-0000D6630000}"/>
    <cellStyle name="Normal 2 3 14 12" xfId="25589" xr:uid="{00000000-0005-0000-0000-0000D7630000}"/>
    <cellStyle name="Normal 2 3 14 13" xfId="25590" xr:uid="{00000000-0005-0000-0000-0000D8630000}"/>
    <cellStyle name="Normal 2 3 14 14" xfId="25591" xr:uid="{00000000-0005-0000-0000-0000D9630000}"/>
    <cellStyle name="Normal 2 3 14 2" xfId="25592" xr:uid="{00000000-0005-0000-0000-0000DA630000}"/>
    <cellStyle name="Normal 2 3 14 2 10" xfId="25593" xr:uid="{00000000-0005-0000-0000-0000DB630000}"/>
    <cellStyle name="Normal 2 3 14 2 2" xfId="25594" xr:uid="{00000000-0005-0000-0000-0000DC630000}"/>
    <cellStyle name="Normal 2 3 14 2 3" xfId="25595" xr:uid="{00000000-0005-0000-0000-0000DD630000}"/>
    <cellStyle name="Normal 2 3 14 2 4" xfId="25596" xr:uid="{00000000-0005-0000-0000-0000DE630000}"/>
    <cellStyle name="Normal 2 3 14 2 5" xfId="25597" xr:uid="{00000000-0005-0000-0000-0000DF630000}"/>
    <cellStyle name="Normal 2 3 14 2 6" xfId="25598" xr:uid="{00000000-0005-0000-0000-0000E0630000}"/>
    <cellStyle name="Normal 2 3 14 2 7" xfId="25599" xr:uid="{00000000-0005-0000-0000-0000E1630000}"/>
    <cellStyle name="Normal 2 3 14 2 8" xfId="25600" xr:uid="{00000000-0005-0000-0000-0000E2630000}"/>
    <cellStyle name="Normal 2 3 14 2 9" xfId="25601" xr:uid="{00000000-0005-0000-0000-0000E3630000}"/>
    <cellStyle name="Normal 2 3 14 3" xfId="25602" xr:uid="{00000000-0005-0000-0000-0000E4630000}"/>
    <cellStyle name="Normal 2 3 14 3 10" xfId="25603" xr:uid="{00000000-0005-0000-0000-0000E5630000}"/>
    <cellStyle name="Normal 2 3 14 3 2" xfId="25604" xr:uid="{00000000-0005-0000-0000-0000E6630000}"/>
    <cellStyle name="Normal 2 3 14 3 3" xfId="25605" xr:uid="{00000000-0005-0000-0000-0000E7630000}"/>
    <cellStyle name="Normal 2 3 14 3 4" xfId="25606" xr:uid="{00000000-0005-0000-0000-0000E8630000}"/>
    <cellStyle name="Normal 2 3 14 3 5" xfId="25607" xr:uid="{00000000-0005-0000-0000-0000E9630000}"/>
    <cellStyle name="Normal 2 3 14 3 6" xfId="25608" xr:uid="{00000000-0005-0000-0000-0000EA630000}"/>
    <cellStyle name="Normal 2 3 14 3 7" xfId="25609" xr:uid="{00000000-0005-0000-0000-0000EB630000}"/>
    <cellStyle name="Normal 2 3 14 3 8" xfId="25610" xr:uid="{00000000-0005-0000-0000-0000EC630000}"/>
    <cellStyle name="Normal 2 3 14 3 9" xfId="25611" xr:uid="{00000000-0005-0000-0000-0000ED630000}"/>
    <cellStyle name="Normal 2 3 14 4" xfId="25612" xr:uid="{00000000-0005-0000-0000-0000EE630000}"/>
    <cellStyle name="Normal 2 3 14 4 10" xfId="25613" xr:uid="{00000000-0005-0000-0000-0000EF630000}"/>
    <cellStyle name="Normal 2 3 14 4 2" xfId="25614" xr:uid="{00000000-0005-0000-0000-0000F0630000}"/>
    <cellStyle name="Normal 2 3 14 4 3" xfId="25615" xr:uid="{00000000-0005-0000-0000-0000F1630000}"/>
    <cellStyle name="Normal 2 3 14 4 4" xfId="25616" xr:uid="{00000000-0005-0000-0000-0000F2630000}"/>
    <cellStyle name="Normal 2 3 14 4 5" xfId="25617" xr:uid="{00000000-0005-0000-0000-0000F3630000}"/>
    <cellStyle name="Normal 2 3 14 4 6" xfId="25618" xr:uid="{00000000-0005-0000-0000-0000F4630000}"/>
    <cellStyle name="Normal 2 3 14 4 7" xfId="25619" xr:uid="{00000000-0005-0000-0000-0000F5630000}"/>
    <cellStyle name="Normal 2 3 14 4 8" xfId="25620" xr:uid="{00000000-0005-0000-0000-0000F6630000}"/>
    <cellStyle name="Normal 2 3 14 4 9" xfId="25621" xr:uid="{00000000-0005-0000-0000-0000F7630000}"/>
    <cellStyle name="Normal 2 3 14 5" xfId="25622" xr:uid="{00000000-0005-0000-0000-0000F8630000}"/>
    <cellStyle name="Normal 2 3 14 5 10" xfId="25623" xr:uid="{00000000-0005-0000-0000-0000F9630000}"/>
    <cellStyle name="Normal 2 3 14 5 2" xfId="25624" xr:uid="{00000000-0005-0000-0000-0000FA630000}"/>
    <cellStyle name="Normal 2 3 14 5 3" xfId="25625" xr:uid="{00000000-0005-0000-0000-0000FB630000}"/>
    <cellStyle name="Normal 2 3 14 5 4" xfId="25626" xr:uid="{00000000-0005-0000-0000-0000FC630000}"/>
    <cellStyle name="Normal 2 3 14 5 5" xfId="25627" xr:uid="{00000000-0005-0000-0000-0000FD630000}"/>
    <cellStyle name="Normal 2 3 14 5 6" xfId="25628" xr:uid="{00000000-0005-0000-0000-0000FE630000}"/>
    <cellStyle name="Normal 2 3 14 5 7" xfId="25629" xr:uid="{00000000-0005-0000-0000-0000FF630000}"/>
    <cellStyle name="Normal 2 3 14 5 8" xfId="25630" xr:uid="{00000000-0005-0000-0000-000000640000}"/>
    <cellStyle name="Normal 2 3 14 5 9" xfId="25631" xr:uid="{00000000-0005-0000-0000-000001640000}"/>
    <cellStyle name="Normal 2 3 14 6" xfId="25632" xr:uid="{00000000-0005-0000-0000-000002640000}"/>
    <cellStyle name="Normal 2 3 14 7" xfId="25633" xr:uid="{00000000-0005-0000-0000-000003640000}"/>
    <cellStyle name="Normal 2 3 14 8" xfId="25634" xr:uid="{00000000-0005-0000-0000-000004640000}"/>
    <cellStyle name="Normal 2 3 14 9" xfId="25635" xr:uid="{00000000-0005-0000-0000-000005640000}"/>
    <cellStyle name="Normal 2 3 15" xfId="25636" xr:uid="{00000000-0005-0000-0000-000006640000}"/>
    <cellStyle name="Normal 2 3 15 10" xfId="25637" xr:uid="{00000000-0005-0000-0000-000007640000}"/>
    <cellStyle name="Normal 2 3 15 11" xfId="25638" xr:uid="{00000000-0005-0000-0000-000008640000}"/>
    <cellStyle name="Normal 2 3 15 12" xfId="25639" xr:uid="{00000000-0005-0000-0000-000009640000}"/>
    <cellStyle name="Normal 2 3 15 13" xfId="25640" xr:uid="{00000000-0005-0000-0000-00000A640000}"/>
    <cellStyle name="Normal 2 3 15 14" xfId="25641" xr:uid="{00000000-0005-0000-0000-00000B640000}"/>
    <cellStyle name="Normal 2 3 15 2" xfId="25642" xr:uid="{00000000-0005-0000-0000-00000C640000}"/>
    <cellStyle name="Normal 2 3 15 2 10" xfId="25643" xr:uid="{00000000-0005-0000-0000-00000D640000}"/>
    <cellStyle name="Normal 2 3 15 2 2" xfId="25644" xr:uid="{00000000-0005-0000-0000-00000E640000}"/>
    <cellStyle name="Normal 2 3 15 2 3" xfId="25645" xr:uid="{00000000-0005-0000-0000-00000F640000}"/>
    <cellStyle name="Normal 2 3 15 2 4" xfId="25646" xr:uid="{00000000-0005-0000-0000-000010640000}"/>
    <cellStyle name="Normal 2 3 15 2 5" xfId="25647" xr:uid="{00000000-0005-0000-0000-000011640000}"/>
    <cellStyle name="Normal 2 3 15 2 6" xfId="25648" xr:uid="{00000000-0005-0000-0000-000012640000}"/>
    <cellStyle name="Normal 2 3 15 2 7" xfId="25649" xr:uid="{00000000-0005-0000-0000-000013640000}"/>
    <cellStyle name="Normal 2 3 15 2 8" xfId="25650" xr:uid="{00000000-0005-0000-0000-000014640000}"/>
    <cellStyle name="Normal 2 3 15 2 9" xfId="25651" xr:uid="{00000000-0005-0000-0000-000015640000}"/>
    <cellStyle name="Normal 2 3 15 3" xfId="25652" xr:uid="{00000000-0005-0000-0000-000016640000}"/>
    <cellStyle name="Normal 2 3 15 3 10" xfId="25653" xr:uid="{00000000-0005-0000-0000-000017640000}"/>
    <cellStyle name="Normal 2 3 15 3 2" xfId="25654" xr:uid="{00000000-0005-0000-0000-000018640000}"/>
    <cellStyle name="Normal 2 3 15 3 3" xfId="25655" xr:uid="{00000000-0005-0000-0000-000019640000}"/>
    <cellStyle name="Normal 2 3 15 3 4" xfId="25656" xr:uid="{00000000-0005-0000-0000-00001A640000}"/>
    <cellStyle name="Normal 2 3 15 3 5" xfId="25657" xr:uid="{00000000-0005-0000-0000-00001B640000}"/>
    <cellStyle name="Normal 2 3 15 3 6" xfId="25658" xr:uid="{00000000-0005-0000-0000-00001C640000}"/>
    <cellStyle name="Normal 2 3 15 3 7" xfId="25659" xr:uid="{00000000-0005-0000-0000-00001D640000}"/>
    <cellStyle name="Normal 2 3 15 3 8" xfId="25660" xr:uid="{00000000-0005-0000-0000-00001E640000}"/>
    <cellStyle name="Normal 2 3 15 3 9" xfId="25661" xr:uid="{00000000-0005-0000-0000-00001F640000}"/>
    <cellStyle name="Normal 2 3 15 4" xfId="25662" xr:uid="{00000000-0005-0000-0000-000020640000}"/>
    <cellStyle name="Normal 2 3 15 4 10" xfId="25663" xr:uid="{00000000-0005-0000-0000-000021640000}"/>
    <cellStyle name="Normal 2 3 15 4 2" xfId="25664" xr:uid="{00000000-0005-0000-0000-000022640000}"/>
    <cellStyle name="Normal 2 3 15 4 3" xfId="25665" xr:uid="{00000000-0005-0000-0000-000023640000}"/>
    <cellStyle name="Normal 2 3 15 4 4" xfId="25666" xr:uid="{00000000-0005-0000-0000-000024640000}"/>
    <cellStyle name="Normal 2 3 15 4 5" xfId="25667" xr:uid="{00000000-0005-0000-0000-000025640000}"/>
    <cellStyle name="Normal 2 3 15 4 6" xfId="25668" xr:uid="{00000000-0005-0000-0000-000026640000}"/>
    <cellStyle name="Normal 2 3 15 4 7" xfId="25669" xr:uid="{00000000-0005-0000-0000-000027640000}"/>
    <cellStyle name="Normal 2 3 15 4 8" xfId="25670" xr:uid="{00000000-0005-0000-0000-000028640000}"/>
    <cellStyle name="Normal 2 3 15 4 9" xfId="25671" xr:uid="{00000000-0005-0000-0000-000029640000}"/>
    <cellStyle name="Normal 2 3 15 5" xfId="25672" xr:uid="{00000000-0005-0000-0000-00002A640000}"/>
    <cellStyle name="Normal 2 3 15 5 10" xfId="25673" xr:uid="{00000000-0005-0000-0000-00002B640000}"/>
    <cellStyle name="Normal 2 3 15 5 2" xfId="25674" xr:uid="{00000000-0005-0000-0000-00002C640000}"/>
    <cellStyle name="Normal 2 3 15 5 3" xfId="25675" xr:uid="{00000000-0005-0000-0000-00002D640000}"/>
    <cellStyle name="Normal 2 3 15 5 4" xfId="25676" xr:uid="{00000000-0005-0000-0000-00002E640000}"/>
    <cellStyle name="Normal 2 3 15 5 5" xfId="25677" xr:uid="{00000000-0005-0000-0000-00002F640000}"/>
    <cellStyle name="Normal 2 3 15 5 6" xfId="25678" xr:uid="{00000000-0005-0000-0000-000030640000}"/>
    <cellStyle name="Normal 2 3 15 5 7" xfId="25679" xr:uid="{00000000-0005-0000-0000-000031640000}"/>
    <cellStyle name="Normal 2 3 15 5 8" xfId="25680" xr:uid="{00000000-0005-0000-0000-000032640000}"/>
    <cellStyle name="Normal 2 3 15 5 9" xfId="25681" xr:uid="{00000000-0005-0000-0000-000033640000}"/>
    <cellStyle name="Normal 2 3 15 6" xfId="25682" xr:uid="{00000000-0005-0000-0000-000034640000}"/>
    <cellStyle name="Normal 2 3 15 7" xfId="25683" xr:uid="{00000000-0005-0000-0000-000035640000}"/>
    <cellStyle name="Normal 2 3 15 8" xfId="25684" xr:uid="{00000000-0005-0000-0000-000036640000}"/>
    <cellStyle name="Normal 2 3 15 9" xfId="25685" xr:uid="{00000000-0005-0000-0000-000037640000}"/>
    <cellStyle name="Normal 2 3 16" xfId="25686" xr:uid="{00000000-0005-0000-0000-000038640000}"/>
    <cellStyle name="Normal 2 3 16 10" xfId="25687" xr:uid="{00000000-0005-0000-0000-000039640000}"/>
    <cellStyle name="Normal 2 3 16 11" xfId="25688" xr:uid="{00000000-0005-0000-0000-00003A640000}"/>
    <cellStyle name="Normal 2 3 16 12" xfId="25689" xr:uid="{00000000-0005-0000-0000-00003B640000}"/>
    <cellStyle name="Normal 2 3 16 13" xfId="25690" xr:uid="{00000000-0005-0000-0000-00003C640000}"/>
    <cellStyle name="Normal 2 3 16 14" xfId="25691" xr:uid="{00000000-0005-0000-0000-00003D640000}"/>
    <cellStyle name="Normal 2 3 16 2" xfId="25692" xr:uid="{00000000-0005-0000-0000-00003E640000}"/>
    <cellStyle name="Normal 2 3 16 2 10" xfId="25693" xr:uid="{00000000-0005-0000-0000-00003F640000}"/>
    <cellStyle name="Normal 2 3 16 2 2" xfId="25694" xr:uid="{00000000-0005-0000-0000-000040640000}"/>
    <cellStyle name="Normal 2 3 16 2 3" xfId="25695" xr:uid="{00000000-0005-0000-0000-000041640000}"/>
    <cellStyle name="Normal 2 3 16 2 4" xfId="25696" xr:uid="{00000000-0005-0000-0000-000042640000}"/>
    <cellStyle name="Normal 2 3 16 2 5" xfId="25697" xr:uid="{00000000-0005-0000-0000-000043640000}"/>
    <cellStyle name="Normal 2 3 16 2 6" xfId="25698" xr:uid="{00000000-0005-0000-0000-000044640000}"/>
    <cellStyle name="Normal 2 3 16 2 7" xfId="25699" xr:uid="{00000000-0005-0000-0000-000045640000}"/>
    <cellStyle name="Normal 2 3 16 2 8" xfId="25700" xr:uid="{00000000-0005-0000-0000-000046640000}"/>
    <cellStyle name="Normal 2 3 16 2 9" xfId="25701" xr:uid="{00000000-0005-0000-0000-000047640000}"/>
    <cellStyle name="Normal 2 3 16 3" xfId="25702" xr:uid="{00000000-0005-0000-0000-000048640000}"/>
    <cellStyle name="Normal 2 3 16 3 10" xfId="25703" xr:uid="{00000000-0005-0000-0000-000049640000}"/>
    <cellStyle name="Normal 2 3 16 3 2" xfId="25704" xr:uid="{00000000-0005-0000-0000-00004A640000}"/>
    <cellStyle name="Normal 2 3 16 3 3" xfId="25705" xr:uid="{00000000-0005-0000-0000-00004B640000}"/>
    <cellStyle name="Normal 2 3 16 3 4" xfId="25706" xr:uid="{00000000-0005-0000-0000-00004C640000}"/>
    <cellStyle name="Normal 2 3 16 3 5" xfId="25707" xr:uid="{00000000-0005-0000-0000-00004D640000}"/>
    <cellStyle name="Normal 2 3 16 3 6" xfId="25708" xr:uid="{00000000-0005-0000-0000-00004E640000}"/>
    <cellStyle name="Normal 2 3 16 3 7" xfId="25709" xr:uid="{00000000-0005-0000-0000-00004F640000}"/>
    <cellStyle name="Normal 2 3 16 3 8" xfId="25710" xr:uid="{00000000-0005-0000-0000-000050640000}"/>
    <cellStyle name="Normal 2 3 16 3 9" xfId="25711" xr:uid="{00000000-0005-0000-0000-000051640000}"/>
    <cellStyle name="Normal 2 3 16 4" xfId="25712" xr:uid="{00000000-0005-0000-0000-000052640000}"/>
    <cellStyle name="Normal 2 3 16 4 10" xfId="25713" xr:uid="{00000000-0005-0000-0000-000053640000}"/>
    <cellStyle name="Normal 2 3 16 4 2" xfId="25714" xr:uid="{00000000-0005-0000-0000-000054640000}"/>
    <cellStyle name="Normal 2 3 16 4 3" xfId="25715" xr:uid="{00000000-0005-0000-0000-000055640000}"/>
    <cellStyle name="Normal 2 3 16 4 4" xfId="25716" xr:uid="{00000000-0005-0000-0000-000056640000}"/>
    <cellStyle name="Normal 2 3 16 4 5" xfId="25717" xr:uid="{00000000-0005-0000-0000-000057640000}"/>
    <cellStyle name="Normal 2 3 16 4 6" xfId="25718" xr:uid="{00000000-0005-0000-0000-000058640000}"/>
    <cellStyle name="Normal 2 3 16 4 7" xfId="25719" xr:uid="{00000000-0005-0000-0000-000059640000}"/>
    <cellStyle name="Normal 2 3 16 4 8" xfId="25720" xr:uid="{00000000-0005-0000-0000-00005A640000}"/>
    <cellStyle name="Normal 2 3 16 4 9" xfId="25721" xr:uid="{00000000-0005-0000-0000-00005B640000}"/>
    <cellStyle name="Normal 2 3 16 5" xfId="25722" xr:uid="{00000000-0005-0000-0000-00005C640000}"/>
    <cellStyle name="Normal 2 3 16 5 10" xfId="25723" xr:uid="{00000000-0005-0000-0000-00005D640000}"/>
    <cellStyle name="Normal 2 3 16 5 2" xfId="25724" xr:uid="{00000000-0005-0000-0000-00005E640000}"/>
    <cellStyle name="Normal 2 3 16 5 3" xfId="25725" xr:uid="{00000000-0005-0000-0000-00005F640000}"/>
    <cellStyle name="Normal 2 3 16 5 4" xfId="25726" xr:uid="{00000000-0005-0000-0000-000060640000}"/>
    <cellStyle name="Normal 2 3 16 5 5" xfId="25727" xr:uid="{00000000-0005-0000-0000-000061640000}"/>
    <cellStyle name="Normal 2 3 16 5 6" xfId="25728" xr:uid="{00000000-0005-0000-0000-000062640000}"/>
    <cellStyle name="Normal 2 3 16 5 7" xfId="25729" xr:uid="{00000000-0005-0000-0000-000063640000}"/>
    <cellStyle name="Normal 2 3 16 5 8" xfId="25730" xr:uid="{00000000-0005-0000-0000-000064640000}"/>
    <cellStyle name="Normal 2 3 16 5 9" xfId="25731" xr:uid="{00000000-0005-0000-0000-000065640000}"/>
    <cellStyle name="Normal 2 3 16 6" xfId="25732" xr:uid="{00000000-0005-0000-0000-000066640000}"/>
    <cellStyle name="Normal 2 3 16 7" xfId="25733" xr:uid="{00000000-0005-0000-0000-000067640000}"/>
    <cellStyle name="Normal 2 3 16 8" xfId="25734" xr:uid="{00000000-0005-0000-0000-000068640000}"/>
    <cellStyle name="Normal 2 3 16 9" xfId="25735" xr:uid="{00000000-0005-0000-0000-000069640000}"/>
    <cellStyle name="Normal 2 3 17" xfId="25736" xr:uid="{00000000-0005-0000-0000-00006A640000}"/>
    <cellStyle name="Normal 2 3 17 10" xfId="25737" xr:uid="{00000000-0005-0000-0000-00006B640000}"/>
    <cellStyle name="Normal 2 3 17 11" xfId="25738" xr:uid="{00000000-0005-0000-0000-00006C640000}"/>
    <cellStyle name="Normal 2 3 17 12" xfId="25739" xr:uid="{00000000-0005-0000-0000-00006D640000}"/>
    <cellStyle name="Normal 2 3 17 13" xfId="25740" xr:uid="{00000000-0005-0000-0000-00006E640000}"/>
    <cellStyle name="Normal 2 3 17 14" xfId="25741" xr:uid="{00000000-0005-0000-0000-00006F640000}"/>
    <cellStyle name="Normal 2 3 17 2" xfId="25742" xr:uid="{00000000-0005-0000-0000-000070640000}"/>
    <cellStyle name="Normal 2 3 17 2 10" xfId="25743" xr:uid="{00000000-0005-0000-0000-000071640000}"/>
    <cellStyle name="Normal 2 3 17 2 2" xfId="25744" xr:uid="{00000000-0005-0000-0000-000072640000}"/>
    <cellStyle name="Normal 2 3 17 2 3" xfId="25745" xr:uid="{00000000-0005-0000-0000-000073640000}"/>
    <cellStyle name="Normal 2 3 17 2 4" xfId="25746" xr:uid="{00000000-0005-0000-0000-000074640000}"/>
    <cellStyle name="Normal 2 3 17 2 5" xfId="25747" xr:uid="{00000000-0005-0000-0000-000075640000}"/>
    <cellStyle name="Normal 2 3 17 2 6" xfId="25748" xr:uid="{00000000-0005-0000-0000-000076640000}"/>
    <cellStyle name="Normal 2 3 17 2 7" xfId="25749" xr:uid="{00000000-0005-0000-0000-000077640000}"/>
    <cellStyle name="Normal 2 3 17 2 8" xfId="25750" xr:uid="{00000000-0005-0000-0000-000078640000}"/>
    <cellStyle name="Normal 2 3 17 2 9" xfId="25751" xr:uid="{00000000-0005-0000-0000-000079640000}"/>
    <cellStyle name="Normal 2 3 17 3" xfId="25752" xr:uid="{00000000-0005-0000-0000-00007A640000}"/>
    <cellStyle name="Normal 2 3 17 3 10" xfId="25753" xr:uid="{00000000-0005-0000-0000-00007B640000}"/>
    <cellStyle name="Normal 2 3 17 3 2" xfId="25754" xr:uid="{00000000-0005-0000-0000-00007C640000}"/>
    <cellStyle name="Normal 2 3 17 3 3" xfId="25755" xr:uid="{00000000-0005-0000-0000-00007D640000}"/>
    <cellStyle name="Normal 2 3 17 3 4" xfId="25756" xr:uid="{00000000-0005-0000-0000-00007E640000}"/>
    <cellStyle name="Normal 2 3 17 3 5" xfId="25757" xr:uid="{00000000-0005-0000-0000-00007F640000}"/>
    <cellStyle name="Normal 2 3 17 3 6" xfId="25758" xr:uid="{00000000-0005-0000-0000-000080640000}"/>
    <cellStyle name="Normal 2 3 17 3 7" xfId="25759" xr:uid="{00000000-0005-0000-0000-000081640000}"/>
    <cellStyle name="Normal 2 3 17 3 8" xfId="25760" xr:uid="{00000000-0005-0000-0000-000082640000}"/>
    <cellStyle name="Normal 2 3 17 3 9" xfId="25761" xr:uid="{00000000-0005-0000-0000-000083640000}"/>
    <cellStyle name="Normal 2 3 17 4" xfId="25762" xr:uid="{00000000-0005-0000-0000-000084640000}"/>
    <cellStyle name="Normal 2 3 17 4 10" xfId="25763" xr:uid="{00000000-0005-0000-0000-000085640000}"/>
    <cellStyle name="Normal 2 3 17 4 2" xfId="25764" xr:uid="{00000000-0005-0000-0000-000086640000}"/>
    <cellStyle name="Normal 2 3 17 4 3" xfId="25765" xr:uid="{00000000-0005-0000-0000-000087640000}"/>
    <cellStyle name="Normal 2 3 17 4 4" xfId="25766" xr:uid="{00000000-0005-0000-0000-000088640000}"/>
    <cellStyle name="Normal 2 3 17 4 5" xfId="25767" xr:uid="{00000000-0005-0000-0000-000089640000}"/>
    <cellStyle name="Normal 2 3 17 4 6" xfId="25768" xr:uid="{00000000-0005-0000-0000-00008A640000}"/>
    <cellStyle name="Normal 2 3 17 4 7" xfId="25769" xr:uid="{00000000-0005-0000-0000-00008B640000}"/>
    <cellStyle name="Normal 2 3 17 4 8" xfId="25770" xr:uid="{00000000-0005-0000-0000-00008C640000}"/>
    <cellStyle name="Normal 2 3 17 4 9" xfId="25771" xr:uid="{00000000-0005-0000-0000-00008D640000}"/>
    <cellStyle name="Normal 2 3 17 5" xfId="25772" xr:uid="{00000000-0005-0000-0000-00008E640000}"/>
    <cellStyle name="Normal 2 3 17 5 10" xfId="25773" xr:uid="{00000000-0005-0000-0000-00008F640000}"/>
    <cellStyle name="Normal 2 3 17 5 2" xfId="25774" xr:uid="{00000000-0005-0000-0000-000090640000}"/>
    <cellStyle name="Normal 2 3 17 5 3" xfId="25775" xr:uid="{00000000-0005-0000-0000-000091640000}"/>
    <cellStyle name="Normal 2 3 17 5 4" xfId="25776" xr:uid="{00000000-0005-0000-0000-000092640000}"/>
    <cellStyle name="Normal 2 3 17 5 5" xfId="25777" xr:uid="{00000000-0005-0000-0000-000093640000}"/>
    <cellStyle name="Normal 2 3 17 5 6" xfId="25778" xr:uid="{00000000-0005-0000-0000-000094640000}"/>
    <cellStyle name="Normal 2 3 17 5 7" xfId="25779" xr:uid="{00000000-0005-0000-0000-000095640000}"/>
    <cellStyle name="Normal 2 3 17 5 8" xfId="25780" xr:uid="{00000000-0005-0000-0000-000096640000}"/>
    <cellStyle name="Normal 2 3 17 5 9" xfId="25781" xr:uid="{00000000-0005-0000-0000-000097640000}"/>
    <cellStyle name="Normal 2 3 17 6" xfId="25782" xr:uid="{00000000-0005-0000-0000-000098640000}"/>
    <cellStyle name="Normal 2 3 17 7" xfId="25783" xr:uid="{00000000-0005-0000-0000-000099640000}"/>
    <cellStyle name="Normal 2 3 17 8" xfId="25784" xr:uid="{00000000-0005-0000-0000-00009A640000}"/>
    <cellStyle name="Normal 2 3 17 9" xfId="25785" xr:uid="{00000000-0005-0000-0000-00009B640000}"/>
    <cellStyle name="Normal 2 3 18" xfId="25786" xr:uid="{00000000-0005-0000-0000-00009C640000}"/>
    <cellStyle name="Normal 2 3 18 10" xfId="25787" xr:uid="{00000000-0005-0000-0000-00009D640000}"/>
    <cellStyle name="Normal 2 3 18 11" xfId="25788" xr:uid="{00000000-0005-0000-0000-00009E640000}"/>
    <cellStyle name="Normal 2 3 18 12" xfId="25789" xr:uid="{00000000-0005-0000-0000-00009F640000}"/>
    <cellStyle name="Normal 2 3 18 13" xfId="25790" xr:uid="{00000000-0005-0000-0000-0000A0640000}"/>
    <cellStyle name="Normal 2 3 18 14" xfId="25791" xr:uid="{00000000-0005-0000-0000-0000A1640000}"/>
    <cellStyle name="Normal 2 3 18 2" xfId="25792" xr:uid="{00000000-0005-0000-0000-0000A2640000}"/>
    <cellStyle name="Normal 2 3 18 2 10" xfId="25793" xr:uid="{00000000-0005-0000-0000-0000A3640000}"/>
    <cellStyle name="Normal 2 3 18 2 2" xfId="25794" xr:uid="{00000000-0005-0000-0000-0000A4640000}"/>
    <cellStyle name="Normal 2 3 18 2 3" xfId="25795" xr:uid="{00000000-0005-0000-0000-0000A5640000}"/>
    <cellStyle name="Normal 2 3 18 2 4" xfId="25796" xr:uid="{00000000-0005-0000-0000-0000A6640000}"/>
    <cellStyle name="Normal 2 3 18 2 5" xfId="25797" xr:uid="{00000000-0005-0000-0000-0000A7640000}"/>
    <cellStyle name="Normal 2 3 18 2 6" xfId="25798" xr:uid="{00000000-0005-0000-0000-0000A8640000}"/>
    <cellStyle name="Normal 2 3 18 2 7" xfId="25799" xr:uid="{00000000-0005-0000-0000-0000A9640000}"/>
    <cellStyle name="Normal 2 3 18 2 8" xfId="25800" xr:uid="{00000000-0005-0000-0000-0000AA640000}"/>
    <cellStyle name="Normal 2 3 18 2 9" xfId="25801" xr:uid="{00000000-0005-0000-0000-0000AB640000}"/>
    <cellStyle name="Normal 2 3 18 3" xfId="25802" xr:uid="{00000000-0005-0000-0000-0000AC640000}"/>
    <cellStyle name="Normal 2 3 18 3 10" xfId="25803" xr:uid="{00000000-0005-0000-0000-0000AD640000}"/>
    <cellStyle name="Normal 2 3 18 3 2" xfId="25804" xr:uid="{00000000-0005-0000-0000-0000AE640000}"/>
    <cellStyle name="Normal 2 3 18 3 3" xfId="25805" xr:uid="{00000000-0005-0000-0000-0000AF640000}"/>
    <cellStyle name="Normal 2 3 18 3 4" xfId="25806" xr:uid="{00000000-0005-0000-0000-0000B0640000}"/>
    <cellStyle name="Normal 2 3 18 3 5" xfId="25807" xr:uid="{00000000-0005-0000-0000-0000B1640000}"/>
    <cellStyle name="Normal 2 3 18 3 6" xfId="25808" xr:uid="{00000000-0005-0000-0000-0000B2640000}"/>
    <cellStyle name="Normal 2 3 18 3 7" xfId="25809" xr:uid="{00000000-0005-0000-0000-0000B3640000}"/>
    <cellStyle name="Normal 2 3 18 3 8" xfId="25810" xr:uid="{00000000-0005-0000-0000-0000B4640000}"/>
    <cellStyle name="Normal 2 3 18 3 9" xfId="25811" xr:uid="{00000000-0005-0000-0000-0000B5640000}"/>
    <cellStyle name="Normal 2 3 18 4" xfId="25812" xr:uid="{00000000-0005-0000-0000-0000B6640000}"/>
    <cellStyle name="Normal 2 3 18 4 10" xfId="25813" xr:uid="{00000000-0005-0000-0000-0000B7640000}"/>
    <cellStyle name="Normal 2 3 18 4 2" xfId="25814" xr:uid="{00000000-0005-0000-0000-0000B8640000}"/>
    <cellStyle name="Normal 2 3 18 4 3" xfId="25815" xr:uid="{00000000-0005-0000-0000-0000B9640000}"/>
    <cellStyle name="Normal 2 3 18 4 4" xfId="25816" xr:uid="{00000000-0005-0000-0000-0000BA640000}"/>
    <cellStyle name="Normal 2 3 18 4 5" xfId="25817" xr:uid="{00000000-0005-0000-0000-0000BB640000}"/>
    <cellStyle name="Normal 2 3 18 4 6" xfId="25818" xr:uid="{00000000-0005-0000-0000-0000BC640000}"/>
    <cellStyle name="Normal 2 3 18 4 7" xfId="25819" xr:uid="{00000000-0005-0000-0000-0000BD640000}"/>
    <cellStyle name="Normal 2 3 18 4 8" xfId="25820" xr:uid="{00000000-0005-0000-0000-0000BE640000}"/>
    <cellStyle name="Normal 2 3 18 4 9" xfId="25821" xr:uid="{00000000-0005-0000-0000-0000BF640000}"/>
    <cellStyle name="Normal 2 3 18 5" xfId="25822" xr:uid="{00000000-0005-0000-0000-0000C0640000}"/>
    <cellStyle name="Normal 2 3 18 5 10" xfId="25823" xr:uid="{00000000-0005-0000-0000-0000C1640000}"/>
    <cellStyle name="Normal 2 3 18 5 2" xfId="25824" xr:uid="{00000000-0005-0000-0000-0000C2640000}"/>
    <cellStyle name="Normal 2 3 18 5 3" xfId="25825" xr:uid="{00000000-0005-0000-0000-0000C3640000}"/>
    <cellStyle name="Normal 2 3 18 5 4" xfId="25826" xr:uid="{00000000-0005-0000-0000-0000C4640000}"/>
    <cellStyle name="Normal 2 3 18 5 5" xfId="25827" xr:uid="{00000000-0005-0000-0000-0000C5640000}"/>
    <cellStyle name="Normal 2 3 18 5 6" xfId="25828" xr:uid="{00000000-0005-0000-0000-0000C6640000}"/>
    <cellStyle name="Normal 2 3 18 5 7" xfId="25829" xr:uid="{00000000-0005-0000-0000-0000C7640000}"/>
    <cellStyle name="Normal 2 3 18 5 8" xfId="25830" xr:uid="{00000000-0005-0000-0000-0000C8640000}"/>
    <cellStyle name="Normal 2 3 18 5 9" xfId="25831" xr:uid="{00000000-0005-0000-0000-0000C9640000}"/>
    <cellStyle name="Normal 2 3 18 6" xfId="25832" xr:uid="{00000000-0005-0000-0000-0000CA640000}"/>
    <cellStyle name="Normal 2 3 18 7" xfId="25833" xr:uid="{00000000-0005-0000-0000-0000CB640000}"/>
    <cellStyle name="Normal 2 3 18 8" xfId="25834" xr:uid="{00000000-0005-0000-0000-0000CC640000}"/>
    <cellStyle name="Normal 2 3 18 9" xfId="25835" xr:uid="{00000000-0005-0000-0000-0000CD640000}"/>
    <cellStyle name="Normal 2 3 19" xfId="25836" xr:uid="{00000000-0005-0000-0000-0000CE640000}"/>
    <cellStyle name="Normal 2 3 19 10" xfId="25837" xr:uid="{00000000-0005-0000-0000-0000CF640000}"/>
    <cellStyle name="Normal 2 3 19 11" xfId="25838" xr:uid="{00000000-0005-0000-0000-0000D0640000}"/>
    <cellStyle name="Normal 2 3 19 12" xfId="25839" xr:uid="{00000000-0005-0000-0000-0000D1640000}"/>
    <cellStyle name="Normal 2 3 19 13" xfId="25840" xr:uid="{00000000-0005-0000-0000-0000D2640000}"/>
    <cellStyle name="Normal 2 3 19 14" xfId="25841" xr:uid="{00000000-0005-0000-0000-0000D3640000}"/>
    <cellStyle name="Normal 2 3 19 2" xfId="25842" xr:uid="{00000000-0005-0000-0000-0000D4640000}"/>
    <cellStyle name="Normal 2 3 19 2 10" xfId="25843" xr:uid="{00000000-0005-0000-0000-0000D5640000}"/>
    <cellStyle name="Normal 2 3 19 2 2" xfId="25844" xr:uid="{00000000-0005-0000-0000-0000D6640000}"/>
    <cellStyle name="Normal 2 3 19 2 3" xfId="25845" xr:uid="{00000000-0005-0000-0000-0000D7640000}"/>
    <cellStyle name="Normal 2 3 19 2 4" xfId="25846" xr:uid="{00000000-0005-0000-0000-0000D8640000}"/>
    <cellStyle name="Normal 2 3 19 2 5" xfId="25847" xr:uid="{00000000-0005-0000-0000-0000D9640000}"/>
    <cellStyle name="Normal 2 3 19 2 6" xfId="25848" xr:uid="{00000000-0005-0000-0000-0000DA640000}"/>
    <cellStyle name="Normal 2 3 19 2 7" xfId="25849" xr:uid="{00000000-0005-0000-0000-0000DB640000}"/>
    <cellStyle name="Normal 2 3 19 2 8" xfId="25850" xr:uid="{00000000-0005-0000-0000-0000DC640000}"/>
    <cellStyle name="Normal 2 3 19 2 9" xfId="25851" xr:uid="{00000000-0005-0000-0000-0000DD640000}"/>
    <cellStyle name="Normal 2 3 19 3" xfId="25852" xr:uid="{00000000-0005-0000-0000-0000DE640000}"/>
    <cellStyle name="Normal 2 3 19 3 10" xfId="25853" xr:uid="{00000000-0005-0000-0000-0000DF640000}"/>
    <cellStyle name="Normal 2 3 19 3 2" xfId="25854" xr:uid="{00000000-0005-0000-0000-0000E0640000}"/>
    <cellStyle name="Normal 2 3 19 3 3" xfId="25855" xr:uid="{00000000-0005-0000-0000-0000E1640000}"/>
    <cellStyle name="Normal 2 3 19 3 4" xfId="25856" xr:uid="{00000000-0005-0000-0000-0000E2640000}"/>
    <cellStyle name="Normal 2 3 19 3 5" xfId="25857" xr:uid="{00000000-0005-0000-0000-0000E3640000}"/>
    <cellStyle name="Normal 2 3 19 3 6" xfId="25858" xr:uid="{00000000-0005-0000-0000-0000E4640000}"/>
    <cellStyle name="Normal 2 3 19 3 7" xfId="25859" xr:uid="{00000000-0005-0000-0000-0000E5640000}"/>
    <cellStyle name="Normal 2 3 19 3 8" xfId="25860" xr:uid="{00000000-0005-0000-0000-0000E6640000}"/>
    <cellStyle name="Normal 2 3 19 3 9" xfId="25861" xr:uid="{00000000-0005-0000-0000-0000E7640000}"/>
    <cellStyle name="Normal 2 3 19 4" xfId="25862" xr:uid="{00000000-0005-0000-0000-0000E8640000}"/>
    <cellStyle name="Normal 2 3 19 4 10" xfId="25863" xr:uid="{00000000-0005-0000-0000-0000E9640000}"/>
    <cellStyle name="Normal 2 3 19 4 2" xfId="25864" xr:uid="{00000000-0005-0000-0000-0000EA640000}"/>
    <cellStyle name="Normal 2 3 19 4 3" xfId="25865" xr:uid="{00000000-0005-0000-0000-0000EB640000}"/>
    <cellStyle name="Normal 2 3 19 4 4" xfId="25866" xr:uid="{00000000-0005-0000-0000-0000EC640000}"/>
    <cellStyle name="Normal 2 3 19 4 5" xfId="25867" xr:uid="{00000000-0005-0000-0000-0000ED640000}"/>
    <cellStyle name="Normal 2 3 19 4 6" xfId="25868" xr:uid="{00000000-0005-0000-0000-0000EE640000}"/>
    <cellStyle name="Normal 2 3 19 4 7" xfId="25869" xr:uid="{00000000-0005-0000-0000-0000EF640000}"/>
    <cellStyle name="Normal 2 3 19 4 8" xfId="25870" xr:uid="{00000000-0005-0000-0000-0000F0640000}"/>
    <cellStyle name="Normal 2 3 19 4 9" xfId="25871" xr:uid="{00000000-0005-0000-0000-0000F1640000}"/>
    <cellStyle name="Normal 2 3 19 5" xfId="25872" xr:uid="{00000000-0005-0000-0000-0000F2640000}"/>
    <cellStyle name="Normal 2 3 19 5 10" xfId="25873" xr:uid="{00000000-0005-0000-0000-0000F3640000}"/>
    <cellStyle name="Normal 2 3 19 5 2" xfId="25874" xr:uid="{00000000-0005-0000-0000-0000F4640000}"/>
    <cellStyle name="Normal 2 3 19 5 3" xfId="25875" xr:uid="{00000000-0005-0000-0000-0000F5640000}"/>
    <cellStyle name="Normal 2 3 19 5 4" xfId="25876" xr:uid="{00000000-0005-0000-0000-0000F6640000}"/>
    <cellStyle name="Normal 2 3 19 5 5" xfId="25877" xr:uid="{00000000-0005-0000-0000-0000F7640000}"/>
    <cellStyle name="Normal 2 3 19 5 6" xfId="25878" xr:uid="{00000000-0005-0000-0000-0000F8640000}"/>
    <cellStyle name="Normal 2 3 19 5 7" xfId="25879" xr:uid="{00000000-0005-0000-0000-0000F9640000}"/>
    <cellStyle name="Normal 2 3 19 5 8" xfId="25880" xr:uid="{00000000-0005-0000-0000-0000FA640000}"/>
    <cellStyle name="Normal 2 3 19 5 9" xfId="25881" xr:uid="{00000000-0005-0000-0000-0000FB640000}"/>
    <cellStyle name="Normal 2 3 19 6" xfId="25882" xr:uid="{00000000-0005-0000-0000-0000FC640000}"/>
    <cellStyle name="Normal 2 3 19 7" xfId="25883" xr:uid="{00000000-0005-0000-0000-0000FD640000}"/>
    <cellStyle name="Normal 2 3 19 8" xfId="25884" xr:uid="{00000000-0005-0000-0000-0000FE640000}"/>
    <cellStyle name="Normal 2 3 19 9" xfId="25885" xr:uid="{00000000-0005-0000-0000-0000FF640000}"/>
    <cellStyle name="Normal 2 3 2" xfId="56" xr:uid="{00000000-0005-0000-0000-000000650000}"/>
    <cellStyle name="Normal 2 3 2 10" xfId="25887" xr:uid="{00000000-0005-0000-0000-000001650000}"/>
    <cellStyle name="Normal 2 3 2 10 10" xfId="25888" xr:uid="{00000000-0005-0000-0000-000002650000}"/>
    <cellStyle name="Normal 2 3 2 10 11" xfId="25889" xr:uid="{00000000-0005-0000-0000-000003650000}"/>
    <cellStyle name="Normal 2 3 2 10 12" xfId="25890" xr:uid="{00000000-0005-0000-0000-000004650000}"/>
    <cellStyle name="Normal 2 3 2 10 13" xfId="25891" xr:uid="{00000000-0005-0000-0000-000005650000}"/>
    <cellStyle name="Normal 2 3 2 10 14" xfId="25892" xr:uid="{00000000-0005-0000-0000-000006650000}"/>
    <cellStyle name="Normal 2 3 2 10 2" xfId="25893" xr:uid="{00000000-0005-0000-0000-000007650000}"/>
    <cellStyle name="Normal 2 3 2 10 2 10" xfId="25894" xr:uid="{00000000-0005-0000-0000-000008650000}"/>
    <cellStyle name="Normal 2 3 2 10 2 2" xfId="25895" xr:uid="{00000000-0005-0000-0000-000009650000}"/>
    <cellStyle name="Normal 2 3 2 10 2 3" xfId="25896" xr:uid="{00000000-0005-0000-0000-00000A650000}"/>
    <cellStyle name="Normal 2 3 2 10 2 4" xfId="25897" xr:uid="{00000000-0005-0000-0000-00000B650000}"/>
    <cellStyle name="Normal 2 3 2 10 2 5" xfId="25898" xr:uid="{00000000-0005-0000-0000-00000C650000}"/>
    <cellStyle name="Normal 2 3 2 10 2 6" xfId="25899" xr:uid="{00000000-0005-0000-0000-00000D650000}"/>
    <cellStyle name="Normal 2 3 2 10 2 7" xfId="25900" xr:uid="{00000000-0005-0000-0000-00000E650000}"/>
    <cellStyle name="Normal 2 3 2 10 2 8" xfId="25901" xr:uid="{00000000-0005-0000-0000-00000F650000}"/>
    <cellStyle name="Normal 2 3 2 10 2 9" xfId="25902" xr:uid="{00000000-0005-0000-0000-000010650000}"/>
    <cellStyle name="Normal 2 3 2 10 3" xfId="25903" xr:uid="{00000000-0005-0000-0000-000011650000}"/>
    <cellStyle name="Normal 2 3 2 10 3 10" xfId="25904" xr:uid="{00000000-0005-0000-0000-000012650000}"/>
    <cellStyle name="Normal 2 3 2 10 3 2" xfId="25905" xr:uid="{00000000-0005-0000-0000-000013650000}"/>
    <cellStyle name="Normal 2 3 2 10 3 3" xfId="25906" xr:uid="{00000000-0005-0000-0000-000014650000}"/>
    <cellStyle name="Normal 2 3 2 10 3 4" xfId="25907" xr:uid="{00000000-0005-0000-0000-000015650000}"/>
    <cellStyle name="Normal 2 3 2 10 3 5" xfId="25908" xr:uid="{00000000-0005-0000-0000-000016650000}"/>
    <cellStyle name="Normal 2 3 2 10 3 6" xfId="25909" xr:uid="{00000000-0005-0000-0000-000017650000}"/>
    <cellStyle name="Normal 2 3 2 10 3 7" xfId="25910" xr:uid="{00000000-0005-0000-0000-000018650000}"/>
    <cellStyle name="Normal 2 3 2 10 3 8" xfId="25911" xr:uid="{00000000-0005-0000-0000-000019650000}"/>
    <cellStyle name="Normal 2 3 2 10 3 9" xfId="25912" xr:uid="{00000000-0005-0000-0000-00001A650000}"/>
    <cellStyle name="Normal 2 3 2 10 4" xfId="25913" xr:uid="{00000000-0005-0000-0000-00001B650000}"/>
    <cellStyle name="Normal 2 3 2 10 4 10" xfId="25914" xr:uid="{00000000-0005-0000-0000-00001C650000}"/>
    <cellStyle name="Normal 2 3 2 10 4 2" xfId="25915" xr:uid="{00000000-0005-0000-0000-00001D650000}"/>
    <cellStyle name="Normal 2 3 2 10 4 3" xfId="25916" xr:uid="{00000000-0005-0000-0000-00001E650000}"/>
    <cellStyle name="Normal 2 3 2 10 4 4" xfId="25917" xr:uid="{00000000-0005-0000-0000-00001F650000}"/>
    <cellStyle name="Normal 2 3 2 10 4 5" xfId="25918" xr:uid="{00000000-0005-0000-0000-000020650000}"/>
    <cellStyle name="Normal 2 3 2 10 4 6" xfId="25919" xr:uid="{00000000-0005-0000-0000-000021650000}"/>
    <cellStyle name="Normal 2 3 2 10 4 7" xfId="25920" xr:uid="{00000000-0005-0000-0000-000022650000}"/>
    <cellStyle name="Normal 2 3 2 10 4 8" xfId="25921" xr:uid="{00000000-0005-0000-0000-000023650000}"/>
    <cellStyle name="Normal 2 3 2 10 4 9" xfId="25922" xr:uid="{00000000-0005-0000-0000-000024650000}"/>
    <cellStyle name="Normal 2 3 2 10 5" xfId="25923" xr:uid="{00000000-0005-0000-0000-000025650000}"/>
    <cellStyle name="Normal 2 3 2 10 5 10" xfId="25924" xr:uid="{00000000-0005-0000-0000-000026650000}"/>
    <cellStyle name="Normal 2 3 2 10 5 2" xfId="25925" xr:uid="{00000000-0005-0000-0000-000027650000}"/>
    <cellStyle name="Normal 2 3 2 10 5 3" xfId="25926" xr:uid="{00000000-0005-0000-0000-000028650000}"/>
    <cellStyle name="Normal 2 3 2 10 5 4" xfId="25927" xr:uid="{00000000-0005-0000-0000-000029650000}"/>
    <cellStyle name="Normal 2 3 2 10 5 5" xfId="25928" xr:uid="{00000000-0005-0000-0000-00002A650000}"/>
    <cellStyle name="Normal 2 3 2 10 5 6" xfId="25929" xr:uid="{00000000-0005-0000-0000-00002B650000}"/>
    <cellStyle name="Normal 2 3 2 10 5 7" xfId="25930" xr:uid="{00000000-0005-0000-0000-00002C650000}"/>
    <cellStyle name="Normal 2 3 2 10 5 8" xfId="25931" xr:uid="{00000000-0005-0000-0000-00002D650000}"/>
    <cellStyle name="Normal 2 3 2 10 5 9" xfId="25932" xr:uid="{00000000-0005-0000-0000-00002E650000}"/>
    <cellStyle name="Normal 2 3 2 10 6" xfId="25933" xr:uid="{00000000-0005-0000-0000-00002F650000}"/>
    <cellStyle name="Normal 2 3 2 10 7" xfId="25934" xr:uid="{00000000-0005-0000-0000-000030650000}"/>
    <cellStyle name="Normal 2 3 2 10 8" xfId="25935" xr:uid="{00000000-0005-0000-0000-000031650000}"/>
    <cellStyle name="Normal 2 3 2 10 9" xfId="25936" xr:uid="{00000000-0005-0000-0000-000032650000}"/>
    <cellStyle name="Normal 2 3 2 11" xfId="25937" xr:uid="{00000000-0005-0000-0000-000033650000}"/>
    <cellStyle name="Normal 2 3 2 11 10" xfId="25938" xr:uid="{00000000-0005-0000-0000-000034650000}"/>
    <cellStyle name="Normal 2 3 2 11 11" xfId="25939" xr:uid="{00000000-0005-0000-0000-000035650000}"/>
    <cellStyle name="Normal 2 3 2 11 12" xfId="25940" xr:uid="{00000000-0005-0000-0000-000036650000}"/>
    <cellStyle name="Normal 2 3 2 11 13" xfId="25941" xr:uid="{00000000-0005-0000-0000-000037650000}"/>
    <cellStyle name="Normal 2 3 2 11 14" xfId="25942" xr:uid="{00000000-0005-0000-0000-000038650000}"/>
    <cellStyle name="Normal 2 3 2 11 2" xfId="25943" xr:uid="{00000000-0005-0000-0000-000039650000}"/>
    <cellStyle name="Normal 2 3 2 11 2 10" xfId="25944" xr:uid="{00000000-0005-0000-0000-00003A650000}"/>
    <cellStyle name="Normal 2 3 2 11 2 2" xfId="25945" xr:uid="{00000000-0005-0000-0000-00003B650000}"/>
    <cellStyle name="Normal 2 3 2 11 2 3" xfId="25946" xr:uid="{00000000-0005-0000-0000-00003C650000}"/>
    <cellStyle name="Normal 2 3 2 11 2 4" xfId="25947" xr:uid="{00000000-0005-0000-0000-00003D650000}"/>
    <cellStyle name="Normal 2 3 2 11 2 5" xfId="25948" xr:uid="{00000000-0005-0000-0000-00003E650000}"/>
    <cellStyle name="Normal 2 3 2 11 2 6" xfId="25949" xr:uid="{00000000-0005-0000-0000-00003F650000}"/>
    <cellStyle name="Normal 2 3 2 11 2 7" xfId="25950" xr:uid="{00000000-0005-0000-0000-000040650000}"/>
    <cellStyle name="Normal 2 3 2 11 2 8" xfId="25951" xr:uid="{00000000-0005-0000-0000-000041650000}"/>
    <cellStyle name="Normal 2 3 2 11 2 9" xfId="25952" xr:uid="{00000000-0005-0000-0000-000042650000}"/>
    <cellStyle name="Normal 2 3 2 11 3" xfId="25953" xr:uid="{00000000-0005-0000-0000-000043650000}"/>
    <cellStyle name="Normal 2 3 2 11 3 10" xfId="25954" xr:uid="{00000000-0005-0000-0000-000044650000}"/>
    <cellStyle name="Normal 2 3 2 11 3 2" xfId="25955" xr:uid="{00000000-0005-0000-0000-000045650000}"/>
    <cellStyle name="Normal 2 3 2 11 3 3" xfId="25956" xr:uid="{00000000-0005-0000-0000-000046650000}"/>
    <cellStyle name="Normal 2 3 2 11 3 4" xfId="25957" xr:uid="{00000000-0005-0000-0000-000047650000}"/>
    <cellStyle name="Normal 2 3 2 11 3 5" xfId="25958" xr:uid="{00000000-0005-0000-0000-000048650000}"/>
    <cellStyle name="Normal 2 3 2 11 3 6" xfId="25959" xr:uid="{00000000-0005-0000-0000-000049650000}"/>
    <cellStyle name="Normal 2 3 2 11 3 7" xfId="25960" xr:uid="{00000000-0005-0000-0000-00004A650000}"/>
    <cellStyle name="Normal 2 3 2 11 3 8" xfId="25961" xr:uid="{00000000-0005-0000-0000-00004B650000}"/>
    <cellStyle name="Normal 2 3 2 11 3 9" xfId="25962" xr:uid="{00000000-0005-0000-0000-00004C650000}"/>
    <cellStyle name="Normal 2 3 2 11 4" xfId="25963" xr:uid="{00000000-0005-0000-0000-00004D650000}"/>
    <cellStyle name="Normal 2 3 2 11 4 10" xfId="25964" xr:uid="{00000000-0005-0000-0000-00004E650000}"/>
    <cellStyle name="Normal 2 3 2 11 4 2" xfId="25965" xr:uid="{00000000-0005-0000-0000-00004F650000}"/>
    <cellStyle name="Normal 2 3 2 11 4 3" xfId="25966" xr:uid="{00000000-0005-0000-0000-000050650000}"/>
    <cellStyle name="Normal 2 3 2 11 4 4" xfId="25967" xr:uid="{00000000-0005-0000-0000-000051650000}"/>
    <cellStyle name="Normal 2 3 2 11 4 5" xfId="25968" xr:uid="{00000000-0005-0000-0000-000052650000}"/>
    <cellStyle name="Normal 2 3 2 11 4 6" xfId="25969" xr:uid="{00000000-0005-0000-0000-000053650000}"/>
    <cellStyle name="Normal 2 3 2 11 4 7" xfId="25970" xr:uid="{00000000-0005-0000-0000-000054650000}"/>
    <cellStyle name="Normal 2 3 2 11 4 8" xfId="25971" xr:uid="{00000000-0005-0000-0000-000055650000}"/>
    <cellStyle name="Normal 2 3 2 11 4 9" xfId="25972" xr:uid="{00000000-0005-0000-0000-000056650000}"/>
    <cellStyle name="Normal 2 3 2 11 5" xfId="25973" xr:uid="{00000000-0005-0000-0000-000057650000}"/>
    <cellStyle name="Normal 2 3 2 11 5 10" xfId="25974" xr:uid="{00000000-0005-0000-0000-000058650000}"/>
    <cellStyle name="Normal 2 3 2 11 5 2" xfId="25975" xr:uid="{00000000-0005-0000-0000-000059650000}"/>
    <cellStyle name="Normal 2 3 2 11 5 3" xfId="25976" xr:uid="{00000000-0005-0000-0000-00005A650000}"/>
    <cellStyle name="Normal 2 3 2 11 5 4" xfId="25977" xr:uid="{00000000-0005-0000-0000-00005B650000}"/>
    <cellStyle name="Normal 2 3 2 11 5 5" xfId="25978" xr:uid="{00000000-0005-0000-0000-00005C650000}"/>
    <cellStyle name="Normal 2 3 2 11 5 6" xfId="25979" xr:uid="{00000000-0005-0000-0000-00005D650000}"/>
    <cellStyle name="Normal 2 3 2 11 5 7" xfId="25980" xr:uid="{00000000-0005-0000-0000-00005E650000}"/>
    <cellStyle name="Normal 2 3 2 11 5 8" xfId="25981" xr:uid="{00000000-0005-0000-0000-00005F650000}"/>
    <cellStyle name="Normal 2 3 2 11 5 9" xfId="25982" xr:uid="{00000000-0005-0000-0000-000060650000}"/>
    <cellStyle name="Normal 2 3 2 11 6" xfId="25983" xr:uid="{00000000-0005-0000-0000-000061650000}"/>
    <cellStyle name="Normal 2 3 2 11 7" xfId="25984" xr:uid="{00000000-0005-0000-0000-000062650000}"/>
    <cellStyle name="Normal 2 3 2 11 8" xfId="25985" xr:uid="{00000000-0005-0000-0000-000063650000}"/>
    <cellStyle name="Normal 2 3 2 11 9" xfId="25986" xr:uid="{00000000-0005-0000-0000-000064650000}"/>
    <cellStyle name="Normal 2 3 2 12" xfId="25987" xr:uid="{00000000-0005-0000-0000-000065650000}"/>
    <cellStyle name="Normal 2 3 2 12 10" xfId="25988" xr:uid="{00000000-0005-0000-0000-000066650000}"/>
    <cellStyle name="Normal 2 3 2 12 11" xfId="25989" xr:uid="{00000000-0005-0000-0000-000067650000}"/>
    <cellStyle name="Normal 2 3 2 12 12" xfId="25990" xr:uid="{00000000-0005-0000-0000-000068650000}"/>
    <cellStyle name="Normal 2 3 2 12 13" xfId="25991" xr:uid="{00000000-0005-0000-0000-000069650000}"/>
    <cellStyle name="Normal 2 3 2 12 14" xfId="25992" xr:uid="{00000000-0005-0000-0000-00006A650000}"/>
    <cellStyle name="Normal 2 3 2 12 2" xfId="25993" xr:uid="{00000000-0005-0000-0000-00006B650000}"/>
    <cellStyle name="Normal 2 3 2 12 2 10" xfId="25994" xr:uid="{00000000-0005-0000-0000-00006C650000}"/>
    <cellStyle name="Normal 2 3 2 12 2 2" xfId="25995" xr:uid="{00000000-0005-0000-0000-00006D650000}"/>
    <cellStyle name="Normal 2 3 2 12 2 3" xfId="25996" xr:uid="{00000000-0005-0000-0000-00006E650000}"/>
    <cellStyle name="Normal 2 3 2 12 2 4" xfId="25997" xr:uid="{00000000-0005-0000-0000-00006F650000}"/>
    <cellStyle name="Normal 2 3 2 12 2 5" xfId="25998" xr:uid="{00000000-0005-0000-0000-000070650000}"/>
    <cellStyle name="Normal 2 3 2 12 2 6" xfId="25999" xr:uid="{00000000-0005-0000-0000-000071650000}"/>
    <cellStyle name="Normal 2 3 2 12 2 7" xfId="26000" xr:uid="{00000000-0005-0000-0000-000072650000}"/>
    <cellStyle name="Normal 2 3 2 12 2 8" xfId="26001" xr:uid="{00000000-0005-0000-0000-000073650000}"/>
    <cellStyle name="Normal 2 3 2 12 2 9" xfId="26002" xr:uid="{00000000-0005-0000-0000-000074650000}"/>
    <cellStyle name="Normal 2 3 2 12 3" xfId="26003" xr:uid="{00000000-0005-0000-0000-000075650000}"/>
    <cellStyle name="Normal 2 3 2 12 3 10" xfId="26004" xr:uid="{00000000-0005-0000-0000-000076650000}"/>
    <cellStyle name="Normal 2 3 2 12 3 2" xfId="26005" xr:uid="{00000000-0005-0000-0000-000077650000}"/>
    <cellStyle name="Normal 2 3 2 12 3 3" xfId="26006" xr:uid="{00000000-0005-0000-0000-000078650000}"/>
    <cellStyle name="Normal 2 3 2 12 3 4" xfId="26007" xr:uid="{00000000-0005-0000-0000-000079650000}"/>
    <cellStyle name="Normal 2 3 2 12 3 5" xfId="26008" xr:uid="{00000000-0005-0000-0000-00007A650000}"/>
    <cellStyle name="Normal 2 3 2 12 3 6" xfId="26009" xr:uid="{00000000-0005-0000-0000-00007B650000}"/>
    <cellStyle name="Normal 2 3 2 12 3 7" xfId="26010" xr:uid="{00000000-0005-0000-0000-00007C650000}"/>
    <cellStyle name="Normal 2 3 2 12 3 8" xfId="26011" xr:uid="{00000000-0005-0000-0000-00007D650000}"/>
    <cellStyle name="Normal 2 3 2 12 3 9" xfId="26012" xr:uid="{00000000-0005-0000-0000-00007E650000}"/>
    <cellStyle name="Normal 2 3 2 12 4" xfId="26013" xr:uid="{00000000-0005-0000-0000-00007F650000}"/>
    <cellStyle name="Normal 2 3 2 12 4 10" xfId="26014" xr:uid="{00000000-0005-0000-0000-000080650000}"/>
    <cellStyle name="Normal 2 3 2 12 4 2" xfId="26015" xr:uid="{00000000-0005-0000-0000-000081650000}"/>
    <cellStyle name="Normal 2 3 2 12 4 3" xfId="26016" xr:uid="{00000000-0005-0000-0000-000082650000}"/>
    <cellStyle name="Normal 2 3 2 12 4 4" xfId="26017" xr:uid="{00000000-0005-0000-0000-000083650000}"/>
    <cellStyle name="Normal 2 3 2 12 4 5" xfId="26018" xr:uid="{00000000-0005-0000-0000-000084650000}"/>
    <cellStyle name="Normal 2 3 2 12 4 6" xfId="26019" xr:uid="{00000000-0005-0000-0000-000085650000}"/>
    <cellStyle name="Normal 2 3 2 12 4 7" xfId="26020" xr:uid="{00000000-0005-0000-0000-000086650000}"/>
    <cellStyle name="Normal 2 3 2 12 4 8" xfId="26021" xr:uid="{00000000-0005-0000-0000-000087650000}"/>
    <cellStyle name="Normal 2 3 2 12 4 9" xfId="26022" xr:uid="{00000000-0005-0000-0000-000088650000}"/>
    <cellStyle name="Normal 2 3 2 12 5" xfId="26023" xr:uid="{00000000-0005-0000-0000-000089650000}"/>
    <cellStyle name="Normal 2 3 2 12 5 10" xfId="26024" xr:uid="{00000000-0005-0000-0000-00008A650000}"/>
    <cellStyle name="Normal 2 3 2 12 5 2" xfId="26025" xr:uid="{00000000-0005-0000-0000-00008B650000}"/>
    <cellStyle name="Normal 2 3 2 12 5 3" xfId="26026" xr:uid="{00000000-0005-0000-0000-00008C650000}"/>
    <cellStyle name="Normal 2 3 2 12 5 4" xfId="26027" xr:uid="{00000000-0005-0000-0000-00008D650000}"/>
    <cellStyle name="Normal 2 3 2 12 5 5" xfId="26028" xr:uid="{00000000-0005-0000-0000-00008E650000}"/>
    <cellStyle name="Normal 2 3 2 12 5 6" xfId="26029" xr:uid="{00000000-0005-0000-0000-00008F650000}"/>
    <cellStyle name="Normal 2 3 2 12 5 7" xfId="26030" xr:uid="{00000000-0005-0000-0000-000090650000}"/>
    <cellStyle name="Normal 2 3 2 12 5 8" xfId="26031" xr:uid="{00000000-0005-0000-0000-000091650000}"/>
    <cellStyle name="Normal 2 3 2 12 5 9" xfId="26032" xr:uid="{00000000-0005-0000-0000-000092650000}"/>
    <cellStyle name="Normal 2 3 2 12 6" xfId="26033" xr:uid="{00000000-0005-0000-0000-000093650000}"/>
    <cellStyle name="Normal 2 3 2 12 7" xfId="26034" xr:uid="{00000000-0005-0000-0000-000094650000}"/>
    <cellStyle name="Normal 2 3 2 12 8" xfId="26035" xr:uid="{00000000-0005-0000-0000-000095650000}"/>
    <cellStyle name="Normal 2 3 2 12 9" xfId="26036" xr:uid="{00000000-0005-0000-0000-000096650000}"/>
    <cellStyle name="Normal 2 3 2 13" xfId="26037" xr:uid="{00000000-0005-0000-0000-000097650000}"/>
    <cellStyle name="Normal 2 3 2 13 10" xfId="26038" xr:uid="{00000000-0005-0000-0000-000098650000}"/>
    <cellStyle name="Normal 2 3 2 13 11" xfId="26039" xr:uid="{00000000-0005-0000-0000-000099650000}"/>
    <cellStyle name="Normal 2 3 2 13 12" xfId="26040" xr:uid="{00000000-0005-0000-0000-00009A650000}"/>
    <cellStyle name="Normal 2 3 2 13 13" xfId="26041" xr:uid="{00000000-0005-0000-0000-00009B650000}"/>
    <cellStyle name="Normal 2 3 2 13 14" xfId="26042" xr:uid="{00000000-0005-0000-0000-00009C650000}"/>
    <cellStyle name="Normal 2 3 2 13 2" xfId="26043" xr:uid="{00000000-0005-0000-0000-00009D650000}"/>
    <cellStyle name="Normal 2 3 2 13 2 10" xfId="26044" xr:uid="{00000000-0005-0000-0000-00009E650000}"/>
    <cellStyle name="Normal 2 3 2 13 2 2" xfId="26045" xr:uid="{00000000-0005-0000-0000-00009F650000}"/>
    <cellStyle name="Normal 2 3 2 13 2 3" xfId="26046" xr:uid="{00000000-0005-0000-0000-0000A0650000}"/>
    <cellStyle name="Normal 2 3 2 13 2 4" xfId="26047" xr:uid="{00000000-0005-0000-0000-0000A1650000}"/>
    <cellStyle name="Normal 2 3 2 13 2 5" xfId="26048" xr:uid="{00000000-0005-0000-0000-0000A2650000}"/>
    <cellStyle name="Normal 2 3 2 13 2 6" xfId="26049" xr:uid="{00000000-0005-0000-0000-0000A3650000}"/>
    <cellStyle name="Normal 2 3 2 13 2 7" xfId="26050" xr:uid="{00000000-0005-0000-0000-0000A4650000}"/>
    <cellStyle name="Normal 2 3 2 13 2 8" xfId="26051" xr:uid="{00000000-0005-0000-0000-0000A5650000}"/>
    <cellStyle name="Normal 2 3 2 13 2 9" xfId="26052" xr:uid="{00000000-0005-0000-0000-0000A6650000}"/>
    <cellStyle name="Normal 2 3 2 13 3" xfId="26053" xr:uid="{00000000-0005-0000-0000-0000A7650000}"/>
    <cellStyle name="Normal 2 3 2 13 3 10" xfId="26054" xr:uid="{00000000-0005-0000-0000-0000A8650000}"/>
    <cellStyle name="Normal 2 3 2 13 3 2" xfId="26055" xr:uid="{00000000-0005-0000-0000-0000A9650000}"/>
    <cellStyle name="Normal 2 3 2 13 3 3" xfId="26056" xr:uid="{00000000-0005-0000-0000-0000AA650000}"/>
    <cellStyle name="Normal 2 3 2 13 3 4" xfId="26057" xr:uid="{00000000-0005-0000-0000-0000AB650000}"/>
    <cellStyle name="Normal 2 3 2 13 3 5" xfId="26058" xr:uid="{00000000-0005-0000-0000-0000AC650000}"/>
    <cellStyle name="Normal 2 3 2 13 3 6" xfId="26059" xr:uid="{00000000-0005-0000-0000-0000AD650000}"/>
    <cellStyle name="Normal 2 3 2 13 3 7" xfId="26060" xr:uid="{00000000-0005-0000-0000-0000AE650000}"/>
    <cellStyle name="Normal 2 3 2 13 3 8" xfId="26061" xr:uid="{00000000-0005-0000-0000-0000AF650000}"/>
    <cellStyle name="Normal 2 3 2 13 3 9" xfId="26062" xr:uid="{00000000-0005-0000-0000-0000B0650000}"/>
    <cellStyle name="Normal 2 3 2 13 4" xfId="26063" xr:uid="{00000000-0005-0000-0000-0000B1650000}"/>
    <cellStyle name="Normal 2 3 2 13 4 10" xfId="26064" xr:uid="{00000000-0005-0000-0000-0000B2650000}"/>
    <cellStyle name="Normal 2 3 2 13 4 2" xfId="26065" xr:uid="{00000000-0005-0000-0000-0000B3650000}"/>
    <cellStyle name="Normal 2 3 2 13 4 3" xfId="26066" xr:uid="{00000000-0005-0000-0000-0000B4650000}"/>
    <cellStyle name="Normal 2 3 2 13 4 4" xfId="26067" xr:uid="{00000000-0005-0000-0000-0000B5650000}"/>
    <cellStyle name="Normal 2 3 2 13 4 5" xfId="26068" xr:uid="{00000000-0005-0000-0000-0000B6650000}"/>
    <cellStyle name="Normal 2 3 2 13 4 6" xfId="26069" xr:uid="{00000000-0005-0000-0000-0000B7650000}"/>
    <cellStyle name="Normal 2 3 2 13 4 7" xfId="26070" xr:uid="{00000000-0005-0000-0000-0000B8650000}"/>
    <cellStyle name="Normal 2 3 2 13 4 8" xfId="26071" xr:uid="{00000000-0005-0000-0000-0000B9650000}"/>
    <cellStyle name="Normal 2 3 2 13 4 9" xfId="26072" xr:uid="{00000000-0005-0000-0000-0000BA650000}"/>
    <cellStyle name="Normal 2 3 2 13 5" xfId="26073" xr:uid="{00000000-0005-0000-0000-0000BB650000}"/>
    <cellStyle name="Normal 2 3 2 13 5 10" xfId="26074" xr:uid="{00000000-0005-0000-0000-0000BC650000}"/>
    <cellStyle name="Normal 2 3 2 13 5 2" xfId="26075" xr:uid="{00000000-0005-0000-0000-0000BD650000}"/>
    <cellStyle name="Normal 2 3 2 13 5 3" xfId="26076" xr:uid="{00000000-0005-0000-0000-0000BE650000}"/>
    <cellStyle name="Normal 2 3 2 13 5 4" xfId="26077" xr:uid="{00000000-0005-0000-0000-0000BF650000}"/>
    <cellStyle name="Normal 2 3 2 13 5 5" xfId="26078" xr:uid="{00000000-0005-0000-0000-0000C0650000}"/>
    <cellStyle name="Normal 2 3 2 13 5 6" xfId="26079" xr:uid="{00000000-0005-0000-0000-0000C1650000}"/>
    <cellStyle name="Normal 2 3 2 13 5 7" xfId="26080" xr:uid="{00000000-0005-0000-0000-0000C2650000}"/>
    <cellStyle name="Normal 2 3 2 13 5 8" xfId="26081" xr:uid="{00000000-0005-0000-0000-0000C3650000}"/>
    <cellStyle name="Normal 2 3 2 13 5 9" xfId="26082" xr:uid="{00000000-0005-0000-0000-0000C4650000}"/>
    <cellStyle name="Normal 2 3 2 13 6" xfId="26083" xr:uid="{00000000-0005-0000-0000-0000C5650000}"/>
    <cellStyle name="Normal 2 3 2 13 7" xfId="26084" xr:uid="{00000000-0005-0000-0000-0000C6650000}"/>
    <cellStyle name="Normal 2 3 2 13 8" xfId="26085" xr:uid="{00000000-0005-0000-0000-0000C7650000}"/>
    <cellStyle name="Normal 2 3 2 13 9" xfId="26086" xr:uid="{00000000-0005-0000-0000-0000C8650000}"/>
    <cellStyle name="Normal 2 3 2 14" xfId="26087" xr:uid="{00000000-0005-0000-0000-0000C9650000}"/>
    <cellStyle name="Normal 2 3 2 14 10" xfId="26088" xr:uid="{00000000-0005-0000-0000-0000CA650000}"/>
    <cellStyle name="Normal 2 3 2 14 11" xfId="26089" xr:uid="{00000000-0005-0000-0000-0000CB650000}"/>
    <cellStyle name="Normal 2 3 2 14 12" xfId="26090" xr:uid="{00000000-0005-0000-0000-0000CC650000}"/>
    <cellStyle name="Normal 2 3 2 14 13" xfId="26091" xr:uid="{00000000-0005-0000-0000-0000CD650000}"/>
    <cellStyle name="Normal 2 3 2 14 14" xfId="26092" xr:uid="{00000000-0005-0000-0000-0000CE650000}"/>
    <cellStyle name="Normal 2 3 2 14 2" xfId="26093" xr:uid="{00000000-0005-0000-0000-0000CF650000}"/>
    <cellStyle name="Normal 2 3 2 14 2 10" xfId="26094" xr:uid="{00000000-0005-0000-0000-0000D0650000}"/>
    <cellStyle name="Normal 2 3 2 14 2 2" xfId="26095" xr:uid="{00000000-0005-0000-0000-0000D1650000}"/>
    <cellStyle name="Normal 2 3 2 14 2 3" xfId="26096" xr:uid="{00000000-0005-0000-0000-0000D2650000}"/>
    <cellStyle name="Normal 2 3 2 14 2 4" xfId="26097" xr:uid="{00000000-0005-0000-0000-0000D3650000}"/>
    <cellStyle name="Normal 2 3 2 14 2 5" xfId="26098" xr:uid="{00000000-0005-0000-0000-0000D4650000}"/>
    <cellStyle name="Normal 2 3 2 14 2 6" xfId="26099" xr:uid="{00000000-0005-0000-0000-0000D5650000}"/>
    <cellStyle name="Normal 2 3 2 14 2 7" xfId="26100" xr:uid="{00000000-0005-0000-0000-0000D6650000}"/>
    <cellStyle name="Normal 2 3 2 14 2 8" xfId="26101" xr:uid="{00000000-0005-0000-0000-0000D7650000}"/>
    <cellStyle name="Normal 2 3 2 14 2 9" xfId="26102" xr:uid="{00000000-0005-0000-0000-0000D8650000}"/>
    <cellStyle name="Normal 2 3 2 14 3" xfId="26103" xr:uid="{00000000-0005-0000-0000-0000D9650000}"/>
    <cellStyle name="Normal 2 3 2 14 3 10" xfId="26104" xr:uid="{00000000-0005-0000-0000-0000DA650000}"/>
    <cellStyle name="Normal 2 3 2 14 3 2" xfId="26105" xr:uid="{00000000-0005-0000-0000-0000DB650000}"/>
    <cellStyle name="Normal 2 3 2 14 3 3" xfId="26106" xr:uid="{00000000-0005-0000-0000-0000DC650000}"/>
    <cellStyle name="Normal 2 3 2 14 3 4" xfId="26107" xr:uid="{00000000-0005-0000-0000-0000DD650000}"/>
    <cellStyle name="Normal 2 3 2 14 3 5" xfId="26108" xr:uid="{00000000-0005-0000-0000-0000DE650000}"/>
    <cellStyle name="Normal 2 3 2 14 3 6" xfId="26109" xr:uid="{00000000-0005-0000-0000-0000DF650000}"/>
    <cellStyle name="Normal 2 3 2 14 3 7" xfId="26110" xr:uid="{00000000-0005-0000-0000-0000E0650000}"/>
    <cellStyle name="Normal 2 3 2 14 3 8" xfId="26111" xr:uid="{00000000-0005-0000-0000-0000E1650000}"/>
    <cellStyle name="Normal 2 3 2 14 3 9" xfId="26112" xr:uid="{00000000-0005-0000-0000-0000E2650000}"/>
    <cellStyle name="Normal 2 3 2 14 4" xfId="26113" xr:uid="{00000000-0005-0000-0000-0000E3650000}"/>
    <cellStyle name="Normal 2 3 2 14 4 10" xfId="26114" xr:uid="{00000000-0005-0000-0000-0000E4650000}"/>
    <cellStyle name="Normal 2 3 2 14 4 2" xfId="26115" xr:uid="{00000000-0005-0000-0000-0000E5650000}"/>
    <cellStyle name="Normal 2 3 2 14 4 3" xfId="26116" xr:uid="{00000000-0005-0000-0000-0000E6650000}"/>
    <cellStyle name="Normal 2 3 2 14 4 4" xfId="26117" xr:uid="{00000000-0005-0000-0000-0000E7650000}"/>
    <cellStyle name="Normal 2 3 2 14 4 5" xfId="26118" xr:uid="{00000000-0005-0000-0000-0000E8650000}"/>
    <cellStyle name="Normal 2 3 2 14 4 6" xfId="26119" xr:uid="{00000000-0005-0000-0000-0000E9650000}"/>
    <cellStyle name="Normal 2 3 2 14 4 7" xfId="26120" xr:uid="{00000000-0005-0000-0000-0000EA650000}"/>
    <cellStyle name="Normal 2 3 2 14 4 8" xfId="26121" xr:uid="{00000000-0005-0000-0000-0000EB650000}"/>
    <cellStyle name="Normal 2 3 2 14 4 9" xfId="26122" xr:uid="{00000000-0005-0000-0000-0000EC650000}"/>
    <cellStyle name="Normal 2 3 2 14 5" xfId="26123" xr:uid="{00000000-0005-0000-0000-0000ED650000}"/>
    <cellStyle name="Normal 2 3 2 14 5 10" xfId="26124" xr:uid="{00000000-0005-0000-0000-0000EE650000}"/>
    <cellStyle name="Normal 2 3 2 14 5 2" xfId="26125" xr:uid="{00000000-0005-0000-0000-0000EF650000}"/>
    <cellStyle name="Normal 2 3 2 14 5 3" xfId="26126" xr:uid="{00000000-0005-0000-0000-0000F0650000}"/>
    <cellStyle name="Normal 2 3 2 14 5 4" xfId="26127" xr:uid="{00000000-0005-0000-0000-0000F1650000}"/>
    <cellStyle name="Normal 2 3 2 14 5 5" xfId="26128" xr:uid="{00000000-0005-0000-0000-0000F2650000}"/>
    <cellStyle name="Normal 2 3 2 14 5 6" xfId="26129" xr:uid="{00000000-0005-0000-0000-0000F3650000}"/>
    <cellStyle name="Normal 2 3 2 14 5 7" xfId="26130" xr:uid="{00000000-0005-0000-0000-0000F4650000}"/>
    <cellStyle name="Normal 2 3 2 14 5 8" xfId="26131" xr:uid="{00000000-0005-0000-0000-0000F5650000}"/>
    <cellStyle name="Normal 2 3 2 14 5 9" xfId="26132" xr:uid="{00000000-0005-0000-0000-0000F6650000}"/>
    <cellStyle name="Normal 2 3 2 14 6" xfId="26133" xr:uid="{00000000-0005-0000-0000-0000F7650000}"/>
    <cellStyle name="Normal 2 3 2 14 7" xfId="26134" xr:uid="{00000000-0005-0000-0000-0000F8650000}"/>
    <cellStyle name="Normal 2 3 2 14 8" xfId="26135" xr:uid="{00000000-0005-0000-0000-0000F9650000}"/>
    <cellStyle name="Normal 2 3 2 14 9" xfId="26136" xr:uid="{00000000-0005-0000-0000-0000FA650000}"/>
    <cellStyle name="Normal 2 3 2 15" xfId="26137" xr:uid="{00000000-0005-0000-0000-0000FB650000}"/>
    <cellStyle name="Normal 2 3 2 15 10" xfId="26138" xr:uid="{00000000-0005-0000-0000-0000FC650000}"/>
    <cellStyle name="Normal 2 3 2 15 11" xfId="26139" xr:uid="{00000000-0005-0000-0000-0000FD650000}"/>
    <cellStyle name="Normal 2 3 2 15 12" xfId="26140" xr:uid="{00000000-0005-0000-0000-0000FE650000}"/>
    <cellStyle name="Normal 2 3 2 15 13" xfId="26141" xr:uid="{00000000-0005-0000-0000-0000FF650000}"/>
    <cellStyle name="Normal 2 3 2 15 14" xfId="26142" xr:uid="{00000000-0005-0000-0000-000000660000}"/>
    <cellStyle name="Normal 2 3 2 15 2" xfId="26143" xr:uid="{00000000-0005-0000-0000-000001660000}"/>
    <cellStyle name="Normal 2 3 2 15 2 10" xfId="26144" xr:uid="{00000000-0005-0000-0000-000002660000}"/>
    <cellStyle name="Normal 2 3 2 15 2 2" xfId="26145" xr:uid="{00000000-0005-0000-0000-000003660000}"/>
    <cellStyle name="Normal 2 3 2 15 2 3" xfId="26146" xr:uid="{00000000-0005-0000-0000-000004660000}"/>
    <cellStyle name="Normal 2 3 2 15 2 4" xfId="26147" xr:uid="{00000000-0005-0000-0000-000005660000}"/>
    <cellStyle name="Normal 2 3 2 15 2 5" xfId="26148" xr:uid="{00000000-0005-0000-0000-000006660000}"/>
    <cellStyle name="Normal 2 3 2 15 2 6" xfId="26149" xr:uid="{00000000-0005-0000-0000-000007660000}"/>
    <cellStyle name="Normal 2 3 2 15 2 7" xfId="26150" xr:uid="{00000000-0005-0000-0000-000008660000}"/>
    <cellStyle name="Normal 2 3 2 15 2 8" xfId="26151" xr:uid="{00000000-0005-0000-0000-000009660000}"/>
    <cellStyle name="Normal 2 3 2 15 2 9" xfId="26152" xr:uid="{00000000-0005-0000-0000-00000A660000}"/>
    <cellStyle name="Normal 2 3 2 15 3" xfId="26153" xr:uid="{00000000-0005-0000-0000-00000B660000}"/>
    <cellStyle name="Normal 2 3 2 15 3 10" xfId="26154" xr:uid="{00000000-0005-0000-0000-00000C660000}"/>
    <cellStyle name="Normal 2 3 2 15 3 2" xfId="26155" xr:uid="{00000000-0005-0000-0000-00000D660000}"/>
    <cellStyle name="Normal 2 3 2 15 3 3" xfId="26156" xr:uid="{00000000-0005-0000-0000-00000E660000}"/>
    <cellStyle name="Normal 2 3 2 15 3 4" xfId="26157" xr:uid="{00000000-0005-0000-0000-00000F660000}"/>
    <cellStyle name="Normal 2 3 2 15 3 5" xfId="26158" xr:uid="{00000000-0005-0000-0000-000010660000}"/>
    <cellStyle name="Normal 2 3 2 15 3 6" xfId="26159" xr:uid="{00000000-0005-0000-0000-000011660000}"/>
    <cellStyle name="Normal 2 3 2 15 3 7" xfId="26160" xr:uid="{00000000-0005-0000-0000-000012660000}"/>
    <cellStyle name="Normal 2 3 2 15 3 8" xfId="26161" xr:uid="{00000000-0005-0000-0000-000013660000}"/>
    <cellStyle name="Normal 2 3 2 15 3 9" xfId="26162" xr:uid="{00000000-0005-0000-0000-000014660000}"/>
    <cellStyle name="Normal 2 3 2 15 4" xfId="26163" xr:uid="{00000000-0005-0000-0000-000015660000}"/>
    <cellStyle name="Normal 2 3 2 15 4 10" xfId="26164" xr:uid="{00000000-0005-0000-0000-000016660000}"/>
    <cellStyle name="Normal 2 3 2 15 4 2" xfId="26165" xr:uid="{00000000-0005-0000-0000-000017660000}"/>
    <cellStyle name="Normal 2 3 2 15 4 3" xfId="26166" xr:uid="{00000000-0005-0000-0000-000018660000}"/>
    <cellStyle name="Normal 2 3 2 15 4 4" xfId="26167" xr:uid="{00000000-0005-0000-0000-000019660000}"/>
    <cellStyle name="Normal 2 3 2 15 4 5" xfId="26168" xr:uid="{00000000-0005-0000-0000-00001A660000}"/>
    <cellStyle name="Normal 2 3 2 15 4 6" xfId="26169" xr:uid="{00000000-0005-0000-0000-00001B660000}"/>
    <cellStyle name="Normal 2 3 2 15 4 7" xfId="26170" xr:uid="{00000000-0005-0000-0000-00001C660000}"/>
    <cellStyle name="Normal 2 3 2 15 4 8" xfId="26171" xr:uid="{00000000-0005-0000-0000-00001D660000}"/>
    <cellStyle name="Normal 2 3 2 15 4 9" xfId="26172" xr:uid="{00000000-0005-0000-0000-00001E660000}"/>
    <cellStyle name="Normal 2 3 2 15 5" xfId="26173" xr:uid="{00000000-0005-0000-0000-00001F660000}"/>
    <cellStyle name="Normal 2 3 2 15 5 10" xfId="26174" xr:uid="{00000000-0005-0000-0000-000020660000}"/>
    <cellStyle name="Normal 2 3 2 15 5 2" xfId="26175" xr:uid="{00000000-0005-0000-0000-000021660000}"/>
    <cellStyle name="Normal 2 3 2 15 5 3" xfId="26176" xr:uid="{00000000-0005-0000-0000-000022660000}"/>
    <cellStyle name="Normal 2 3 2 15 5 4" xfId="26177" xr:uid="{00000000-0005-0000-0000-000023660000}"/>
    <cellStyle name="Normal 2 3 2 15 5 5" xfId="26178" xr:uid="{00000000-0005-0000-0000-000024660000}"/>
    <cellStyle name="Normal 2 3 2 15 5 6" xfId="26179" xr:uid="{00000000-0005-0000-0000-000025660000}"/>
    <cellStyle name="Normal 2 3 2 15 5 7" xfId="26180" xr:uid="{00000000-0005-0000-0000-000026660000}"/>
    <cellStyle name="Normal 2 3 2 15 5 8" xfId="26181" xr:uid="{00000000-0005-0000-0000-000027660000}"/>
    <cellStyle name="Normal 2 3 2 15 5 9" xfId="26182" xr:uid="{00000000-0005-0000-0000-000028660000}"/>
    <cellStyle name="Normal 2 3 2 15 6" xfId="26183" xr:uid="{00000000-0005-0000-0000-000029660000}"/>
    <cellStyle name="Normal 2 3 2 15 7" xfId="26184" xr:uid="{00000000-0005-0000-0000-00002A660000}"/>
    <cellStyle name="Normal 2 3 2 15 8" xfId="26185" xr:uid="{00000000-0005-0000-0000-00002B660000}"/>
    <cellStyle name="Normal 2 3 2 15 9" xfId="26186" xr:uid="{00000000-0005-0000-0000-00002C660000}"/>
    <cellStyle name="Normal 2 3 2 16" xfId="26187" xr:uid="{00000000-0005-0000-0000-00002D660000}"/>
    <cellStyle name="Normal 2 3 2 16 10" xfId="26188" xr:uid="{00000000-0005-0000-0000-00002E660000}"/>
    <cellStyle name="Normal 2 3 2 16 11" xfId="26189" xr:uid="{00000000-0005-0000-0000-00002F660000}"/>
    <cellStyle name="Normal 2 3 2 16 12" xfId="26190" xr:uid="{00000000-0005-0000-0000-000030660000}"/>
    <cellStyle name="Normal 2 3 2 16 13" xfId="26191" xr:uid="{00000000-0005-0000-0000-000031660000}"/>
    <cellStyle name="Normal 2 3 2 16 14" xfId="26192" xr:uid="{00000000-0005-0000-0000-000032660000}"/>
    <cellStyle name="Normal 2 3 2 16 2" xfId="26193" xr:uid="{00000000-0005-0000-0000-000033660000}"/>
    <cellStyle name="Normal 2 3 2 16 2 10" xfId="26194" xr:uid="{00000000-0005-0000-0000-000034660000}"/>
    <cellStyle name="Normal 2 3 2 16 2 2" xfId="26195" xr:uid="{00000000-0005-0000-0000-000035660000}"/>
    <cellStyle name="Normal 2 3 2 16 2 3" xfId="26196" xr:uid="{00000000-0005-0000-0000-000036660000}"/>
    <cellStyle name="Normal 2 3 2 16 2 4" xfId="26197" xr:uid="{00000000-0005-0000-0000-000037660000}"/>
    <cellStyle name="Normal 2 3 2 16 2 5" xfId="26198" xr:uid="{00000000-0005-0000-0000-000038660000}"/>
    <cellStyle name="Normal 2 3 2 16 2 6" xfId="26199" xr:uid="{00000000-0005-0000-0000-000039660000}"/>
    <cellStyle name="Normal 2 3 2 16 2 7" xfId="26200" xr:uid="{00000000-0005-0000-0000-00003A660000}"/>
    <cellStyle name="Normal 2 3 2 16 2 8" xfId="26201" xr:uid="{00000000-0005-0000-0000-00003B660000}"/>
    <cellStyle name="Normal 2 3 2 16 2 9" xfId="26202" xr:uid="{00000000-0005-0000-0000-00003C660000}"/>
    <cellStyle name="Normal 2 3 2 16 3" xfId="26203" xr:uid="{00000000-0005-0000-0000-00003D660000}"/>
    <cellStyle name="Normal 2 3 2 16 3 10" xfId="26204" xr:uid="{00000000-0005-0000-0000-00003E660000}"/>
    <cellStyle name="Normal 2 3 2 16 3 2" xfId="26205" xr:uid="{00000000-0005-0000-0000-00003F660000}"/>
    <cellStyle name="Normal 2 3 2 16 3 3" xfId="26206" xr:uid="{00000000-0005-0000-0000-000040660000}"/>
    <cellStyle name="Normal 2 3 2 16 3 4" xfId="26207" xr:uid="{00000000-0005-0000-0000-000041660000}"/>
    <cellStyle name="Normal 2 3 2 16 3 5" xfId="26208" xr:uid="{00000000-0005-0000-0000-000042660000}"/>
    <cellStyle name="Normal 2 3 2 16 3 6" xfId="26209" xr:uid="{00000000-0005-0000-0000-000043660000}"/>
    <cellStyle name="Normal 2 3 2 16 3 7" xfId="26210" xr:uid="{00000000-0005-0000-0000-000044660000}"/>
    <cellStyle name="Normal 2 3 2 16 3 8" xfId="26211" xr:uid="{00000000-0005-0000-0000-000045660000}"/>
    <cellStyle name="Normal 2 3 2 16 3 9" xfId="26212" xr:uid="{00000000-0005-0000-0000-000046660000}"/>
    <cellStyle name="Normal 2 3 2 16 4" xfId="26213" xr:uid="{00000000-0005-0000-0000-000047660000}"/>
    <cellStyle name="Normal 2 3 2 16 4 10" xfId="26214" xr:uid="{00000000-0005-0000-0000-000048660000}"/>
    <cellStyle name="Normal 2 3 2 16 4 2" xfId="26215" xr:uid="{00000000-0005-0000-0000-000049660000}"/>
    <cellStyle name="Normal 2 3 2 16 4 3" xfId="26216" xr:uid="{00000000-0005-0000-0000-00004A660000}"/>
    <cellStyle name="Normal 2 3 2 16 4 4" xfId="26217" xr:uid="{00000000-0005-0000-0000-00004B660000}"/>
    <cellStyle name="Normal 2 3 2 16 4 5" xfId="26218" xr:uid="{00000000-0005-0000-0000-00004C660000}"/>
    <cellStyle name="Normal 2 3 2 16 4 6" xfId="26219" xr:uid="{00000000-0005-0000-0000-00004D660000}"/>
    <cellStyle name="Normal 2 3 2 16 4 7" xfId="26220" xr:uid="{00000000-0005-0000-0000-00004E660000}"/>
    <cellStyle name="Normal 2 3 2 16 4 8" xfId="26221" xr:uid="{00000000-0005-0000-0000-00004F660000}"/>
    <cellStyle name="Normal 2 3 2 16 4 9" xfId="26222" xr:uid="{00000000-0005-0000-0000-000050660000}"/>
    <cellStyle name="Normal 2 3 2 16 5" xfId="26223" xr:uid="{00000000-0005-0000-0000-000051660000}"/>
    <cellStyle name="Normal 2 3 2 16 5 10" xfId="26224" xr:uid="{00000000-0005-0000-0000-000052660000}"/>
    <cellStyle name="Normal 2 3 2 16 5 2" xfId="26225" xr:uid="{00000000-0005-0000-0000-000053660000}"/>
    <cellStyle name="Normal 2 3 2 16 5 3" xfId="26226" xr:uid="{00000000-0005-0000-0000-000054660000}"/>
    <cellStyle name="Normal 2 3 2 16 5 4" xfId="26227" xr:uid="{00000000-0005-0000-0000-000055660000}"/>
    <cellStyle name="Normal 2 3 2 16 5 5" xfId="26228" xr:uid="{00000000-0005-0000-0000-000056660000}"/>
    <cellStyle name="Normal 2 3 2 16 5 6" xfId="26229" xr:uid="{00000000-0005-0000-0000-000057660000}"/>
    <cellStyle name="Normal 2 3 2 16 5 7" xfId="26230" xr:uid="{00000000-0005-0000-0000-000058660000}"/>
    <cellStyle name="Normal 2 3 2 16 5 8" xfId="26231" xr:uid="{00000000-0005-0000-0000-000059660000}"/>
    <cellStyle name="Normal 2 3 2 16 5 9" xfId="26232" xr:uid="{00000000-0005-0000-0000-00005A660000}"/>
    <cellStyle name="Normal 2 3 2 16 6" xfId="26233" xr:uid="{00000000-0005-0000-0000-00005B660000}"/>
    <cellStyle name="Normal 2 3 2 16 7" xfId="26234" xr:uid="{00000000-0005-0000-0000-00005C660000}"/>
    <cellStyle name="Normal 2 3 2 16 8" xfId="26235" xr:uid="{00000000-0005-0000-0000-00005D660000}"/>
    <cellStyle name="Normal 2 3 2 16 9" xfId="26236" xr:uid="{00000000-0005-0000-0000-00005E660000}"/>
    <cellStyle name="Normal 2 3 2 17" xfId="26237" xr:uid="{00000000-0005-0000-0000-00005F660000}"/>
    <cellStyle name="Normal 2 3 2 17 10" xfId="26238" xr:uid="{00000000-0005-0000-0000-000060660000}"/>
    <cellStyle name="Normal 2 3 2 17 11" xfId="26239" xr:uid="{00000000-0005-0000-0000-000061660000}"/>
    <cellStyle name="Normal 2 3 2 17 12" xfId="26240" xr:uid="{00000000-0005-0000-0000-000062660000}"/>
    <cellStyle name="Normal 2 3 2 17 13" xfId="26241" xr:uid="{00000000-0005-0000-0000-000063660000}"/>
    <cellStyle name="Normal 2 3 2 17 14" xfId="26242" xr:uid="{00000000-0005-0000-0000-000064660000}"/>
    <cellStyle name="Normal 2 3 2 17 2" xfId="26243" xr:uid="{00000000-0005-0000-0000-000065660000}"/>
    <cellStyle name="Normal 2 3 2 17 2 10" xfId="26244" xr:uid="{00000000-0005-0000-0000-000066660000}"/>
    <cellStyle name="Normal 2 3 2 17 2 2" xfId="26245" xr:uid="{00000000-0005-0000-0000-000067660000}"/>
    <cellStyle name="Normal 2 3 2 17 2 3" xfId="26246" xr:uid="{00000000-0005-0000-0000-000068660000}"/>
    <cellStyle name="Normal 2 3 2 17 2 4" xfId="26247" xr:uid="{00000000-0005-0000-0000-000069660000}"/>
    <cellStyle name="Normal 2 3 2 17 2 5" xfId="26248" xr:uid="{00000000-0005-0000-0000-00006A660000}"/>
    <cellStyle name="Normal 2 3 2 17 2 6" xfId="26249" xr:uid="{00000000-0005-0000-0000-00006B660000}"/>
    <cellStyle name="Normal 2 3 2 17 2 7" xfId="26250" xr:uid="{00000000-0005-0000-0000-00006C660000}"/>
    <cellStyle name="Normal 2 3 2 17 2 8" xfId="26251" xr:uid="{00000000-0005-0000-0000-00006D660000}"/>
    <cellStyle name="Normal 2 3 2 17 2 9" xfId="26252" xr:uid="{00000000-0005-0000-0000-00006E660000}"/>
    <cellStyle name="Normal 2 3 2 17 3" xfId="26253" xr:uid="{00000000-0005-0000-0000-00006F660000}"/>
    <cellStyle name="Normal 2 3 2 17 3 10" xfId="26254" xr:uid="{00000000-0005-0000-0000-000070660000}"/>
    <cellStyle name="Normal 2 3 2 17 3 2" xfId="26255" xr:uid="{00000000-0005-0000-0000-000071660000}"/>
    <cellStyle name="Normal 2 3 2 17 3 3" xfId="26256" xr:uid="{00000000-0005-0000-0000-000072660000}"/>
    <cellStyle name="Normal 2 3 2 17 3 4" xfId="26257" xr:uid="{00000000-0005-0000-0000-000073660000}"/>
    <cellStyle name="Normal 2 3 2 17 3 5" xfId="26258" xr:uid="{00000000-0005-0000-0000-000074660000}"/>
    <cellStyle name="Normal 2 3 2 17 3 6" xfId="26259" xr:uid="{00000000-0005-0000-0000-000075660000}"/>
    <cellStyle name="Normal 2 3 2 17 3 7" xfId="26260" xr:uid="{00000000-0005-0000-0000-000076660000}"/>
    <cellStyle name="Normal 2 3 2 17 3 8" xfId="26261" xr:uid="{00000000-0005-0000-0000-000077660000}"/>
    <cellStyle name="Normal 2 3 2 17 3 9" xfId="26262" xr:uid="{00000000-0005-0000-0000-000078660000}"/>
    <cellStyle name="Normal 2 3 2 17 4" xfId="26263" xr:uid="{00000000-0005-0000-0000-000079660000}"/>
    <cellStyle name="Normal 2 3 2 17 4 10" xfId="26264" xr:uid="{00000000-0005-0000-0000-00007A660000}"/>
    <cellStyle name="Normal 2 3 2 17 4 2" xfId="26265" xr:uid="{00000000-0005-0000-0000-00007B660000}"/>
    <cellStyle name="Normal 2 3 2 17 4 3" xfId="26266" xr:uid="{00000000-0005-0000-0000-00007C660000}"/>
    <cellStyle name="Normal 2 3 2 17 4 4" xfId="26267" xr:uid="{00000000-0005-0000-0000-00007D660000}"/>
    <cellStyle name="Normal 2 3 2 17 4 5" xfId="26268" xr:uid="{00000000-0005-0000-0000-00007E660000}"/>
    <cellStyle name="Normal 2 3 2 17 4 6" xfId="26269" xr:uid="{00000000-0005-0000-0000-00007F660000}"/>
    <cellStyle name="Normal 2 3 2 17 4 7" xfId="26270" xr:uid="{00000000-0005-0000-0000-000080660000}"/>
    <cellStyle name="Normal 2 3 2 17 4 8" xfId="26271" xr:uid="{00000000-0005-0000-0000-000081660000}"/>
    <cellStyle name="Normal 2 3 2 17 4 9" xfId="26272" xr:uid="{00000000-0005-0000-0000-000082660000}"/>
    <cellStyle name="Normal 2 3 2 17 5" xfId="26273" xr:uid="{00000000-0005-0000-0000-000083660000}"/>
    <cellStyle name="Normal 2 3 2 17 5 10" xfId="26274" xr:uid="{00000000-0005-0000-0000-000084660000}"/>
    <cellStyle name="Normal 2 3 2 17 5 2" xfId="26275" xr:uid="{00000000-0005-0000-0000-000085660000}"/>
    <cellStyle name="Normal 2 3 2 17 5 3" xfId="26276" xr:uid="{00000000-0005-0000-0000-000086660000}"/>
    <cellStyle name="Normal 2 3 2 17 5 4" xfId="26277" xr:uid="{00000000-0005-0000-0000-000087660000}"/>
    <cellStyle name="Normal 2 3 2 17 5 5" xfId="26278" xr:uid="{00000000-0005-0000-0000-000088660000}"/>
    <cellStyle name="Normal 2 3 2 17 5 6" xfId="26279" xr:uid="{00000000-0005-0000-0000-000089660000}"/>
    <cellStyle name="Normal 2 3 2 17 5 7" xfId="26280" xr:uid="{00000000-0005-0000-0000-00008A660000}"/>
    <cellStyle name="Normal 2 3 2 17 5 8" xfId="26281" xr:uid="{00000000-0005-0000-0000-00008B660000}"/>
    <cellStyle name="Normal 2 3 2 17 5 9" xfId="26282" xr:uid="{00000000-0005-0000-0000-00008C660000}"/>
    <cellStyle name="Normal 2 3 2 17 6" xfId="26283" xr:uid="{00000000-0005-0000-0000-00008D660000}"/>
    <cellStyle name="Normal 2 3 2 17 7" xfId="26284" xr:uid="{00000000-0005-0000-0000-00008E660000}"/>
    <cellStyle name="Normal 2 3 2 17 8" xfId="26285" xr:uid="{00000000-0005-0000-0000-00008F660000}"/>
    <cellStyle name="Normal 2 3 2 17 9" xfId="26286" xr:uid="{00000000-0005-0000-0000-000090660000}"/>
    <cellStyle name="Normal 2 3 2 18" xfId="26287" xr:uid="{00000000-0005-0000-0000-000091660000}"/>
    <cellStyle name="Normal 2 3 2 18 10" xfId="26288" xr:uid="{00000000-0005-0000-0000-000092660000}"/>
    <cellStyle name="Normal 2 3 2 18 11" xfId="26289" xr:uid="{00000000-0005-0000-0000-000093660000}"/>
    <cellStyle name="Normal 2 3 2 18 12" xfId="26290" xr:uid="{00000000-0005-0000-0000-000094660000}"/>
    <cellStyle name="Normal 2 3 2 18 13" xfId="26291" xr:uid="{00000000-0005-0000-0000-000095660000}"/>
    <cellStyle name="Normal 2 3 2 18 14" xfId="26292" xr:uid="{00000000-0005-0000-0000-000096660000}"/>
    <cellStyle name="Normal 2 3 2 18 2" xfId="26293" xr:uid="{00000000-0005-0000-0000-000097660000}"/>
    <cellStyle name="Normal 2 3 2 18 2 10" xfId="26294" xr:uid="{00000000-0005-0000-0000-000098660000}"/>
    <cellStyle name="Normal 2 3 2 18 2 2" xfId="26295" xr:uid="{00000000-0005-0000-0000-000099660000}"/>
    <cellStyle name="Normal 2 3 2 18 2 3" xfId="26296" xr:uid="{00000000-0005-0000-0000-00009A660000}"/>
    <cellStyle name="Normal 2 3 2 18 2 4" xfId="26297" xr:uid="{00000000-0005-0000-0000-00009B660000}"/>
    <cellStyle name="Normal 2 3 2 18 2 5" xfId="26298" xr:uid="{00000000-0005-0000-0000-00009C660000}"/>
    <cellStyle name="Normal 2 3 2 18 2 6" xfId="26299" xr:uid="{00000000-0005-0000-0000-00009D660000}"/>
    <cellStyle name="Normal 2 3 2 18 2 7" xfId="26300" xr:uid="{00000000-0005-0000-0000-00009E660000}"/>
    <cellStyle name="Normal 2 3 2 18 2 8" xfId="26301" xr:uid="{00000000-0005-0000-0000-00009F660000}"/>
    <cellStyle name="Normal 2 3 2 18 2 9" xfId="26302" xr:uid="{00000000-0005-0000-0000-0000A0660000}"/>
    <cellStyle name="Normal 2 3 2 18 3" xfId="26303" xr:uid="{00000000-0005-0000-0000-0000A1660000}"/>
    <cellStyle name="Normal 2 3 2 18 3 10" xfId="26304" xr:uid="{00000000-0005-0000-0000-0000A2660000}"/>
    <cellStyle name="Normal 2 3 2 18 3 2" xfId="26305" xr:uid="{00000000-0005-0000-0000-0000A3660000}"/>
    <cellStyle name="Normal 2 3 2 18 3 3" xfId="26306" xr:uid="{00000000-0005-0000-0000-0000A4660000}"/>
    <cellStyle name="Normal 2 3 2 18 3 4" xfId="26307" xr:uid="{00000000-0005-0000-0000-0000A5660000}"/>
    <cellStyle name="Normal 2 3 2 18 3 5" xfId="26308" xr:uid="{00000000-0005-0000-0000-0000A6660000}"/>
    <cellStyle name="Normal 2 3 2 18 3 6" xfId="26309" xr:uid="{00000000-0005-0000-0000-0000A7660000}"/>
    <cellStyle name="Normal 2 3 2 18 3 7" xfId="26310" xr:uid="{00000000-0005-0000-0000-0000A8660000}"/>
    <cellStyle name="Normal 2 3 2 18 3 8" xfId="26311" xr:uid="{00000000-0005-0000-0000-0000A9660000}"/>
    <cellStyle name="Normal 2 3 2 18 3 9" xfId="26312" xr:uid="{00000000-0005-0000-0000-0000AA660000}"/>
    <cellStyle name="Normal 2 3 2 18 4" xfId="26313" xr:uid="{00000000-0005-0000-0000-0000AB660000}"/>
    <cellStyle name="Normal 2 3 2 18 4 10" xfId="26314" xr:uid="{00000000-0005-0000-0000-0000AC660000}"/>
    <cellStyle name="Normal 2 3 2 18 4 2" xfId="26315" xr:uid="{00000000-0005-0000-0000-0000AD660000}"/>
    <cellStyle name="Normal 2 3 2 18 4 3" xfId="26316" xr:uid="{00000000-0005-0000-0000-0000AE660000}"/>
    <cellStyle name="Normal 2 3 2 18 4 4" xfId="26317" xr:uid="{00000000-0005-0000-0000-0000AF660000}"/>
    <cellStyle name="Normal 2 3 2 18 4 5" xfId="26318" xr:uid="{00000000-0005-0000-0000-0000B0660000}"/>
    <cellStyle name="Normal 2 3 2 18 4 6" xfId="26319" xr:uid="{00000000-0005-0000-0000-0000B1660000}"/>
    <cellStyle name="Normal 2 3 2 18 4 7" xfId="26320" xr:uid="{00000000-0005-0000-0000-0000B2660000}"/>
    <cellStyle name="Normal 2 3 2 18 4 8" xfId="26321" xr:uid="{00000000-0005-0000-0000-0000B3660000}"/>
    <cellStyle name="Normal 2 3 2 18 4 9" xfId="26322" xr:uid="{00000000-0005-0000-0000-0000B4660000}"/>
    <cellStyle name="Normal 2 3 2 18 5" xfId="26323" xr:uid="{00000000-0005-0000-0000-0000B5660000}"/>
    <cellStyle name="Normal 2 3 2 18 5 10" xfId="26324" xr:uid="{00000000-0005-0000-0000-0000B6660000}"/>
    <cellStyle name="Normal 2 3 2 18 5 2" xfId="26325" xr:uid="{00000000-0005-0000-0000-0000B7660000}"/>
    <cellStyle name="Normal 2 3 2 18 5 3" xfId="26326" xr:uid="{00000000-0005-0000-0000-0000B8660000}"/>
    <cellStyle name="Normal 2 3 2 18 5 4" xfId="26327" xr:uid="{00000000-0005-0000-0000-0000B9660000}"/>
    <cellStyle name="Normal 2 3 2 18 5 5" xfId="26328" xr:uid="{00000000-0005-0000-0000-0000BA660000}"/>
    <cellStyle name="Normal 2 3 2 18 5 6" xfId="26329" xr:uid="{00000000-0005-0000-0000-0000BB660000}"/>
    <cellStyle name="Normal 2 3 2 18 5 7" xfId="26330" xr:uid="{00000000-0005-0000-0000-0000BC660000}"/>
    <cellStyle name="Normal 2 3 2 18 5 8" xfId="26331" xr:uid="{00000000-0005-0000-0000-0000BD660000}"/>
    <cellStyle name="Normal 2 3 2 18 5 9" xfId="26332" xr:uid="{00000000-0005-0000-0000-0000BE660000}"/>
    <cellStyle name="Normal 2 3 2 18 6" xfId="26333" xr:uid="{00000000-0005-0000-0000-0000BF660000}"/>
    <cellStyle name="Normal 2 3 2 18 7" xfId="26334" xr:uid="{00000000-0005-0000-0000-0000C0660000}"/>
    <cellStyle name="Normal 2 3 2 18 8" xfId="26335" xr:uid="{00000000-0005-0000-0000-0000C1660000}"/>
    <cellStyle name="Normal 2 3 2 18 9" xfId="26336" xr:uid="{00000000-0005-0000-0000-0000C2660000}"/>
    <cellStyle name="Normal 2 3 2 19" xfId="26337" xr:uid="{00000000-0005-0000-0000-0000C3660000}"/>
    <cellStyle name="Normal 2 3 2 19 10" xfId="26338" xr:uid="{00000000-0005-0000-0000-0000C4660000}"/>
    <cellStyle name="Normal 2 3 2 19 11" xfId="26339" xr:uid="{00000000-0005-0000-0000-0000C5660000}"/>
    <cellStyle name="Normal 2 3 2 19 12" xfId="26340" xr:uid="{00000000-0005-0000-0000-0000C6660000}"/>
    <cellStyle name="Normal 2 3 2 19 13" xfId="26341" xr:uid="{00000000-0005-0000-0000-0000C7660000}"/>
    <cellStyle name="Normal 2 3 2 19 14" xfId="26342" xr:uid="{00000000-0005-0000-0000-0000C8660000}"/>
    <cellStyle name="Normal 2 3 2 19 2" xfId="26343" xr:uid="{00000000-0005-0000-0000-0000C9660000}"/>
    <cellStyle name="Normal 2 3 2 19 2 10" xfId="26344" xr:uid="{00000000-0005-0000-0000-0000CA660000}"/>
    <cellStyle name="Normal 2 3 2 19 2 2" xfId="26345" xr:uid="{00000000-0005-0000-0000-0000CB660000}"/>
    <cellStyle name="Normal 2 3 2 19 2 3" xfId="26346" xr:uid="{00000000-0005-0000-0000-0000CC660000}"/>
    <cellStyle name="Normal 2 3 2 19 2 4" xfId="26347" xr:uid="{00000000-0005-0000-0000-0000CD660000}"/>
    <cellStyle name="Normal 2 3 2 19 2 5" xfId="26348" xr:uid="{00000000-0005-0000-0000-0000CE660000}"/>
    <cellStyle name="Normal 2 3 2 19 2 6" xfId="26349" xr:uid="{00000000-0005-0000-0000-0000CF660000}"/>
    <cellStyle name="Normal 2 3 2 19 2 7" xfId="26350" xr:uid="{00000000-0005-0000-0000-0000D0660000}"/>
    <cellStyle name="Normal 2 3 2 19 2 8" xfId="26351" xr:uid="{00000000-0005-0000-0000-0000D1660000}"/>
    <cellStyle name="Normal 2 3 2 19 2 9" xfId="26352" xr:uid="{00000000-0005-0000-0000-0000D2660000}"/>
    <cellStyle name="Normal 2 3 2 19 3" xfId="26353" xr:uid="{00000000-0005-0000-0000-0000D3660000}"/>
    <cellStyle name="Normal 2 3 2 19 3 10" xfId="26354" xr:uid="{00000000-0005-0000-0000-0000D4660000}"/>
    <cellStyle name="Normal 2 3 2 19 3 2" xfId="26355" xr:uid="{00000000-0005-0000-0000-0000D5660000}"/>
    <cellStyle name="Normal 2 3 2 19 3 3" xfId="26356" xr:uid="{00000000-0005-0000-0000-0000D6660000}"/>
    <cellStyle name="Normal 2 3 2 19 3 4" xfId="26357" xr:uid="{00000000-0005-0000-0000-0000D7660000}"/>
    <cellStyle name="Normal 2 3 2 19 3 5" xfId="26358" xr:uid="{00000000-0005-0000-0000-0000D8660000}"/>
    <cellStyle name="Normal 2 3 2 19 3 6" xfId="26359" xr:uid="{00000000-0005-0000-0000-0000D9660000}"/>
    <cellStyle name="Normal 2 3 2 19 3 7" xfId="26360" xr:uid="{00000000-0005-0000-0000-0000DA660000}"/>
    <cellStyle name="Normal 2 3 2 19 3 8" xfId="26361" xr:uid="{00000000-0005-0000-0000-0000DB660000}"/>
    <cellStyle name="Normal 2 3 2 19 3 9" xfId="26362" xr:uid="{00000000-0005-0000-0000-0000DC660000}"/>
    <cellStyle name="Normal 2 3 2 19 4" xfId="26363" xr:uid="{00000000-0005-0000-0000-0000DD660000}"/>
    <cellStyle name="Normal 2 3 2 19 4 10" xfId="26364" xr:uid="{00000000-0005-0000-0000-0000DE660000}"/>
    <cellStyle name="Normal 2 3 2 19 4 2" xfId="26365" xr:uid="{00000000-0005-0000-0000-0000DF660000}"/>
    <cellStyle name="Normal 2 3 2 19 4 3" xfId="26366" xr:uid="{00000000-0005-0000-0000-0000E0660000}"/>
    <cellStyle name="Normal 2 3 2 19 4 4" xfId="26367" xr:uid="{00000000-0005-0000-0000-0000E1660000}"/>
    <cellStyle name="Normal 2 3 2 19 4 5" xfId="26368" xr:uid="{00000000-0005-0000-0000-0000E2660000}"/>
    <cellStyle name="Normal 2 3 2 19 4 6" xfId="26369" xr:uid="{00000000-0005-0000-0000-0000E3660000}"/>
    <cellStyle name="Normal 2 3 2 19 4 7" xfId="26370" xr:uid="{00000000-0005-0000-0000-0000E4660000}"/>
    <cellStyle name="Normal 2 3 2 19 4 8" xfId="26371" xr:uid="{00000000-0005-0000-0000-0000E5660000}"/>
    <cellStyle name="Normal 2 3 2 19 4 9" xfId="26372" xr:uid="{00000000-0005-0000-0000-0000E6660000}"/>
    <cellStyle name="Normal 2 3 2 19 5" xfId="26373" xr:uid="{00000000-0005-0000-0000-0000E7660000}"/>
    <cellStyle name="Normal 2 3 2 19 5 10" xfId="26374" xr:uid="{00000000-0005-0000-0000-0000E8660000}"/>
    <cellStyle name="Normal 2 3 2 19 5 2" xfId="26375" xr:uid="{00000000-0005-0000-0000-0000E9660000}"/>
    <cellStyle name="Normal 2 3 2 19 5 3" xfId="26376" xr:uid="{00000000-0005-0000-0000-0000EA660000}"/>
    <cellStyle name="Normal 2 3 2 19 5 4" xfId="26377" xr:uid="{00000000-0005-0000-0000-0000EB660000}"/>
    <cellStyle name="Normal 2 3 2 19 5 5" xfId="26378" xr:uid="{00000000-0005-0000-0000-0000EC660000}"/>
    <cellStyle name="Normal 2 3 2 19 5 6" xfId="26379" xr:uid="{00000000-0005-0000-0000-0000ED660000}"/>
    <cellStyle name="Normal 2 3 2 19 5 7" xfId="26380" xr:uid="{00000000-0005-0000-0000-0000EE660000}"/>
    <cellStyle name="Normal 2 3 2 19 5 8" xfId="26381" xr:uid="{00000000-0005-0000-0000-0000EF660000}"/>
    <cellStyle name="Normal 2 3 2 19 5 9" xfId="26382" xr:uid="{00000000-0005-0000-0000-0000F0660000}"/>
    <cellStyle name="Normal 2 3 2 19 6" xfId="26383" xr:uid="{00000000-0005-0000-0000-0000F1660000}"/>
    <cellStyle name="Normal 2 3 2 19 7" xfId="26384" xr:uid="{00000000-0005-0000-0000-0000F2660000}"/>
    <cellStyle name="Normal 2 3 2 19 8" xfId="26385" xr:uid="{00000000-0005-0000-0000-0000F3660000}"/>
    <cellStyle name="Normal 2 3 2 19 9" xfId="26386" xr:uid="{00000000-0005-0000-0000-0000F4660000}"/>
    <cellStyle name="Normal 2 3 2 2" xfId="26387" xr:uid="{00000000-0005-0000-0000-0000F5660000}"/>
    <cellStyle name="Normal 2 3 2 2 10" xfId="26388" xr:uid="{00000000-0005-0000-0000-0000F6660000}"/>
    <cellStyle name="Normal 2 3 2 2 11" xfId="26389" xr:uid="{00000000-0005-0000-0000-0000F7660000}"/>
    <cellStyle name="Normal 2 3 2 2 12" xfId="26390" xr:uid="{00000000-0005-0000-0000-0000F8660000}"/>
    <cellStyle name="Normal 2 3 2 2 13" xfId="26391" xr:uid="{00000000-0005-0000-0000-0000F9660000}"/>
    <cellStyle name="Normal 2 3 2 2 14" xfId="26392" xr:uid="{00000000-0005-0000-0000-0000FA660000}"/>
    <cellStyle name="Normal 2 3 2 2 15" xfId="26393" xr:uid="{00000000-0005-0000-0000-0000FB660000}"/>
    <cellStyle name="Normal 2 3 2 2 16" xfId="26394" xr:uid="{00000000-0005-0000-0000-0000FC660000}"/>
    <cellStyle name="Normal 2 3 2 2 2" xfId="26395" xr:uid="{00000000-0005-0000-0000-0000FD660000}"/>
    <cellStyle name="Normal 2 3 2 2 2 10" xfId="26396" xr:uid="{00000000-0005-0000-0000-0000FE660000}"/>
    <cellStyle name="Normal 2 3 2 2 2 11" xfId="26397" xr:uid="{00000000-0005-0000-0000-0000FF660000}"/>
    <cellStyle name="Normal 2 3 2 2 2 12" xfId="26398" xr:uid="{00000000-0005-0000-0000-000000670000}"/>
    <cellStyle name="Normal 2 3 2 2 2 2" xfId="26399" xr:uid="{00000000-0005-0000-0000-000001670000}"/>
    <cellStyle name="Normal 2 3 2 2 2 3" xfId="26400" xr:uid="{00000000-0005-0000-0000-000002670000}"/>
    <cellStyle name="Normal 2 3 2 2 2 4" xfId="26401" xr:uid="{00000000-0005-0000-0000-000003670000}"/>
    <cellStyle name="Normal 2 3 2 2 2 5" xfId="26402" xr:uid="{00000000-0005-0000-0000-000004670000}"/>
    <cellStyle name="Normal 2 3 2 2 2 6" xfId="26403" xr:uid="{00000000-0005-0000-0000-000005670000}"/>
    <cellStyle name="Normal 2 3 2 2 2 7" xfId="26404" xr:uid="{00000000-0005-0000-0000-000006670000}"/>
    <cellStyle name="Normal 2 3 2 2 2 8" xfId="26405" xr:uid="{00000000-0005-0000-0000-000007670000}"/>
    <cellStyle name="Normal 2 3 2 2 2 9" xfId="26406" xr:uid="{00000000-0005-0000-0000-000008670000}"/>
    <cellStyle name="Normal 2 3 2 2 3" xfId="26407" xr:uid="{00000000-0005-0000-0000-000009670000}"/>
    <cellStyle name="Normal 2 3 2 2 3 10" xfId="26408" xr:uid="{00000000-0005-0000-0000-00000A670000}"/>
    <cellStyle name="Normal 2 3 2 2 3 2" xfId="26409" xr:uid="{00000000-0005-0000-0000-00000B670000}"/>
    <cellStyle name="Normal 2 3 2 2 3 3" xfId="26410" xr:uid="{00000000-0005-0000-0000-00000C670000}"/>
    <cellStyle name="Normal 2 3 2 2 3 4" xfId="26411" xr:uid="{00000000-0005-0000-0000-00000D670000}"/>
    <cellStyle name="Normal 2 3 2 2 3 5" xfId="26412" xr:uid="{00000000-0005-0000-0000-00000E670000}"/>
    <cellStyle name="Normal 2 3 2 2 3 6" xfId="26413" xr:uid="{00000000-0005-0000-0000-00000F670000}"/>
    <cellStyle name="Normal 2 3 2 2 3 7" xfId="26414" xr:uid="{00000000-0005-0000-0000-000010670000}"/>
    <cellStyle name="Normal 2 3 2 2 3 8" xfId="26415" xr:uid="{00000000-0005-0000-0000-000011670000}"/>
    <cellStyle name="Normal 2 3 2 2 3 9" xfId="26416" xr:uid="{00000000-0005-0000-0000-000012670000}"/>
    <cellStyle name="Normal 2 3 2 2 4" xfId="26417" xr:uid="{00000000-0005-0000-0000-000013670000}"/>
    <cellStyle name="Normal 2 3 2 2 4 10" xfId="26418" xr:uid="{00000000-0005-0000-0000-000014670000}"/>
    <cellStyle name="Normal 2 3 2 2 4 2" xfId="26419" xr:uid="{00000000-0005-0000-0000-000015670000}"/>
    <cellStyle name="Normal 2 3 2 2 4 3" xfId="26420" xr:uid="{00000000-0005-0000-0000-000016670000}"/>
    <cellStyle name="Normal 2 3 2 2 4 4" xfId="26421" xr:uid="{00000000-0005-0000-0000-000017670000}"/>
    <cellStyle name="Normal 2 3 2 2 4 5" xfId="26422" xr:uid="{00000000-0005-0000-0000-000018670000}"/>
    <cellStyle name="Normal 2 3 2 2 4 6" xfId="26423" xr:uid="{00000000-0005-0000-0000-000019670000}"/>
    <cellStyle name="Normal 2 3 2 2 4 7" xfId="26424" xr:uid="{00000000-0005-0000-0000-00001A670000}"/>
    <cellStyle name="Normal 2 3 2 2 4 8" xfId="26425" xr:uid="{00000000-0005-0000-0000-00001B670000}"/>
    <cellStyle name="Normal 2 3 2 2 4 9" xfId="26426" xr:uid="{00000000-0005-0000-0000-00001C670000}"/>
    <cellStyle name="Normal 2 3 2 2 5" xfId="26427" xr:uid="{00000000-0005-0000-0000-00001D670000}"/>
    <cellStyle name="Normal 2 3 2 2 5 10" xfId="26428" xr:uid="{00000000-0005-0000-0000-00001E670000}"/>
    <cellStyle name="Normal 2 3 2 2 5 2" xfId="26429" xr:uid="{00000000-0005-0000-0000-00001F670000}"/>
    <cellStyle name="Normal 2 3 2 2 5 3" xfId="26430" xr:uid="{00000000-0005-0000-0000-000020670000}"/>
    <cellStyle name="Normal 2 3 2 2 5 4" xfId="26431" xr:uid="{00000000-0005-0000-0000-000021670000}"/>
    <cellStyle name="Normal 2 3 2 2 5 5" xfId="26432" xr:uid="{00000000-0005-0000-0000-000022670000}"/>
    <cellStyle name="Normal 2 3 2 2 5 6" xfId="26433" xr:uid="{00000000-0005-0000-0000-000023670000}"/>
    <cellStyle name="Normal 2 3 2 2 5 7" xfId="26434" xr:uid="{00000000-0005-0000-0000-000024670000}"/>
    <cellStyle name="Normal 2 3 2 2 5 8" xfId="26435" xr:uid="{00000000-0005-0000-0000-000025670000}"/>
    <cellStyle name="Normal 2 3 2 2 5 9" xfId="26436" xr:uid="{00000000-0005-0000-0000-000026670000}"/>
    <cellStyle name="Normal 2 3 2 2 6" xfId="26437" xr:uid="{00000000-0005-0000-0000-000027670000}"/>
    <cellStyle name="Normal 2 3 2 2 7" xfId="26438" xr:uid="{00000000-0005-0000-0000-000028670000}"/>
    <cellStyle name="Normal 2 3 2 2 8" xfId="26439" xr:uid="{00000000-0005-0000-0000-000029670000}"/>
    <cellStyle name="Normal 2 3 2 2 9" xfId="26440" xr:uid="{00000000-0005-0000-0000-00002A670000}"/>
    <cellStyle name="Normal 2 3 2 20" xfId="26441" xr:uid="{00000000-0005-0000-0000-00002B670000}"/>
    <cellStyle name="Normal 2 3 2 20 10" xfId="26442" xr:uid="{00000000-0005-0000-0000-00002C670000}"/>
    <cellStyle name="Normal 2 3 2 20 11" xfId="26443" xr:uid="{00000000-0005-0000-0000-00002D670000}"/>
    <cellStyle name="Normal 2 3 2 20 12" xfId="26444" xr:uid="{00000000-0005-0000-0000-00002E670000}"/>
    <cellStyle name="Normal 2 3 2 20 13" xfId="26445" xr:uid="{00000000-0005-0000-0000-00002F670000}"/>
    <cellStyle name="Normal 2 3 2 20 14" xfId="26446" xr:uid="{00000000-0005-0000-0000-000030670000}"/>
    <cellStyle name="Normal 2 3 2 20 2" xfId="26447" xr:uid="{00000000-0005-0000-0000-000031670000}"/>
    <cellStyle name="Normal 2 3 2 20 2 10" xfId="26448" xr:uid="{00000000-0005-0000-0000-000032670000}"/>
    <cellStyle name="Normal 2 3 2 20 2 2" xfId="26449" xr:uid="{00000000-0005-0000-0000-000033670000}"/>
    <cellStyle name="Normal 2 3 2 20 2 3" xfId="26450" xr:uid="{00000000-0005-0000-0000-000034670000}"/>
    <cellStyle name="Normal 2 3 2 20 2 4" xfId="26451" xr:uid="{00000000-0005-0000-0000-000035670000}"/>
    <cellStyle name="Normal 2 3 2 20 2 5" xfId="26452" xr:uid="{00000000-0005-0000-0000-000036670000}"/>
    <cellStyle name="Normal 2 3 2 20 2 6" xfId="26453" xr:uid="{00000000-0005-0000-0000-000037670000}"/>
    <cellStyle name="Normal 2 3 2 20 2 7" xfId="26454" xr:uid="{00000000-0005-0000-0000-000038670000}"/>
    <cellStyle name="Normal 2 3 2 20 2 8" xfId="26455" xr:uid="{00000000-0005-0000-0000-000039670000}"/>
    <cellStyle name="Normal 2 3 2 20 2 9" xfId="26456" xr:uid="{00000000-0005-0000-0000-00003A670000}"/>
    <cellStyle name="Normal 2 3 2 20 3" xfId="26457" xr:uid="{00000000-0005-0000-0000-00003B670000}"/>
    <cellStyle name="Normal 2 3 2 20 3 10" xfId="26458" xr:uid="{00000000-0005-0000-0000-00003C670000}"/>
    <cellStyle name="Normal 2 3 2 20 3 2" xfId="26459" xr:uid="{00000000-0005-0000-0000-00003D670000}"/>
    <cellStyle name="Normal 2 3 2 20 3 3" xfId="26460" xr:uid="{00000000-0005-0000-0000-00003E670000}"/>
    <cellStyle name="Normal 2 3 2 20 3 4" xfId="26461" xr:uid="{00000000-0005-0000-0000-00003F670000}"/>
    <cellStyle name="Normal 2 3 2 20 3 5" xfId="26462" xr:uid="{00000000-0005-0000-0000-000040670000}"/>
    <cellStyle name="Normal 2 3 2 20 3 6" xfId="26463" xr:uid="{00000000-0005-0000-0000-000041670000}"/>
    <cellStyle name="Normal 2 3 2 20 3 7" xfId="26464" xr:uid="{00000000-0005-0000-0000-000042670000}"/>
    <cellStyle name="Normal 2 3 2 20 3 8" xfId="26465" xr:uid="{00000000-0005-0000-0000-000043670000}"/>
    <cellStyle name="Normal 2 3 2 20 3 9" xfId="26466" xr:uid="{00000000-0005-0000-0000-000044670000}"/>
    <cellStyle name="Normal 2 3 2 20 4" xfId="26467" xr:uid="{00000000-0005-0000-0000-000045670000}"/>
    <cellStyle name="Normal 2 3 2 20 4 10" xfId="26468" xr:uid="{00000000-0005-0000-0000-000046670000}"/>
    <cellStyle name="Normal 2 3 2 20 4 2" xfId="26469" xr:uid="{00000000-0005-0000-0000-000047670000}"/>
    <cellStyle name="Normal 2 3 2 20 4 3" xfId="26470" xr:uid="{00000000-0005-0000-0000-000048670000}"/>
    <cellStyle name="Normal 2 3 2 20 4 4" xfId="26471" xr:uid="{00000000-0005-0000-0000-000049670000}"/>
    <cellStyle name="Normal 2 3 2 20 4 5" xfId="26472" xr:uid="{00000000-0005-0000-0000-00004A670000}"/>
    <cellStyle name="Normal 2 3 2 20 4 6" xfId="26473" xr:uid="{00000000-0005-0000-0000-00004B670000}"/>
    <cellStyle name="Normal 2 3 2 20 4 7" xfId="26474" xr:uid="{00000000-0005-0000-0000-00004C670000}"/>
    <cellStyle name="Normal 2 3 2 20 4 8" xfId="26475" xr:uid="{00000000-0005-0000-0000-00004D670000}"/>
    <cellStyle name="Normal 2 3 2 20 4 9" xfId="26476" xr:uid="{00000000-0005-0000-0000-00004E670000}"/>
    <cellStyle name="Normal 2 3 2 20 5" xfId="26477" xr:uid="{00000000-0005-0000-0000-00004F670000}"/>
    <cellStyle name="Normal 2 3 2 20 5 10" xfId="26478" xr:uid="{00000000-0005-0000-0000-000050670000}"/>
    <cellStyle name="Normal 2 3 2 20 5 2" xfId="26479" xr:uid="{00000000-0005-0000-0000-000051670000}"/>
    <cellStyle name="Normal 2 3 2 20 5 3" xfId="26480" xr:uid="{00000000-0005-0000-0000-000052670000}"/>
    <cellStyle name="Normal 2 3 2 20 5 4" xfId="26481" xr:uid="{00000000-0005-0000-0000-000053670000}"/>
    <cellStyle name="Normal 2 3 2 20 5 5" xfId="26482" xr:uid="{00000000-0005-0000-0000-000054670000}"/>
    <cellStyle name="Normal 2 3 2 20 5 6" xfId="26483" xr:uid="{00000000-0005-0000-0000-000055670000}"/>
    <cellStyle name="Normal 2 3 2 20 5 7" xfId="26484" xr:uid="{00000000-0005-0000-0000-000056670000}"/>
    <cellStyle name="Normal 2 3 2 20 5 8" xfId="26485" xr:uid="{00000000-0005-0000-0000-000057670000}"/>
    <cellStyle name="Normal 2 3 2 20 5 9" xfId="26486" xr:uid="{00000000-0005-0000-0000-000058670000}"/>
    <cellStyle name="Normal 2 3 2 20 6" xfId="26487" xr:uid="{00000000-0005-0000-0000-000059670000}"/>
    <cellStyle name="Normal 2 3 2 20 7" xfId="26488" xr:uid="{00000000-0005-0000-0000-00005A670000}"/>
    <cellStyle name="Normal 2 3 2 20 8" xfId="26489" xr:uid="{00000000-0005-0000-0000-00005B670000}"/>
    <cellStyle name="Normal 2 3 2 20 9" xfId="26490" xr:uid="{00000000-0005-0000-0000-00005C670000}"/>
    <cellStyle name="Normal 2 3 2 21" xfId="26491" xr:uid="{00000000-0005-0000-0000-00005D670000}"/>
    <cellStyle name="Normal 2 3 2 21 10" xfId="26492" xr:uid="{00000000-0005-0000-0000-00005E670000}"/>
    <cellStyle name="Normal 2 3 2 21 11" xfId="26493" xr:uid="{00000000-0005-0000-0000-00005F670000}"/>
    <cellStyle name="Normal 2 3 2 21 12" xfId="26494" xr:uid="{00000000-0005-0000-0000-000060670000}"/>
    <cellStyle name="Normal 2 3 2 21 13" xfId="26495" xr:uid="{00000000-0005-0000-0000-000061670000}"/>
    <cellStyle name="Normal 2 3 2 21 14" xfId="26496" xr:uid="{00000000-0005-0000-0000-000062670000}"/>
    <cellStyle name="Normal 2 3 2 21 2" xfId="26497" xr:uid="{00000000-0005-0000-0000-000063670000}"/>
    <cellStyle name="Normal 2 3 2 21 2 10" xfId="26498" xr:uid="{00000000-0005-0000-0000-000064670000}"/>
    <cellStyle name="Normal 2 3 2 21 2 2" xfId="26499" xr:uid="{00000000-0005-0000-0000-000065670000}"/>
    <cellStyle name="Normal 2 3 2 21 2 3" xfId="26500" xr:uid="{00000000-0005-0000-0000-000066670000}"/>
    <cellStyle name="Normal 2 3 2 21 2 4" xfId="26501" xr:uid="{00000000-0005-0000-0000-000067670000}"/>
    <cellStyle name="Normal 2 3 2 21 2 5" xfId="26502" xr:uid="{00000000-0005-0000-0000-000068670000}"/>
    <cellStyle name="Normal 2 3 2 21 2 6" xfId="26503" xr:uid="{00000000-0005-0000-0000-000069670000}"/>
    <cellStyle name="Normal 2 3 2 21 2 7" xfId="26504" xr:uid="{00000000-0005-0000-0000-00006A670000}"/>
    <cellStyle name="Normal 2 3 2 21 2 8" xfId="26505" xr:uid="{00000000-0005-0000-0000-00006B670000}"/>
    <cellStyle name="Normal 2 3 2 21 2 9" xfId="26506" xr:uid="{00000000-0005-0000-0000-00006C670000}"/>
    <cellStyle name="Normal 2 3 2 21 3" xfId="26507" xr:uid="{00000000-0005-0000-0000-00006D670000}"/>
    <cellStyle name="Normal 2 3 2 21 3 10" xfId="26508" xr:uid="{00000000-0005-0000-0000-00006E670000}"/>
    <cellStyle name="Normal 2 3 2 21 3 2" xfId="26509" xr:uid="{00000000-0005-0000-0000-00006F670000}"/>
    <cellStyle name="Normal 2 3 2 21 3 3" xfId="26510" xr:uid="{00000000-0005-0000-0000-000070670000}"/>
    <cellStyle name="Normal 2 3 2 21 3 4" xfId="26511" xr:uid="{00000000-0005-0000-0000-000071670000}"/>
    <cellStyle name="Normal 2 3 2 21 3 5" xfId="26512" xr:uid="{00000000-0005-0000-0000-000072670000}"/>
    <cellStyle name="Normal 2 3 2 21 3 6" xfId="26513" xr:uid="{00000000-0005-0000-0000-000073670000}"/>
    <cellStyle name="Normal 2 3 2 21 3 7" xfId="26514" xr:uid="{00000000-0005-0000-0000-000074670000}"/>
    <cellStyle name="Normal 2 3 2 21 3 8" xfId="26515" xr:uid="{00000000-0005-0000-0000-000075670000}"/>
    <cellStyle name="Normal 2 3 2 21 3 9" xfId="26516" xr:uid="{00000000-0005-0000-0000-000076670000}"/>
    <cellStyle name="Normal 2 3 2 21 4" xfId="26517" xr:uid="{00000000-0005-0000-0000-000077670000}"/>
    <cellStyle name="Normal 2 3 2 21 4 10" xfId="26518" xr:uid="{00000000-0005-0000-0000-000078670000}"/>
    <cellStyle name="Normal 2 3 2 21 4 2" xfId="26519" xr:uid="{00000000-0005-0000-0000-000079670000}"/>
    <cellStyle name="Normal 2 3 2 21 4 3" xfId="26520" xr:uid="{00000000-0005-0000-0000-00007A670000}"/>
    <cellStyle name="Normal 2 3 2 21 4 4" xfId="26521" xr:uid="{00000000-0005-0000-0000-00007B670000}"/>
    <cellStyle name="Normal 2 3 2 21 4 5" xfId="26522" xr:uid="{00000000-0005-0000-0000-00007C670000}"/>
    <cellStyle name="Normal 2 3 2 21 4 6" xfId="26523" xr:uid="{00000000-0005-0000-0000-00007D670000}"/>
    <cellStyle name="Normal 2 3 2 21 4 7" xfId="26524" xr:uid="{00000000-0005-0000-0000-00007E670000}"/>
    <cellStyle name="Normal 2 3 2 21 4 8" xfId="26525" xr:uid="{00000000-0005-0000-0000-00007F670000}"/>
    <cellStyle name="Normal 2 3 2 21 4 9" xfId="26526" xr:uid="{00000000-0005-0000-0000-000080670000}"/>
    <cellStyle name="Normal 2 3 2 21 5" xfId="26527" xr:uid="{00000000-0005-0000-0000-000081670000}"/>
    <cellStyle name="Normal 2 3 2 21 5 10" xfId="26528" xr:uid="{00000000-0005-0000-0000-000082670000}"/>
    <cellStyle name="Normal 2 3 2 21 5 2" xfId="26529" xr:uid="{00000000-0005-0000-0000-000083670000}"/>
    <cellStyle name="Normal 2 3 2 21 5 3" xfId="26530" xr:uid="{00000000-0005-0000-0000-000084670000}"/>
    <cellStyle name="Normal 2 3 2 21 5 4" xfId="26531" xr:uid="{00000000-0005-0000-0000-000085670000}"/>
    <cellStyle name="Normal 2 3 2 21 5 5" xfId="26532" xr:uid="{00000000-0005-0000-0000-000086670000}"/>
    <cellStyle name="Normal 2 3 2 21 5 6" xfId="26533" xr:uid="{00000000-0005-0000-0000-000087670000}"/>
    <cellStyle name="Normal 2 3 2 21 5 7" xfId="26534" xr:uid="{00000000-0005-0000-0000-000088670000}"/>
    <cellStyle name="Normal 2 3 2 21 5 8" xfId="26535" xr:uid="{00000000-0005-0000-0000-000089670000}"/>
    <cellStyle name="Normal 2 3 2 21 5 9" xfId="26536" xr:uid="{00000000-0005-0000-0000-00008A670000}"/>
    <cellStyle name="Normal 2 3 2 21 6" xfId="26537" xr:uid="{00000000-0005-0000-0000-00008B670000}"/>
    <cellStyle name="Normal 2 3 2 21 7" xfId="26538" xr:uid="{00000000-0005-0000-0000-00008C670000}"/>
    <cellStyle name="Normal 2 3 2 21 8" xfId="26539" xr:uid="{00000000-0005-0000-0000-00008D670000}"/>
    <cellStyle name="Normal 2 3 2 21 9" xfId="26540" xr:uid="{00000000-0005-0000-0000-00008E670000}"/>
    <cellStyle name="Normal 2 3 2 22" xfId="26541" xr:uid="{00000000-0005-0000-0000-00008F670000}"/>
    <cellStyle name="Normal 2 3 2 22 10" xfId="26542" xr:uid="{00000000-0005-0000-0000-000090670000}"/>
    <cellStyle name="Normal 2 3 2 22 11" xfId="26543" xr:uid="{00000000-0005-0000-0000-000091670000}"/>
    <cellStyle name="Normal 2 3 2 22 12" xfId="26544" xr:uid="{00000000-0005-0000-0000-000092670000}"/>
    <cellStyle name="Normal 2 3 2 22 13" xfId="26545" xr:uid="{00000000-0005-0000-0000-000093670000}"/>
    <cellStyle name="Normal 2 3 2 22 14" xfId="26546" xr:uid="{00000000-0005-0000-0000-000094670000}"/>
    <cellStyle name="Normal 2 3 2 22 2" xfId="26547" xr:uid="{00000000-0005-0000-0000-000095670000}"/>
    <cellStyle name="Normal 2 3 2 22 2 10" xfId="26548" xr:uid="{00000000-0005-0000-0000-000096670000}"/>
    <cellStyle name="Normal 2 3 2 22 2 2" xfId="26549" xr:uid="{00000000-0005-0000-0000-000097670000}"/>
    <cellStyle name="Normal 2 3 2 22 2 3" xfId="26550" xr:uid="{00000000-0005-0000-0000-000098670000}"/>
    <cellStyle name="Normal 2 3 2 22 2 4" xfId="26551" xr:uid="{00000000-0005-0000-0000-000099670000}"/>
    <cellStyle name="Normal 2 3 2 22 2 5" xfId="26552" xr:uid="{00000000-0005-0000-0000-00009A670000}"/>
    <cellStyle name="Normal 2 3 2 22 2 6" xfId="26553" xr:uid="{00000000-0005-0000-0000-00009B670000}"/>
    <cellStyle name="Normal 2 3 2 22 2 7" xfId="26554" xr:uid="{00000000-0005-0000-0000-00009C670000}"/>
    <cellStyle name="Normal 2 3 2 22 2 8" xfId="26555" xr:uid="{00000000-0005-0000-0000-00009D670000}"/>
    <cellStyle name="Normal 2 3 2 22 2 9" xfId="26556" xr:uid="{00000000-0005-0000-0000-00009E670000}"/>
    <cellStyle name="Normal 2 3 2 22 3" xfId="26557" xr:uid="{00000000-0005-0000-0000-00009F670000}"/>
    <cellStyle name="Normal 2 3 2 22 3 10" xfId="26558" xr:uid="{00000000-0005-0000-0000-0000A0670000}"/>
    <cellStyle name="Normal 2 3 2 22 3 2" xfId="26559" xr:uid="{00000000-0005-0000-0000-0000A1670000}"/>
    <cellStyle name="Normal 2 3 2 22 3 3" xfId="26560" xr:uid="{00000000-0005-0000-0000-0000A2670000}"/>
    <cellStyle name="Normal 2 3 2 22 3 4" xfId="26561" xr:uid="{00000000-0005-0000-0000-0000A3670000}"/>
    <cellStyle name="Normal 2 3 2 22 3 5" xfId="26562" xr:uid="{00000000-0005-0000-0000-0000A4670000}"/>
    <cellStyle name="Normal 2 3 2 22 3 6" xfId="26563" xr:uid="{00000000-0005-0000-0000-0000A5670000}"/>
    <cellStyle name="Normal 2 3 2 22 3 7" xfId="26564" xr:uid="{00000000-0005-0000-0000-0000A6670000}"/>
    <cellStyle name="Normal 2 3 2 22 3 8" xfId="26565" xr:uid="{00000000-0005-0000-0000-0000A7670000}"/>
    <cellStyle name="Normal 2 3 2 22 3 9" xfId="26566" xr:uid="{00000000-0005-0000-0000-0000A8670000}"/>
    <cellStyle name="Normal 2 3 2 22 4" xfId="26567" xr:uid="{00000000-0005-0000-0000-0000A9670000}"/>
    <cellStyle name="Normal 2 3 2 22 4 10" xfId="26568" xr:uid="{00000000-0005-0000-0000-0000AA670000}"/>
    <cellStyle name="Normal 2 3 2 22 4 2" xfId="26569" xr:uid="{00000000-0005-0000-0000-0000AB670000}"/>
    <cellStyle name="Normal 2 3 2 22 4 3" xfId="26570" xr:uid="{00000000-0005-0000-0000-0000AC670000}"/>
    <cellStyle name="Normal 2 3 2 22 4 4" xfId="26571" xr:uid="{00000000-0005-0000-0000-0000AD670000}"/>
    <cellStyle name="Normal 2 3 2 22 4 5" xfId="26572" xr:uid="{00000000-0005-0000-0000-0000AE670000}"/>
    <cellStyle name="Normal 2 3 2 22 4 6" xfId="26573" xr:uid="{00000000-0005-0000-0000-0000AF670000}"/>
    <cellStyle name="Normal 2 3 2 22 4 7" xfId="26574" xr:uid="{00000000-0005-0000-0000-0000B0670000}"/>
    <cellStyle name="Normal 2 3 2 22 4 8" xfId="26575" xr:uid="{00000000-0005-0000-0000-0000B1670000}"/>
    <cellStyle name="Normal 2 3 2 22 4 9" xfId="26576" xr:uid="{00000000-0005-0000-0000-0000B2670000}"/>
    <cellStyle name="Normal 2 3 2 22 5" xfId="26577" xr:uid="{00000000-0005-0000-0000-0000B3670000}"/>
    <cellStyle name="Normal 2 3 2 22 5 10" xfId="26578" xr:uid="{00000000-0005-0000-0000-0000B4670000}"/>
    <cellStyle name="Normal 2 3 2 22 5 2" xfId="26579" xr:uid="{00000000-0005-0000-0000-0000B5670000}"/>
    <cellStyle name="Normal 2 3 2 22 5 3" xfId="26580" xr:uid="{00000000-0005-0000-0000-0000B6670000}"/>
    <cellStyle name="Normal 2 3 2 22 5 4" xfId="26581" xr:uid="{00000000-0005-0000-0000-0000B7670000}"/>
    <cellStyle name="Normal 2 3 2 22 5 5" xfId="26582" xr:uid="{00000000-0005-0000-0000-0000B8670000}"/>
    <cellStyle name="Normal 2 3 2 22 5 6" xfId="26583" xr:uid="{00000000-0005-0000-0000-0000B9670000}"/>
    <cellStyle name="Normal 2 3 2 22 5 7" xfId="26584" xr:uid="{00000000-0005-0000-0000-0000BA670000}"/>
    <cellStyle name="Normal 2 3 2 22 5 8" xfId="26585" xr:uid="{00000000-0005-0000-0000-0000BB670000}"/>
    <cellStyle name="Normal 2 3 2 22 5 9" xfId="26586" xr:uid="{00000000-0005-0000-0000-0000BC670000}"/>
    <cellStyle name="Normal 2 3 2 22 6" xfId="26587" xr:uid="{00000000-0005-0000-0000-0000BD670000}"/>
    <cellStyle name="Normal 2 3 2 22 7" xfId="26588" xr:uid="{00000000-0005-0000-0000-0000BE670000}"/>
    <cellStyle name="Normal 2 3 2 22 8" xfId="26589" xr:uid="{00000000-0005-0000-0000-0000BF670000}"/>
    <cellStyle name="Normal 2 3 2 22 9" xfId="26590" xr:uid="{00000000-0005-0000-0000-0000C0670000}"/>
    <cellStyle name="Normal 2 3 2 23" xfId="26591" xr:uid="{00000000-0005-0000-0000-0000C1670000}"/>
    <cellStyle name="Normal 2 3 2 23 10" xfId="26592" xr:uid="{00000000-0005-0000-0000-0000C2670000}"/>
    <cellStyle name="Normal 2 3 2 23 11" xfId="26593" xr:uid="{00000000-0005-0000-0000-0000C3670000}"/>
    <cellStyle name="Normal 2 3 2 23 12" xfId="26594" xr:uid="{00000000-0005-0000-0000-0000C4670000}"/>
    <cellStyle name="Normal 2 3 2 23 13" xfId="26595" xr:uid="{00000000-0005-0000-0000-0000C5670000}"/>
    <cellStyle name="Normal 2 3 2 23 14" xfId="26596" xr:uid="{00000000-0005-0000-0000-0000C6670000}"/>
    <cellStyle name="Normal 2 3 2 23 2" xfId="26597" xr:uid="{00000000-0005-0000-0000-0000C7670000}"/>
    <cellStyle name="Normal 2 3 2 23 2 10" xfId="26598" xr:uid="{00000000-0005-0000-0000-0000C8670000}"/>
    <cellStyle name="Normal 2 3 2 23 2 2" xfId="26599" xr:uid="{00000000-0005-0000-0000-0000C9670000}"/>
    <cellStyle name="Normal 2 3 2 23 2 3" xfId="26600" xr:uid="{00000000-0005-0000-0000-0000CA670000}"/>
    <cellStyle name="Normal 2 3 2 23 2 4" xfId="26601" xr:uid="{00000000-0005-0000-0000-0000CB670000}"/>
    <cellStyle name="Normal 2 3 2 23 2 5" xfId="26602" xr:uid="{00000000-0005-0000-0000-0000CC670000}"/>
    <cellStyle name="Normal 2 3 2 23 2 6" xfId="26603" xr:uid="{00000000-0005-0000-0000-0000CD670000}"/>
    <cellStyle name="Normal 2 3 2 23 2 7" xfId="26604" xr:uid="{00000000-0005-0000-0000-0000CE670000}"/>
    <cellStyle name="Normal 2 3 2 23 2 8" xfId="26605" xr:uid="{00000000-0005-0000-0000-0000CF670000}"/>
    <cellStyle name="Normal 2 3 2 23 2 9" xfId="26606" xr:uid="{00000000-0005-0000-0000-0000D0670000}"/>
    <cellStyle name="Normal 2 3 2 23 3" xfId="26607" xr:uid="{00000000-0005-0000-0000-0000D1670000}"/>
    <cellStyle name="Normal 2 3 2 23 3 10" xfId="26608" xr:uid="{00000000-0005-0000-0000-0000D2670000}"/>
    <cellStyle name="Normal 2 3 2 23 3 2" xfId="26609" xr:uid="{00000000-0005-0000-0000-0000D3670000}"/>
    <cellStyle name="Normal 2 3 2 23 3 3" xfId="26610" xr:uid="{00000000-0005-0000-0000-0000D4670000}"/>
    <cellStyle name="Normal 2 3 2 23 3 4" xfId="26611" xr:uid="{00000000-0005-0000-0000-0000D5670000}"/>
    <cellStyle name="Normal 2 3 2 23 3 5" xfId="26612" xr:uid="{00000000-0005-0000-0000-0000D6670000}"/>
    <cellStyle name="Normal 2 3 2 23 3 6" xfId="26613" xr:uid="{00000000-0005-0000-0000-0000D7670000}"/>
    <cellStyle name="Normal 2 3 2 23 3 7" xfId="26614" xr:uid="{00000000-0005-0000-0000-0000D8670000}"/>
    <cellStyle name="Normal 2 3 2 23 3 8" xfId="26615" xr:uid="{00000000-0005-0000-0000-0000D9670000}"/>
    <cellStyle name="Normal 2 3 2 23 3 9" xfId="26616" xr:uid="{00000000-0005-0000-0000-0000DA670000}"/>
    <cellStyle name="Normal 2 3 2 23 4" xfId="26617" xr:uid="{00000000-0005-0000-0000-0000DB670000}"/>
    <cellStyle name="Normal 2 3 2 23 4 10" xfId="26618" xr:uid="{00000000-0005-0000-0000-0000DC670000}"/>
    <cellStyle name="Normal 2 3 2 23 4 2" xfId="26619" xr:uid="{00000000-0005-0000-0000-0000DD670000}"/>
    <cellStyle name="Normal 2 3 2 23 4 3" xfId="26620" xr:uid="{00000000-0005-0000-0000-0000DE670000}"/>
    <cellStyle name="Normal 2 3 2 23 4 4" xfId="26621" xr:uid="{00000000-0005-0000-0000-0000DF670000}"/>
    <cellStyle name="Normal 2 3 2 23 4 5" xfId="26622" xr:uid="{00000000-0005-0000-0000-0000E0670000}"/>
    <cellStyle name="Normal 2 3 2 23 4 6" xfId="26623" xr:uid="{00000000-0005-0000-0000-0000E1670000}"/>
    <cellStyle name="Normal 2 3 2 23 4 7" xfId="26624" xr:uid="{00000000-0005-0000-0000-0000E2670000}"/>
    <cellStyle name="Normal 2 3 2 23 4 8" xfId="26625" xr:uid="{00000000-0005-0000-0000-0000E3670000}"/>
    <cellStyle name="Normal 2 3 2 23 4 9" xfId="26626" xr:uid="{00000000-0005-0000-0000-0000E4670000}"/>
    <cellStyle name="Normal 2 3 2 23 5" xfId="26627" xr:uid="{00000000-0005-0000-0000-0000E5670000}"/>
    <cellStyle name="Normal 2 3 2 23 5 10" xfId="26628" xr:uid="{00000000-0005-0000-0000-0000E6670000}"/>
    <cellStyle name="Normal 2 3 2 23 5 2" xfId="26629" xr:uid="{00000000-0005-0000-0000-0000E7670000}"/>
    <cellStyle name="Normal 2 3 2 23 5 3" xfId="26630" xr:uid="{00000000-0005-0000-0000-0000E8670000}"/>
    <cellStyle name="Normal 2 3 2 23 5 4" xfId="26631" xr:uid="{00000000-0005-0000-0000-0000E9670000}"/>
    <cellStyle name="Normal 2 3 2 23 5 5" xfId="26632" xr:uid="{00000000-0005-0000-0000-0000EA670000}"/>
    <cellStyle name="Normal 2 3 2 23 5 6" xfId="26633" xr:uid="{00000000-0005-0000-0000-0000EB670000}"/>
    <cellStyle name="Normal 2 3 2 23 5 7" xfId="26634" xr:uid="{00000000-0005-0000-0000-0000EC670000}"/>
    <cellStyle name="Normal 2 3 2 23 5 8" xfId="26635" xr:uid="{00000000-0005-0000-0000-0000ED670000}"/>
    <cellStyle name="Normal 2 3 2 23 5 9" xfId="26636" xr:uid="{00000000-0005-0000-0000-0000EE670000}"/>
    <cellStyle name="Normal 2 3 2 23 6" xfId="26637" xr:uid="{00000000-0005-0000-0000-0000EF670000}"/>
    <cellStyle name="Normal 2 3 2 23 7" xfId="26638" xr:uid="{00000000-0005-0000-0000-0000F0670000}"/>
    <cellStyle name="Normal 2 3 2 23 8" xfId="26639" xr:uid="{00000000-0005-0000-0000-0000F1670000}"/>
    <cellStyle name="Normal 2 3 2 23 9" xfId="26640" xr:uid="{00000000-0005-0000-0000-0000F2670000}"/>
    <cellStyle name="Normal 2 3 2 24" xfId="26641" xr:uid="{00000000-0005-0000-0000-0000F3670000}"/>
    <cellStyle name="Normal 2 3 2 24 10" xfId="26642" xr:uid="{00000000-0005-0000-0000-0000F4670000}"/>
    <cellStyle name="Normal 2 3 2 24 11" xfId="26643" xr:uid="{00000000-0005-0000-0000-0000F5670000}"/>
    <cellStyle name="Normal 2 3 2 24 12" xfId="26644" xr:uid="{00000000-0005-0000-0000-0000F6670000}"/>
    <cellStyle name="Normal 2 3 2 24 13" xfId="26645" xr:uid="{00000000-0005-0000-0000-0000F7670000}"/>
    <cellStyle name="Normal 2 3 2 24 14" xfId="26646" xr:uid="{00000000-0005-0000-0000-0000F8670000}"/>
    <cellStyle name="Normal 2 3 2 24 2" xfId="26647" xr:uid="{00000000-0005-0000-0000-0000F9670000}"/>
    <cellStyle name="Normal 2 3 2 24 2 10" xfId="26648" xr:uid="{00000000-0005-0000-0000-0000FA670000}"/>
    <cellStyle name="Normal 2 3 2 24 2 2" xfId="26649" xr:uid="{00000000-0005-0000-0000-0000FB670000}"/>
    <cellStyle name="Normal 2 3 2 24 2 3" xfId="26650" xr:uid="{00000000-0005-0000-0000-0000FC670000}"/>
    <cellStyle name="Normal 2 3 2 24 2 4" xfId="26651" xr:uid="{00000000-0005-0000-0000-0000FD670000}"/>
    <cellStyle name="Normal 2 3 2 24 2 5" xfId="26652" xr:uid="{00000000-0005-0000-0000-0000FE670000}"/>
    <cellStyle name="Normal 2 3 2 24 2 6" xfId="26653" xr:uid="{00000000-0005-0000-0000-0000FF670000}"/>
    <cellStyle name="Normal 2 3 2 24 2 7" xfId="26654" xr:uid="{00000000-0005-0000-0000-000000680000}"/>
    <cellStyle name="Normal 2 3 2 24 2 8" xfId="26655" xr:uid="{00000000-0005-0000-0000-000001680000}"/>
    <cellStyle name="Normal 2 3 2 24 2 9" xfId="26656" xr:uid="{00000000-0005-0000-0000-000002680000}"/>
    <cellStyle name="Normal 2 3 2 24 3" xfId="26657" xr:uid="{00000000-0005-0000-0000-000003680000}"/>
    <cellStyle name="Normal 2 3 2 24 3 10" xfId="26658" xr:uid="{00000000-0005-0000-0000-000004680000}"/>
    <cellStyle name="Normal 2 3 2 24 3 2" xfId="26659" xr:uid="{00000000-0005-0000-0000-000005680000}"/>
    <cellStyle name="Normal 2 3 2 24 3 3" xfId="26660" xr:uid="{00000000-0005-0000-0000-000006680000}"/>
    <cellStyle name="Normal 2 3 2 24 3 4" xfId="26661" xr:uid="{00000000-0005-0000-0000-000007680000}"/>
    <cellStyle name="Normal 2 3 2 24 3 5" xfId="26662" xr:uid="{00000000-0005-0000-0000-000008680000}"/>
    <cellStyle name="Normal 2 3 2 24 3 6" xfId="26663" xr:uid="{00000000-0005-0000-0000-000009680000}"/>
    <cellStyle name="Normal 2 3 2 24 3 7" xfId="26664" xr:uid="{00000000-0005-0000-0000-00000A680000}"/>
    <cellStyle name="Normal 2 3 2 24 3 8" xfId="26665" xr:uid="{00000000-0005-0000-0000-00000B680000}"/>
    <cellStyle name="Normal 2 3 2 24 3 9" xfId="26666" xr:uid="{00000000-0005-0000-0000-00000C680000}"/>
    <cellStyle name="Normal 2 3 2 24 4" xfId="26667" xr:uid="{00000000-0005-0000-0000-00000D680000}"/>
    <cellStyle name="Normal 2 3 2 24 4 10" xfId="26668" xr:uid="{00000000-0005-0000-0000-00000E680000}"/>
    <cellStyle name="Normal 2 3 2 24 4 2" xfId="26669" xr:uid="{00000000-0005-0000-0000-00000F680000}"/>
    <cellStyle name="Normal 2 3 2 24 4 3" xfId="26670" xr:uid="{00000000-0005-0000-0000-000010680000}"/>
    <cellStyle name="Normal 2 3 2 24 4 4" xfId="26671" xr:uid="{00000000-0005-0000-0000-000011680000}"/>
    <cellStyle name="Normal 2 3 2 24 4 5" xfId="26672" xr:uid="{00000000-0005-0000-0000-000012680000}"/>
    <cellStyle name="Normal 2 3 2 24 4 6" xfId="26673" xr:uid="{00000000-0005-0000-0000-000013680000}"/>
    <cellStyle name="Normal 2 3 2 24 4 7" xfId="26674" xr:uid="{00000000-0005-0000-0000-000014680000}"/>
    <cellStyle name="Normal 2 3 2 24 4 8" xfId="26675" xr:uid="{00000000-0005-0000-0000-000015680000}"/>
    <cellStyle name="Normal 2 3 2 24 4 9" xfId="26676" xr:uid="{00000000-0005-0000-0000-000016680000}"/>
    <cellStyle name="Normal 2 3 2 24 5" xfId="26677" xr:uid="{00000000-0005-0000-0000-000017680000}"/>
    <cellStyle name="Normal 2 3 2 24 5 10" xfId="26678" xr:uid="{00000000-0005-0000-0000-000018680000}"/>
    <cellStyle name="Normal 2 3 2 24 5 2" xfId="26679" xr:uid="{00000000-0005-0000-0000-000019680000}"/>
    <cellStyle name="Normal 2 3 2 24 5 3" xfId="26680" xr:uid="{00000000-0005-0000-0000-00001A680000}"/>
    <cellStyle name="Normal 2 3 2 24 5 4" xfId="26681" xr:uid="{00000000-0005-0000-0000-00001B680000}"/>
    <cellStyle name="Normal 2 3 2 24 5 5" xfId="26682" xr:uid="{00000000-0005-0000-0000-00001C680000}"/>
    <cellStyle name="Normal 2 3 2 24 5 6" xfId="26683" xr:uid="{00000000-0005-0000-0000-00001D680000}"/>
    <cellStyle name="Normal 2 3 2 24 5 7" xfId="26684" xr:uid="{00000000-0005-0000-0000-00001E680000}"/>
    <cellStyle name="Normal 2 3 2 24 5 8" xfId="26685" xr:uid="{00000000-0005-0000-0000-00001F680000}"/>
    <cellStyle name="Normal 2 3 2 24 5 9" xfId="26686" xr:uid="{00000000-0005-0000-0000-000020680000}"/>
    <cellStyle name="Normal 2 3 2 24 6" xfId="26687" xr:uid="{00000000-0005-0000-0000-000021680000}"/>
    <cellStyle name="Normal 2 3 2 24 7" xfId="26688" xr:uid="{00000000-0005-0000-0000-000022680000}"/>
    <cellStyle name="Normal 2 3 2 24 8" xfId="26689" xr:uid="{00000000-0005-0000-0000-000023680000}"/>
    <cellStyle name="Normal 2 3 2 24 9" xfId="26690" xr:uid="{00000000-0005-0000-0000-000024680000}"/>
    <cellStyle name="Normal 2 3 2 25" xfId="26691" xr:uid="{00000000-0005-0000-0000-000025680000}"/>
    <cellStyle name="Normal 2 3 2 25 10" xfId="26692" xr:uid="{00000000-0005-0000-0000-000026680000}"/>
    <cellStyle name="Normal 2 3 2 25 11" xfId="26693" xr:uid="{00000000-0005-0000-0000-000027680000}"/>
    <cellStyle name="Normal 2 3 2 25 12" xfId="26694" xr:uid="{00000000-0005-0000-0000-000028680000}"/>
    <cellStyle name="Normal 2 3 2 25 13" xfId="26695" xr:uid="{00000000-0005-0000-0000-000029680000}"/>
    <cellStyle name="Normal 2 3 2 25 14" xfId="26696" xr:uid="{00000000-0005-0000-0000-00002A680000}"/>
    <cellStyle name="Normal 2 3 2 25 2" xfId="26697" xr:uid="{00000000-0005-0000-0000-00002B680000}"/>
    <cellStyle name="Normal 2 3 2 25 2 10" xfId="26698" xr:uid="{00000000-0005-0000-0000-00002C680000}"/>
    <cellStyle name="Normal 2 3 2 25 2 2" xfId="26699" xr:uid="{00000000-0005-0000-0000-00002D680000}"/>
    <cellStyle name="Normal 2 3 2 25 2 3" xfId="26700" xr:uid="{00000000-0005-0000-0000-00002E680000}"/>
    <cellStyle name="Normal 2 3 2 25 2 4" xfId="26701" xr:uid="{00000000-0005-0000-0000-00002F680000}"/>
    <cellStyle name="Normal 2 3 2 25 2 5" xfId="26702" xr:uid="{00000000-0005-0000-0000-000030680000}"/>
    <cellStyle name="Normal 2 3 2 25 2 6" xfId="26703" xr:uid="{00000000-0005-0000-0000-000031680000}"/>
    <cellStyle name="Normal 2 3 2 25 2 7" xfId="26704" xr:uid="{00000000-0005-0000-0000-000032680000}"/>
    <cellStyle name="Normal 2 3 2 25 2 8" xfId="26705" xr:uid="{00000000-0005-0000-0000-000033680000}"/>
    <cellStyle name="Normal 2 3 2 25 2 9" xfId="26706" xr:uid="{00000000-0005-0000-0000-000034680000}"/>
    <cellStyle name="Normal 2 3 2 25 3" xfId="26707" xr:uid="{00000000-0005-0000-0000-000035680000}"/>
    <cellStyle name="Normal 2 3 2 25 3 10" xfId="26708" xr:uid="{00000000-0005-0000-0000-000036680000}"/>
    <cellStyle name="Normal 2 3 2 25 3 2" xfId="26709" xr:uid="{00000000-0005-0000-0000-000037680000}"/>
    <cellStyle name="Normal 2 3 2 25 3 3" xfId="26710" xr:uid="{00000000-0005-0000-0000-000038680000}"/>
    <cellStyle name="Normal 2 3 2 25 3 4" xfId="26711" xr:uid="{00000000-0005-0000-0000-000039680000}"/>
    <cellStyle name="Normal 2 3 2 25 3 5" xfId="26712" xr:uid="{00000000-0005-0000-0000-00003A680000}"/>
    <cellStyle name="Normal 2 3 2 25 3 6" xfId="26713" xr:uid="{00000000-0005-0000-0000-00003B680000}"/>
    <cellStyle name="Normal 2 3 2 25 3 7" xfId="26714" xr:uid="{00000000-0005-0000-0000-00003C680000}"/>
    <cellStyle name="Normal 2 3 2 25 3 8" xfId="26715" xr:uid="{00000000-0005-0000-0000-00003D680000}"/>
    <cellStyle name="Normal 2 3 2 25 3 9" xfId="26716" xr:uid="{00000000-0005-0000-0000-00003E680000}"/>
    <cellStyle name="Normal 2 3 2 25 4" xfId="26717" xr:uid="{00000000-0005-0000-0000-00003F680000}"/>
    <cellStyle name="Normal 2 3 2 25 4 10" xfId="26718" xr:uid="{00000000-0005-0000-0000-000040680000}"/>
    <cellStyle name="Normal 2 3 2 25 4 2" xfId="26719" xr:uid="{00000000-0005-0000-0000-000041680000}"/>
    <cellStyle name="Normal 2 3 2 25 4 3" xfId="26720" xr:uid="{00000000-0005-0000-0000-000042680000}"/>
    <cellStyle name="Normal 2 3 2 25 4 4" xfId="26721" xr:uid="{00000000-0005-0000-0000-000043680000}"/>
    <cellStyle name="Normal 2 3 2 25 4 5" xfId="26722" xr:uid="{00000000-0005-0000-0000-000044680000}"/>
    <cellStyle name="Normal 2 3 2 25 4 6" xfId="26723" xr:uid="{00000000-0005-0000-0000-000045680000}"/>
    <cellStyle name="Normal 2 3 2 25 4 7" xfId="26724" xr:uid="{00000000-0005-0000-0000-000046680000}"/>
    <cellStyle name="Normal 2 3 2 25 4 8" xfId="26725" xr:uid="{00000000-0005-0000-0000-000047680000}"/>
    <cellStyle name="Normal 2 3 2 25 4 9" xfId="26726" xr:uid="{00000000-0005-0000-0000-000048680000}"/>
    <cellStyle name="Normal 2 3 2 25 5" xfId="26727" xr:uid="{00000000-0005-0000-0000-000049680000}"/>
    <cellStyle name="Normal 2 3 2 25 5 10" xfId="26728" xr:uid="{00000000-0005-0000-0000-00004A680000}"/>
    <cellStyle name="Normal 2 3 2 25 5 2" xfId="26729" xr:uid="{00000000-0005-0000-0000-00004B680000}"/>
    <cellStyle name="Normal 2 3 2 25 5 3" xfId="26730" xr:uid="{00000000-0005-0000-0000-00004C680000}"/>
    <cellStyle name="Normal 2 3 2 25 5 4" xfId="26731" xr:uid="{00000000-0005-0000-0000-00004D680000}"/>
    <cellStyle name="Normal 2 3 2 25 5 5" xfId="26732" xr:uid="{00000000-0005-0000-0000-00004E680000}"/>
    <cellStyle name="Normal 2 3 2 25 5 6" xfId="26733" xr:uid="{00000000-0005-0000-0000-00004F680000}"/>
    <cellStyle name="Normal 2 3 2 25 5 7" xfId="26734" xr:uid="{00000000-0005-0000-0000-000050680000}"/>
    <cellStyle name="Normal 2 3 2 25 5 8" xfId="26735" xr:uid="{00000000-0005-0000-0000-000051680000}"/>
    <cellStyle name="Normal 2 3 2 25 5 9" xfId="26736" xr:uid="{00000000-0005-0000-0000-000052680000}"/>
    <cellStyle name="Normal 2 3 2 25 6" xfId="26737" xr:uid="{00000000-0005-0000-0000-000053680000}"/>
    <cellStyle name="Normal 2 3 2 25 7" xfId="26738" xr:uid="{00000000-0005-0000-0000-000054680000}"/>
    <cellStyle name="Normal 2 3 2 25 8" xfId="26739" xr:uid="{00000000-0005-0000-0000-000055680000}"/>
    <cellStyle name="Normal 2 3 2 25 9" xfId="26740" xr:uid="{00000000-0005-0000-0000-000056680000}"/>
    <cellStyle name="Normal 2 3 2 26" xfId="26741" xr:uid="{00000000-0005-0000-0000-000057680000}"/>
    <cellStyle name="Normal 2 3 2 26 10" xfId="26742" xr:uid="{00000000-0005-0000-0000-000058680000}"/>
    <cellStyle name="Normal 2 3 2 26 11" xfId="26743" xr:uid="{00000000-0005-0000-0000-000059680000}"/>
    <cellStyle name="Normal 2 3 2 26 12" xfId="26744" xr:uid="{00000000-0005-0000-0000-00005A680000}"/>
    <cellStyle name="Normal 2 3 2 26 13" xfId="26745" xr:uid="{00000000-0005-0000-0000-00005B680000}"/>
    <cellStyle name="Normal 2 3 2 26 14" xfId="26746" xr:uid="{00000000-0005-0000-0000-00005C680000}"/>
    <cellStyle name="Normal 2 3 2 26 2" xfId="26747" xr:uid="{00000000-0005-0000-0000-00005D680000}"/>
    <cellStyle name="Normal 2 3 2 26 2 10" xfId="26748" xr:uid="{00000000-0005-0000-0000-00005E680000}"/>
    <cellStyle name="Normal 2 3 2 26 2 2" xfId="26749" xr:uid="{00000000-0005-0000-0000-00005F680000}"/>
    <cellStyle name="Normal 2 3 2 26 2 3" xfId="26750" xr:uid="{00000000-0005-0000-0000-000060680000}"/>
    <cellStyle name="Normal 2 3 2 26 2 4" xfId="26751" xr:uid="{00000000-0005-0000-0000-000061680000}"/>
    <cellStyle name="Normal 2 3 2 26 2 5" xfId="26752" xr:uid="{00000000-0005-0000-0000-000062680000}"/>
    <cellStyle name="Normal 2 3 2 26 2 6" xfId="26753" xr:uid="{00000000-0005-0000-0000-000063680000}"/>
    <cellStyle name="Normal 2 3 2 26 2 7" xfId="26754" xr:uid="{00000000-0005-0000-0000-000064680000}"/>
    <cellStyle name="Normal 2 3 2 26 2 8" xfId="26755" xr:uid="{00000000-0005-0000-0000-000065680000}"/>
    <cellStyle name="Normal 2 3 2 26 2 9" xfId="26756" xr:uid="{00000000-0005-0000-0000-000066680000}"/>
    <cellStyle name="Normal 2 3 2 26 3" xfId="26757" xr:uid="{00000000-0005-0000-0000-000067680000}"/>
    <cellStyle name="Normal 2 3 2 26 3 10" xfId="26758" xr:uid="{00000000-0005-0000-0000-000068680000}"/>
    <cellStyle name="Normal 2 3 2 26 3 2" xfId="26759" xr:uid="{00000000-0005-0000-0000-000069680000}"/>
    <cellStyle name="Normal 2 3 2 26 3 3" xfId="26760" xr:uid="{00000000-0005-0000-0000-00006A680000}"/>
    <cellStyle name="Normal 2 3 2 26 3 4" xfId="26761" xr:uid="{00000000-0005-0000-0000-00006B680000}"/>
    <cellStyle name="Normal 2 3 2 26 3 5" xfId="26762" xr:uid="{00000000-0005-0000-0000-00006C680000}"/>
    <cellStyle name="Normal 2 3 2 26 3 6" xfId="26763" xr:uid="{00000000-0005-0000-0000-00006D680000}"/>
    <cellStyle name="Normal 2 3 2 26 3 7" xfId="26764" xr:uid="{00000000-0005-0000-0000-00006E680000}"/>
    <cellStyle name="Normal 2 3 2 26 3 8" xfId="26765" xr:uid="{00000000-0005-0000-0000-00006F680000}"/>
    <cellStyle name="Normal 2 3 2 26 3 9" xfId="26766" xr:uid="{00000000-0005-0000-0000-000070680000}"/>
    <cellStyle name="Normal 2 3 2 26 4" xfId="26767" xr:uid="{00000000-0005-0000-0000-000071680000}"/>
    <cellStyle name="Normal 2 3 2 26 4 10" xfId="26768" xr:uid="{00000000-0005-0000-0000-000072680000}"/>
    <cellStyle name="Normal 2 3 2 26 4 2" xfId="26769" xr:uid="{00000000-0005-0000-0000-000073680000}"/>
    <cellStyle name="Normal 2 3 2 26 4 3" xfId="26770" xr:uid="{00000000-0005-0000-0000-000074680000}"/>
    <cellStyle name="Normal 2 3 2 26 4 4" xfId="26771" xr:uid="{00000000-0005-0000-0000-000075680000}"/>
    <cellStyle name="Normal 2 3 2 26 4 5" xfId="26772" xr:uid="{00000000-0005-0000-0000-000076680000}"/>
    <cellStyle name="Normal 2 3 2 26 4 6" xfId="26773" xr:uid="{00000000-0005-0000-0000-000077680000}"/>
    <cellStyle name="Normal 2 3 2 26 4 7" xfId="26774" xr:uid="{00000000-0005-0000-0000-000078680000}"/>
    <cellStyle name="Normal 2 3 2 26 4 8" xfId="26775" xr:uid="{00000000-0005-0000-0000-000079680000}"/>
    <cellStyle name="Normal 2 3 2 26 4 9" xfId="26776" xr:uid="{00000000-0005-0000-0000-00007A680000}"/>
    <cellStyle name="Normal 2 3 2 26 5" xfId="26777" xr:uid="{00000000-0005-0000-0000-00007B680000}"/>
    <cellStyle name="Normal 2 3 2 26 5 10" xfId="26778" xr:uid="{00000000-0005-0000-0000-00007C680000}"/>
    <cellStyle name="Normal 2 3 2 26 5 2" xfId="26779" xr:uid="{00000000-0005-0000-0000-00007D680000}"/>
    <cellStyle name="Normal 2 3 2 26 5 3" xfId="26780" xr:uid="{00000000-0005-0000-0000-00007E680000}"/>
    <cellStyle name="Normal 2 3 2 26 5 4" xfId="26781" xr:uid="{00000000-0005-0000-0000-00007F680000}"/>
    <cellStyle name="Normal 2 3 2 26 5 5" xfId="26782" xr:uid="{00000000-0005-0000-0000-000080680000}"/>
    <cellStyle name="Normal 2 3 2 26 5 6" xfId="26783" xr:uid="{00000000-0005-0000-0000-000081680000}"/>
    <cellStyle name="Normal 2 3 2 26 5 7" xfId="26784" xr:uid="{00000000-0005-0000-0000-000082680000}"/>
    <cellStyle name="Normal 2 3 2 26 5 8" xfId="26785" xr:uid="{00000000-0005-0000-0000-000083680000}"/>
    <cellStyle name="Normal 2 3 2 26 5 9" xfId="26786" xr:uid="{00000000-0005-0000-0000-000084680000}"/>
    <cellStyle name="Normal 2 3 2 26 6" xfId="26787" xr:uid="{00000000-0005-0000-0000-000085680000}"/>
    <cellStyle name="Normal 2 3 2 26 7" xfId="26788" xr:uid="{00000000-0005-0000-0000-000086680000}"/>
    <cellStyle name="Normal 2 3 2 26 8" xfId="26789" xr:uid="{00000000-0005-0000-0000-000087680000}"/>
    <cellStyle name="Normal 2 3 2 26 9" xfId="26790" xr:uid="{00000000-0005-0000-0000-000088680000}"/>
    <cellStyle name="Normal 2 3 2 27" xfId="26791" xr:uid="{00000000-0005-0000-0000-000089680000}"/>
    <cellStyle name="Normal 2 3 2 27 10" xfId="26792" xr:uid="{00000000-0005-0000-0000-00008A680000}"/>
    <cellStyle name="Normal 2 3 2 27 11" xfId="26793" xr:uid="{00000000-0005-0000-0000-00008B680000}"/>
    <cellStyle name="Normal 2 3 2 27 12" xfId="26794" xr:uid="{00000000-0005-0000-0000-00008C680000}"/>
    <cellStyle name="Normal 2 3 2 27 13" xfId="26795" xr:uid="{00000000-0005-0000-0000-00008D680000}"/>
    <cellStyle name="Normal 2 3 2 27 14" xfId="26796" xr:uid="{00000000-0005-0000-0000-00008E680000}"/>
    <cellStyle name="Normal 2 3 2 27 2" xfId="26797" xr:uid="{00000000-0005-0000-0000-00008F680000}"/>
    <cellStyle name="Normal 2 3 2 27 2 10" xfId="26798" xr:uid="{00000000-0005-0000-0000-000090680000}"/>
    <cellStyle name="Normal 2 3 2 27 2 2" xfId="26799" xr:uid="{00000000-0005-0000-0000-000091680000}"/>
    <cellStyle name="Normal 2 3 2 27 2 3" xfId="26800" xr:uid="{00000000-0005-0000-0000-000092680000}"/>
    <cellStyle name="Normal 2 3 2 27 2 4" xfId="26801" xr:uid="{00000000-0005-0000-0000-000093680000}"/>
    <cellStyle name="Normal 2 3 2 27 2 5" xfId="26802" xr:uid="{00000000-0005-0000-0000-000094680000}"/>
    <cellStyle name="Normal 2 3 2 27 2 6" xfId="26803" xr:uid="{00000000-0005-0000-0000-000095680000}"/>
    <cellStyle name="Normal 2 3 2 27 2 7" xfId="26804" xr:uid="{00000000-0005-0000-0000-000096680000}"/>
    <cellStyle name="Normal 2 3 2 27 2 8" xfId="26805" xr:uid="{00000000-0005-0000-0000-000097680000}"/>
    <cellStyle name="Normal 2 3 2 27 2 9" xfId="26806" xr:uid="{00000000-0005-0000-0000-000098680000}"/>
    <cellStyle name="Normal 2 3 2 27 3" xfId="26807" xr:uid="{00000000-0005-0000-0000-000099680000}"/>
    <cellStyle name="Normal 2 3 2 27 3 10" xfId="26808" xr:uid="{00000000-0005-0000-0000-00009A680000}"/>
    <cellStyle name="Normal 2 3 2 27 3 2" xfId="26809" xr:uid="{00000000-0005-0000-0000-00009B680000}"/>
    <cellStyle name="Normal 2 3 2 27 3 3" xfId="26810" xr:uid="{00000000-0005-0000-0000-00009C680000}"/>
    <cellStyle name="Normal 2 3 2 27 3 4" xfId="26811" xr:uid="{00000000-0005-0000-0000-00009D680000}"/>
    <cellStyle name="Normal 2 3 2 27 3 5" xfId="26812" xr:uid="{00000000-0005-0000-0000-00009E680000}"/>
    <cellStyle name="Normal 2 3 2 27 3 6" xfId="26813" xr:uid="{00000000-0005-0000-0000-00009F680000}"/>
    <cellStyle name="Normal 2 3 2 27 3 7" xfId="26814" xr:uid="{00000000-0005-0000-0000-0000A0680000}"/>
    <cellStyle name="Normal 2 3 2 27 3 8" xfId="26815" xr:uid="{00000000-0005-0000-0000-0000A1680000}"/>
    <cellStyle name="Normal 2 3 2 27 3 9" xfId="26816" xr:uid="{00000000-0005-0000-0000-0000A2680000}"/>
    <cellStyle name="Normal 2 3 2 27 4" xfId="26817" xr:uid="{00000000-0005-0000-0000-0000A3680000}"/>
    <cellStyle name="Normal 2 3 2 27 4 10" xfId="26818" xr:uid="{00000000-0005-0000-0000-0000A4680000}"/>
    <cellStyle name="Normal 2 3 2 27 4 2" xfId="26819" xr:uid="{00000000-0005-0000-0000-0000A5680000}"/>
    <cellStyle name="Normal 2 3 2 27 4 3" xfId="26820" xr:uid="{00000000-0005-0000-0000-0000A6680000}"/>
    <cellStyle name="Normal 2 3 2 27 4 4" xfId="26821" xr:uid="{00000000-0005-0000-0000-0000A7680000}"/>
    <cellStyle name="Normal 2 3 2 27 4 5" xfId="26822" xr:uid="{00000000-0005-0000-0000-0000A8680000}"/>
    <cellStyle name="Normal 2 3 2 27 4 6" xfId="26823" xr:uid="{00000000-0005-0000-0000-0000A9680000}"/>
    <cellStyle name="Normal 2 3 2 27 4 7" xfId="26824" xr:uid="{00000000-0005-0000-0000-0000AA680000}"/>
    <cellStyle name="Normal 2 3 2 27 4 8" xfId="26825" xr:uid="{00000000-0005-0000-0000-0000AB680000}"/>
    <cellStyle name="Normal 2 3 2 27 4 9" xfId="26826" xr:uid="{00000000-0005-0000-0000-0000AC680000}"/>
    <cellStyle name="Normal 2 3 2 27 5" xfId="26827" xr:uid="{00000000-0005-0000-0000-0000AD680000}"/>
    <cellStyle name="Normal 2 3 2 27 5 10" xfId="26828" xr:uid="{00000000-0005-0000-0000-0000AE680000}"/>
    <cellStyle name="Normal 2 3 2 27 5 2" xfId="26829" xr:uid="{00000000-0005-0000-0000-0000AF680000}"/>
    <cellStyle name="Normal 2 3 2 27 5 3" xfId="26830" xr:uid="{00000000-0005-0000-0000-0000B0680000}"/>
    <cellStyle name="Normal 2 3 2 27 5 4" xfId="26831" xr:uid="{00000000-0005-0000-0000-0000B1680000}"/>
    <cellStyle name="Normal 2 3 2 27 5 5" xfId="26832" xr:uid="{00000000-0005-0000-0000-0000B2680000}"/>
    <cellStyle name="Normal 2 3 2 27 5 6" xfId="26833" xr:uid="{00000000-0005-0000-0000-0000B3680000}"/>
    <cellStyle name="Normal 2 3 2 27 5 7" xfId="26834" xr:uid="{00000000-0005-0000-0000-0000B4680000}"/>
    <cellStyle name="Normal 2 3 2 27 5 8" xfId="26835" xr:uid="{00000000-0005-0000-0000-0000B5680000}"/>
    <cellStyle name="Normal 2 3 2 27 5 9" xfId="26836" xr:uid="{00000000-0005-0000-0000-0000B6680000}"/>
    <cellStyle name="Normal 2 3 2 27 6" xfId="26837" xr:uid="{00000000-0005-0000-0000-0000B7680000}"/>
    <cellStyle name="Normal 2 3 2 27 7" xfId="26838" xr:uid="{00000000-0005-0000-0000-0000B8680000}"/>
    <cellStyle name="Normal 2 3 2 27 8" xfId="26839" xr:uid="{00000000-0005-0000-0000-0000B9680000}"/>
    <cellStyle name="Normal 2 3 2 27 9" xfId="26840" xr:uid="{00000000-0005-0000-0000-0000BA680000}"/>
    <cellStyle name="Normal 2 3 2 28" xfId="26841" xr:uid="{00000000-0005-0000-0000-0000BB680000}"/>
    <cellStyle name="Normal 2 3 2 28 10" xfId="26842" xr:uid="{00000000-0005-0000-0000-0000BC680000}"/>
    <cellStyle name="Normal 2 3 2 28 11" xfId="26843" xr:uid="{00000000-0005-0000-0000-0000BD680000}"/>
    <cellStyle name="Normal 2 3 2 28 12" xfId="26844" xr:uid="{00000000-0005-0000-0000-0000BE680000}"/>
    <cellStyle name="Normal 2 3 2 28 13" xfId="26845" xr:uid="{00000000-0005-0000-0000-0000BF680000}"/>
    <cellStyle name="Normal 2 3 2 28 14" xfId="26846" xr:uid="{00000000-0005-0000-0000-0000C0680000}"/>
    <cellStyle name="Normal 2 3 2 28 2" xfId="26847" xr:uid="{00000000-0005-0000-0000-0000C1680000}"/>
    <cellStyle name="Normal 2 3 2 28 2 10" xfId="26848" xr:uid="{00000000-0005-0000-0000-0000C2680000}"/>
    <cellStyle name="Normal 2 3 2 28 2 2" xfId="26849" xr:uid="{00000000-0005-0000-0000-0000C3680000}"/>
    <cellStyle name="Normal 2 3 2 28 2 3" xfId="26850" xr:uid="{00000000-0005-0000-0000-0000C4680000}"/>
    <cellStyle name="Normal 2 3 2 28 2 4" xfId="26851" xr:uid="{00000000-0005-0000-0000-0000C5680000}"/>
    <cellStyle name="Normal 2 3 2 28 2 5" xfId="26852" xr:uid="{00000000-0005-0000-0000-0000C6680000}"/>
    <cellStyle name="Normal 2 3 2 28 2 6" xfId="26853" xr:uid="{00000000-0005-0000-0000-0000C7680000}"/>
    <cellStyle name="Normal 2 3 2 28 2 7" xfId="26854" xr:uid="{00000000-0005-0000-0000-0000C8680000}"/>
    <cellStyle name="Normal 2 3 2 28 2 8" xfId="26855" xr:uid="{00000000-0005-0000-0000-0000C9680000}"/>
    <cellStyle name="Normal 2 3 2 28 2 9" xfId="26856" xr:uid="{00000000-0005-0000-0000-0000CA680000}"/>
    <cellStyle name="Normal 2 3 2 28 3" xfId="26857" xr:uid="{00000000-0005-0000-0000-0000CB680000}"/>
    <cellStyle name="Normal 2 3 2 28 3 10" xfId="26858" xr:uid="{00000000-0005-0000-0000-0000CC680000}"/>
    <cellStyle name="Normal 2 3 2 28 3 2" xfId="26859" xr:uid="{00000000-0005-0000-0000-0000CD680000}"/>
    <cellStyle name="Normal 2 3 2 28 3 3" xfId="26860" xr:uid="{00000000-0005-0000-0000-0000CE680000}"/>
    <cellStyle name="Normal 2 3 2 28 3 4" xfId="26861" xr:uid="{00000000-0005-0000-0000-0000CF680000}"/>
    <cellStyle name="Normal 2 3 2 28 3 5" xfId="26862" xr:uid="{00000000-0005-0000-0000-0000D0680000}"/>
    <cellStyle name="Normal 2 3 2 28 3 6" xfId="26863" xr:uid="{00000000-0005-0000-0000-0000D1680000}"/>
    <cellStyle name="Normal 2 3 2 28 3 7" xfId="26864" xr:uid="{00000000-0005-0000-0000-0000D2680000}"/>
    <cellStyle name="Normal 2 3 2 28 3 8" xfId="26865" xr:uid="{00000000-0005-0000-0000-0000D3680000}"/>
    <cellStyle name="Normal 2 3 2 28 3 9" xfId="26866" xr:uid="{00000000-0005-0000-0000-0000D4680000}"/>
    <cellStyle name="Normal 2 3 2 28 4" xfId="26867" xr:uid="{00000000-0005-0000-0000-0000D5680000}"/>
    <cellStyle name="Normal 2 3 2 28 4 10" xfId="26868" xr:uid="{00000000-0005-0000-0000-0000D6680000}"/>
    <cellStyle name="Normal 2 3 2 28 4 2" xfId="26869" xr:uid="{00000000-0005-0000-0000-0000D7680000}"/>
    <cellStyle name="Normal 2 3 2 28 4 3" xfId="26870" xr:uid="{00000000-0005-0000-0000-0000D8680000}"/>
    <cellStyle name="Normal 2 3 2 28 4 4" xfId="26871" xr:uid="{00000000-0005-0000-0000-0000D9680000}"/>
    <cellStyle name="Normal 2 3 2 28 4 5" xfId="26872" xr:uid="{00000000-0005-0000-0000-0000DA680000}"/>
    <cellStyle name="Normal 2 3 2 28 4 6" xfId="26873" xr:uid="{00000000-0005-0000-0000-0000DB680000}"/>
    <cellStyle name="Normal 2 3 2 28 4 7" xfId="26874" xr:uid="{00000000-0005-0000-0000-0000DC680000}"/>
    <cellStyle name="Normal 2 3 2 28 4 8" xfId="26875" xr:uid="{00000000-0005-0000-0000-0000DD680000}"/>
    <cellStyle name="Normal 2 3 2 28 4 9" xfId="26876" xr:uid="{00000000-0005-0000-0000-0000DE680000}"/>
    <cellStyle name="Normal 2 3 2 28 5" xfId="26877" xr:uid="{00000000-0005-0000-0000-0000DF680000}"/>
    <cellStyle name="Normal 2 3 2 28 5 10" xfId="26878" xr:uid="{00000000-0005-0000-0000-0000E0680000}"/>
    <cellStyle name="Normal 2 3 2 28 5 2" xfId="26879" xr:uid="{00000000-0005-0000-0000-0000E1680000}"/>
    <cellStyle name="Normal 2 3 2 28 5 3" xfId="26880" xr:uid="{00000000-0005-0000-0000-0000E2680000}"/>
    <cellStyle name="Normal 2 3 2 28 5 4" xfId="26881" xr:uid="{00000000-0005-0000-0000-0000E3680000}"/>
    <cellStyle name="Normal 2 3 2 28 5 5" xfId="26882" xr:uid="{00000000-0005-0000-0000-0000E4680000}"/>
    <cellStyle name="Normal 2 3 2 28 5 6" xfId="26883" xr:uid="{00000000-0005-0000-0000-0000E5680000}"/>
    <cellStyle name="Normal 2 3 2 28 5 7" xfId="26884" xr:uid="{00000000-0005-0000-0000-0000E6680000}"/>
    <cellStyle name="Normal 2 3 2 28 5 8" xfId="26885" xr:uid="{00000000-0005-0000-0000-0000E7680000}"/>
    <cellStyle name="Normal 2 3 2 28 5 9" xfId="26886" xr:uid="{00000000-0005-0000-0000-0000E8680000}"/>
    <cellStyle name="Normal 2 3 2 28 6" xfId="26887" xr:uid="{00000000-0005-0000-0000-0000E9680000}"/>
    <cellStyle name="Normal 2 3 2 28 7" xfId="26888" xr:uid="{00000000-0005-0000-0000-0000EA680000}"/>
    <cellStyle name="Normal 2 3 2 28 8" xfId="26889" xr:uid="{00000000-0005-0000-0000-0000EB680000}"/>
    <cellStyle name="Normal 2 3 2 28 9" xfId="26890" xr:uid="{00000000-0005-0000-0000-0000EC680000}"/>
    <cellStyle name="Normal 2 3 2 29" xfId="26891" xr:uid="{00000000-0005-0000-0000-0000ED680000}"/>
    <cellStyle name="Normal 2 3 2 29 10" xfId="26892" xr:uid="{00000000-0005-0000-0000-0000EE680000}"/>
    <cellStyle name="Normal 2 3 2 29 11" xfId="26893" xr:uid="{00000000-0005-0000-0000-0000EF680000}"/>
    <cellStyle name="Normal 2 3 2 29 12" xfId="26894" xr:uid="{00000000-0005-0000-0000-0000F0680000}"/>
    <cellStyle name="Normal 2 3 2 29 13" xfId="26895" xr:uid="{00000000-0005-0000-0000-0000F1680000}"/>
    <cellStyle name="Normal 2 3 2 29 14" xfId="26896" xr:uid="{00000000-0005-0000-0000-0000F2680000}"/>
    <cellStyle name="Normal 2 3 2 29 2" xfId="26897" xr:uid="{00000000-0005-0000-0000-0000F3680000}"/>
    <cellStyle name="Normal 2 3 2 29 2 10" xfId="26898" xr:uid="{00000000-0005-0000-0000-0000F4680000}"/>
    <cellStyle name="Normal 2 3 2 29 2 2" xfId="26899" xr:uid="{00000000-0005-0000-0000-0000F5680000}"/>
    <cellStyle name="Normal 2 3 2 29 2 3" xfId="26900" xr:uid="{00000000-0005-0000-0000-0000F6680000}"/>
    <cellStyle name="Normal 2 3 2 29 2 4" xfId="26901" xr:uid="{00000000-0005-0000-0000-0000F7680000}"/>
    <cellStyle name="Normal 2 3 2 29 2 5" xfId="26902" xr:uid="{00000000-0005-0000-0000-0000F8680000}"/>
    <cellStyle name="Normal 2 3 2 29 2 6" xfId="26903" xr:uid="{00000000-0005-0000-0000-0000F9680000}"/>
    <cellStyle name="Normal 2 3 2 29 2 7" xfId="26904" xr:uid="{00000000-0005-0000-0000-0000FA680000}"/>
    <cellStyle name="Normal 2 3 2 29 2 8" xfId="26905" xr:uid="{00000000-0005-0000-0000-0000FB680000}"/>
    <cellStyle name="Normal 2 3 2 29 2 9" xfId="26906" xr:uid="{00000000-0005-0000-0000-0000FC680000}"/>
    <cellStyle name="Normal 2 3 2 29 3" xfId="26907" xr:uid="{00000000-0005-0000-0000-0000FD680000}"/>
    <cellStyle name="Normal 2 3 2 29 3 10" xfId="26908" xr:uid="{00000000-0005-0000-0000-0000FE680000}"/>
    <cellStyle name="Normal 2 3 2 29 3 2" xfId="26909" xr:uid="{00000000-0005-0000-0000-0000FF680000}"/>
    <cellStyle name="Normal 2 3 2 29 3 3" xfId="26910" xr:uid="{00000000-0005-0000-0000-000000690000}"/>
    <cellStyle name="Normal 2 3 2 29 3 4" xfId="26911" xr:uid="{00000000-0005-0000-0000-000001690000}"/>
    <cellStyle name="Normal 2 3 2 29 3 5" xfId="26912" xr:uid="{00000000-0005-0000-0000-000002690000}"/>
    <cellStyle name="Normal 2 3 2 29 3 6" xfId="26913" xr:uid="{00000000-0005-0000-0000-000003690000}"/>
    <cellStyle name="Normal 2 3 2 29 3 7" xfId="26914" xr:uid="{00000000-0005-0000-0000-000004690000}"/>
    <cellStyle name="Normal 2 3 2 29 3 8" xfId="26915" xr:uid="{00000000-0005-0000-0000-000005690000}"/>
    <cellStyle name="Normal 2 3 2 29 3 9" xfId="26916" xr:uid="{00000000-0005-0000-0000-000006690000}"/>
    <cellStyle name="Normal 2 3 2 29 4" xfId="26917" xr:uid="{00000000-0005-0000-0000-000007690000}"/>
    <cellStyle name="Normal 2 3 2 29 4 10" xfId="26918" xr:uid="{00000000-0005-0000-0000-000008690000}"/>
    <cellStyle name="Normal 2 3 2 29 4 2" xfId="26919" xr:uid="{00000000-0005-0000-0000-000009690000}"/>
    <cellStyle name="Normal 2 3 2 29 4 3" xfId="26920" xr:uid="{00000000-0005-0000-0000-00000A690000}"/>
    <cellStyle name="Normal 2 3 2 29 4 4" xfId="26921" xr:uid="{00000000-0005-0000-0000-00000B690000}"/>
    <cellStyle name="Normal 2 3 2 29 4 5" xfId="26922" xr:uid="{00000000-0005-0000-0000-00000C690000}"/>
    <cellStyle name="Normal 2 3 2 29 4 6" xfId="26923" xr:uid="{00000000-0005-0000-0000-00000D690000}"/>
    <cellStyle name="Normal 2 3 2 29 4 7" xfId="26924" xr:uid="{00000000-0005-0000-0000-00000E690000}"/>
    <cellStyle name="Normal 2 3 2 29 4 8" xfId="26925" xr:uid="{00000000-0005-0000-0000-00000F690000}"/>
    <cellStyle name="Normal 2 3 2 29 4 9" xfId="26926" xr:uid="{00000000-0005-0000-0000-000010690000}"/>
    <cellStyle name="Normal 2 3 2 29 5" xfId="26927" xr:uid="{00000000-0005-0000-0000-000011690000}"/>
    <cellStyle name="Normal 2 3 2 29 5 10" xfId="26928" xr:uid="{00000000-0005-0000-0000-000012690000}"/>
    <cellStyle name="Normal 2 3 2 29 5 2" xfId="26929" xr:uid="{00000000-0005-0000-0000-000013690000}"/>
    <cellStyle name="Normal 2 3 2 29 5 3" xfId="26930" xr:uid="{00000000-0005-0000-0000-000014690000}"/>
    <cellStyle name="Normal 2 3 2 29 5 4" xfId="26931" xr:uid="{00000000-0005-0000-0000-000015690000}"/>
    <cellStyle name="Normal 2 3 2 29 5 5" xfId="26932" xr:uid="{00000000-0005-0000-0000-000016690000}"/>
    <cellStyle name="Normal 2 3 2 29 5 6" xfId="26933" xr:uid="{00000000-0005-0000-0000-000017690000}"/>
    <cellStyle name="Normal 2 3 2 29 5 7" xfId="26934" xr:uid="{00000000-0005-0000-0000-000018690000}"/>
    <cellStyle name="Normal 2 3 2 29 5 8" xfId="26935" xr:uid="{00000000-0005-0000-0000-000019690000}"/>
    <cellStyle name="Normal 2 3 2 29 5 9" xfId="26936" xr:uid="{00000000-0005-0000-0000-00001A690000}"/>
    <cellStyle name="Normal 2 3 2 29 6" xfId="26937" xr:uid="{00000000-0005-0000-0000-00001B690000}"/>
    <cellStyle name="Normal 2 3 2 29 7" xfId="26938" xr:uid="{00000000-0005-0000-0000-00001C690000}"/>
    <cellStyle name="Normal 2 3 2 29 8" xfId="26939" xr:uid="{00000000-0005-0000-0000-00001D690000}"/>
    <cellStyle name="Normal 2 3 2 29 9" xfId="26940" xr:uid="{00000000-0005-0000-0000-00001E690000}"/>
    <cellStyle name="Normal 2 3 2 3" xfId="26941" xr:uid="{00000000-0005-0000-0000-00001F690000}"/>
    <cellStyle name="Normal 2 3 2 3 10" xfId="26942" xr:uid="{00000000-0005-0000-0000-000020690000}"/>
    <cellStyle name="Normal 2 3 2 3 11" xfId="26943" xr:uid="{00000000-0005-0000-0000-000021690000}"/>
    <cellStyle name="Normal 2 3 2 3 12" xfId="26944" xr:uid="{00000000-0005-0000-0000-000022690000}"/>
    <cellStyle name="Normal 2 3 2 3 13" xfId="26945" xr:uid="{00000000-0005-0000-0000-000023690000}"/>
    <cellStyle name="Normal 2 3 2 3 14" xfId="26946" xr:uid="{00000000-0005-0000-0000-000024690000}"/>
    <cellStyle name="Normal 2 3 2 3 15" xfId="26947" xr:uid="{00000000-0005-0000-0000-000025690000}"/>
    <cellStyle name="Normal 2 3 2 3 16" xfId="26948" xr:uid="{00000000-0005-0000-0000-000026690000}"/>
    <cellStyle name="Normal 2 3 2 3 2" xfId="26949" xr:uid="{00000000-0005-0000-0000-000027690000}"/>
    <cellStyle name="Normal 2 3 2 3 2 10" xfId="26950" xr:uid="{00000000-0005-0000-0000-000028690000}"/>
    <cellStyle name="Normal 2 3 2 3 2 2" xfId="26951" xr:uid="{00000000-0005-0000-0000-000029690000}"/>
    <cellStyle name="Normal 2 3 2 3 2 3" xfId="26952" xr:uid="{00000000-0005-0000-0000-00002A690000}"/>
    <cellStyle name="Normal 2 3 2 3 2 4" xfId="26953" xr:uid="{00000000-0005-0000-0000-00002B690000}"/>
    <cellStyle name="Normal 2 3 2 3 2 5" xfId="26954" xr:uid="{00000000-0005-0000-0000-00002C690000}"/>
    <cellStyle name="Normal 2 3 2 3 2 6" xfId="26955" xr:uid="{00000000-0005-0000-0000-00002D690000}"/>
    <cellStyle name="Normal 2 3 2 3 2 7" xfId="26956" xr:uid="{00000000-0005-0000-0000-00002E690000}"/>
    <cellStyle name="Normal 2 3 2 3 2 8" xfId="26957" xr:uid="{00000000-0005-0000-0000-00002F690000}"/>
    <cellStyle name="Normal 2 3 2 3 2 9" xfId="26958" xr:uid="{00000000-0005-0000-0000-000030690000}"/>
    <cellStyle name="Normal 2 3 2 3 3" xfId="26959" xr:uid="{00000000-0005-0000-0000-000031690000}"/>
    <cellStyle name="Normal 2 3 2 3 3 10" xfId="26960" xr:uid="{00000000-0005-0000-0000-000032690000}"/>
    <cellStyle name="Normal 2 3 2 3 3 2" xfId="26961" xr:uid="{00000000-0005-0000-0000-000033690000}"/>
    <cellStyle name="Normal 2 3 2 3 3 3" xfId="26962" xr:uid="{00000000-0005-0000-0000-000034690000}"/>
    <cellStyle name="Normal 2 3 2 3 3 4" xfId="26963" xr:uid="{00000000-0005-0000-0000-000035690000}"/>
    <cellStyle name="Normal 2 3 2 3 3 5" xfId="26964" xr:uid="{00000000-0005-0000-0000-000036690000}"/>
    <cellStyle name="Normal 2 3 2 3 3 6" xfId="26965" xr:uid="{00000000-0005-0000-0000-000037690000}"/>
    <cellStyle name="Normal 2 3 2 3 3 7" xfId="26966" xr:uid="{00000000-0005-0000-0000-000038690000}"/>
    <cellStyle name="Normal 2 3 2 3 3 8" xfId="26967" xr:uid="{00000000-0005-0000-0000-000039690000}"/>
    <cellStyle name="Normal 2 3 2 3 3 9" xfId="26968" xr:uid="{00000000-0005-0000-0000-00003A690000}"/>
    <cellStyle name="Normal 2 3 2 3 4" xfId="26969" xr:uid="{00000000-0005-0000-0000-00003B690000}"/>
    <cellStyle name="Normal 2 3 2 3 4 10" xfId="26970" xr:uid="{00000000-0005-0000-0000-00003C690000}"/>
    <cellStyle name="Normal 2 3 2 3 4 2" xfId="26971" xr:uid="{00000000-0005-0000-0000-00003D690000}"/>
    <cellStyle name="Normal 2 3 2 3 4 3" xfId="26972" xr:uid="{00000000-0005-0000-0000-00003E690000}"/>
    <cellStyle name="Normal 2 3 2 3 4 4" xfId="26973" xr:uid="{00000000-0005-0000-0000-00003F690000}"/>
    <cellStyle name="Normal 2 3 2 3 4 5" xfId="26974" xr:uid="{00000000-0005-0000-0000-000040690000}"/>
    <cellStyle name="Normal 2 3 2 3 4 6" xfId="26975" xr:uid="{00000000-0005-0000-0000-000041690000}"/>
    <cellStyle name="Normal 2 3 2 3 4 7" xfId="26976" xr:uid="{00000000-0005-0000-0000-000042690000}"/>
    <cellStyle name="Normal 2 3 2 3 4 8" xfId="26977" xr:uid="{00000000-0005-0000-0000-000043690000}"/>
    <cellStyle name="Normal 2 3 2 3 4 9" xfId="26978" xr:uid="{00000000-0005-0000-0000-000044690000}"/>
    <cellStyle name="Normal 2 3 2 3 5" xfId="26979" xr:uid="{00000000-0005-0000-0000-000045690000}"/>
    <cellStyle name="Normal 2 3 2 3 5 10" xfId="26980" xr:uid="{00000000-0005-0000-0000-000046690000}"/>
    <cellStyle name="Normal 2 3 2 3 5 2" xfId="26981" xr:uid="{00000000-0005-0000-0000-000047690000}"/>
    <cellStyle name="Normal 2 3 2 3 5 3" xfId="26982" xr:uid="{00000000-0005-0000-0000-000048690000}"/>
    <cellStyle name="Normal 2 3 2 3 5 4" xfId="26983" xr:uid="{00000000-0005-0000-0000-000049690000}"/>
    <cellStyle name="Normal 2 3 2 3 5 5" xfId="26984" xr:uid="{00000000-0005-0000-0000-00004A690000}"/>
    <cellStyle name="Normal 2 3 2 3 5 6" xfId="26985" xr:uid="{00000000-0005-0000-0000-00004B690000}"/>
    <cellStyle name="Normal 2 3 2 3 5 7" xfId="26986" xr:uid="{00000000-0005-0000-0000-00004C690000}"/>
    <cellStyle name="Normal 2 3 2 3 5 8" xfId="26987" xr:uid="{00000000-0005-0000-0000-00004D690000}"/>
    <cellStyle name="Normal 2 3 2 3 5 9" xfId="26988" xr:uid="{00000000-0005-0000-0000-00004E690000}"/>
    <cellStyle name="Normal 2 3 2 3 6" xfId="26989" xr:uid="{00000000-0005-0000-0000-00004F690000}"/>
    <cellStyle name="Normal 2 3 2 3 7" xfId="26990" xr:uid="{00000000-0005-0000-0000-000050690000}"/>
    <cellStyle name="Normal 2 3 2 3 8" xfId="26991" xr:uid="{00000000-0005-0000-0000-000051690000}"/>
    <cellStyle name="Normal 2 3 2 3 9" xfId="26992" xr:uid="{00000000-0005-0000-0000-000052690000}"/>
    <cellStyle name="Normal 2 3 2 30" xfId="26993" xr:uid="{00000000-0005-0000-0000-000053690000}"/>
    <cellStyle name="Normal 2 3 2 30 10" xfId="26994" xr:uid="{00000000-0005-0000-0000-000054690000}"/>
    <cellStyle name="Normal 2 3 2 30 11" xfId="26995" xr:uid="{00000000-0005-0000-0000-000055690000}"/>
    <cellStyle name="Normal 2 3 2 30 12" xfId="26996" xr:uid="{00000000-0005-0000-0000-000056690000}"/>
    <cellStyle name="Normal 2 3 2 30 13" xfId="26997" xr:uid="{00000000-0005-0000-0000-000057690000}"/>
    <cellStyle name="Normal 2 3 2 30 14" xfId="26998" xr:uid="{00000000-0005-0000-0000-000058690000}"/>
    <cellStyle name="Normal 2 3 2 30 2" xfId="26999" xr:uid="{00000000-0005-0000-0000-000059690000}"/>
    <cellStyle name="Normal 2 3 2 30 2 10" xfId="27000" xr:uid="{00000000-0005-0000-0000-00005A690000}"/>
    <cellStyle name="Normal 2 3 2 30 2 2" xfId="27001" xr:uid="{00000000-0005-0000-0000-00005B690000}"/>
    <cellStyle name="Normal 2 3 2 30 2 3" xfId="27002" xr:uid="{00000000-0005-0000-0000-00005C690000}"/>
    <cellStyle name="Normal 2 3 2 30 2 4" xfId="27003" xr:uid="{00000000-0005-0000-0000-00005D690000}"/>
    <cellStyle name="Normal 2 3 2 30 2 5" xfId="27004" xr:uid="{00000000-0005-0000-0000-00005E690000}"/>
    <cellStyle name="Normal 2 3 2 30 2 6" xfId="27005" xr:uid="{00000000-0005-0000-0000-00005F690000}"/>
    <cellStyle name="Normal 2 3 2 30 2 7" xfId="27006" xr:uid="{00000000-0005-0000-0000-000060690000}"/>
    <cellStyle name="Normal 2 3 2 30 2 8" xfId="27007" xr:uid="{00000000-0005-0000-0000-000061690000}"/>
    <cellStyle name="Normal 2 3 2 30 2 9" xfId="27008" xr:uid="{00000000-0005-0000-0000-000062690000}"/>
    <cellStyle name="Normal 2 3 2 30 3" xfId="27009" xr:uid="{00000000-0005-0000-0000-000063690000}"/>
    <cellStyle name="Normal 2 3 2 30 3 10" xfId="27010" xr:uid="{00000000-0005-0000-0000-000064690000}"/>
    <cellStyle name="Normal 2 3 2 30 3 2" xfId="27011" xr:uid="{00000000-0005-0000-0000-000065690000}"/>
    <cellStyle name="Normal 2 3 2 30 3 3" xfId="27012" xr:uid="{00000000-0005-0000-0000-000066690000}"/>
    <cellStyle name="Normal 2 3 2 30 3 4" xfId="27013" xr:uid="{00000000-0005-0000-0000-000067690000}"/>
    <cellStyle name="Normal 2 3 2 30 3 5" xfId="27014" xr:uid="{00000000-0005-0000-0000-000068690000}"/>
    <cellStyle name="Normal 2 3 2 30 3 6" xfId="27015" xr:uid="{00000000-0005-0000-0000-000069690000}"/>
    <cellStyle name="Normal 2 3 2 30 3 7" xfId="27016" xr:uid="{00000000-0005-0000-0000-00006A690000}"/>
    <cellStyle name="Normal 2 3 2 30 3 8" xfId="27017" xr:uid="{00000000-0005-0000-0000-00006B690000}"/>
    <cellStyle name="Normal 2 3 2 30 3 9" xfId="27018" xr:uid="{00000000-0005-0000-0000-00006C690000}"/>
    <cellStyle name="Normal 2 3 2 30 4" xfId="27019" xr:uid="{00000000-0005-0000-0000-00006D690000}"/>
    <cellStyle name="Normal 2 3 2 30 4 10" xfId="27020" xr:uid="{00000000-0005-0000-0000-00006E690000}"/>
    <cellStyle name="Normal 2 3 2 30 4 2" xfId="27021" xr:uid="{00000000-0005-0000-0000-00006F690000}"/>
    <cellStyle name="Normal 2 3 2 30 4 3" xfId="27022" xr:uid="{00000000-0005-0000-0000-000070690000}"/>
    <cellStyle name="Normal 2 3 2 30 4 4" xfId="27023" xr:uid="{00000000-0005-0000-0000-000071690000}"/>
    <cellStyle name="Normal 2 3 2 30 4 5" xfId="27024" xr:uid="{00000000-0005-0000-0000-000072690000}"/>
    <cellStyle name="Normal 2 3 2 30 4 6" xfId="27025" xr:uid="{00000000-0005-0000-0000-000073690000}"/>
    <cellStyle name="Normal 2 3 2 30 4 7" xfId="27026" xr:uid="{00000000-0005-0000-0000-000074690000}"/>
    <cellStyle name="Normal 2 3 2 30 4 8" xfId="27027" xr:uid="{00000000-0005-0000-0000-000075690000}"/>
    <cellStyle name="Normal 2 3 2 30 4 9" xfId="27028" xr:uid="{00000000-0005-0000-0000-000076690000}"/>
    <cellStyle name="Normal 2 3 2 30 5" xfId="27029" xr:uid="{00000000-0005-0000-0000-000077690000}"/>
    <cellStyle name="Normal 2 3 2 30 5 10" xfId="27030" xr:uid="{00000000-0005-0000-0000-000078690000}"/>
    <cellStyle name="Normal 2 3 2 30 5 2" xfId="27031" xr:uid="{00000000-0005-0000-0000-000079690000}"/>
    <cellStyle name="Normal 2 3 2 30 5 3" xfId="27032" xr:uid="{00000000-0005-0000-0000-00007A690000}"/>
    <cellStyle name="Normal 2 3 2 30 5 4" xfId="27033" xr:uid="{00000000-0005-0000-0000-00007B690000}"/>
    <cellStyle name="Normal 2 3 2 30 5 5" xfId="27034" xr:uid="{00000000-0005-0000-0000-00007C690000}"/>
    <cellStyle name="Normal 2 3 2 30 5 6" xfId="27035" xr:uid="{00000000-0005-0000-0000-00007D690000}"/>
    <cellStyle name="Normal 2 3 2 30 5 7" xfId="27036" xr:uid="{00000000-0005-0000-0000-00007E690000}"/>
    <cellStyle name="Normal 2 3 2 30 5 8" xfId="27037" xr:uid="{00000000-0005-0000-0000-00007F690000}"/>
    <cellStyle name="Normal 2 3 2 30 5 9" xfId="27038" xr:uid="{00000000-0005-0000-0000-000080690000}"/>
    <cellStyle name="Normal 2 3 2 30 6" xfId="27039" xr:uid="{00000000-0005-0000-0000-000081690000}"/>
    <cellStyle name="Normal 2 3 2 30 7" xfId="27040" xr:uid="{00000000-0005-0000-0000-000082690000}"/>
    <cellStyle name="Normal 2 3 2 30 8" xfId="27041" xr:uid="{00000000-0005-0000-0000-000083690000}"/>
    <cellStyle name="Normal 2 3 2 30 9" xfId="27042" xr:uid="{00000000-0005-0000-0000-000084690000}"/>
    <cellStyle name="Normal 2 3 2 31" xfId="27043" xr:uid="{00000000-0005-0000-0000-000085690000}"/>
    <cellStyle name="Normal 2 3 2 31 10" xfId="27044" xr:uid="{00000000-0005-0000-0000-000086690000}"/>
    <cellStyle name="Normal 2 3 2 31 11" xfId="27045" xr:uid="{00000000-0005-0000-0000-000087690000}"/>
    <cellStyle name="Normal 2 3 2 31 12" xfId="27046" xr:uid="{00000000-0005-0000-0000-000088690000}"/>
    <cellStyle name="Normal 2 3 2 31 13" xfId="27047" xr:uid="{00000000-0005-0000-0000-000089690000}"/>
    <cellStyle name="Normal 2 3 2 31 14" xfId="27048" xr:uid="{00000000-0005-0000-0000-00008A690000}"/>
    <cellStyle name="Normal 2 3 2 31 2" xfId="27049" xr:uid="{00000000-0005-0000-0000-00008B690000}"/>
    <cellStyle name="Normal 2 3 2 31 2 10" xfId="27050" xr:uid="{00000000-0005-0000-0000-00008C690000}"/>
    <cellStyle name="Normal 2 3 2 31 2 2" xfId="27051" xr:uid="{00000000-0005-0000-0000-00008D690000}"/>
    <cellStyle name="Normal 2 3 2 31 2 3" xfId="27052" xr:uid="{00000000-0005-0000-0000-00008E690000}"/>
    <cellStyle name="Normal 2 3 2 31 2 4" xfId="27053" xr:uid="{00000000-0005-0000-0000-00008F690000}"/>
    <cellStyle name="Normal 2 3 2 31 2 5" xfId="27054" xr:uid="{00000000-0005-0000-0000-000090690000}"/>
    <cellStyle name="Normal 2 3 2 31 2 6" xfId="27055" xr:uid="{00000000-0005-0000-0000-000091690000}"/>
    <cellStyle name="Normal 2 3 2 31 2 7" xfId="27056" xr:uid="{00000000-0005-0000-0000-000092690000}"/>
    <cellStyle name="Normal 2 3 2 31 2 8" xfId="27057" xr:uid="{00000000-0005-0000-0000-000093690000}"/>
    <cellStyle name="Normal 2 3 2 31 2 9" xfId="27058" xr:uid="{00000000-0005-0000-0000-000094690000}"/>
    <cellStyle name="Normal 2 3 2 31 3" xfId="27059" xr:uid="{00000000-0005-0000-0000-000095690000}"/>
    <cellStyle name="Normal 2 3 2 31 3 10" xfId="27060" xr:uid="{00000000-0005-0000-0000-000096690000}"/>
    <cellStyle name="Normal 2 3 2 31 3 2" xfId="27061" xr:uid="{00000000-0005-0000-0000-000097690000}"/>
    <cellStyle name="Normal 2 3 2 31 3 3" xfId="27062" xr:uid="{00000000-0005-0000-0000-000098690000}"/>
    <cellStyle name="Normal 2 3 2 31 3 4" xfId="27063" xr:uid="{00000000-0005-0000-0000-000099690000}"/>
    <cellStyle name="Normal 2 3 2 31 3 5" xfId="27064" xr:uid="{00000000-0005-0000-0000-00009A690000}"/>
    <cellStyle name="Normal 2 3 2 31 3 6" xfId="27065" xr:uid="{00000000-0005-0000-0000-00009B690000}"/>
    <cellStyle name="Normal 2 3 2 31 3 7" xfId="27066" xr:uid="{00000000-0005-0000-0000-00009C690000}"/>
    <cellStyle name="Normal 2 3 2 31 3 8" xfId="27067" xr:uid="{00000000-0005-0000-0000-00009D690000}"/>
    <cellStyle name="Normal 2 3 2 31 3 9" xfId="27068" xr:uid="{00000000-0005-0000-0000-00009E690000}"/>
    <cellStyle name="Normal 2 3 2 31 4" xfId="27069" xr:uid="{00000000-0005-0000-0000-00009F690000}"/>
    <cellStyle name="Normal 2 3 2 31 4 10" xfId="27070" xr:uid="{00000000-0005-0000-0000-0000A0690000}"/>
    <cellStyle name="Normal 2 3 2 31 4 2" xfId="27071" xr:uid="{00000000-0005-0000-0000-0000A1690000}"/>
    <cellStyle name="Normal 2 3 2 31 4 3" xfId="27072" xr:uid="{00000000-0005-0000-0000-0000A2690000}"/>
    <cellStyle name="Normal 2 3 2 31 4 4" xfId="27073" xr:uid="{00000000-0005-0000-0000-0000A3690000}"/>
    <cellStyle name="Normal 2 3 2 31 4 5" xfId="27074" xr:uid="{00000000-0005-0000-0000-0000A4690000}"/>
    <cellStyle name="Normal 2 3 2 31 4 6" xfId="27075" xr:uid="{00000000-0005-0000-0000-0000A5690000}"/>
    <cellStyle name="Normal 2 3 2 31 4 7" xfId="27076" xr:uid="{00000000-0005-0000-0000-0000A6690000}"/>
    <cellStyle name="Normal 2 3 2 31 4 8" xfId="27077" xr:uid="{00000000-0005-0000-0000-0000A7690000}"/>
    <cellStyle name="Normal 2 3 2 31 4 9" xfId="27078" xr:uid="{00000000-0005-0000-0000-0000A8690000}"/>
    <cellStyle name="Normal 2 3 2 31 5" xfId="27079" xr:uid="{00000000-0005-0000-0000-0000A9690000}"/>
    <cellStyle name="Normal 2 3 2 31 5 10" xfId="27080" xr:uid="{00000000-0005-0000-0000-0000AA690000}"/>
    <cellStyle name="Normal 2 3 2 31 5 2" xfId="27081" xr:uid="{00000000-0005-0000-0000-0000AB690000}"/>
    <cellStyle name="Normal 2 3 2 31 5 3" xfId="27082" xr:uid="{00000000-0005-0000-0000-0000AC690000}"/>
    <cellStyle name="Normal 2 3 2 31 5 4" xfId="27083" xr:uid="{00000000-0005-0000-0000-0000AD690000}"/>
    <cellStyle name="Normal 2 3 2 31 5 5" xfId="27084" xr:uid="{00000000-0005-0000-0000-0000AE690000}"/>
    <cellStyle name="Normal 2 3 2 31 5 6" xfId="27085" xr:uid="{00000000-0005-0000-0000-0000AF690000}"/>
    <cellStyle name="Normal 2 3 2 31 5 7" xfId="27086" xr:uid="{00000000-0005-0000-0000-0000B0690000}"/>
    <cellStyle name="Normal 2 3 2 31 5 8" xfId="27087" xr:uid="{00000000-0005-0000-0000-0000B1690000}"/>
    <cellStyle name="Normal 2 3 2 31 5 9" xfId="27088" xr:uid="{00000000-0005-0000-0000-0000B2690000}"/>
    <cellStyle name="Normal 2 3 2 31 6" xfId="27089" xr:uid="{00000000-0005-0000-0000-0000B3690000}"/>
    <cellStyle name="Normal 2 3 2 31 7" xfId="27090" xr:uid="{00000000-0005-0000-0000-0000B4690000}"/>
    <cellStyle name="Normal 2 3 2 31 8" xfId="27091" xr:uid="{00000000-0005-0000-0000-0000B5690000}"/>
    <cellStyle name="Normal 2 3 2 31 9" xfId="27092" xr:uid="{00000000-0005-0000-0000-0000B6690000}"/>
    <cellStyle name="Normal 2 3 2 32" xfId="27093" xr:uid="{00000000-0005-0000-0000-0000B7690000}"/>
    <cellStyle name="Normal 2 3 2 32 10" xfId="27094" xr:uid="{00000000-0005-0000-0000-0000B8690000}"/>
    <cellStyle name="Normal 2 3 2 32 11" xfId="27095" xr:uid="{00000000-0005-0000-0000-0000B9690000}"/>
    <cellStyle name="Normal 2 3 2 32 12" xfId="27096" xr:uid="{00000000-0005-0000-0000-0000BA690000}"/>
    <cellStyle name="Normal 2 3 2 32 13" xfId="27097" xr:uid="{00000000-0005-0000-0000-0000BB690000}"/>
    <cellStyle name="Normal 2 3 2 32 14" xfId="27098" xr:uid="{00000000-0005-0000-0000-0000BC690000}"/>
    <cellStyle name="Normal 2 3 2 32 2" xfId="27099" xr:uid="{00000000-0005-0000-0000-0000BD690000}"/>
    <cellStyle name="Normal 2 3 2 32 2 10" xfId="27100" xr:uid="{00000000-0005-0000-0000-0000BE690000}"/>
    <cellStyle name="Normal 2 3 2 32 2 2" xfId="27101" xr:uid="{00000000-0005-0000-0000-0000BF690000}"/>
    <cellStyle name="Normal 2 3 2 32 2 3" xfId="27102" xr:uid="{00000000-0005-0000-0000-0000C0690000}"/>
    <cellStyle name="Normal 2 3 2 32 2 4" xfId="27103" xr:uid="{00000000-0005-0000-0000-0000C1690000}"/>
    <cellStyle name="Normal 2 3 2 32 2 5" xfId="27104" xr:uid="{00000000-0005-0000-0000-0000C2690000}"/>
    <cellStyle name="Normal 2 3 2 32 2 6" xfId="27105" xr:uid="{00000000-0005-0000-0000-0000C3690000}"/>
    <cellStyle name="Normal 2 3 2 32 2 7" xfId="27106" xr:uid="{00000000-0005-0000-0000-0000C4690000}"/>
    <cellStyle name="Normal 2 3 2 32 2 8" xfId="27107" xr:uid="{00000000-0005-0000-0000-0000C5690000}"/>
    <cellStyle name="Normal 2 3 2 32 2 9" xfId="27108" xr:uid="{00000000-0005-0000-0000-0000C6690000}"/>
    <cellStyle name="Normal 2 3 2 32 3" xfId="27109" xr:uid="{00000000-0005-0000-0000-0000C7690000}"/>
    <cellStyle name="Normal 2 3 2 32 3 10" xfId="27110" xr:uid="{00000000-0005-0000-0000-0000C8690000}"/>
    <cellStyle name="Normal 2 3 2 32 3 2" xfId="27111" xr:uid="{00000000-0005-0000-0000-0000C9690000}"/>
    <cellStyle name="Normal 2 3 2 32 3 3" xfId="27112" xr:uid="{00000000-0005-0000-0000-0000CA690000}"/>
    <cellStyle name="Normal 2 3 2 32 3 4" xfId="27113" xr:uid="{00000000-0005-0000-0000-0000CB690000}"/>
    <cellStyle name="Normal 2 3 2 32 3 5" xfId="27114" xr:uid="{00000000-0005-0000-0000-0000CC690000}"/>
    <cellStyle name="Normal 2 3 2 32 3 6" xfId="27115" xr:uid="{00000000-0005-0000-0000-0000CD690000}"/>
    <cellStyle name="Normal 2 3 2 32 3 7" xfId="27116" xr:uid="{00000000-0005-0000-0000-0000CE690000}"/>
    <cellStyle name="Normal 2 3 2 32 3 8" xfId="27117" xr:uid="{00000000-0005-0000-0000-0000CF690000}"/>
    <cellStyle name="Normal 2 3 2 32 3 9" xfId="27118" xr:uid="{00000000-0005-0000-0000-0000D0690000}"/>
    <cellStyle name="Normal 2 3 2 32 4" xfId="27119" xr:uid="{00000000-0005-0000-0000-0000D1690000}"/>
    <cellStyle name="Normal 2 3 2 32 4 10" xfId="27120" xr:uid="{00000000-0005-0000-0000-0000D2690000}"/>
    <cellStyle name="Normal 2 3 2 32 4 2" xfId="27121" xr:uid="{00000000-0005-0000-0000-0000D3690000}"/>
    <cellStyle name="Normal 2 3 2 32 4 3" xfId="27122" xr:uid="{00000000-0005-0000-0000-0000D4690000}"/>
    <cellStyle name="Normal 2 3 2 32 4 4" xfId="27123" xr:uid="{00000000-0005-0000-0000-0000D5690000}"/>
    <cellStyle name="Normal 2 3 2 32 4 5" xfId="27124" xr:uid="{00000000-0005-0000-0000-0000D6690000}"/>
    <cellStyle name="Normal 2 3 2 32 4 6" xfId="27125" xr:uid="{00000000-0005-0000-0000-0000D7690000}"/>
    <cellStyle name="Normal 2 3 2 32 4 7" xfId="27126" xr:uid="{00000000-0005-0000-0000-0000D8690000}"/>
    <cellStyle name="Normal 2 3 2 32 4 8" xfId="27127" xr:uid="{00000000-0005-0000-0000-0000D9690000}"/>
    <cellStyle name="Normal 2 3 2 32 4 9" xfId="27128" xr:uid="{00000000-0005-0000-0000-0000DA690000}"/>
    <cellStyle name="Normal 2 3 2 32 5" xfId="27129" xr:uid="{00000000-0005-0000-0000-0000DB690000}"/>
    <cellStyle name="Normal 2 3 2 32 5 10" xfId="27130" xr:uid="{00000000-0005-0000-0000-0000DC690000}"/>
    <cellStyle name="Normal 2 3 2 32 5 2" xfId="27131" xr:uid="{00000000-0005-0000-0000-0000DD690000}"/>
    <cellStyle name="Normal 2 3 2 32 5 3" xfId="27132" xr:uid="{00000000-0005-0000-0000-0000DE690000}"/>
    <cellStyle name="Normal 2 3 2 32 5 4" xfId="27133" xr:uid="{00000000-0005-0000-0000-0000DF690000}"/>
    <cellStyle name="Normal 2 3 2 32 5 5" xfId="27134" xr:uid="{00000000-0005-0000-0000-0000E0690000}"/>
    <cellStyle name="Normal 2 3 2 32 5 6" xfId="27135" xr:uid="{00000000-0005-0000-0000-0000E1690000}"/>
    <cellStyle name="Normal 2 3 2 32 5 7" xfId="27136" xr:uid="{00000000-0005-0000-0000-0000E2690000}"/>
    <cellStyle name="Normal 2 3 2 32 5 8" xfId="27137" xr:uid="{00000000-0005-0000-0000-0000E3690000}"/>
    <cellStyle name="Normal 2 3 2 32 5 9" xfId="27138" xr:uid="{00000000-0005-0000-0000-0000E4690000}"/>
    <cellStyle name="Normal 2 3 2 32 6" xfId="27139" xr:uid="{00000000-0005-0000-0000-0000E5690000}"/>
    <cellStyle name="Normal 2 3 2 32 7" xfId="27140" xr:uid="{00000000-0005-0000-0000-0000E6690000}"/>
    <cellStyle name="Normal 2 3 2 32 8" xfId="27141" xr:uid="{00000000-0005-0000-0000-0000E7690000}"/>
    <cellStyle name="Normal 2 3 2 32 9" xfId="27142" xr:uid="{00000000-0005-0000-0000-0000E8690000}"/>
    <cellStyle name="Normal 2 3 2 33" xfId="27143" xr:uid="{00000000-0005-0000-0000-0000E9690000}"/>
    <cellStyle name="Normal 2 3 2 33 10" xfId="27144" xr:uid="{00000000-0005-0000-0000-0000EA690000}"/>
    <cellStyle name="Normal 2 3 2 33 11" xfId="27145" xr:uid="{00000000-0005-0000-0000-0000EB690000}"/>
    <cellStyle name="Normal 2 3 2 33 12" xfId="27146" xr:uid="{00000000-0005-0000-0000-0000EC690000}"/>
    <cellStyle name="Normal 2 3 2 33 13" xfId="27147" xr:uid="{00000000-0005-0000-0000-0000ED690000}"/>
    <cellStyle name="Normal 2 3 2 33 14" xfId="27148" xr:uid="{00000000-0005-0000-0000-0000EE690000}"/>
    <cellStyle name="Normal 2 3 2 33 2" xfId="27149" xr:uid="{00000000-0005-0000-0000-0000EF690000}"/>
    <cellStyle name="Normal 2 3 2 33 2 10" xfId="27150" xr:uid="{00000000-0005-0000-0000-0000F0690000}"/>
    <cellStyle name="Normal 2 3 2 33 2 2" xfId="27151" xr:uid="{00000000-0005-0000-0000-0000F1690000}"/>
    <cellStyle name="Normal 2 3 2 33 2 3" xfId="27152" xr:uid="{00000000-0005-0000-0000-0000F2690000}"/>
    <cellStyle name="Normal 2 3 2 33 2 4" xfId="27153" xr:uid="{00000000-0005-0000-0000-0000F3690000}"/>
    <cellStyle name="Normal 2 3 2 33 2 5" xfId="27154" xr:uid="{00000000-0005-0000-0000-0000F4690000}"/>
    <cellStyle name="Normal 2 3 2 33 2 6" xfId="27155" xr:uid="{00000000-0005-0000-0000-0000F5690000}"/>
    <cellStyle name="Normal 2 3 2 33 2 7" xfId="27156" xr:uid="{00000000-0005-0000-0000-0000F6690000}"/>
    <cellStyle name="Normal 2 3 2 33 2 8" xfId="27157" xr:uid="{00000000-0005-0000-0000-0000F7690000}"/>
    <cellStyle name="Normal 2 3 2 33 2 9" xfId="27158" xr:uid="{00000000-0005-0000-0000-0000F8690000}"/>
    <cellStyle name="Normal 2 3 2 33 3" xfId="27159" xr:uid="{00000000-0005-0000-0000-0000F9690000}"/>
    <cellStyle name="Normal 2 3 2 33 3 10" xfId="27160" xr:uid="{00000000-0005-0000-0000-0000FA690000}"/>
    <cellStyle name="Normal 2 3 2 33 3 2" xfId="27161" xr:uid="{00000000-0005-0000-0000-0000FB690000}"/>
    <cellStyle name="Normal 2 3 2 33 3 3" xfId="27162" xr:uid="{00000000-0005-0000-0000-0000FC690000}"/>
    <cellStyle name="Normal 2 3 2 33 3 4" xfId="27163" xr:uid="{00000000-0005-0000-0000-0000FD690000}"/>
    <cellStyle name="Normal 2 3 2 33 3 5" xfId="27164" xr:uid="{00000000-0005-0000-0000-0000FE690000}"/>
    <cellStyle name="Normal 2 3 2 33 3 6" xfId="27165" xr:uid="{00000000-0005-0000-0000-0000FF690000}"/>
    <cellStyle name="Normal 2 3 2 33 3 7" xfId="27166" xr:uid="{00000000-0005-0000-0000-0000006A0000}"/>
    <cellStyle name="Normal 2 3 2 33 3 8" xfId="27167" xr:uid="{00000000-0005-0000-0000-0000016A0000}"/>
    <cellStyle name="Normal 2 3 2 33 3 9" xfId="27168" xr:uid="{00000000-0005-0000-0000-0000026A0000}"/>
    <cellStyle name="Normal 2 3 2 33 4" xfId="27169" xr:uid="{00000000-0005-0000-0000-0000036A0000}"/>
    <cellStyle name="Normal 2 3 2 33 4 10" xfId="27170" xr:uid="{00000000-0005-0000-0000-0000046A0000}"/>
    <cellStyle name="Normal 2 3 2 33 4 2" xfId="27171" xr:uid="{00000000-0005-0000-0000-0000056A0000}"/>
    <cellStyle name="Normal 2 3 2 33 4 3" xfId="27172" xr:uid="{00000000-0005-0000-0000-0000066A0000}"/>
    <cellStyle name="Normal 2 3 2 33 4 4" xfId="27173" xr:uid="{00000000-0005-0000-0000-0000076A0000}"/>
    <cellStyle name="Normal 2 3 2 33 4 5" xfId="27174" xr:uid="{00000000-0005-0000-0000-0000086A0000}"/>
    <cellStyle name="Normal 2 3 2 33 4 6" xfId="27175" xr:uid="{00000000-0005-0000-0000-0000096A0000}"/>
    <cellStyle name="Normal 2 3 2 33 4 7" xfId="27176" xr:uid="{00000000-0005-0000-0000-00000A6A0000}"/>
    <cellStyle name="Normal 2 3 2 33 4 8" xfId="27177" xr:uid="{00000000-0005-0000-0000-00000B6A0000}"/>
    <cellStyle name="Normal 2 3 2 33 4 9" xfId="27178" xr:uid="{00000000-0005-0000-0000-00000C6A0000}"/>
    <cellStyle name="Normal 2 3 2 33 5" xfId="27179" xr:uid="{00000000-0005-0000-0000-00000D6A0000}"/>
    <cellStyle name="Normal 2 3 2 33 5 10" xfId="27180" xr:uid="{00000000-0005-0000-0000-00000E6A0000}"/>
    <cellStyle name="Normal 2 3 2 33 5 2" xfId="27181" xr:uid="{00000000-0005-0000-0000-00000F6A0000}"/>
    <cellStyle name="Normal 2 3 2 33 5 3" xfId="27182" xr:uid="{00000000-0005-0000-0000-0000106A0000}"/>
    <cellStyle name="Normal 2 3 2 33 5 4" xfId="27183" xr:uid="{00000000-0005-0000-0000-0000116A0000}"/>
    <cellStyle name="Normal 2 3 2 33 5 5" xfId="27184" xr:uid="{00000000-0005-0000-0000-0000126A0000}"/>
    <cellStyle name="Normal 2 3 2 33 5 6" xfId="27185" xr:uid="{00000000-0005-0000-0000-0000136A0000}"/>
    <cellStyle name="Normal 2 3 2 33 5 7" xfId="27186" xr:uid="{00000000-0005-0000-0000-0000146A0000}"/>
    <cellStyle name="Normal 2 3 2 33 5 8" xfId="27187" xr:uid="{00000000-0005-0000-0000-0000156A0000}"/>
    <cellStyle name="Normal 2 3 2 33 5 9" xfId="27188" xr:uid="{00000000-0005-0000-0000-0000166A0000}"/>
    <cellStyle name="Normal 2 3 2 33 6" xfId="27189" xr:uid="{00000000-0005-0000-0000-0000176A0000}"/>
    <cellStyle name="Normal 2 3 2 33 7" xfId="27190" xr:uid="{00000000-0005-0000-0000-0000186A0000}"/>
    <cellStyle name="Normal 2 3 2 33 8" xfId="27191" xr:uid="{00000000-0005-0000-0000-0000196A0000}"/>
    <cellStyle name="Normal 2 3 2 33 9" xfId="27192" xr:uid="{00000000-0005-0000-0000-00001A6A0000}"/>
    <cellStyle name="Normal 2 3 2 34" xfId="27193" xr:uid="{00000000-0005-0000-0000-00001B6A0000}"/>
    <cellStyle name="Normal 2 3 2 34 10" xfId="27194" xr:uid="{00000000-0005-0000-0000-00001C6A0000}"/>
    <cellStyle name="Normal 2 3 2 34 2" xfId="27195" xr:uid="{00000000-0005-0000-0000-00001D6A0000}"/>
    <cellStyle name="Normal 2 3 2 34 3" xfId="27196" xr:uid="{00000000-0005-0000-0000-00001E6A0000}"/>
    <cellStyle name="Normal 2 3 2 34 4" xfId="27197" xr:uid="{00000000-0005-0000-0000-00001F6A0000}"/>
    <cellStyle name="Normal 2 3 2 34 5" xfId="27198" xr:uid="{00000000-0005-0000-0000-0000206A0000}"/>
    <cellStyle name="Normal 2 3 2 34 6" xfId="27199" xr:uid="{00000000-0005-0000-0000-0000216A0000}"/>
    <cellStyle name="Normal 2 3 2 34 7" xfId="27200" xr:uid="{00000000-0005-0000-0000-0000226A0000}"/>
    <cellStyle name="Normal 2 3 2 34 8" xfId="27201" xr:uid="{00000000-0005-0000-0000-0000236A0000}"/>
    <cellStyle name="Normal 2 3 2 34 9" xfId="27202" xr:uid="{00000000-0005-0000-0000-0000246A0000}"/>
    <cellStyle name="Normal 2 3 2 35" xfId="27203" xr:uid="{00000000-0005-0000-0000-0000256A0000}"/>
    <cellStyle name="Normal 2 3 2 35 10" xfId="27204" xr:uid="{00000000-0005-0000-0000-0000266A0000}"/>
    <cellStyle name="Normal 2 3 2 35 2" xfId="27205" xr:uid="{00000000-0005-0000-0000-0000276A0000}"/>
    <cellStyle name="Normal 2 3 2 35 3" xfId="27206" xr:uid="{00000000-0005-0000-0000-0000286A0000}"/>
    <cellStyle name="Normal 2 3 2 35 4" xfId="27207" xr:uid="{00000000-0005-0000-0000-0000296A0000}"/>
    <cellStyle name="Normal 2 3 2 35 5" xfId="27208" xr:uid="{00000000-0005-0000-0000-00002A6A0000}"/>
    <cellStyle name="Normal 2 3 2 35 6" xfId="27209" xr:uid="{00000000-0005-0000-0000-00002B6A0000}"/>
    <cellStyle name="Normal 2 3 2 35 7" xfId="27210" xr:uid="{00000000-0005-0000-0000-00002C6A0000}"/>
    <cellStyle name="Normal 2 3 2 35 8" xfId="27211" xr:uid="{00000000-0005-0000-0000-00002D6A0000}"/>
    <cellStyle name="Normal 2 3 2 35 9" xfId="27212" xr:uid="{00000000-0005-0000-0000-00002E6A0000}"/>
    <cellStyle name="Normal 2 3 2 36" xfId="27213" xr:uid="{00000000-0005-0000-0000-00002F6A0000}"/>
    <cellStyle name="Normal 2 3 2 36 10" xfId="27214" xr:uid="{00000000-0005-0000-0000-0000306A0000}"/>
    <cellStyle name="Normal 2 3 2 36 2" xfId="27215" xr:uid="{00000000-0005-0000-0000-0000316A0000}"/>
    <cellStyle name="Normal 2 3 2 36 3" xfId="27216" xr:uid="{00000000-0005-0000-0000-0000326A0000}"/>
    <cellStyle name="Normal 2 3 2 36 4" xfId="27217" xr:uid="{00000000-0005-0000-0000-0000336A0000}"/>
    <cellStyle name="Normal 2 3 2 36 5" xfId="27218" xr:uid="{00000000-0005-0000-0000-0000346A0000}"/>
    <cellStyle name="Normal 2 3 2 36 6" xfId="27219" xr:uid="{00000000-0005-0000-0000-0000356A0000}"/>
    <cellStyle name="Normal 2 3 2 36 7" xfId="27220" xr:uid="{00000000-0005-0000-0000-0000366A0000}"/>
    <cellStyle name="Normal 2 3 2 36 8" xfId="27221" xr:uid="{00000000-0005-0000-0000-0000376A0000}"/>
    <cellStyle name="Normal 2 3 2 36 9" xfId="27222" xr:uid="{00000000-0005-0000-0000-0000386A0000}"/>
    <cellStyle name="Normal 2 3 2 37" xfId="27223" xr:uid="{00000000-0005-0000-0000-0000396A0000}"/>
    <cellStyle name="Normal 2 3 2 37 10" xfId="27224" xr:uid="{00000000-0005-0000-0000-00003A6A0000}"/>
    <cellStyle name="Normal 2 3 2 37 2" xfId="27225" xr:uid="{00000000-0005-0000-0000-00003B6A0000}"/>
    <cellStyle name="Normal 2 3 2 37 3" xfId="27226" xr:uid="{00000000-0005-0000-0000-00003C6A0000}"/>
    <cellStyle name="Normal 2 3 2 37 4" xfId="27227" xr:uid="{00000000-0005-0000-0000-00003D6A0000}"/>
    <cellStyle name="Normal 2 3 2 37 5" xfId="27228" xr:uid="{00000000-0005-0000-0000-00003E6A0000}"/>
    <cellStyle name="Normal 2 3 2 37 6" xfId="27229" xr:uid="{00000000-0005-0000-0000-00003F6A0000}"/>
    <cellStyle name="Normal 2 3 2 37 7" xfId="27230" xr:uid="{00000000-0005-0000-0000-0000406A0000}"/>
    <cellStyle name="Normal 2 3 2 37 8" xfId="27231" xr:uid="{00000000-0005-0000-0000-0000416A0000}"/>
    <cellStyle name="Normal 2 3 2 37 9" xfId="27232" xr:uid="{00000000-0005-0000-0000-0000426A0000}"/>
    <cellStyle name="Normal 2 3 2 38" xfId="27233" xr:uid="{00000000-0005-0000-0000-0000436A0000}"/>
    <cellStyle name="Normal 2 3 2 39" xfId="27234" xr:uid="{00000000-0005-0000-0000-0000446A0000}"/>
    <cellStyle name="Normal 2 3 2 4" xfId="27235" xr:uid="{00000000-0005-0000-0000-0000456A0000}"/>
    <cellStyle name="Normal 2 3 2 4 10" xfId="27236" xr:uid="{00000000-0005-0000-0000-0000466A0000}"/>
    <cellStyle name="Normal 2 3 2 4 11" xfId="27237" xr:uid="{00000000-0005-0000-0000-0000476A0000}"/>
    <cellStyle name="Normal 2 3 2 4 12" xfId="27238" xr:uid="{00000000-0005-0000-0000-0000486A0000}"/>
    <cellStyle name="Normal 2 3 2 4 13" xfId="27239" xr:uid="{00000000-0005-0000-0000-0000496A0000}"/>
    <cellStyle name="Normal 2 3 2 4 14" xfId="27240" xr:uid="{00000000-0005-0000-0000-00004A6A0000}"/>
    <cellStyle name="Normal 2 3 2 4 2" xfId="27241" xr:uid="{00000000-0005-0000-0000-00004B6A0000}"/>
    <cellStyle name="Normal 2 3 2 4 2 10" xfId="27242" xr:uid="{00000000-0005-0000-0000-00004C6A0000}"/>
    <cellStyle name="Normal 2 3 2 4 2 2" xfId="27243" xr:uid="{00000000-0005-0000-0000-00004D6A0000}"/>
    <cellStyle name="Normal 2 3 2 4 2 3" xfId="27244" xr:uid="{00000000-0005-0000-0000-00004E6A0000}"/>
    <cellStyle name="Normal 2 3 2 4 2 4" xfId="27245" xr:uid="{00000000-0005-0000-0000-00004F6A0000}"/>
    <cellStyle name="Normal 2 3 2 4 2 5" xfId="27246" xr:uid="{00000000-0005-0000-0000-0000506A0000}"/>
    <cellStyle name="Normal 2 3 2 4 2 6" xfId="27247" xr:uid="{00000000-0005-0000-0000-0000516A0000}"/>
    <cellStyle name="Normal 2 3 2 4 2 7" xfId="27248" xr:uid="{00000000-0005-0000-0000-0000526A0000}"/>
    <cellStyle name="Normal 2 3 2 4 2 8" xfId="27249" xr:uid="{00000000-0005-0000-0000-0000536A0000}"/>
    <cellStyle name="Normal 2 3 2 4 2 9" xfId="27250" xr:uid="{00000000-0005-0000-0000-0000546A0000}"/>
    <cellStyle name="Normal 2 3 2 4 3" xfId="27251" xr:uid="{00000000-0005-0000-0000-0000556A0000}"/>
    <cellStyle name="Normal 2 3 2 4 3 10" xfId="27252" xr:uid="{00000000-0005-0000-0000-0000566A0000}"/>
    <cellStyle name="Normal 2 3 2 4 3 2" xfId="27253" xr:uid="{00000000-0005-0000-0000-0000576A0000}"/>
    <cellStyle name="Normal 2 3 2 4 3 3" xfId="27254" xr:uid="{00000000-0005-0000-0000-0000586A0000}"/>
    <cellStyle name="Normal 2 3 2 4 3 4" xfId="27255" xr:uid="{00000000-0005-0000-0000-0000596A0000}"/>
    <cellStyle name="Normal 2 3 2 4 3 5" xfId="27256" xr:uid="{00000000-0005-0000-0000-00005A6A0000}"/>
    <cellStyle name="Normal 2 3 2 4 3 6" xfId="27257" xr:uid="{00000000-0005-0000-0000-00005B6A0000}"/>
    <cellStyle name="Normal 2 3 2 4 3 7" xfId="27258" xr:uid="{00000000-0005-0000-0000-00005C6A0000}"/>
    <cellStyle name="Normal 2 3 2 4 3 8" xfId="27259" xr:uid="{00000000-0005-0000-0000-00005D6A0000}"/>
    <cellStyle name="Normal 2 3 2 4 3 9" xfId="27260" xr:uid="{00000000-0005-0000-0000-00005E6A0000}"/>
    <cellStyle name="Normal 2 3 2 4 4" xfId="27261" xr:uid="{00000000-0005-0000-0000-00005F6A0000}"/>
    <cellStyle name="Normal 2 3 2 4 4 10" xfId="27262" xr:uid="{00000000-0005-0000-0000-0000606A0000}"/>
    <cellStyle name="Normal 2 3 2 4 4 2" xfId="27263" xr:uid="{00000000-0005-0000-0000-0000616A0000}"/>
    <cellStyle name="Normal 2 3 2 4 4 3" xfId="27264" xr:uid="{00000000-0005-0000-0000-0000626A0000}"/>
    <cellStyle name="Normal 2 3 2 4 4 4" xfId="27265" xr:uid="{00000000-0005-0000-0000-0000636A0000}"/>
    <cellStyle name="Normal 2 3 2 4 4 5" xfId="27266" xr:uid="{00000000-0005-0000-0000-0000646A0000}"/>
    <cellStyle name="Normal 2 3 2 4 4 6" xfId="27267" xr:uid="{00000000-0005-0000-0000-0000656A0000}"/>
    <cellStyle name="Normal 2 3 2 4 4 7" xfId="27268" xr:uid="{00000000-0005-0000-0000-0000666A0000}"/>
    <cellStyle name="Normal 2 3 2 4 4 8" xfId="27269" xr:uid="{00000000-0005-0000-0000-0000676A0000}"/>
    <cellStyle name="Normal 2 3 2 4 4 9" xfId="27270" xr:uid="{00000000-0005-0000-0000-0000686A0000}"/>
    <cellStyle name="Normal 2 3 2 4 5" xfId="27271" xr:uid="{00000000-0005-0000-0000-0000696A0000}"/>
    <cellStyle name="Normal 2 3 2 4 5 10" xfId="27272" xr:uid="{00000000-0005-0000-0000-00006A6A0000}"/>
    <cellStyle name="Normal 2 3 2 4 5 2" xfId="27273" xr:uid="{00000000-0005-0000-0000-00006B6A0000}"/>
    <cellStyle name="Normal 2 3 2 4 5 3" xfId="27274" xr:uid="{00000000-0005-0000-0000-00006C6A0000}"/>
    <cellStyle name="Normal 2 3 2 4 5 4" xfId="27275" xr:uid="{00000000-0005-0000-0000-00006D6A0000}"/>
    <cellStyle name="Normal 2 3 2 4 5 5" xfId="27276" xr:uid="{00000000-0005-0000-0000-00006E6A0000}"/>
    <cellStyle name="Normal 2 3 2 4 5 6" xfId="27277" xr:uid="{00000000-0005-0000-0000-00006F6A0000}"/>
    <cellStyle name="Normal 2 3 2 4 5 7" xfId="27278" xr:uid="{00000000-0005-0000-0000-0000706A0000}"/>
    <cellStyle name="Normal 2 3 2 4 5 8" xfId="27279" xr:uid="{00000000-0005-0000-0000-0000716A0000}"/>
    <cellStyle name="Normal 2 3 2 4 5 9" xfId="27280" xr:uid="{00000000-0005-0000-0000-0000726A0000}"/>
    <cellStyle name="Normal 2 3 2 4 6" xfId="27281" xr:uid="{00000000-0005-0000-0000-0000736A0000}"/>
    <cellStyle name="Normal 2 3 2 4 7" xfId="27282" xr:uid="{00000000-0005-0000-0000-0000746A0000}"/>
    <cellStyle name="Normal 2 3 2 4 8" xfId="27283" xr:uid="{00000000-0005-0000-0000-0000756A0000}"/>
    <cellStyle name="Normal 2 3 2 4 9" xfId="27284" xr:uid="{00000000-0005-0000-0000-0000766A0000}"/>
    <cellStyle name="Normal 2 3 2 40" xfId="27285" xr:uid="{00000000-0005-0000-0000-0000776A0000}"/>
    <cellStyle name="Normal 2 3 2 41" xfId="27286" xr:uid="{00000000-0005-0000-0000-0000786A0000}"/>
    <cellStyle name="Normal 2 3 2 42" xfId="27287" xr:uid="{00000000-0005-0000-0000-0000796A0000}"/>
    <cellStyle name="Normal 2 3 2 43" xfId="27288" xr:uid="{00000000-0005-0000-0000-00007A6A0000}"/>
    <cellStyle name="Normal 2 3 2 44" xfId="27289" xr:uid="{00000000-0005-0000-0000-00007B6A0000}"/>
    <cellStyle name="Normal 2 3 2 45" xfId="27290" xr:uid="{00000000-0005-0000-0000-00007C6A0000}"/>
    <cellStyle name="Normal 2 3 2 46" xfId="27291" xr:uid="{00000000-0005-0000-0000-00007D6A0000}"/>
    <cellStyle name="Normal 2 3 2 47" xfId="27292" xr:uid="{00000000-0005-0000-0000-00007E6A0000}"/>
    <cellStyle name="Normal 2 3 2 48" xfId="27293" xr:uid="{00000000-0005-0000-0000-00007F6A0000}"/>
    <cellStyle name="Normal 2 3 2 49" xfId="25886" xr:uid="{00000000-0005-0000-0000-0000806A0000}"/>
    <cellStyle name="Normal 2 3 2 5" xfId="27294" xr:uid="{00000000-0005-0000-0000-0000816A0000}"/>
    <cellStyle name="Normal 2 3 2 5 10" xfId="27295" xr:uid="{00000000-0005-0000-0000-0000826A0000}"/>
    <cellStyle name="Normal 2 3 2 5 11" xfId="27296" xr:uid="{00000000-0005-0000-0000-0000836A0000}"/>
    <cellStyle name="Normal 2 3 2 5 12" xfId="27297" xr:uid="{00000000-0005-0000-0000-0000846A0000}"/>
    <cellStyle name="Normal 2 3 2 5 13" xfId="27298" xr:uid="{00000000-0005-0000-0000-0000856A0000}"/>
    <cellStyle name="Normal 2 3 2 5 14" xfId="27299" xr:uid="{00000000-0005-0000-0000-0000866A0000}"/>
    <cellStyle name="Normal 2 3 2 5 2" xfId="27300" xr:uid="{00000000-0005-0000-0000-0000876A0000}"/>
    <cellStyle name="Normal 2 3 2 5 2 10" xfId="27301" xr:uid="{00000000-0005-0000-0000-0000886A0000}"/>
    <cellStyle name="Normal 2 3 2 5 2 2" xfId="27302" xr:uid="{00000000-0005-0000-0000-0000896A0000}"/>
    <cellStyle name="Normal 2 3 2 5 2 3" xfId="27303" xr:uid="{00000000-0005-0000-0000-00008A6A0000}"/>
    <cellStyle name="Normal 2 3 2 5 2 4" xfId="27304" xr:uid="{00000000-0005-0000-0000-00008B6A0000}"/>
    <cellStyle name="Normal 2 3 2 5 2 5" xfId="27305" xr:uid="{00000000-0005-0000-0000-00008C6A0000}"/>
    <cellStyle name="Normal 2 3 2 5 2 6" xfId="27306" xr:uid="{00000000-0005-0000-0000-00008D6A0000}"/>
    <cellStyle name="Normal 2 3 2 5 2 7" xfId="27307" xr:uid="{00000000-0005-0000-0000-00008E6A0000}"/>
    <cellStyle name="Normal 2 3 2 5 2 8" xfId="27308" xr:uid="{00000000-0005-0000-0000-00008F6A0000}"/>
    <cellStyle name="Normal 2 3 2 5 2 9" xfId="27309" xr:uid="{00000000-0005-0000-0000-0000906A0000}"/>
    <cellStyle name="Normal 2 3 2 5 3" xfId="27310" xr:uid="{00000000-0005-0000-0000-0000916A0000}"/>
    <cellStyle name="Normal 2 3 2 5 3 10" xfId="27311" xr:uid="{00000000-0005-0000-0000-0000926A0000}"/>
    <cellStyle name="Normal 2 3 2 5 3 2" xfId="27312" xr:uid="{00000000-0005-0000-0000-0000936A0000}"/>
    <cellStyle name="Normal 2 3 2 5 3 3" xfId="27313" xr:uid="{00000000-0005-0000-0000-0000946A0000}"/>
    <cellStyle name="Normal 2 3 2 5 3 4" xfId="27314" xr:uid="{00000000-0005-0000-0000-0000956A0000}"/>
    <cellStyle name="Normal 2 3 2 5 3 5" xfId="27315" xr:uid="{00000000-0005-0000-0000-0000966A0000}"/>
    <cellStyle name="Normal 2 3 2 5 3 6" xfId="27316" xr:uid="{00000000-0005-0000-0000-0000976A0000}"/>
    <cellStyle name="Normal 2 3 2 5 3 7" xfId="27317" xr:uid="{00000000-0005-0000-0000-0000986A0000}"/>
    <cellStyle name="Normal 2 3 2 5 3 8" xfId="27318" xr:uid="{00000000-0005-0000-0000-0000996A0000}"/>
    <cellStyle name="Normal 2 3 2 5 3 9" xfId="27319" xr:uid="{00000000-0005-0000-0000-00009A6A0000}"/>
    <cellStyle name="Normal 2 3 2 5 4" xfId="27320" xr:uid="{00000000-0005-0000-0000-00009B6A0000}"/>
    <cellStyle name="Normal 2 3 2 5 4 10" xfId="27321" xr:uid="{00000000-0005-0000-0000-00009C6A0000}"/>
    <cellStyle name="Normal 2 3 2 5 4 2" xfId="27322" xr:uid="{00000000-0005-0000-0000-00009D6A0000}"/>
    <cellStyle name="Normal 2 3 2 5 4 3" xfId="27323" xr:uid="{00000000-0005-0000-0000-00009E6A0000}"/>
    <cellStyle name="Normal 2 3 2 5 4 4" xfId="27324" xr:uid="{00000000-0005-0000-0000-00009F6A0000}"/>
    <cellStyle name="Normal 2 3 2 5 4 5" xfId="27325" xr:uid="{00000000-0005-0000-0000-0000A06A0000}"/>
    <cellStyle name="Normal 2 3 2 5 4 6" xfId="27326" xr:uid="{00000000-0005-0000-0000-0000A16A0000}"/>
    <cellStyle name="Normal 2 3 2 5 4 7" xfId="27327" xr:uid="{00000000-0005-0000-0000-0000A26A0000}"/>
    <cellStyle name="Normal 2 3 2 5 4 8" xfId="27328" xr:uid="{00000000-0005-0000-0000-0000A36A0000}"/>
    <cellStyle name="Normal 2 3 2 5 4 9" xfId="27329" xr:uid="{00000000-0005-0000-0000-0000A46A0000}"/>
    <cellStyle name="Normal 2 3 2 5 5" xfId="27330" xr:uid="{00000000-0005-0000-0000-0000A56A0000}"/>
    <cellStyle name="Normal 2 3 2 5 5 10" xfId="27331" xr:uid="{00000000-0005-0000-0000-0000A66A0000}"/>
    <cellStyle name="Normal 2 3 2 5 5 2" xfId="27332" xr:uid="{00000000-0005-0000-0000-0000A76A0000}"/>
    <cellStyle name="Normal 2 3 2 5 5 3" xfId="27333" xr:uid="{00000000-0005-0000-0000-0000A86A0000}"/>
    <cellStyle name="Normal 2 3 2 5 5 4" xfId="27334" xr:uid="{00000000-0005-0000-0000-0000A96A0000}"/>
    <cellStyle name="Normal 2 3 2 5 5 5" xfId="27335" xr:uid="{00000000-0005-0000-0000-0000AA6A0000}"/>
    <cellStyle name="Normal 2 3 2 5 5 6" xfId="27336" xr:uid="{00000000-0005-0000-0000-0000AB6A0000}"/>
    <cellStyle name="Normal 2 3 2 5 5 7" xfId="27337" xr:uid="{00000000-0005-0000-0000-0000AC6A0000}"/>
    <cellStyle name="Normal 2 3 2 5 5 8" xfId="27338" xr:uid="{00000000-0005-0000-0000-0000AD6A0000}"/>
    <cellStyle name="Normal 2 3 2 5 5 9" xfId="27339" xr:uid="{00000000-0005-0000-0000-0000AE6A0000}"/>
    <cellStyle name="Normal 2 3 2 5 6" xfId="27340" xr:uid="{00000000-0005-0000-0000-0000AF6A0000}"/>
    <cellStyle name="Normal 2 3 2 5 7" xfId="27341" xr:uid="{00000000-0005-0000-0000-0000B06A0000}"/>
    <cellStyle name="Normal 2 3 2 5 8" xfId="27342" xr:uid="{00000000-0005-0000-0000-0000B16A0000}"/>
    <cellStyle name="Normal 2 3 2 5 9" xfId="27343" xr:uid="{00000000-0005-0000-0000-0000B26A0000}"/>
    <cellStyle name="Normal 2 3 2 6" xfId="27344" xr:uid="{00000000-0005-0000-0000-0000B36A0000}"/>
    <cellStyle name="Normal 2 3 2 6 10" xfId="27345" xr:uid="{00000000-0005-0000-0000-0000B46A0000}"/>
    <cellStyle name="Normal 2 3 2 6 11" xfId="27346" xr:uid="{00000000-0005-0000-0000-0000B56A0000}"/>
    <cellStyle name="Normal 2 3 2 6 12" xfId="27347" xr:uid="{00000000-0005-0000-0000-0000B66A0000}"/>
    <cellStyle name="Normal 2 3 2 6 13" xfId="27348" xr:uid="{00000000-0005-0000-0000-0000B76A0000}"/>
    <cellStyle name="Normal 2 3 2 6 14" xfId="27349" xr:uid="{00000000-0005-0000-0000-0000B86A0000}"/>
    <cellStyle name="Normal 2 3 2 6 2" xfId="27350" xr:uid="{00000000-0005-0000-0000-0000B96A0000}"/>
    <cellStyle name="Normal 2 3 2 6 2 10" xfId="27351" xr:uid="{00000000-0005-0000-0000-0000BA6A0000}"/>
    <cellStyle name="Normal 2 3 2 6 2 2" xfId="27352" xr:uid="{00000000-0005-0000-0000-0000BB6A0000}"/>
    <cellStyle name="Normal 2 3 2 6 2 3" xfId="27353" xr:uid="{00000000-0005-0000-0000-0000BC6A0000}"/>
    <cellStyle name="Normal 2 3 2 6 2 4" xfId="27354" xr:uid="{00000000-0005-0000-0000-0000BD6A0000}"/>
    <cellStyle name="Normal 2 3 2 6 2 5" xfId="27355" xr:uid="{00000000-0005-0000-0000-0000BE6A0000}"/>
    <cellStyle name="Normal 2 3 2 6 2 6" xfId="27356" xr:uid="{00000000-0005-0000-0000-0000BF6A0000}"/>
    <cellStyle name="Normal 2 3 2 6 2 7" xfId="27357" xr:uid="{00000000-0005-0000-0000-0000C06A0000}"/>
    <cellStyle name="Normal 2 3 2 6 2 8" xfId="27358" xr:uid="{00000000-0005-0000-0000-0000C16A0000}"/>
    <cellStyle name="Normal 2 3 2 6 2 9" xfId="27359" xr:uid="{00000000-0005-0000-0000-0000C26A0000}"/>
    <cellStyle name="Normal 2 3 2 6 3" xfId="27360" xr:uid="{00000000-0005-0000-0000-0000C36A0000}"/>
    <cellStyle name="Normal 2 3 2 6 3 10" xfId="27361" xr:uid="{00000000-0005-0000-0000-0000C46A0000}"/>
    <cellStyle name="Normal 2 3 2 6 3 2" xfId="27362" xr:uid="{00000000-0005-0000-0000-0000C56A0000}"/>
    <cellStyle name="Normal 2 3 2 6 3 3" xfId="27363" xr:uid="{00000000-0005-0000-0000-0000C66A0000}"/>
    <cellStyle name="Normal 2 3 2 6 3 4" xfId="27364" xr:uid="{00000000-0005-0000-0000-0000C76A0000}"/>
    <cellStyle name="Normal 2 3 2 6 3 5" xfId="27365" xr:uid="{00000000-0005-0000-0000-0000C86A0000}"/>
    <cellStyle name="Normal 2 3 2 6 3 6" xfId="27366" xr:uid="{00000000-0005-0000-0000-0000C96A0000}"/>
    <cellStyle name="Normal 2 3 2 6 3 7" xfId="27367" xr:uid="{00000000-0005-0000-0000-0000CA6A0000}"/>
    <cellStyle name="Normal 2 3 2 6 3 8" xfId="27368" xr:uid="{00000000-0005-0000-0000-0000CB6A0000}"/>
    <cellStyle name="Normal 2 3 2 6 3 9" xfId="27369" xr:uid="{00000000-0005-0000-0000-0000CC6A0000}"/>
    <cellStyle name="Normal 2 3 2 6 4" xfId="27370" xr:uid="{00000000-0005-0000-0000-0000CD6A0000}"/>
    <cellStyle name="Normal 2 3 2 6 4 10" xfId="27371" xr:uid="{00000000-0005-0000-0000-0000CE6A0000}"/>
    <cellStyle name="Normal 2 3 2 6 4 2" xfId="27372" xr:uid="{00000000-0005-0000-0000-0000CF6A0000}"/>
    <cellStyle name="Normal 2 3 2 6 4 3" xfId="27373" xr:uid="{00000000-0005-0000-0000-0000D06A0000}"/>
    <cellStyle name="Normal 2 3 2 6 4 4" xfId="27374" xr:uid="{00000000-0005-0000-0000-0000D16A0000}"/>
    <cellStyle name="Normal 2 3 2 6 4 5" xfId="27375" xr:uid="{00000000-0005-0000-0000-0000D26A0000}"/>
    <cellStyle name="Normal 2 3 2 6 4 6" xfId="27376" xr:uid="{00000000-0005-0000-0000-0000D36A0000}"/>
    <cellStyle name="Normal 2 3 2 6 4 7" xfId="27377" xr:uid="{00000000-0005-0000-0000-0000D46A0000}"/>
    <cellStyle name="Normal 2 3 2 6 4 8" xfId="27378" xr:uid="{00000000-0005-0000-0000-0000D56A0000}"/>
    <cellStyle name="Normal 2 3 2 6 4 9" xfId="27379" xr:uid="{00000000-0005-0000-0000-0000D66A0000}"/>
    <cellStyle name="Normal 2 3 2 6 5" xfId="27380" xr:uid="{00000000-0005-0000-0000-0000D76A0000}"/>
    <cellStyle name="Normal 2 3 2 6 5 10" xfId="27381" xr:uid="{00000000-0005-0000-0000-0000D86A0000}"/>
    <cellStyle name="Normal 2 3 2 6 5 2" xfId="27382" xr:uid="{00000000-0005-0000-0000-0000D96A0000}"/>
    <cellStyle name="Normal 2 3 2 6 5 3" xfId="27383" xr:uid="{00000000-0005-0000-0000-0000DA6A0000}"/>
    <cellStyle name="Normal 2 3 2 6 5 4" xfId="27384" xr:uid="{00000000-0005-0000-0000-0000DB6A0000}"/>
    <cellStyle name="Normal 2 3 2 6 5 5" xfId="27385" xr:uid="{00000000-0005-0000-0000-0000DC6A0000}"/>
    <cellStyle name="Normal 2 3 2 6 5 6" xfId="27386" xr:uid="{00000000-0005-0000-0000-0000DD6A0000}"/>
    <cellStyle name="Normal 2 3 2 6 5 7" xfId="27387" xr:uid="{00000000-0005-0000-0000-0000DE6A0000}"/>
    <cellStyle name="Normal 2 3 2 6 5 8" xfId="27388" xr:uid="{00000000-0005-0000-0000-0000DF6A0000}"/>
    <cellStyle name="Normal 2 3 2 6 5 9" xfId="27389" xr:uid="{00000000-0005-0000-0000-0000E06A0000}"/>
    <cellStyle name="Normal 2 3 2 6 6" xfId="27390" xr:uid="{00000000-0005-0000-0000-0000E16A0000}"/>
    <cellStyle name="Normal 2 3 2 6 7" xfId="27391" xr:uid="{00000000-0005-0000-0000-0000E26A0000}"/>
    <cellStyle name="Normal 2 3 2 6 8" xfId="27392" xr:uid="{00000000-0005-0000-0000-0000E36A0000}"/>
    <cellStyle name="Normal 2 3 2 6 9" xfId="27393" xr:uid="{00000000-0005-0000-0000-0000E46A0000}"/>
    <cellStyle name="Normal 2 3 2 7" xfId="27394" xr:uid="{00000000-0005-0000-0000-0000E56A0000}"/>
    <cellStyle name="Normal 2 3 2 7 10" xfId="27395" xr:uid="{00000000-0005-0000-0000-0000E66A0000}"/>
    <cellStyle name="Normal 2 3 2 7 11" xfId="27396" xr:uid="{00000000-0005-0000-0000-0000E76A0000}"/>
    <cellStyle name="Normal 2 3 2 7 12" xfId="27397" xr:uid="{00000000-0005-0000-0000-0000E86A0000}"/>
    <cellStyle name="Normal 2 3 2 7 13" xfId="27398" xr:uid="{00000000-0005-0000-0000-0000E96A0000}"/>
    <cellStyle name="Normal 2 3 2 7 14" xfId="27399" xr:uid="{00000000-0005-0000-0000-0000EA6A0000}"/>
    <cellStyle name="Normal 2 3 2 7 2" xfId="27400" xr:uid="{00000000-0005-0000-0000-0000EB6A0000}"/>
    <cellStyle name="Normal 2 3 2 7 2 10" xfId="27401" xr:uid="{00000000-0005-0000-0000-0000EC6A0000}"/>
    <cellStyle name="Normal 2 3 2 7 2 2" xfId="27402" xr:uid="{00000000-0005-0000-0000-0000ED6A0000}"/>
    <cellStyle name="Normal 2 3 2 7 2 3" xfId="27403" xr:uid="{00000000-0005-0000-0000-0000EE6A0000}"/>
    <cellStyle name="Normal 2 3 2 7 2 4" xfId="27404" xr:uid="{00000000-0005-0000-0000-0000EF6A0000}"/>
    <cellStyle name="Normal 2 3 2 7 2 5" xfId="27405" xr:uid="{00000000-0005-0000-0000-0000F06A0000}"/>
    <cellStyle name="Normal 2 3 2 7 2 6" xfId="27406" xr:uid="{00000000-0005-0000-0000-0000F16A0000}"/>
    <cellStyle name="Normal 2 3 2 7 2 7" xfId="27407" xr:uid="{00000000-0005-0000-0000-0000F26A0000}"/>
    <cellStyle name="Normal 2 3 2 7 2 8" xfId="27408" xr:uid="{00000000-0005-0000-0000-0000F36A0000}"/>
    <cellStyle name="Normal 2 3 2 7 2 9" xfId="27409" xr:uid="{00000000-0005-0000-0000-0000F46A0000}"/>
    <cellStyle name="Normal 2 3 2 7 3" xfId="27410" xr:uid="{00000000-0005-0000-0000-0000F56A0000}"/>
    <cellStyle name="Normal 2 3 2 7 3 10" xfId="27411" xr:uid="{00000000-0005-0000-0000-0000F66A0000}"/>
    <cellStyle name="Normal 2 3 2 7 3 2" xfId="27412" xr:uid="{00000000-0005-0000-0000-0000F76A0000}"/>
    <cellStyle name="Normal 2 3 2 7 3 3" xfId="27413" xr:uid="{00000000-0005-0000-0000-0000F86A0000}"/>
    <cellStyle name="Normal 2 3 2 7 3 4" xfId="27414" xr:uid="{00000000-0005-0000-0000-0000F96A0000}"/>
    <cellStyle name="Normal 2 3 2 7 3 5" xfId="27415" xr:uid="{00000000-0005-0000-0000-0000FA6A0000}"/>
    <cellStyle name="Normal 2 3 2 7 3 6" xfId="27416" xr:uid="{00000000-0005-0000-0000-0000FB6A0000}"/>
    <cellStyle name="Normal 2 3 2 7 3 7" xfId="27417" xr:uid="{00000000-0005-0000-0000-0000FC6A0000}"/>
    <cellStyle name="Normal 2 3 2 7 3 8" xfId="27418" xr:uid="{00000000-0005-0000-0000-0000FD6A0000}"/>
    <cellStyle name="Normal 2 3 2 7 3 9" xfId="27419" xr:uid="{00000000-0005-0000-0000-0000FE6A0000}"/>
    <cellStyle name="Normal 2 3 2 7 4" xfId="27420" xr:uid="{00000000-0005-0000-0000-0000FF6A0000}"/>
    <cellStyle name="Normal 2 3 2 7 4 10" xfId="27421" xr:uid="{00000000-0005-0000-0000-0000006B0000}"/>
    <cellStyle name="Normal 2 3 2 7 4 2" xfId="27422" xr:uid="{00000000-0005-0000-0000-0000016B0000}"/>
    <cellStyle name="Normal 2 3 2 7 4 3" xfId="27423" xr:uid="{00000000-0005-0000-0000-0000026B0000}"/>
    <cellStyle name="Normal 2 3 2 7 4 4" xfId="27424" xr:uid="{00000000-0005-0000-0000-0000036B0000}"/>
    <cellStyle name="Normal 2 3 2 7 4 5" xfId="27425" xr:uid="{00000000-0005-0000-0000-0000046B0000}"/>
    <cellStyle name="Normal 2 3 2 7 4 6" xfId="27426" xr:uid="{00000000-0005-0000-0000-0000056B0000}"/>
    <cellStyle name="Normal 2 3 2 7 4 7" xfId="27427" xr:uid="{00000000-0005-0000-0000-0000066B0000}"/>
    <cellStyle name="Normal 2 3 2 7 4 8" xfId="27428" xr:uid="{00000000-0005-0000-0000-0000076B0000}"/>
    <cellStyle name="Normal 2 3 2 7 4 9" xfId="27429" xr:uid="{00000000-0005-0000-0000-0000086B0000}"/>
    <cellStyle name="Normal 2 3 2 7 5" xfId="27430" xr:uid="{00000000-0005-0000-0000-0000096B0000}"/>
    <cellStyle name="Normal 2 3 2 7 5 10" xfId="27431" xr:uid="{00000000-0005-0000-0000-00000A6B0000}"/>
    <cellStyle name="Normal 2 3 2 7 5 2" xfId="27432" xr:uid="{00000000-0005-0000-0000-00000B6B0000}"/>
    <cellStyle name="Normal 2 3 2 7 5 3" xfId="27433" xr:uid="{00000000-0005-0000-0000-00000C6B0000}"/>
    <cellStyle name="Normal 2 3 2 7 5 4" xfId="27434" xr:uid="{00000000-0005-0000-0000-00000D6B0000}"/>
    <cellStyle name="Normal 2 3 2 7 5 5" xfId="27435" xr:uid="{00000000-0005-0000-0000-00000E6B0000}"/>
    <cellStyle name="Normal 2 3 2 7 5 6" xfId="27436" xr:uid="{00000000-0005-0000-0000-00000F6B0000}"/>
    <cellStyle name="Normal 2 3 2 7 5 7" xfId="27437" xr:uid="{00000000-0005-0000-0000-0000106B0000}"/>
    <cellStyle name="Normal 2 3 2 7 5 8" xfId="27438" xr:uid="{00000000-0005-0000-0000-0000116B0000}"/>
    <cellStyle name="Normal 2 3 2 7 5 9" xfId="27439" xr:uid="{00000000-0005-0000-0000-0000126B0000}"/>
    <cellStyle name="Normal 2 3 2 7 6" xfId="27440" xr:uid="{00000000-0005-0000-0000-0000136B0000}"/>
    <cellStyle name="Normal 2 3 2 7 7" xfId="27441" xr:uid="{00000000-0005-0000-0000-0000146B0000}"/>
    <cellStyle name="Normal 2 3 2 7 8" xfId="27442" xr:uid="{00000000-0005-0000-0000-0000156B0000}"/>
    <cellStyle name="Normal 2 3 2 7 9" xfId="27443" xr:uid="{00000000-0005-0000-0000-0000166B0000}"/>
    <cellStyle name="Normal 2 3 2 8" xfId="27444" xr:uid="{00000000-0005-0000-0000-0000176B0000}"/>
    <cellStyle name="Normal 2 3 2 8 10" xfId="27445" xr:uid="{00000000-0005-0000-0000-0000186B0000}"/>
    <cellStyle name="Normal 2 3 2 8 11" xfId="27446" xr:uid="{00000000-0005-0000-0000-0000196B0000}"/>
    <cellStyle name="Normal 2 3 2 8 12" xfId="27447" xr:uid="{00000000-0005-0000-0000-00001A6B0000}"/>
    <cellStyle name="Normal 2 3 2 8 13" xfId="27448" xr:uid="{00000000-0005-0000-0000-00001B6B0000}"/>
    <cellStyle name="Normal 2 3 2 8 14" xfId="27449" xr:uid="{00000000-0005-0000-0000-00001C6B0000}"/>
    <cellStyle name="Normal 2 3 2 8 2" xfId="27450" xr:uid="{00000000-0005-0000-0000-00001D6B0000}"/>
    <cellStyle name="Normal 2 3 2 8 2 10" xfId="27451" xr:uid="{00000000-0005-0000-0000-00001E6B0000}"/>
    <cellStyle name="Normal 2 3 2 8 2 2" xfId="27452" xr:uid="{00000000-0005-0000-0000-00001F6B0000}"/>
    <cellStyle name="Normal 2 3 2 8 2 3" xfId="27453" xr:uid="{00000000-0005-0000-0000-0000206B0000}"/>
    <cellStyle name="Normal 2 3 2 8 2 4" xfId="27454" xr:uid="{00000000-0005-0000-0000-0000216B0000}"/>
    <cellStyle name="Normal 2 3 2 8 2 5" xfId="27455" xr:uid="{00000000-0005-0000-0000-0000226B0000}"/>
    <cellStyle name="Normal 2 3 2 8 2 6" xfId="27456" xr:uid="{00000000-0005-0000-0000-0000236B0000}"/>
    <cellStyle name="Normal 2 3 2 8 2 7" xfId="27457" xr:uid="{00000000-0005-0000-0000-0000246B0000}"/>
    <cellStyle name="Normal 2 3 2 8 2 8" xfId="27458" xr:uid="{00000000-0005-0000-0000-0000256B0000}"/>
    <cellStyle name="Normal 2 3 2 8 2 9" xfId="27459" xr:uid="{00000000-0005-0000-0000-0000266B0000}"/>
    <cellStyle name="Normal 2 3 2 8 3" xfId="27460" xr:uid="{00000000-0005-0000-0000-0000276B0000}"/>
    <cellStyle name="Normal 2 3 2 8 3 10" xfId="27461" xr:uid="{00000000-0005-0000-0000-0000286B0000}"/>
    <cellStyle name="Normal 2 3 2 8 3 2" xfId="27462" xr:uid="{00000000-0005-0000-0000-0000296B0000}"/>
    <cellStyle name="Normal 2 3 2 8 3 3" xfId="27463" xr:uid="{00000000-0005-0000-0000-00002A6B0000}"/>
    <cellStyle name="Normal 2 3 2 8 3 4" xfId="27464" xr:uid="{00000000-0005-0000-0000-00002B6B0000}"/>
    <cellStyle name="Normal 2 3 2 8 3 5" xfId="27465" xr:uid="{00000000-0005-0000-0000-00002C6B0000}"/>
    <cellStyle name="Normal 2 3 2 8 3 6" xfId="27466" xr:uid="{00000000-0005-0000-0000-00002D6B0000}"/>
    <cellStyle name="Normal 2 3 2 8 3 7" xfId="27467" xr:uid="{00000000-0005-0000-0000-00002E6B0000}"/>
    <cellStyle name="Normal 2 3 2 8 3 8" xfId="27468" xr:uid="{00000000-0005-0000-0000-00002F6B0000}"/>
    <cellStyle name="Normal 2 3 2 8 3 9" xfId="27469" xr:uid="{00000000-0005-0000-0000-0000306B0000}"/>
    <cellStyle name="Normal 2 3 2 8 4" xfId="27470" xr:uid="{00000000-0005-0000-0000-0000316B0000}"/>
    <cellStyle name="Normal 2 3 2 8 4 10" xfId="27471" xr:uid="{00000000-0005-0000-0000-0000326B0000}"/>
    <cellStyle name="Normal 2 3 2 8 4 2" xfId="27472" xr:uid="{00000000-0005-0000-0000-0000336B0000}"/>
    <cellStyle name="Normal 2 3 2 8 4 3" xfId="27473" xr:uid="{00000000-0005-0000-0000-0000346B0000}"/>
    <cellStyle name="Normal 2 3 2 8 4 4" xfId="27474" xr:uid="{00000000-0005-0000-0000-0000356B0000}"/>
    <cellStyle name="Normal 2 3 2 8 4 5" xfId="27475" xr:uid="{00000000-0005-0000-0000-0000366B0000}"/>
    <cellStyle name="Normal 2 3 2 8 4 6" xfId="27476" xr:uid="{00000000-0005-0000-0000-0000376B0000}"/>
    <cellStyle name="Normal 2 3 2 8 4 7" xfId="27477" xr:uid="{00000000-0005-0000-0000-0000386B0000}"/>
    <cellStyle name="Normal 2 3 2 8 4 8" xfId="27478" xr:uid="{00000000-0005-0000-0000-0000396B0000}"/>
    <cellStyle name="Normal 2 3 2 8 4 9" xfId="27479" xr:uid="{00000000-0005-0000-0000-00003A6B0000}"/>
    <cellStyle name="Normal 2 3 2 8 5" xfId="27480" xr:uid="{00000000-0005-0000-0000-00003B6B0000}"/>
    <cellStyle name="Normal 2 3 2 8 5 10" xfId="27481" xr:uid="{00000000-0005-0000-0000-00003C6B0000}"/>
    <cellStyle name="Normal 2 3 2 8 5 2" xfId="27482" xr:uid="{00000000-0005-0000-0000-00003D6B0000}"/>
    <cellStyle name="Normal 2 3 2 8 5 3" xfId="27483" xr:uid="{00000000-0005-0000-0000-00003E6B0000}"/>
    <cellStyle name="Normal 2 3 2 8 5 4" xfId="27484" xr:uid="{00000000-0005-0000-0000-00003F6B0000}"/>
    <cellStyle name="Normal 2 3 2 8 5 5" xfId="27485" xr:uid="{00000000-0005-0000-0000-0000406B0000}"/>
    <cellStyle name="Normal 2 3 2 8 5 6" xfId="27486" xr:uid="{00000000-0005-0000-0000-0000416B0000}"/>
    <cellStyle name="Normal 2 3 2 8 5 7" xfId="27487" xr:uid="{00000000-0005-0000-0000-0000426B0000}"/>
    <cellStyle name="Normal 2 3 2 8 5 8" xfId="27488" xr:uid="{00000000-0005-0000-0000-0000436B0000}"/>
    <cellStyle name="Normal 2 3 2 8 5 9" xfId="27489" xr:uid="{00000000-0005-0000-0000-0000446B0000}"/>
    <cellStyle name="Normal 2 3 2 8 6" xfId="27490" xr:uid="{00000000-0005-0000-0000-0000456B0000}"/>
    <cellStyle name="Normal 2 3 2 8 7" xfId="27491" xr:uid="{00000000-0005-0000-0000-0000466B0000}"/>
    <cellStyle name="Normal 2 3 2 8 8" xfId="27492" xr:uid="{00000000-0005-0000-0000-0000476B0000}"/>
    <cellStyle name="Normal 2 3 2 8 9" xfId="27493" xr:uid="{00000000-0005-0000-0000-0000486B0000}"/>
    <cellStyle name="Normal 2 3 2 9" xfId="27494" xr:uid="{00000000-0005-0000-0000-0000496B0000}"/>
    <cellStyle name="Normal 2 3 2 9 10" xfId="27495" xr:uid="{00000000-0005-0000-0000-00004A6B0000}"/>
    <cellStyle name="Normal 2 3 2 9 11" xfId="27496" xr:uid="{00000000-0005-0000-0000-00004B6B0000}"/>
    <cellStyle name="Normal 2 3 2 9 12" xfId="27497" xr:uid="{00000000-0005-0000-0000-00004C6B0000}"/>
    <cellStyle name="Normal 2 3 2 9 13" xfId="27498" xr:uid="{00000000-0005-0000-0000-00004D6B0000}"/>
    <cellStyle name="Normal 2 3 2 9 14" xfId="27499" xr:uid="{00000000-0005-0000-0000-00004E6B0000}"/>
    <cellStyle name="Normal 2 3 2 9 2" xfId="27500" xr:uid="{00000000-0005-0000-0000-00004F6B0000}"/>
    <cellStyle name="Normal 2 3 2 9 2 10" xfId="27501" xr:uid="{00000000-0005-0000-0000-0000506B0000}"/>
    <cellStyle name="Normal 2 3 2 9 2 2" xfId="27502" xr:uid="{00000000-0005-0000-0000-0000516B0000}"/>
    <cellStyle name="Normal 2 3 2 9 2 3" xfId="27503" xr:uid="{00000000-0005-0000-0000-0000526B0000}"/>
    <cellStyle name="Normal 2 3 2 9 2 4" xfId="27504" xr:uid="{00000000-0005-0000-0000-0000536B0000}"/>
    <cellStyle name="Normal 2 3 2 9 2 5" xfId="27505" xr:uid="{00000000-0005-0000-0000-0000546B0000}"/>
    <cellStyle name="Normal 2 3 2 9 2 6" xfId="27506" xr:uid="{00000000-0005-0000-0000-0000556B0000}"/>
    <cellStyle name="Normal 2 3 2 9 2 7" xfId="27507" xr:uid="{00000000-0005-0000-0000-0000566B0000}"/>
    <cellStyle name="Normal 2 3 2 9 2 8" xfId="27508" xr:uid="{00000000-0005-0000-0000-0000576B0000}"/>
    <cellStyle name="Normal 2 3 2 9 2 9" xfId="27509" xr:uid="{00000000-0005-0000-0000-0000586B0000}"/>
    <cellStyle name="Normal 2 3 2 9 3" xfId="27510" xr:uid="{00000000-0005-0000-0000-0000596B0000}"/>
    <cellStyle name="Normal 2 3 2 9 3 10" xfId="27511" xr:uid="{00000000-0005-0000-0000-00005A6B0000}"/>
    <cellStyle name="Normal 2 3 2 9 3 2" xfId="27512" xr:uid="{00000000-0005-0000-0000-00005B6B0000}"/>
    <cellStyle name="Normal 2 3 2 9 3 3" xfId="27513" xr:uid="{00000000-0005-0000-0000-00005C6B0000}"/>
    <cellStyle name="Normal 2 3 2 9 3 4" xfId="27514" xr:uid="{00000000-0005-0000-0000-00005D6B0000}"/>
    <cellStyle name="Normal 2 3 2 9 3 5" xfId="27515" xr:uid="{00000000-0005-0000-0000-00005E6B0000}"/>
    <cellStyle name="Normal 2 3 2 9 3 6" xfId="27516" xr:uid="{00000000-0005-0000-0000-00005F6B0000}"/>
    <cellStyle name="Normal 2 3 2 9 3 7" xfId="27517" xr:uid="{00000000-0005-0000-0000-0000606B0000}"/>
    <cellStyle name="Normal 2 3 2 9 3 8" xfId="27518" xr:uid="{00000000-0005-0000-0000-0000616B0000}"/>
    <cellStyle name="Normal 2 3 2 9 3 9" xfId="27519" xr:uid="{00000000-0005-0000-0000-0000626B0000}"/>
    <cellStyle name="Normal 2 3 2 9 4" xfId="27520" xr:uid="{00000000-0005-0000-0000-0000636B0000}"/>
    <cellStyle name="Normal 2 3 2 9 4 10" xfId="27521" xr:uid="{00000000-0005-0000-0000-0000646B0000}"/>
    <cellStyle name="Normal 2 3 2 9 4 2" xfId="27522" xr:uid="{00000000-0005-0000-0000-0000656B0000}"/>
    <cellStyle name="Normal 2 3 2 9 4 3" xfId="27523" xr:uid="{00000000-0005-0000-0000-0000666B0000}"/>
    <cellStyle name="Normal 2 3 2 9 4 4" xfId="27524" xr:uid="{00000000-0005-0000-0000-0000676B0000}"/>
    <cellStyle name="Normal 2 3 2 9 4 5" xfId="27525" xr:uid="{00000000-0005-0000-0000-0000686B0000}"/>
    <cellStyle name="Normal 2 3 2 9 4 6" xfId="27526" xr:uid="{00000000-0005-0000-0000-0000696B0000}"/>
    <cellStyle name="Normal 2 3 2 9 4 7" xfId="27527" xr:uid="{00000000-0005-0000-0000-00006A6B0000}"/>
    <cellStyle name="Normal 2 3 2 9 4 8" xfId="27528" xr:uid="{00000000-0005-0000-0000-00006B6B0000}"/>
    <cellStyle name="Normal 2 3 2 9 4 9" xfId="27529" xr:uid="{00000000-0005-0000-0000-00006C6B0000}"/>
    <cellStyle name="Normal 2 3 2 9 5" xfId="27530" xr:uid="{00000000-0005-0000-0000-00006D6B0000}"/>
    <cellStyle name="Normal 2 3 2 9 5 10" xfId="27531" xr:uid="{00000000-0005-0000-0000-00006E6B0000}"/>
    <cellStyle name="Normal 2 3 2 9 5 2" xfId="27532" xr:uid="{00000000-0005-0000-0000-00006F6B0000}"/>
    <cellStyle name="Normal 2 3 2 9 5 3" xfId="27533" xr:uid="{00000000-0005-0000-0000-0000706B0000}"/>
    <cellStyle name="Normal 2 3 2 9 5 4" xfId="27534" xr:uid="{00000000-0005-0000-0000-0000716B0000}"/>
    <cellStyle name="Normal 2 3 2 9 5 5" xfId="27535" xr:uid="{00000000-0005-0000-0000-0000726B0000}"/>
    <cellStyle name="Normal 2 3 2 9 5 6" xfId="27536" xr:uid="{00000000-0005-0000-0000-0000736B0000}"/>
    <cellStyle name="Normal 2 3 2 9 5 7" xfId="27537" xr:uid="{00000000-0005-0000-0000-0000746B0000}"/>
    <cellStyle name="Normal 2 3 2 9 5 8" xfId="27538" xr:uid="{00000000-0005-0000-0000-0000756B0000}"/>
    <cellStyle name="Normal 2 3 2 9 5 9" xfId="27539" xr:uid="{00000000-0005-0000-0000-0000766B0000}"/>
    <cellStyle name="Normal 2 3 2 9 6" xfId="27540" xr:uid="{00000000-0005-0000-0000-0000776B0000}"/>
    <cellStyle name="Normal 2 3 2 9 7" xfId="27541" xr:uid="{00000000-0005-0000-0000-0000786B0000}"/>
    <cellStyle name="Normal 2 3 2 9 8" xfId="27542" xr:uid="{00000000-0005-0000-0000-0000796B0000}"/>
    <cellStyle name="Normal 2 3 2 9 9" xfId="27543" xr:uid="{00000000-0005-0000-0000-00007A6B0000}"/>
    <cellStyle name="Normal 2 3 20" xfId="27544" xr:uid="{00000000-0005-0000-0000-00007B6B0000}"/>
    <cellStyle name="Normal 2 3 20 10" xfId="27545" xr:uid="{00000000-0005-0000-0000-00007C6B0000}"/>
    <cellStyle name="Normal 2 3 20 11" xfId="27546" xr:uid="{00000000-0005-0000-0000-00007D6B0000}"/>
    <cellStyle name="Normal 2 3 20 12" xfId="27547" xr:uid="{00000000-0005-0000-0000-00007E6B0000}"/>
    <cellStyle name="Normal 2 3 20 13" xfId="27548" xr:uid="{00000000-0005-0000-0000-00007F6B0000}"/>
    <cellStyle name="Normal 2 3 20 14" xfId="27549" xr:uid="{00000000-0005-0000-0000-0000806B0000}"/>
    <cellStyle name="Normal 2 3 20 2" xfId="27550" xr:uid="{00000000-0005-0000-0000-0000816B0000}"/>
    <cellStyle name="Normal 2 3 20 2 10" xfId="27551" xr:uid="{00000000-0005-0000-0000-0000826B0000}"/>
    <cellStyle name="Normal 2 3 20 2 2" xfId="27552" xr:uid="{00000000-0005-0000-0000-0000836B0000}"/>
    <cellStyle name="Normal 2 3 20 2 3" xfId="27553" xr:uid="{00000000-0005-0000-0000-0000846B0000}"/>
    <cellStyle name="Normal 2 3 20 2 4" xfId="27554" xr:uid="{00000000-0005-0000-0000-0000856B0000}"/>
    <cellStyle name="Normal 2 3 20 2 5" xfId="27555" xr:uid="{00000000-0005-0000-0000-0000866B0000}"/>
    <cellStyle name="Normal 2 3 20 2 6" xfId="27556" xr:uid="{00000000-0005-0000-0000-0000876B0000}"/>
    <cellStyle name="Normal 2 3 20 2 7" xfId="27557" xr:uid="{00000000-0005-0000-0000-0000886B0000}"/>
    <cellStyle name="Normal 2 3 20 2 8" xfId="27558" xr:uid="{00000000-0005-0000-0000-0000896B0000}"/>
    <cellStyle name="Normal 2 3 20 2 9" xfId="27559" xr:uid="{00000000-0005-0000-0000-00008A6B0000}"/>
    <cellStyle name="Normal 2 3 20 3" xfId="27560" xr:uid="{00000000-0005-0000-0000-00008B6B0000}"/>
    <cellStyle name="Normal 2 3 20 3 10" xfId="27561" xr:uid="{00000000-0005-0000-0000-00008C6B0000}"/>
    <cellStyle name="Normal 2 3 20 3 2" xfId="27562" xr:uid="{00000000-0005-0000-0000-00008D6B0000}"/>
    <cellStyle name="Normal 2 3 20 3 3" xfId="27563" xr:uid="{00000000-0005-0000-0000-00008E6B0000}"/>
    <cellStyle name="Normal 2 3 20 3 4" xfId="27564" xr:uid="{00000000-0005-0000-0000-00008F6B0000}"/>
    <cellStyle name="Normal 2 3 20 3 5" xfId="27565" xr:uid="{00000000-0005-0000-0000-0000906B0000}"/>
    <cellStyle name="Normal 2 3 20 3 6" xfId="27566" xr:uid="{00000000-0005-0000-0000-0000916B0000}"/>
    <cellStyle name="Normal 2 3 20 3 7" xfId="27567" xr:uid="{00000000-0005-0000-0000-0000926B0000}"/>
    <cellStyle name="Normal 2 3 20 3 8" xfId="27568" xr:uid="{00000000-0005-0000-0000-0000936B0000}"/>
    <cellStyle name="Normal 2 3 20 3 9" xfId="27569" xr:uid="{00000000-0005-0000-0000-0000946B0000}"/>
    <cellStyle name="Normal 2 3 20 4" xfId="27570" xr:uid="{00000000-0005-0000-0000-0000956B0000}"/>
    <cellStyle name="Normal 2 3 20 4 10" xfId="27571" xr:uid="{00000000-0005-0000-0000-0000966B0000}"/>
    <cellStyle name="Normal 2 3 20 4 2" xfId="27572" xr:uid="{00000000-0005-0000-0000-0000976B0000}"/>
    <cellStyle name="Normal 2 3 20 4 3" xfId="27573" xr:uid="{00000000-0005-0000-0000-0000986B0000}"/>
    <cellStyle name="Normal 2 3 20 4 4" xfId="27574" xr:uid="{00000000-0005-0000-0000-0000996B0000}"/>
    <cellStyle name="Normal 2 3 20 4 5" xfId="27575" xr:uid="{00000000-0005-0000-0000-00009A6B0000}"/>
    <cellStyle name="Normal 2 3 20 4 6" xfId="27576" xr:uid="{00000000-0005-0000-0000-00009B6B0000}"/>
    <cellStyle name="Normal 2 3 20 4 7" xfId="27577" xr:uid="{00000000-0005-0000-0000-00009C6B0000}"/>
    <cellStyle name="Normal 2 3 20 4 8" xfId="27578" xr:uid="{00000000-0005-0000-0000-00009D6B0000}"/>
    <cellStyle name="Normal 2 3 20 4 9" xfId="27579" xr:uid="{00000000-0005-0000-0000-00009E6B0000}"/>
    <cellStyle name="Normal 2 3 20 5" xfId="27580" xr:uid="{00000000-0005-0000-0000-00009F6B0000}"/>
    <cellStyle name="Normal 2 3 20 5 10" xfId="27581" xr:uid="{00000000-0005-0000-0000-0000A06B0000}"/>
    <cellStyle name="Normal 2 3 20 5 2" xfId="27582" xr:uid="{00000000-0005-0000-0000-0000A16B0000}"/>
    <cellStyle name="Normal 2 3 20 5 3" xfId="27583" xr:uid="{00000000-0005-0000-0000-0000A26B0000}"/>
    <cellStyle name="Normal 2 3 20 5 4" xfId="27584" xr:uid="{00000000-0005-0000-0000-0000A36B0000}"/>
    <cellStyle name="Normal 2 3 20 5 5" xfId="27585" xr:uid="{00000000-0005-0000-0000-0000A46B0000}"/>
    <cellStyle name="Normal 2 3 20 5 6" xfId="27586" xr:uid="{00000000-0005-0000-0000-0000A56B0000}"/>
    <cellStyle name="Normal 2 3 20 5 7" xfId="27587" xr:uid="{00000000-0005-0000-0000-0000A66B0000}"/>
    <cellStyle name="Normal 2 3 20 5 8" xfId="27588" xr:uid="{00000000-0005-0000-0000-0000A76B0000}"/>
    <cellStyle name="Normal 2 3 20 5 9" xfId="27589" xr:uid="{00000000-0005-0000-0000-0000A86B0000}"/>
    <cellStyle name="Normal 2 3 20 6" xfId="27590" xr:uid="{00000000-0005-0000-0000-0000A96B0000}"/>
    <cellStyle name="Normal 2 3 20 7" xfId="27591" xr:uid="{00000000-0005-0000-0000-0000AA6B0000}"/>
    <cellStyle name="Normal 2 3 20 8" xfId="27592" xr:uid="{00000000-0005-0000-0000-0000AB6B0000}"/>
    <cellStyle name="Normal 2 3 20 9" xfId="27593" xr:uid="{00000000-0005-0000-0000-0000AC6B0000}"/>
    <cellStyle name="Normal 2 3 21" xfId="27594" xr:uid="{00000000-0005-0000-0000-0000AD6B0000}"/>
    <cellStyle name="Normal 2 3 21 10" xfId="27595" xr:uid="{00000000-0005-0000-0000-0000AE6B0000}"/>
    <cellStyle name="Normal 2 3 21 11" xfId="27596" xr:uid="{00000000-0005-0000-0000-0000AF6B0000}"/>
    <cellStyle name="Normal 2 3 21 12" xfId="27597" xr:uid="{00000000-0005-0000-0000-0000B06B0000}"/>
    <cellStyle name="Normal 2 3 21 13" xfId="27598" xr:uid="{00000000-0005-0000-0000-0000B16B0000}"/>
    <cellStyle name="Normal 2 3 21 14" xfId="27599" xr:uid="{00000000-0005-0000-0000-0000B26B0000}"/>
    <cellStyle name="Normal 2 3 21 2" xfId="27600" xr:uid="{00000000-0005-0000-0000-0000B36B0000}"/>
    <cellStyle name="Normal 2 3 21 2 10" xfId="27601" xr:uid="{00000000-0005-0000-0000-0000B46B0000}"/>
    <cellStyle name="Normal 2 3 21 2 2" xfId="27602" xr:uid="{00000000-0005-0000-0000-0000B56B0000}"/>
    <cellStyle name="Normal 2 3 21 2 3" xfId="27603" xr:uid="{00000000-0005-0000-0000-0000B66B0000}"/>
    <cellStyle name="Normal 2 3 21 2 4" xfId="27604" xr:uid="{00000000-0005-0000-0000-0000B76B0000}"/>
    <cellStyle name="Normal 2 3 21 2 5" xfId="27605" xr:uid="{00000000-0005-0000-0000-0000B86B0000}"/>
    <cellStyle name="Normal 2 3 21 2 6" xfId="27606" xr:uid="{00000000-0005-0000-0000-0000B96B0000}"/>
    <cellStyle name="Normal 2 3 21 2 7" xfId="27607" xr:uid="{00000000-0005-0000-0000-0000BA6B0000}"/>
    <cellStyle name="Normal 2 3 21 2 8" xfId="27608" xr:uid="{00000000-0005-0000-0000-0000BB6B0000}"/>
    <cellStyle name="Normal 2 3 21 2 9" xfId="27609" xr:uid="{00000000-0005-0000-0000-0000BC6B0000}"/>
    <cellStyle name="Normal 2 3 21 3" xfId="27610" xr:uid="{00000000-0005-0000-0000-0000BD6B0000}"/>
    <cellStyle name="Normal 2 3 21 3 10" xfId="27611" xr:uid="{00000000-0005-0000-0000-0000BE6B0000}"/>
    <cellStyle name="Normal 2 3 21 3 2" xfId="27612" xr:uid="{00000000-0005-0000-0000-0000BF6B0000}"/>
    <cellStyle name="Normal 2 3 21 3 3" xfId="27613" xr:uid="{00000000-0005-0000-0000-0000C06B0000}"/>
    <cellStyle name="Normal 2 3 21 3 4" xfId="27614" xr:uid="{00000000-0005-0000-0000-0000C16B0000}"/>
    <cellStyle name="Normal 2 3 21 3 5" xfId="27615" xr:uid="{00000000-0005-0000-0000-0000C26B0000}"/>
    <cellStyle name="Normal 2 3 21 3 6" xfId="27616" xr:uid="{00000000-0005-0000-0000-0000C36B0000}"/>
    <cellStyle name="Normal 2 3 21 3 7" xfId="27617" xr:uid="{00000000-0005-0000-0000-0000C46B0000}"/>
    <cellStyle name="Normal 2 3 21 3 8" xfId="27618" xr:uid="{00000000-0005-0000-0000-0000C56B0000}"/>
    <cellStyle name="Normal 2 3 21 3 9" xfId="27619" xr:uid="{00000000-0005-0000-0000-0000C66B0000}"/>
    <cellStyle name="Normal 2 3 21 4" xfId="27620" xr:uid="{00000000-0005-0000-0000-0000C76B0000}"/>
    <cellStyle name="Normal 2 3 21 4 10" xfId="27621" xr:uid="{00000000-0005-0000-0000-0000C86B0000}"/>
    <cellStyle name="Normal 2 3 21 4 2" xfId="27622" xr:uid="{00000000-0005-0000-0000-0000C96B0000}"/>
    <cellStyle name="Normal 2 3 21 4 3" xfId="27623" xr:uid="{00000000-0005-0000-0000-0000CA6B0000}"/>
    <cellStyle name="Normal 2 3 21 4 4" xfId="27624" xr:uid="{00000000-0005-0000-0000-0000CB6B0000}"/>
    <cellStyle name="Normal 2 3 21 4 5" xfId="27625" xr:uid="{00000000-0005-0000-0000-0000CC6B0000}"/>
    <cellStyle name="Normal 2 3 21 4 6" xfId="27626" xr:uid="{00000000-0005-0000-0000-0000CD6B0000}"/>
    <cellStyle name="Normal 2 3 21 4 7" xfId="27627" xr:uid="{00000000-0005-0000-0000-0000CE6B0000}"/>
    <cellStyle name="Normal 2 3 21 4 8" xfId="27628" xr:uid="{00000000-0005-0000-0000-0000CF6B0000}"/>
    <cellStyle name="Normal 2 3 21 4 9" xfId="27629" xr:uid="{00000000-0005-0000-0000-0000D06B0000}"/>
    <cellStyle name="Normal 2 3 21 5" xfId="27630" xr:uid="{00000000-0005-0000-0000-0000D16B0000}"/>
    <cellStyle name="Normal 2 3 21 5 10" xfId="27631" xr:uid="{00000000-0005-0000-0000-0000D26B0000}"/>
    <cellStyle name="Normal 2 3 21 5 2" xfId="27632" xr:uid="{00000000-0005-0000-0000-0000D36B0000}"/>
    <cellStyle name="Normal 2 3 21 5 3" xfId="27633" xr:uid="{00000000-0005-0000-0000-0000D46B0000}"/>
    <cellStyle name="Normal 2 3 21 5 4" xfId="27634" xr:uid="{00000000-0005-0000-0000-0000D56B0000}"/>
    <cellStyle name="Normal 2 3 21 5 5" xfId="27635" xr:uid="{00000000-0005-0000-0000-0000D66B0000}"/>
    <cellStyle name="Normal 2 3 21 5 6" xfId="27636" xr:uid="{00000000-0005-0000-0000-0000D76B0000}"/>
    <cellStyle name="Normal 2 3 21 5 7" xfId="27637" xr:uid="{00000000-0005-0000-0000-0000D86B0000}"/>
    <cellStyle name="Normal 2 3 21 5 8" xfId="27638" xr:uid="{00000000-0005-0000-0000-0000D96B0000}"/>
    <cellStyle name="Normal 2 3 21 5 9" xfId="27639" xr:uid="{00000000-0005-0000-0000-0000DA6B0000}"/>
    <cellStyle name="Normal 2 3 21 6" xfId="27640" xr:uid="{00000000-0005-0000-0000-0000DB6B0000}"/>
    <cellStyle name="Normal 2 3 21 7" xfId="27641" xr:uid="{00000000-0005-0000-0000-0000DC6B0000}"/>
    <cellStyle name="Normal 2 3 21 8" xfId="27642" xr:uid="{00000000-0005-0000-0000-0000DD6B0000}"/>
    <cellStyle name="Normal 2 3 21 9" xfId="27643" xr:uid="{00000000-0005-0000-0000-0000DE6B0000}"/>
    <cellStyle name="Normal 2 3 22" xfId="27644" xr:uid="{00000000-0005-0000-0000-0000DF6B0000}"/>
    <cellStyle name="Normal 2 3 22 10" xfId="27645" xr:uid="{00000000-0005-0000-0000-0000E06B0000}"/>
    <cellStyle name="Normal 2 3 22 11" xfId="27646" xr:uid="{00000000-0005-0000-0000-0000E16B0000}"/>
    <cellStyle name="Normal 2 3 22 12" xfId="27647" xr:uid="{00000000-0005-0000-0000-0000E26B0000}"/>
    <cellStyle name="Normal 2 3 22 13" xfId="27648" xr:uid="{00000000-0005-0000-0000-0000E36B0000}"/>
    <cellStyle name="Normal 2 3 22 14" xfId="27649" xr:uid="{00000000-0005-0000-0000-0000E46B0000}"/>
    <cellStyle name="Normal 2 3 22 2" xfId="27650" xr:uid="{00000000-0005-0000-0000-0000E56B0000}"/>
    <cellStyle name="Normal 2 3 22 2 10" xfId="27651" xr:uid="{00000000-0005-0000-0000-0000E66B0000}"/>
    <cellStyle name="Normal 2 3 22 2 2" xfId="27652" xr:uid="{00000000-0005-0000-0000-0000E76B0000}"/>
    <cellStyle name="Normal 2 3 22 2 3" xfId="27653" xr:uid="{00000000-0005-0000-0000-0000E86B0000}"/>
    <cellStyle name="Normal 2 3 22 2 4" xfId="27654" xr:uid="{00000000-0005-0000-0000-0000E96B0000}"/>
    <cellStyle name="Normal 2 3 22 2 5" xfId="27655" xr:uid="{00000000-0005-0000-0000-0000EA6B0000}"/>
    <cellStyle name="Normal 2 3 22 2 6" xfId="27656" xr:uid="{00000000-0005-0000-0000-0000EB6B0000}"/>
    <cellStyle name="Normal 2 3 22 2 7" xfId="27657" xr:uid="{00000000-0005-0000-0000-0000EC6B0000}"/>
    <cellStyle name="Normal 2 3 22 2 8" xfId="27658" xr:uid="{00000000-0005-0000-0000-0000ED6B0000}"/>
    <cellStyle name="Normal 2 3 22 2 9" xfId="27659" xr:uid="{00000000-0005-0000-0000-0000EE6B0000}"/>
    <cellStyle name="Normal 2 3 22 3" xfId="27660" xr:uid="{00000000-0005-0000-0000-0000EF6B0000}"/>
    <cellStyle name="Normal 2 3 22 3 10" xfId="27661" xr:uid="{00000000-0005-0000-0000-0000F06B0000}"/>
    <cellStyle name="Normal 2 3 22 3 2" xfId="27662" xr:uid="{00000000-0005-0000-0000-0000F16B0000}"/>
    <cellStyle name="Normal 2 3 22 3 3" xfId="27663" xr:uid="{00000000-0005-0000-0000-0000F26B0000}"/>
    <cellStyle name="Normal 2 3 22 3 4" xfId="27664" xr:uid="{00000000-0005-0000-0000-0000F36B0000}"/>
    <cellStyle name="Normal 2 3 22 3 5" xfId="27665" xr:uid="{00000000-0005-0000-0000-0000F46B0000}"/>
    <cellStyle name="Normal 2 3 22 3 6" xfId="27666" xr:uid="{00000000-0005-0000-0000-0000F56B0000}"/>
    <cellStyle name="Normal 2 3 22 3 7" xfId="27667" xr:uid="{00000000-0005-0000-0000-0000F66B0000}"/>
    <cellStyle name="Normal 2 3 22 3 8" xfId="27668" xr:uid="{00000000-0005-0000-0000-0000F76B0000}"/>
    <cellStyle name="Normal 2 3 22 3 9" xfId="27669" xr:uid="{00000000-0005-0000-0000-0000F86B0000}"/>
    <cellStyle name="Normal 2 3 22 4" xfId="27670" xr:uid="{00000000-0005-0000-0000-0000F96B0000}"/>
    <cellStyle name="Normal 2 3 22 4 10" xfId="27671" xr:uid="{00000000-0005-0000-0000-0000FA6B0000}"/>
    <cellStyle name="Normal 2 3 22 4 2" xfId="27672" xr:uid="{00000000-0005-0000-0000-0000FB6B0000}"/>
    <cellStyle name="Normal 2 3 22 4 3" xfId="27673" xr:uid="{00000000-0005-0000-0000-0000FC6B0000}"/>
    <cellStyle name="Normal 2 3 22 4 4" xfId="27674" xr:uid="{00000000-0005-0000-0000-0000FD6B0000}"/>
    <cellStyle name="Normal 2 3 22 4 5" xfId="27675" xr:uid="{00000000-0005-0000-0000-0000FE6B0000}"/>
    <cellStyle name="Normal 2 3 22 4 6" xfId="27676" xr:uid="{00000000-0005-0000-0000-0000FF6B0000}"/>
    <cellStyle name="Normal 2 3 22 4 7" xfId="27677" xr:uid="{00000000-0005-0000-0000-0000006C0000}"/>
    <cellStyle name="Normal 2 3 22 4 8" xfId="27678" xr:uid="{00000000-0005-0000-0000-0000016C0000}"/>
    <cellStyle name="Normal 2 3 22 4 9" xfId="27679" xr:uid="{00000000-0005-0000-0000-0000026C0000}"/>
    <cellStyle name="Normal 2 3 22 5" xfId="27680" xr:uid="{00000000-0005-0000-0000-0000036C0000}"/>
    <cellStyle name="Normal 2 3 22 5 10" xfId="27681" xr:uid="{00000000-0005-0000-0000-0000046C0000}"/>
    <cellStyle name="Normal 2 3 22 5 2" xfId="27682" xr:uid="{00000000-0005-0000-0000-0000056C0000}"/>
    <cellStyle name="Normal 2 3 22 5 3" xfId="27683" xr:uid="{00000000-0005-0000-0000-0000066C0000}"/>
    <cellStyle name="Normal 2 3 22 5 4" xfId="27684" xr:uid="{00000000-0005-0000-0000-0000076C0000}"/>
    <cellStyle name="Normal 2 3 22 5 5" xfId="27685" xr:uid="{00000000-0005-0000-0000-0000086C0000}"/>
    <cellStyle name="Normal 2 3 22 5 6" xfId="27686" xr:uid="{00000000-0005-0000-0000-0000096C0000}"/>
    <cellStyle name="Normal 2 3 22 5 7" xfId="27687" xr:uid="{00000000-0005-0000-0000-00000A6C0000}"/>
    <cellStyle name="Normal 2 3 22 5 8" xfId="27688" xr:uid="{00000000-0005-0000-0000-00000B6C0000}"/>
    <cellStyle name="Normal 2 3 22 5 9" xfId="27689" xr:uid="{00000000-0005-0000-0000-00000C6C0000}"/>
    <cellStyle name="Normal 2 3 22 6" xfId="27690" xr:uid="{00000000-0005-0000-0000-00000D6C0000}"/>
    <cellStyle name="Normal 2 3 22 7" xfId="27691" xr:uid="{00000000-0005-0000-0000-00000E6C0000}"/>
    <cellStyle name="Normal 2 3 22 8" xfId="27692" xr:uid="{00000000-0005-0000-0000-00000F6C0000}"/>
    <cellStyle name="Normal 2 3 22 9" xfId="27693" xr:uid="{00000000-0005-0000-0000-0000106C0000}"/>
    <cellStyle name="Normal 2 3 23" xfId="27694" xr:uid="{00000000-0005-0000-0000-0000116C0000}"/>
    <cellStyle name="Normal 2 3 23 10" xfId="27695" xr:uid="{00000000-0005-0000-0000-0000126C0000}"/>
    <cellStyle name="Normal 2 3 23 11" xfId="27696" xr:uid="{00000000-0005-0000-0000-0000136C0000}"/>
    <cellStyle name="Normal 2 3 23 12" xfId="27697" xr:uid="{00000000-0005-0000-0000-0000146C0000}"/>
    <cellStyle name="Normal 2 3 23 13" xfId="27698" xr:uid="{00000000-0005-0000-0000-0000156C0000}"/>
    <cellStyle name="Normal 2 3 23 14" xfId="27699" xr:uid="{00000000-0005-0000-0000-0000166C0000}"/>
    <cellStyle name="Normal 2 3 23 2" xfId="27700" xr:uid="{00000000-0005-0000-0000-0000176C0000}"/>
    <cellStyle name="Normal 2 3 23 2 10" xfId="27701" xr:uid="{00000000-0005-0000-0000-0000186C0000}"/>
    <cellStyle name="Normal 2 3 23 2 2" xfId="27702" xr:uid="{00000000-0005-0000-0000-0000196C0000}"/>
    <cellStyle name="Normal 2 3 23 2 3" xfId="27703" xr:uid="{00000000-0005-0000-0000-00001A6C0000}"/>
    <cellStyle name="Normal 2 3 23 2 4" xfId="27704" xr:uid="{00000000-0005-0000-0000-00001B6C0000}"/>
    <cellStyle name="Normal 2 3 23 2 5" xfId="27705" xr:uid="{00000000-0005-0000-0000-00001C6C0000}"/>
    <cellStyle name="Normal 2 3 23 2 6" xfId="27706" xr:uid="{00000000-0005-0000-0000-00001D6C0000}"/>
    <cellStyle name="Normal 2 3 23 2 7" xfId="27707" xr:uid="{00000000-0005-0000-0000-00001E6C0000}"/>
    <cellStyle name="Normal 2 3 23 2 8" xfId="27708" xr:uid="{00000000-0005-0000-0000-00001F6C0000}"/>
    <cellStyle name="Normal 2 3 23 2 9" xfId="27709" xr:uid="{00000000-0005-0000-0000-0000206C0000}"/>
    <cellStyle name="Normal 2 3 23 3" xfId="27710" xr:uid="{00000000-0005-0000-0000-0000216C0000}"/>
    <cellStyle name="Normal 2 3 23 3 10" xfId="27711" xr:uid="{00000000-0005-0000-0000-0000226C0000}"/>
    <cellStyle name="Normal 2 3 23 3 2" xfId="27712" xr:uid="{00000000-0005-0000-0000-0000236C0000}"/>
    <cellStyle name="Normal 2 3 23 3 3" xfId="27713" xr:uid="{00000000-0005-0000-0000-0000246C0000}"/>
    <cellStyle name="Normal 2 3 23 3 4" xfId="27714" xr:uid="{00000000-0005-0000-0000-0000256C0000}"/>
    <cellStyle name="Normal 2 3 23 3 5" xfId="27715" xr:uid="{00000000-0005-0000-0000-0000266C0000}"/>
    <cellStyle name="Normal 2 3 23 3 6" xfId="27716" xr:uid="{00000000-0005-0000-0000-0000276C0000}"/>
    <cellStyle name="Normal 2 3 23 3 7" xfId="27717" xr:uid="{00000000-0005-0000-0000-0000286C0000}"/>
    <cellStyle name="Normal 2 3 23 3 8" xfId="27718" xr:uid="{00000000-0005-0000-0000-0000296C0000}"/>
    <cellStyle name="Normal 2 3 23 3 9" xfId="27719" xr:uid="{00000000-0005-0000-0000-00002A6C0000}"/>
    <cellStyle name="Normal 2 3 23 4" xfId="27720" xr:uid="{00000000-0005-0000-0000-00002B6C0000}"/>
    <cellStyle name="Normal 2 3 23 4 10" xfId="27721" xr:uid="{00000000-0005-0000-0000-00002C6C0000}"/>
    <cellStyle name="Normal 2 3 23 4 2" xfId="27722" xr:uid="{00000000-0005-0000-0000-00002D6C0000}"/>
    <cellStyle name="Normal 2 3 23 4 3" xfId="27723" xr:uid="{00000000-0005-0000-0000-00002E6C0000}"/>
    <cellStyle name="Normal 2 3 23 4 4" xfId="27724" xr:uid="{00000000-0005-0000-0000-00002F6C0000}"/>
    <cellStyle name="Normal 2 3 23 4 5" xfId="27725" xr:uid="{00000000-0005-0000-0000-0000306C0000}"/>
    <cellStyle name="Normal 2 3 23 4 6" xfId="27726" xr:uid="{00000000-0005-0000-0000-0000316C0000}"/>
    <cellStyle name="Normal 2 3 23 4 7" xfId="27727" xr:uid="{00000000-0005-0000-0000-0000326C0000}"/>
    <cellStyle name="Normal 2 3 23 4 8" xfId="27728" xr:uid="{00000000-0005-0000-0000-0000336C0000}"/>
    <cellStyle name="Normal 2 3 23 4 9" xfId="27729" xr:uid="{00000000-0005-0000-0000-0000346C0000}"/>
    <cellStyle name="Normal 2 3 23 5" xfId="27730" xr:uid="{00000000-0005-0000-0000-0000356C0000}"/>
    <cellStyle name="Normal 2 3 23 5 10" xfId="27731" xr:uid="{00000000-0005-0000-0000-0000366C0000}"/>
    <cellStyle name="Normal 2 3 23 5 2" xfId="27732" xr:uid="{00000000-0005-0000-0000-0000376C0000}"/>
    <cellStyle name="Normal 2 3 23 5 3" xfId="27733" xr:uid="{00000000-0005-0000-0000-0000386C0000}"/>
    <cellStyle name="Normal 2 3 23 5 4" xfId="27734" xr:uid="{00000000-0005-0000-0000-0000396C0000}"/>
    <cellStyle name="Normal 2 3 23 5 5" xfId="27735" xr:uid="{00000000-0005-0000-0000-00003A6C0000}"/>
    <cellStyle name="Normal 2 3 23 5 6" xfId="27736" xr:uid="{00000000-0005-0000-0000-00003B6C0000}"/>
    <cellStyle name="Normal 2 3 23 5 7" xfId="27737" xr:uid="{00000000-0005-0000-0000-00003C6C0000}"/>
    <cellStyle name="Normal 2 3 23 5 8" xfId="27738" xr:uid="{00000000-0005-0000-0000-00003D6C0000}"/>
    <cellStyle name="Normal 2 3 23 5 9" xfId="27739" xr:uid="{00000000-0005-0000-0000-00003E6C0000}"/>
    <cellStyle name="Normal 2 3 23 6" xfId="27740" xr:uid="{00000000-0005-0000-0000-00003F6C0000}"/>
    <cellStyle name="Normal 2 3 23 7" xfId="27741" xr:uid="{00000000-0005-0000-0000-0000406C0000}"/>
    <cellStyle name="Normal 2 3 23 8" xfId="27742" xr:uid="{00000000-0005-0000-0000-0000416C0000}"/>
    <cellStyle name="Normal 2 3 23 9" xfId="27743" xr:uid="{00000000-0005-0000-0000-0000426C0000}"/>
    <cellStyle name="Normal 2 3 24" xfId="27744" xr:uid="{00000000-0005-0000-0000-0000436C0000}"/>
    <cellStyle name="Normal 2 3 24 10" xfId="27745" xr:uid="{00000000-0005-0000-0000-0000446C0000}"/>
    <cellStyle name="Normal 2 3 24 11" xfId="27746" xr:uid="{00000000-0005-0000-0000-0000456C0000}"/>
    <cellStyle name="Normal 2 3 24 12" xfId="27747" xr:uid="{00000000-0005-0000-0000-0000466C0000}"/>
    <cellStyle name="Normal 2 3 24 13" xfId="27748" xr:uid="{00000000-0005-0000-0000-0000476C0000}"/>
    <cellStyle name="Normal 2 3 24 14" xfId="27749" xr:uid="{00000000-0005-0000-0000-0000486C0000}"/>
    <cellStyle name="Normal 2 3 24 2" xfId="27750" xr:uid="{00000000-0005-0000-0000-0000496C0000}"/>
    <cellStyle name="Normal 2 3 24 2 10" xfId="27751" xr:uid="{00000000-0005-0000-0000-00004A6C0000}"/>
    <cellStyle name="Normal 2 3 24 2 2" xfId="27752" xr:uid="{00000000-0005-0000-0000-00004B6C0000}"/>
    <cellStyle name="Normal 2 3 24 2 3" xfId="27753" xr:uid="{00000000-0005-0000-0000-00004C6C0000}"/>
    <cellStyle name="Normal 2 3 24 2 4" xfId="27754" xr:uid="{00000000-0005-0000-0000-00004D6C0000}"/>
    <cellStyle name="Normal 2 3 24 2 5" xfId="27755" xr:uid="{00000000-0005-0000-0000-00004E6C0000}"/>
    <cellStyle name="Normal 2 3 24 2 6" xfId="27756" xr:uid="{00000000-0005-0000-0000-00004F6C0000}"/>
    <cellStyle name="Normal 2 3 24 2 7" xfId="27757" xr:uid="{00000000-0005-0000-0000-0000506C0000}"/>
    <cellStyle name="Normal 2 3 24 2 8" xfId="27758" xr:uid="{00000000-0005-0000-0000-0000516C0000}"/>
    <cellStyle name="Normal 2 3 24 2 9" xfId="27759" xr:uid="{00000000-0005-0000-0000-0000526C0000}"/>
    <cellStyle name="Normal 2 3 24 3" xfId="27760" xr:uid="{00000000-0005-0000-0000-0000536C0000}"/>
    <cellStyle name="Normal 2 3 24 3 10" xfId="27761" xr:uid="{00000000-0005-0000-0000-0000546C0000}"/>
    <cellStyle name="Normal 2 3 24 3 2" xfId="27762" xr:uid="{00000000-0005-0000-0000-0000556C0000}"/>
    <cellStyle name="Normal 2 3 24 3 3" xfId="27763" xr:uid="{00000000-0005-0000-0000-0000566C0000}"/>
    <cellStyle name="Normal 2 3 24 3 4" xfId="27764" xr:uid="{00000000-0005-0000-0000-0000576C0000}"/>
    <cellStyle name="Normal 2 3 24 3 5" xfId="27765" xr:uid="{00000000-0005-0000-0000-0000586C0000}"/>
    <cellStyle name="Normal 2 3 24 3 6" xfId="27766" xr:uid="{00000000-0005-0000-0000-0000596C0000}"/>
    <cellStyle name="Normal 2 3 24 3 7" xfId="27767" xr:uid="{00000000-0005-0000-0000-00005A6C0000}"/>
    <cellStyle name="Normal 2 3 24 3 8" xfId="27768" xr:uid="{00000000-0005-0000-0000-00005B6C0000}"/>
    <cellStyle name="Normal 2 3 24 3 9" xfId="27769" xr:uid="{00000000-0005-0000-0000-00005C6C0000}"/>
    <cellStyle name="Normal 2 3 24 4" xfId="27770" xr:uid="{00000000-0005-0000-0000-00005D6C0000}"/>
    <cellStyle name="Normal 2 3 24 4 10" xfId="27771" xr:uid="{00000000-0005-0000-0000-00005E6C0000}"/>
    <cellStyle name="Normal 2 3 24 4 2" xfId="27772" xr:uid="{00000000-0005-0000-0000-00005F6C0000}"/>
    <cellStyle name="Normal 2 3 24 4 3" xfId="27773" xr:uid="{00000000-0005-0000-0000-0000606C0000}"/>
    <cellStyle name="Normal 2 3 24 4 4" xfId="27774" xr:uid="{00000000-0005-0000-0000-0000616C0000}"/>
    <cellStyle name="Normal 2 3 24 4 5" xfId="27775" xr:uid="{00000000-0005-0000-0000-0000626C0000}"/>
    <cellStyle name="Normal 2 3 24 4 6" xfId="27776" xr:uid="{00000000-0005-0000-0000-0000636C0000}"/>
    <cellStyle name="Normal 2 3 24 4 7" xfId="27777" xr:uid="{00000000-0005-0000-0000-0000646C0000}"/>
    <cellStyle name="Normal 2 3 24 4 8" xfId="27778" xr:uid="{00000000-0005-0000-0000-0000656C0000}"/>
    <cellStyle name="Normal 2 3 24 4 9" xfId="27779" xr:uid="{00000000-0005-0000-0000-0000666C0000}"/>
    <cellStyle name="Normal 2 3 24 5" xfId="27780" xr:uid="{00000000-0005-0000-0000-0000676C0000}"/>
    <cellStyle name="Normal 2 3 24 5 10" xfId="27781" xr:uid="{00000000-0005-0000-0000-0000686C0000}"/>
    <cellStyle name="Normal 2 3 24 5 2" xfId="27782" xr:uid="{00000000-0005-0000-0000-0000696C0000}"/>
    <cellStyle name="Normal 2 3 24 5 3" xfId="27783" xr:uid="{00000000-0005-0000-0000-00006A6C0000}"/>
    <cellStyle name="Normal 2 3 24 5 4" xfId="27784" xr:uid="{00000000-0005-0000-0000-00006B6C0000}"/>
    <cellStyle name="Normal 2 3 24 5 5" xfId="27785" xr:uid="{00000000-0005-0000-0000-00006C6C0000}"/>
    <cellStyle name="Normal 2 3 24 5 6" xfId="27786" xr:uid="{00000000-0005-0000-0000-00006D6C0000}"/>
    <cellStyle name="Normal 2 3 24 5 7" xfId="27787" xr:uid="{00000000-0005-0000-0000-00006E6C0000}"/>
    <cellStyle name="Normal 2 3 24 5 8" xfId="27788" xr:uid="{00000000-0005-0000-0000-00006F6C0000}"/>
    <cellStyle name="Normal 2 3 24 5 9" xfId="27789" xr:uid="{00000000-0005-0000-0000-0000706C0000}"/>
    <cellStyle name="Normal 2 3 24 6" xfId="27790" xr:uid="{00000000-0005-0000-0000-0000716C0000}"/>
    <cellStyle name="Normal 2 3 24 7" xfId="27791" xr:uid="{00000000-0005-0000-0000-0000726C0000}"/>
    <cellStyle name="Normal 2 3 24 8" xfId="27792" xr:uid="{00000000-0005-0000-0000-0000736C0000}"/>
    <cellStyle name="Normal 2 3 24 9" xfId="27793" xr:uid="{00000000-0005-0000-0000-0000746C0000}"/>
    <cellStyle name="Normal 2 3 25" xfId="27794" xr:uid="{00000000-0005-0000-0000-0000756C0000}"/>
    <cellStyle name="Normal 2 3 25 10" xfId="27795" xr:uid="{00000000-0005-0000-0000-0000766C0000}"/>
    <cellStyle name="Normal 2 3 25 11" xfId="27796" xr:uid="{00000000-0005-0000-0000-0000776C0000}"/>
    <cellStyle name="Normal 2 3 25 12" xfId="27797" xr:uid="{00000000-0005-0000-0000-0000786C0000}"/>
    <cellStyle name="Normal 2 3 25 13" xfId="27798" xr:uid="{00000000-0005-0000-0000-0000796C0000}"/>
    <cellStyle name="Normal 2 3 25 14" xfId="27799" xr:uid="{00000000-0005-0000-0000-00007A6C0000}"/>
    <cellStyle name="Normal 2 3 25 2" xfId="27800" xr:uid="{00000000-0005-0000-0000-00007B6C0000}"/>
    <cellStyle name="Normal 2 3 25 2 10" xfId="27801" xr:uid="{00000000-0005-0000-0000-00007C6C0000}"/>
    <cellStyle name="Normal 2 3 25 2 2" xfId="27802" xr:uid="{00000000-0005-0000-0000-00007D6C0000}"/>
    <cellStyle name="Normal 2 3 25 2 3" xfId="27803" xr:uid="{00000000-0005-0000-0000-00007E6C0000}"/>
    <cellStyle name="Normal 2 3 25 2 4" xfId="27804" xr:uid="{00000000-0005-0000-0000-00007F6C0000}"/>
    <cellStyle name="Normal 2 3 25 2 5" xfId="27805" xr:uid="{00000000-0005-0000-0000-0000806C0000}"/>
    <cellStyle name="Normal 2 3 25 2 6" xfId="27806" xr:uid="{00000000-0005-0000-0000-0000816C0000}"/>
    <cellStyle name="Normal 2 3 25 2 7" xfId="27807" xr:uid="{00000000-0005-0000-0000-0000826C0000}"/>
    <cellStyle name="Normal 2 3 25 2 8" xfId="27808" xr:uid="{00000000-0005-0000-0000-0000836C0000}"/>
    <cellStyle name="Normal 2 3 25 2 9" xfId="27809" xr:uid="{00000000-0005-0000-0000-0000846C0000}"/>
    <cellStyle name="Normal 2 3 25 3" xfId="27810" xr:uid="{00000000-0005-0000-0000-0000856C0000}"/>
    <cellStyle name="Normal 2 3 25 3 10" xfId="27811" xr:uid="{00000000-0005-0000-0000-0000866C0000}"/>
    <cellStyle name="Normal 2 3 25 3 2" xfId="27812" xr:uid="{00000000-0005-0000-0000-0000876C0000}"/>
    <cellStyle name="Normal 2 3 25 3 3" xfId="27813" xr:uid="{00000000-0005-0000-0000-0000886C0000}"/>
    <cellStyle name="Normal 2 3 25 3 4" xfId="27814" xr:uid="{00000000-0005-0000-0000-0000896C0000}"/>
    <cellStyle name="Normal 2 3 25 3 5" xfId="27815" xr:uid="{00000000-0005-0000-0000-00008A6C0000}"/>
    <cellStyle name="Normal 2 3 25 3 6" xfId="27816" xr:uid="{00000000-0005-0000-0000-00008B6C0000}"/>
    <cellStyle name="Normal 2 3 25 3 7" xfId="27817" xr:uid="{00000000-0005-0000-0000-00008C6C0000}"/>
    <cellStyle name="Normal 2 3 25 3 8" xfId="27818" xr:uid="{00000000-0005-0000-0000-00008D6C0000}"/>
    <cellStyle name="Normal 2 3 25 3 9" xfId="27819" xr:uid="{00000000-0005-0000-0000-00008E6C0000}"/>
    <cellStyle name="Normal 2 3 25 4" xfId="27820" xr:uid="{00000000-0005-0000-0000-00008F6C0000}"/>
    <cellStyle name="Normal 2 3 25 4 10" xfId="27821" xr:uid="{00000000-0005-0000-0000-0000906C0000}"/>
    <cellStyle name="Normal 2 3 25 4 2" xfId="27822" xr:uid="{00000000-0005-0000-0000-0000916C0000}"/>
    <cellStyle name="Normal 2 3 25 4 3" xfId="27823" xr:uid="{00000000-0005-0000-0000-0000926C0000}"/>
    <cellStyle name="Normal 2 3 25 4 4" xfId="27824" xr:uid="{00000000-0005-0000-0000-0000936C0000}"/>
    <cellStyle name="Normal 2 3 25 4 5" xfId="27825" xr:uid="{00000000-0005-0000-0000-0000946C0000}"/>
    <cellStyle name="Normal 2 3 25 4 6" xfId="27826" xr:uid="{00000000-0005-0000-0000-0000956C0000}"/>
    <cellStyle name="Normal 2 3 25 4 7" xfId="27827" xr:uid="{00000000-0005-0000-0000-0000966C0000}"/>
    <cellStyle name="Normal 2 3 25 4 8" xfId="27828" xr:uid="{00000000-0005-0000-0000-0000976C0000}"/>
    <cellStyle name="Normal 2 3 25 4 9" xfId="27829" xr:uid="{00000000-0005-0000-0000-0000986C0000}"/>
    <cellStyle name="Normal 2 3 25 5" xfId="27830" xr:uid="{00000000-0005-0000-0000-0000996C0000}"/>
    <cellStyle name="Normal 2 3 25 5 10" xfId="27831" xr:uid="{00000000-0005-0000-0000-00009A6C0000}"/>
    <cellStyle name="Normal 2 3 25 5 2" xfId="27832" xr:uid="{00000000-0005-0000-0000-00009B6C0000}"/>
    <cellStyle name="Normal 2 3 25 5 3" xfId="27833" xr:uid="{00000000-0005-0000-0000-00009C6C0000}"/>
    <cellStyle name="Normal 2 3 25 5 4" xfId="27834" xr:uid="{00000000-0005-0000-0000-00009D6C0000}"/>
    <cellStyle name="Normal 2 3 25 5 5" xfId="27835" xr:uid="{00000000-0005-0000-0000-00009E6C0000}"/>
    <cellStyle name="Normal 2 3 25 5 6" xfId="27836" xr:uid="{00000000-0005-0000-0000-00009F6C0000}"/>
    <cellStyle name="Normal 2 3 25 5 7" xfId="27837" xr:uid="{00000000-0005-0000-0000-0000A06C0000}"/>
    <cellStyle name="Normal 2 3 25 5 8" xfId="27838" xr:uid="{00000000-0005-0000-0000-0000A16C0000}"/>
    <cellStyle name="Normal 2 3 25 5 9" xfId="27839" xr:uid="{00000000-0005-0000-0000-0000A26C0000}"/>
    <cellStyle name="Normal 2 3 25 6" xfId="27840" xr:uid="{00000000-0005-0000-0000-0000A36C0000}"/>
    <cellStyle name="Normal 2 3 25 7" xfId="27841" xr:uid="{00000000-0005-0000-0000-0000A46C0000}"/>
    <cellStyle name="Normal 2 3 25 8" xfId="27842" xr:uid="{00000000-0005-0000-0000-0000A56C0000}"/>
    <cellStyle name="Normal 2 3 25 9" xfId="27843" xr:uid="{00000000-0005-0000-0000-0000A66C0000}"/>
    <cellStyle name="Normal 2 3 26" xfId="27844" xr:uid="{00000000-0005-0000-0000-0000A76C0000}"/>
    <cellStyle name="Normal 2 3 26 10" xfId="27845" xr:uid="{00000000-0005-0000-0000-0000A86C0000}"/>
    <cellStyle name="Normal 2 3 26 11" xfId="27846" xr:uid="{00000000-0005-0000-0000-0000A96C0000}"/>
    <cellStyle name="Normal 2 3 26 12" xfId="27847" xr:uid="{00000000-0005-0000-0000-0000AA6C0000}"/>
    <cellStyle name="Normal 2 3 26 13" xfId="27848" xr:uid="{00000000-0005-0000-0000-0000AB6C0000}"/>
    <cellStyle name="Normal 2 3 26 14" xfId="27849" xr:uid="{00000000-0005-0000-0000-0000AC6C0000}"/>
    <cellStyle name="Normal 2 3 26 2" xfId="27850" xr:uid="{00000000-0005-0000-0000-0000AD6C0000}"/>
    <cellStyle name="Normal 2 3 26 2 10" xfId="27851" xr:uid="{00000000-0005-0000-0000-0000AE6C0000}"/>
    <cellStyle name="Normal 2 3 26 2 2" xfId="27852" xr:uid="{00000000-0005-0000-0000-0000AF6C0000}"/>
    <cellStyle name="Normal 2 3 26 2 3" xfId="27853" xr:uid="{00000000-0005-0000-0000-0000B06C0000}"/>
    <cellStyle name="Normal 2 3 26 2 4" xfId="27854" xr:uid="{00000000-0005-0000-0000-0000B16C0000}"/>
    <cellStyle name="Normal 2 3 26 2 5" xfId="27855" xr:uid="{00000000-0005-0000-0000-0000B26C0000}"/>
    <cellStyle name="Normal 2 3 26 2 6" xfId="27856" xr:uid="{00000000-0005-0000-0000-0000B36C0000}"/>
    <cellStyle name="Normal 2 3 26 2 7" xfId="27857" xr:uid="{00000000-0005-0000-0000-0000B46C0000}"/>
    <cellStyle name="Normal 2 3 26 2 8" xfId="27858" xr:uid="{00000000-0005-0000-0000-0000B56C0000}"/>
    <cellStyle name="Normal 2 3 26 2 9" xfId="27859" xr:uid="{00000000-0005-0000-0000-0000B66C0000}"/>
    <cellStyle name="Normal 2 3 26 3" xfId="27860" xr:uid="{00000000-0005-0000-0000-0000B76C0000}"/>
    <cellStyle name="Normal 2 3 26 3 10" xfId="27861" xr:uid="{00000000-0005-0000-0000-0000B86C0000}"/>
    <cellStyle name="Normal 2 3 26 3 2" xfId="27862" xr:uid="{00000000-0005-0000-0000-0000B96C0000}"/>
    <cellStyle name="Normal 2 3 26 3 3" xfId="27863" xr:uid="{00000000-0005-0000-0000-0000BA6C0000}"/>
    <cellStyle name="Normal 2 3 26 3 4" xfId="27864" xr:uid="{00000000-0005-0000-0000-0000BB6C0000}"/>
    <cellStyle name="Normal 2 3 26 3 5" xfId="27865" xr:uid="{00000000-0005-0000-0000-0000BC6C0000}"/>
    <cellStyle name="Normal 2 3 26 3 6" xfId="27866" xr:uid="{00000000-0005-0000-0000-0000BD6C0000}"/>
    <cellStyle name="Normal 2 3 26 3 7" xfId="27867" xr:uid="{00000000-0005-0000-0000-0000BE6C0000}"/>
    <cellStyle name="Normal 2 3 26 3 8" xfId="27868" xr:uid="{00000000-0005-0000-0000-0000BF6C0000}"/>
    <cellStyle name="Normal 2 3 26 3 9" xfId="27869" xr:uid="{00000000-0005-0000-0000-0000C06C0000}"/>
    <cellStyle name="Normal 2 3 26 4" xfId="27870" xr:uid="{00000000-0005-0000-0000-0000C16C0000}"/>
    <cellStyle name="Normal 2 3 26 4 10" xfId="27871" xr:uid="{00000000-0005-0000-0000-0000C26C0000}"/>
    <cellStyle name="Normal 2 3 26 4 2" xfId="27872" xr:uid="{00000000-0005-0000-0000-0000C36C0000}"/>
    <cellStyle name="Normal 2 3 26 4 3" xfId="27873" xr:uid="{00000000-0005-0000-0000-0000C46C0000}"/>
    <cellStyle name="Normal 2 3 26 4 4" xfId="27874" xr:uid="{00000000-0005-0000-0000-0000C56C0000}"/>
    <cellStyle name="Normal 2 3 26 4 5" xfId="27875" xr:uid="{00000000-0005-0000-0000-0000C66C0000}"/>
    <cellStyle name="Normal 2 3 26 4 6" xfId="27876" xr:uid="{00000000-0005-0000-0000-0000C76C0000}"/>
    <cellStyle name="Normal 2 3 26 4 7" xfId="27877" xr:uid="{00000000-0005-0000-0000-0000C86C0000}"/>
    <cellStyle name="Normal 2 3 26 4 8" xfId="27878" xr:uid="{00000000-0005-0000-0000-0000C96C0000}"/>
    <cellStyle name="Normal 2 3 26 4 9" xfId="27879" xr:uid="{00000000-0005-0000-0000-0000CA6C0000}"/>
    <cellStyle name="Normal 2 3 26 5" xfId="27880" xr:uid="{00000000-0005-0000-0000-0000CB6C0000}"/>
    <cellStyle name="Normal 2 3 26 5 10" xfId="27881" xr:uid="{00000000-0005-0000-0000-0000CC6C0000}"/>
    <cellStyle name="Normal 2 3 26 5 2" xfId="27882" xr:uid="{00000000-0005-0000-0000-0000CD6C0000}"/>
    <cellStyle name="Normal 2 3 26 5 3" xfId="27883" xr:uid="{00000000-0005-0000-0000-0000CE6C0000}"/>
    <cellStyle name="Normal 2 3 26 5 4" xfId="27884" xr:uid="{00000000-0005-0000-0000-0000CF6C0000}"/>
    <cellStyle name="Normal 2 3 26 5 5" xfId="27885" xr:uid="{00000000-0005-0000-0000-0000D06C0000}"/>
    <cellStyle name="Normal 2 3 26 5 6" xfId="27886" xr:uid="{00000000-0005-0000-0000-0000D16C0000}"/>
    <cellStyle name="Normal 2 3 26 5 7" xfId="27887" xr:uid="{00000000-0005-0000-0000-0000D26C0000}"/>
    <cellStyle name="Normal 2 3 26 5 8" xfId="27888" xr:uid="{00000000-0005-0000-0000-0000D36C0000}"/>
    <cellStyle name="Normal 2 3 26 5 9" xfId="27889" xr:uid="{00000000-0005-0000-0000-0000D46C0000}"/>
    <cellStyle name="Normal 2 3 26 6" xfId="27890" xr:uid="{00000000-0005-0000-0000-0000D56C0000}"/>
    <cellStyle name="Normal 2 3 26 7" xfId="27891" xr:uid="{00000000-0005-0000-0000-0000D66C0000}"/>
    <cellStyle name="Normal 2 3 26 8" xfId="27892" xr:uid="{00000000-0005-0000-0000-0000D76C0000}"/>
    <cellStyle name="Normal 2 3 26 9" xfId="27893" xr:uid="{00000000-0005-0000-0000-0000D86C0000}"/>
    <cellStyle name="Normal 2 3 27" xfId="27894" xr:uid="{00000000-0005-0000-0000-0000D96C0000}"/>
    <cellStyle name="Normal 2 3 27 10" xfId="27895" xr:uid="{00000000-0005-0000-0000-0000DA6C0000}"/>
    <cellStyle name="Normal 2 3 27 11" xfId="27896" xr:uid="{00000000-0005-0000-0000-0000DB6C0000}"/>
    <cellStyle name="Normal 2 3 27 12" xfId="27897" xr:uid="{00000000-0005-0000-0000-0000DC6C0000}"/>
    <cellStyle name="Normal 2 3 27 13" xfId="27898" xr:uid="{00000000-0005-0000-0000-0000DD6C0000}"/>
    <cellStyle name="Normal 2 3 27 14" xfId="27899" xr:uid="{00000000-0005-0000-0000-0000DE6C0000}"/>
    <cellStyle name="Normal 2 3 27 2" xfId="27900" xr:uid="{00000000-0005-0000-0000-0000DF6C0000}"/>
    <cellStyle name="Normal 2 3 27 2 10" xfId="27901" xr:uid="{00000000-0005-0000-0000-0000E06C0000}"/>
    <cellStyle name="Normal 2 3 27 2 2" xfId="27902" xr:uid="{00000000-0005-0000-0000-0000E16C0000}"/>
    <cellStyle name="Normal 2 3 27 2 3" xfId="27903" xr:uid="{00000000-0005-0000-0000-0000E26C0000}"/>
    <cellStyle name="Normal 2 3 27 2 4" xfId="27904" xr:uid="{00000000-0005-0000-0000-0000E36C0000}"/>
    <cellStyle name="Normal 2 3 27 2 5" xfId="27905" xr:uid="{00000000-0005-0000-0000-0000E46C0000}"/>
    <cellStyle name="Normal 2 3 27 2 6" xfId="27906" xr:uid="{00000000-0005-0000-0000-0000E56C0000}"/>
    <cellStyle name="Normal 2 3 27 2 7" xfId="27907" xr:uid="{00000000-0005-0000-0000-0000E66C0000}"/>
    <cellStyle name="Normal 2 3 27 2 8" xfId="27908" xr:uid="{00000000-0005-0000-0000-0000E76C0000}"/>
    <cellStyle name="Normal 2 3 27 2 9" xfId="27909" xr:uid="{00000000-0005-0000-0000-0000E86C0000}"/>
    <cellStyle name="Normal 2 3 27 3" xfId="27910" xr:uid="{00000000-0005-0000-0000-0000E96C0000}"/>
    <cellStyle name="Normal 2 3 27 3 10" xfId="27911" xr:uid="{00000000-0005-0000-0000-0000EA6C0000}"/>
    <cellStyle name="Normal 2 3 27 3 2" xfId="27912" xr:uid="{00000000-0005-0000-0000-0000EB6C0000}"/>
    <cellStyle name="Normal 2 3 27 3 3" xfId="27913" xr:uid="{00000000-0005-0000-0000-0000EC6C0000}"/>
    <cellStyle name="Normal 2 3 27 3 4" xfId="27914" xr:uid="{00000000-0005-0000-0000-0000ED6C0000}"/>
    <cellStyle name="Normal 2 3 27 3 5" xfId="27915" xr:uid="{00000000-0005-0000-0000-0000EE6C0000}"/>
    <cellStyle name="Normal 2 3 27 3 6" xfId="27916" xr:uid="{00000000-0005-0000-0000-0000EF6C0000}"/>
    <cellStyle name="Normal 2 3 27 3 7" xfId="27917" xr:uid="{00000000-0005-0000-0000-0000F06C0000}"/>
    <cellStyle name="Normal 2 3 27 3 8" xfId="27918" xr:uid="{00000000-0005-0000-0000-0000F16C0000}"/>
    <cellStyle name="Normal 2 3 27 3 9" xfId="27919" xr:uid="{00000000-0005-0000-0000-0000F26C0000}"/>
    <cellStyle name="Normal 2 3 27 4" xfId="27920" xr:uid="{00000000-0005-0000-0000-0000F36C0000}"/>
    <cellStyle name="Normal 2 3 27 4 10" xfId="27921" xr:uid="{00000000-0005-0000-0000-0000F46C0000}"/>
    <cellStyle name="Normal 2 3 27 4 2" xfId="27922" xr:uid="{00000000-0005-0000-0000-0000F56C0000}"/>
    <cellStyle name="Normal 2 3 27 4 3" xfId="27923" xr:uid="{00000000-0005-0000-0000-0000F66C0000}"/>
    <cellStyle name="Normal 2 3 27 4 4" xfId="27924" xr:uid="{00000000-0005-0000-0000-0000F76C0000}"/>
    <cellStyle name="Normal 2 3 27 4 5" xfId="27925" xr:uid="{00000000-0005-0000-0000-0000F86C0000}"/>
    <cellStyle name="Normal 2 3 27 4 6" xfId="27926" xr:uid="{00000000-0005-0000-0000-0000F96C0000}"/>
    <cellStyle name="Normal 2 3 27 4 7" xfId="27927" xr:uid="{00000000-0005-0000-0000-0000FA6C0000}"/>
    <cellStyle name="Normal 2 3 27 4 8" xfId="27928" xr:uid="{00000000-0005-0000-0000-0000FB6C0000}"/>
    <cellStyle name="Normal 2 3 27 4 9" xfId="27929" xr:uid="{00000000-0005-0000-0000-0000FC6C0000}"/>
    <cellStyle name="Normal 2 3 27 5" xfId="27930" xr:uid="{00000000-0005-0000-0000-0000FD6C0000}"/>
    <cellStyle name="Normal 2 3 27 5 10" xfId="27931" xr:uid="{00000000-0005-0000-0000-0000FE6C0000}"/>
    <cellStyle name="Normal 2 3 27 5 2" xfId="27932" xr:uid="{00000000-0005-0000-0000-0000FF6C0000}"/>
    <cellStyle name="Normal 2 3 27 5 3" xfId="27933" xr:uid="{00000000-0005-0000-0000-0000006D0000}"/>
    <cellStyle name="Normal 2 3 27 5 4" xfId="27934" xr:uid="{00000000-0005-0000-0000-0000016D0000}"/>
    <cellStyle name="Normal 2 3 27 5 5" xfId="27935" xr:uid="{00000000-0005-0000-0000-0000026D0000}"/>
    <cellStyle name="Normal 2 3 27 5 6" xfId="27936" xr:uid="{00000000-0005-0000-0000-0000036D0000}"/>
    <cellStyle name="Normal 2 3 27 5 7" xfId="27937" xr:uid="{00000000-0005-0000-0000-0000046D0000}"/>
    <cellStyle name="Normal 2 3 27 5 8" xfId="27938" xr:uid="{00000000-0005-0000-0000-0000056D0000}"/>
    <cellStyle name="Normal 2 3 27 5 9" xfId="27939" xr:uid="{00000000-0005-0000-0000-0000066D0000}"/>
    <cellStyle name="Normal 2 3 27 6" xfId="27940" xr:uid="{00000000-0005-0000-0000-0000076D0000}"/>
    <cellStyle name="Normal 2 3 27 7" xfId="27941" xr:uid="{00000000-0005-0000-0000-0000086D0000}"/>
    <cellStyle name="Normal 2 3 27 8" xfId="27942" xr:uid="{00000000-0005-0000-0000-0000096D0000}"/>
    <cellStyle name="Normal 2 3 27 9" xfId="27943" xr:uid="{00000000-0005-0000-0000-00000A6D0000}"/>
    <cellStyle name="Normal 2 3 28" xfId="27944" xr:uid="{00000000-0005-0000-0000-00000B6D0000}"/>
    <cellStyle name="Normal 2 3 28 10" xfId="27945" xr:uid="{00000000-0005-0000-0000-00000C6D0000}"/>
    <cellStyle name="Normal 2 3 28 11" xfId="27946" xr:uid="{00000000-0005-0000-0000-00000D6D0000}"/>
    <cellStyle name="Normal 2 3 28 12" xfId="27947" xr:uid="{00000000-0005-0000-0000-00000E6D0000}"/>
    <cellStyle name="Normal 2 3 28 13" xfId="27948" xr:uid="{00000000-0005-0000-0000-00000F6D0000}"/>
    <cellStyle name="Normal 2 3 28 14" xfId="27949" xr:uid="{00000000-0005-0000-0000-0000106D0000}"/>
    <cellStyle name="Normal 2 3 28 2" xfId="27950" xr:uid="{00000000-0005-0000-0000-0000116D0000}"/>
    <cellStyle name="Normal 2 3 28 2 10" xfId="27951" xr:uid="{00000000-0005-0000-0000-0000126D0000}"/>
    <cellStyle name="Normal 2 3 28 2 2" xfId="27952" xr:uid="{00000000-0005-0000-0000-0000136D0000}"/>
    <cellStyle name="Normal 2 3 28 2 3" xfId="27953" xr:uid="{00000000-0005-0000-0000-0000146D0000}"/>
    <cellStyle name="Normal 2 3 28 2 4" xfId="27954" xr:uid="{00000000-0005-0000-0000-0000156D0000}"/>
    <cellStyle name="Normal 2 3 28 2 5" xfId="27955" xr:uid="{00000000-0005-0000-0000-0000166D0000}"/>
    <cellStyle name="Normal 2 3 28 2 6" xfId="27956" xr:uid="{00000000-0005-0000-0000-0000176D0000}"/>
    <cellStyle name="Normal 2 3 28 2 7" xfId="27957" xr:uid="{00000000-0005-0000-0000-0000186D0000}"/>
    <cellStyle name="Normal 2 3 28 2 8" xfId="27958" xr:uid="{00000000-0005-0000-0000-0000196D0000}"/>
    <cellStyle name="Normal 2 3 28 2 9" xfId="27959" xr:uid="{00000000-0005-0000-0000-00001A6D0000}"/>
    <cellStyle name="Normal 2 3 28 3" xfId="27960" xr:uid="{00000000-0005-0000-0000-00001B6D0000}"/>
    <cellStyle name="Normal 2 3 28 3 10" xfId="27961" xr:uid="{00000000-0005-0000-0000-00001C6D0000}"/>
    <cellStyle name="Normal 2 3 28 3 2" xfId="27962" xr:uid="{00000000-0005-0000-0000-00001D6D0000}"/>
    <cellStyle name="Normal 2 3 28 3 3" xfId="27963" xr:uid="{00000000-0005-0000-0000-00001E6D0000}"/>
    <cellStyle name="Normal 2 3 28 3 4" xfId="27964" xr:uid="{00000000-0005-0000-0000-00001F6D0000}"/>
    <cellStyle name="Normal 2 3 28 3 5" xfId="27965" xr:uid="{00000000-0005-0000-0000-0000206D0000}"/>
    <cellStyle name="Normal 2 3 28 3 6" xfId="27966" xr:uid="{00000000-0005-0000-0000-0000216D0000}"/>
    <cellStyle name="Normal 2 3 28 3 7" xfId="27967" xr:uid="{00000000-0005-0000-0000-0000226D0000}"/>
    <cellStyle name="Normal 2 3 28 3 8" xfId="27968" xr:uid="{00000000-0005-0000-0000-0000236D0000}"/>
    <cellStyle name="Normal 2 3 28 3 9" xfId="27969" xr:uid="{00000000-0005-0000-0000-0000246D0000}"/>
    <cellStyle name="Normal 2 3 28 4" xfId="27970" xr:uid="{00000000-0005-0000-0000-0000256D0000}"/>
    <cellStyle name="Normal 2 3 28 4 10" xfId="27971" xr:uid="{00000000-0005-0000-0000-0000266D0000}"/>
    <cellStyle name="Normal 2 3 28 4 2" xfId="27972" xr:uid="{00000000-0005-0000-0000-0000276D0000}"/>
    <cellStyle name="Normal 2 3 28 4 3" xfId="27973" xr:uid="{00000000-0005-0000-0000-0000286D0000}"/>
    <cellStyle name="Normal 2 3 28 4 4" xfId="27974" xr:uid="{00000000-0005-0000-0000-0000296D0000}"/>
    <cellStyle name="Normal 2 3 28 4 5" xfId="27975" xr:uid="{00000000-0005-0000-0000-00002A6D0000}"/>
    <cellStyle name="Normal 2 3 28 4 6" xfId="27976" xr:uid="{00000000-0005-0000-0000-00002B6D0000}"/>
    <cellStyle name="Normal 2 3 28 4 7" xfId="27977" xr:uid="{00000000-0005-0000-0000-00002C6D0000}"/>
    <cellStyle name="Normal 2 3 28 4 8" xfId="27978" xr:uid="{00000000-0005-0000-0000-00002D6D0000}"/>
    <cellStyle name="Normal 2 3 28 4 9" xfId="27979" xr:uid="{00000000-0005-0000-0000-00002E6D0000}"/>
    <cellStyle name="Normal 2 3 28 5" xfId="27980" xr:uid="{00000000-0005-0000-0000-00002F6D0000}"/>
    <cellStyle name="Normal 2 3 28 5 10" xfId="27981" xr:uid="{00000000-0005-0000-0000-0000306D0000}"/>
    <cellStyle name="Normal 2 3 28 5 2" xfId="27982" xr:uid="{00000000-0005-0000-0000-0000316D0000}"/>
    <cellStyle name="Normal 2 3 28 5 3" xfId="27983" xr:uid="{00000000-0005-0000-0000-0000326D0000}"/>
    <cellStyle name="Normal 2 3 28 5 4" xfId="27984" xr:uid="{00000000-0005-0000-0000-0000336D0000}"/>
    <cellStyle name="Normal 2 3 28 5 5" xfId="27985" xr:uid="{00000000-0005-0000-0000-0000346D0000}"/>
    <cellStyle name="Normal 2 3 28 5 6" xfId="27986" xr:uid="{00000000-0005-0000-0000-0000356D0000}"/>
    <cellStyle name="Normal 2 3 28 5 7" xfId="27987" xr:uid="{00000000-0005-0000-0000-0000366D0000}"/>
    <cellStyle name="Normal 2 3 28 5 8" xfId="27988" xr:uid="{00000000-0005-0000-0000-0000376D0000}"/>
    <cellStyle name="Normal 2 3 28 5 9" xfId="27989" xr:uid="{00000000-0005-0000-0000-0000386D0000}"/>
    <cellStyle name="Normal 2 3 28 6" xfId="27990" xr:uid="{00000000-0005-0000-0000-0000396D0000}"/>
    <cellStyle name="Normal 2 3 28 7" xfId="27991" xr:uid="{00000000-0005-0000-0000-00003A6D0000}"/>
    <cellStyle name="Normal 2 3 28 8" xfId="27992" xr:uid="{00000000-0005-0000-0000-00003B6D0000}"/>
    <cellStyle name="Normal 2 3 28 9" xfId="27993" xr:uid="{00000000-0005-0000-0000-00003C6D0000}"/>
    <cellStyle name="Normal 2 3 29" xfId="27994" xr:uid="{00000000-0005-0000-0000-00003D6D0000}"/>
    <cellStyle name="Normal 2 3 29 10" xfId="27995" xr:uid="{00000000-0005-0000-0000-00003E6D0000}"/>
    <cellStyle name="Normal 2 3 29 11" xfId="27996" xr:uid="{00000000-0005-0000-0000-00003F6D0000}"/>
    <cellStyle name="Normal 2 3 29 12" xfId="27997" xr:uid="{00000000-0005-0000-0000-0000406D0000}"/>
    <cellStyle name="Normal 2 3 29 13" xfId="27998" xr:uid="{00000000-0005-0000-0000-0000416D0000}"/>
    <cellStyle name="Normal 2 3 29 14" xfId="27999" xr:uid="{00000000-0005-0000-0000-0000426D0000}"/>
    <cellStyle name="Normal 2 3 29 2" xfId="28000" xr:uid="{00000000-0005-0000-0000-0000436D0000}"/>
    <cellStyle name="Normal 2 3 29 2 10" xfId="28001" xr:uid="{00000000-0005-0000-0000-0000446D0000}"/>
    <cellStyle name="Normal 2 3 29 2 2" xfId="28002" xr:uid="{00000000-0005-0000-0000-0000456D0000}"/>
    <cellStyle name="Normal 2 3 29 2 3" xfId="28003" xr:uid="{00000000-0005-0000-0000-0000466D0000}"/>
    <cellStyle name="Normal 2 3 29 2 4" xfId="28004" xr:uid="{00000000-0005-0000-0000-0000476D0000}"/>
    <cellStyle name="Normal 2 3 29 2 5" xfId="28005" xr:uid="{00000000-0005-0000-0000-0000486D0000}"/>
    <cellStyle name="Normal 2 3 29 2 6" xfId="28006" xr:uid="{00000000-0005-0000-0000-0000496D0000}"/>
    <cellStyle name="Normal 2 3 29 2 7" xfId="28007" xr:uid="{00000000-0005-0000-0000-00004A6D0000}"/>
    <cellStyle name="Normal 2 3 29 2 8" xfId="28008" xr:uid="{00000000-0005-0000-0000-00004B6D0000}"/>
    <cellStyle name="Normal 2 3 29 2 9" xfId="28009" xr:uid="{00000000-0005-0000-0000-00004C6D0000}"/>
    <cellStyle name="Normal 2 3 29 3" xfId="28010" xr:uid="{00000000-0005-0000-0000-00004D6D0000}"/>
    <cellStyle name="Normal 2 3 29 3 10" xfId="28011" xr:uid="{00000000-0005-0000-0000-00004E6D0000}"/>
    <cellStyle name="Normal 2 3 29 3 2" xfId="28012" xr:uid="{00000000-0005-0000-0000-00004F6D0000}"/>
    <cellStyle name="Normal 2 3 29 3 3" xfId="28013" xr:uid="{00000000-0005-0000-0000-0000506D0000}"/>
    <cellStyle name="Normal 2 3 29 3 4" xfId="28014" xr:uid="{00000000-0005-0000-0000-0000516D0000}"/>
    <cellStyle name="Normal 2 3 29 3 5" xfId="28015" xr:uid="{00000000-0005-0000-0000-0000526D0000}"/>
    <cellStyle name="Normal 2 3 29 3 6" xfId="28016" xr:uid="{00000000-0005-0000-0000-0000536D0000}"/>
    <cellStyle name="Normal 2 3 29 3 7" xfId="28017" xr:uid="{00000000-0005-0000-0000-0000546D0000}"/>
    <cellStyle name="Normal 2 3 29 3 8" xfId="28018" xr:uid="{00000000-0005-0000-0000-0000556D0000}"/>
    <cellStyle name="Normal 2 3 29 3 9" xfId="28019" xr:uid="{00000000-0005-0000-0000-0000566D0000}"/>
    <cellStyle name="Normal 2 3 29 4" xfId="28020" xr:uid="{00000000-0005-0000-0000-0000576D0000}"/>
    <cellStyle name="Normal 2 3 29 4 10" xfId="28021" xr:uid="{00000000-0005-0000-0000-0000586D0000}"/>
    <cellStyle name="Normal 2 3 29 4 2" xfId="28022" xr:uid="{00000000-0005-0000-0000-0000596D0000}"/>
    <cellStyle name="Normal 2 3 29 4 3" xfId="28023" xr:uid="{00000000-0005-0000-0000-00005A6D0000}"/>
    <cellStyle name="Normal 2 3 29 4 4" xfId="28024" xr:uid="{00000000-0005-0000-0000-00005B6D0000}"/>
    <cellStyle name="Normal 2 3 29 4 5" xfId="28025" xr:uid="{00000000-0005-0000-0000-00005C6D0000}"/>
    <cellStyle name="Normal 2 3 29 4 6" xfId="28026" xr:uid="{00000000-0005-0000-0000-00005D6D0000}"/>
    <cellStyle name="Normal 2 3 29 4 7" xfId="28027" xr:uid="{00000000-0005-0000-0000-00005E6D0000}"/>
    <cellStyle name="Normal 2 3 29 4 8" xfId="28028" xr:uid="{00000000-0005-0000-0000-00005F6D0000}"/>
    <cellStyle name="Normal 2 3 29 4 9" xfId="28029" xr:uid="{00000000-0005-0000-0000-0000606D0000}"/>
    <cellStyle name="Normal 2 3 29 5" xfId="28030" xr:uid="{00000000-0005-0000-0000-0000616D0000}"/>
    <cellStyle name="Normal 2 3 29 5 10" xfId="28031" xr:uid="{00000000-0005-0000-0000-0000626D0000}"/>
    <cellStyle name="Normal 2 3 29 5 2" xfId="28032" xr:uid="{00000000-0005-0000-0000-0000636D0000}"/>
    <cellStyle name="Normal 2 3 29 5 3" xfId="28033" xr:uid="{00000000-0005-0000-0000-0000646D0000}"/>
    <cellStyle name="Normal 2 3 29 5 4" xfId="28034" xr:uid="{00000000-0005-0000-0000-0000656D0000}"/>
    <cellStyle name="Normal 2 3 29 5 5" xfId="28035" xr:uid="{00000000-0005-0000-0000-0000666D0000}"/>
    <cellStyle name="Normal 2 3 29 5 6" xfId="28036" xr:uid="{00000000-0005-0000-0000-0000676D0000}"/>
    <cellStyle name="Normal 2 3 29 5 7" xfId="28037" xr:uid="{00000000-0005-0000-0000-0000686D0000}"/>
    <cellStyle name="Normal 2 3 29 5 8" xfId="28038" xr:uid="{00000000-0005-0000-0000-0000696D0000}"/>
    <cellStyle name="Normal 2 3 29 5 9" xfId="28039" xr:uid="{00000000-0005-0000-0000-00006A6D0000}"/>
    <cellStyle name="Normal 2 3 29 6" xfId="28040" xr:uid="{00000000-0005-0000-0000-00006B6D0000}"/>
    <cellStyle name="Normal 2 3 29 7" xfId="28041" xr:uid="{00000000-0005-0000-0000-00006C6D0000}"/>
    <cellStyle name="Normal 2 3 29 8" xfId="28042" xr:uid="{00000000-0005-0000-0000-00006D6D0000}"/>
    <cellStyle name="Normal 2 3 29 9" xfId="28043" xr:uid="{00000000-0005-0000-0000-00006E6D0000}"/>
    <cellStyle name="Normal 2 3 3" xfId="28044" xr:uid="{00000000-0005-0000-0000-00006F6D0000}"/>
    <cellStyle name="Normal 2 3 3 10" xfId="28045" xr:uid="{00000000-0005-0000-0000-0000706D0000}"/>
    <cellStyle name="Normal 2 3 3 11" xfId="28046" xr:uid="{00000000-0005-0000-0000-0000716D0000}"/>
    <cellStyle name="Normal 2 3 3 12" xfId="28047" xr:uid="{00000000-0005-0000-0000-0000726D0000}"/>
    <cellStyle name="Normal 2 3 3 13" xfId="28048" xr:uid="{00000000-0005-0000-0000-0000736D0000}"/>
    <cellStyle name="Normal 2 3 3 14" xfId="28049" xr:uid="{00000000-0005-0000-0000-0000746D0000}"/>
    <cellStyle name="Normal 2 3 3 15" xfId="28050" xr:uid="{00000000-0005-0000-0000-0000756D0000}"/>
    <cellStyle name="Normal 2 3 3 16" xfId="28051" xr:uid="{00000000-0005-0000-0000-0000766D0000}"/>
    <cellStyle name="Normal 2 3 3 2" xfId="28052" xr:uid="{00000000-0005-0000-0000-0000776D0000}"/>
    <cellStyle name="Normal 2 3 3 2 10" xfId="28053" xr:uid="{00000000-0005-0000-0000-0000786D0000}"/>
    <cellStyle name="Normal 2 3 3 2 2" xfId="28054" xr:uid="{00000000-0005-0000-0000-0000796D0000}"/>
    <cellStyle name="Normal 2 3 3 2 3" xfId="28055" xr:uid="{00000000-0005-0000-0000-00007A6D0000}"/>
    <cellStyle name="Normal 2 3 3 2 4" xfId="28056" xr:uid="{00000000-0005-0000-0000-00007B6D0000}"/>
    <cellStyle name="Normal 2 3 3 2 5" xfId="28057" xr:uid="{00000000-0005-0000-0000-00007C6D0000}"/>
    <cellStyle name="Normal 2 3 3 2 6" xfId="28058" xr:uid="{00000000-0005-0000-0000-00007D6D0000}"/>
    <cellStyle name="Normal 2 3 3 2 7" xfId="28059" xr:uid="{00000000-0005-0000-0000-00007E6D0000}"/>
    <cellStyle name="Normal 2 3 3 2 8" xfId="28060" xr:uid="{00000000-0005-0000-0000-00007F6D0000}"/>
    <cellStyle name="Normal 2 3 3 2 9" xfId="28061" xr:uid="{00000000-0005-0000-0000-0000806D0000}"/>
    <cellStyle name="Normal 2 3 3 3" xfId="28062" xr:uid="{00000000-0005-0000-0000-0000816D0000}"/>
    <cellStyle name="Normal 2 3 3 3 10" xfId="28063" xr:uid="{00000000-0005-0000-0000-0000826D0000}"/>
    <cellStyle name="Normal 2 3 3 3 2" xfId="28064" xr:uid="{00000000-0005-0000-0000-0000836D0000}"/>
    <cellStyle name="Normal 2 3 3 3 3" xfId="28065" xr:uid="{00000000-0005-0000-0000-0000846D0000}"/>
    <cellStyle name="Normal 2 3 3 3 4" xfId="28066" xr:uid="{00000000-0005-0000-0000-0000856D0000}"/>
    <cellStyle name="Normal 2 3 3 3 5" xfId="28067" xr:uid="{00000000-0005-0000-0000-0000866D0000}"/>
    <cellStyle name="Normal 2 3 3 3 6" xfId="28068" xr:uid="{00000000-0005-0000-0000-0000876D0000}"/>
    <cellStyle name="Normal 2 3 3 3 7" xfId="28069" xr:uid="{00000000-0005-0000-0000-0000886D0000}"/>
    <cellStyle name="Normal 2 3 3 3 8" xfId="28070" xr:uid="{00000000-0005-0000-0000-0000896D0000}"/>
    <cellStyle name="Normal 2 3 3 3 9" xfId="28071" xr:uid="{00000000-0005-0000-0000-00008A6D0000}"/>
    <cellStyle name="Normal 2 3 3 4" xfId="28072" xr:uid="{00000000-0005-0000-0000-00008B6D0000}"/>
    <cellStyle name="Normal 2 3 3 4 10" xfId="28073" xr:uid="{00000000-0005-0000-0000-00008C6D0000}"/>
    <cellStyle name="Normal 2 3 3 4 2" xfId="28074" xr:uid="{00000000-0005-0000-0000-00008D6D0000}"/>
    <cellStyle name="Normal 2 3 3 4 3" xfId="28075" xr:uid="{00000000-0005-0000-0000-00008E6D0000}"/>
    <cellStyle name="Normal 2 3 3 4 4" xfId="28076" xr:uid="{00000000-0005-0000-0000-00008F6D0000}"/>
    <cellStyle name="Normal 2 3 3 4 5" xfId="28077" xr:uid="{00000000-0005-0000-0000-0000906D0000}"/>
    <cellStyle name="Normal 2 3 3 4 6" xfId="28078" xr:uid="{00000000-0005-0000-0000-0000916D0000}"/>
    <cellStyle name="Normal 2 3 3 4 7" xfId="28079" xr:uid="{00000000-0005-0000-0000-0000926D0000}"/>
    <cellStyle name="Normal 2 3 3 4 8" xfId="28080" xr:uid="{00000000-0005-0000-0000-0000936D0000}"/>
    <cellStyle name="Normal 2 3 3 4 9" xfId="28081" xr:uid="{00000000-0005-0000-0000-0000946D0000}"/>
    <cellStyle name="Normal 2 3 3 5" xfId="28082" xr:uid="{00000000-0005-0000-0000-0000956D0000}"/>
    <cellStyle name="Normal 2 3 3 5 10" xfId="28083" xr:uid="{00000000-0005-0000-0000-0000966D0000}"/>
    <cellStyle name="Normal 2 3 3 5 2" xfId="28084" xr:uid="{00000000-0005-0000-0000-0000976D0000}"/>
    <cellStyle name="Normal 2 3 3 5 3" xfId="28085" xr:uid="{00000000-0005-0000-0000-0000986D0000}"/>
    <cellStyle name="Normal 2 3 3 5 4" xfId="28086" xr:uid="{00000000-0005-0000-0000-0000996D0000}"/>
    <cellStyle name="Normal 2 3 3 5 5" xfId="28087" xr:uid="{00000000-0005-0000-0000-00009A6D0000}"/>
    <cellStyle name="Normal 2 3 3 5 6" xfId="28088" xr:uid="{00000000-0005-0000-0000-00009B6D0000}"/>
    <cellStyle name="Normal 2 3 3 5 7" xfId="28089" xr:uid="{00000000-0005-0000-0000-00009C6D0000}"/>
    <cellStyle name="Normal 2 3 3 5 8" xfId="28090" xr:uid="{00000000-0005-0000-0000-00009D6D0000}"/>
    <cellStyle name="Normal 2 3 3 5 9" xfId="28091" xr:uid="{00000000-0005-0000-0000-00009E6D0000}"/>
    <cellStyle name="Normal 2 3 3 6" xfId="28092" xr:uid="{00000000-0005-0000-0000-00009F6D0000}"/>
    <cellStyle name="Normal 2 3 3 7" xfId="28093" xr:uid="{00000000-0005-0000-0000-0000A06D0000}"/>
    <cellStyle name="Normal 2 3 3 8" xfId="28094" xr:uid="{00000000-0005-0000-0000-0000A16D0000}"/>
    <cellStyle name="Normal 2 3 3 9" xfId="28095" xr:uid="{00000000-0005-0000-0000-0000A26D0000}"/>
    <cellStyle name="Normal 2 3 30" xfId="28096" xr:uid="{00000000-0005-0000-0000-0000A36D0000}"/>
    <cellStyle name="Normal 2 3 30 10" xfId="28097" xr:uid="{00000000-0005-0000-0000-0000A46D0000}"/>
    <cellStyle name="Normal 2 3 30 11" xfId="28098" xr:uid="{00000000-0005-0000-0000-0000A56D0000}"/>
    <cellStyle name="Normal 2 3 30 12" xfId="28099" xr:uid="{00000000-0005-0000-0000-0000A66D0000}"/>
    <cellStyle name="Normal 2 3 30 13" xfId="28100" xr:uid="{00000000-0005-0000-0000-0000A76D0000}"/>
    <cellStyle name="Normal 2 3 30 14" xfId="28101" xr:uid="{00000000-0005-0000-0000-0000A86D0000}"/>
    <cellStyle name="Normal 2 3 30 2" xfId="28102" xr:uid="{00000000-0005-0000-0000-0000A96D0000}"/>
    <cellStyle name="Normal 2 3 30 2 10" xfId="28103" xr:uid="{00000000-0005-0000-0000-0000AA6D0000}"/>
    <cellStyle name="Normal 2 3 30 2 2" xfId="28104" xr:uid="{00000000-0005-0000-0000-0000AB6D0000}"/>
    <cellStyle name="Normal 2 3 30 2 3" xfId="28105" xr:uid="{00000000-0005-0000-0000-0000AC6D0000}"/>
    <cellStyle name="Normal 2 3 30 2 4" xfId="28106" xr:uid="{00000000-0005-0000-0000-0000AD6D0000}"/>
    <cellStyle name="Normal 2 3 30 2 5" xfId="28107" xr:uid="{00000000-0005-0000-0000-0000AE6D0000}"/>
    <cellStyle name="Normal 2 3 30 2 6" xfId="28108" xr:uid="{00000000-0005-0000-0000-0000AF6D0000}"/>
    <cellStyle name="Normal 2 3 30 2 7" xfId="28109" xr:uid="{00000000-0005-0000-0000-0000B06D0000}"/>
    <cellStyle name="Normal 2 3 30 2 8" xfId="28110" xr:uid="{00000000-0005-0000-0000-0000B16D0000}"/>
    <cellStyle name="Normal 2 3 30 2 9" xfId="28111" xr:uid="{00000000-0005-0000-0000-0000B26D0000}"/>
    <cellStyle name="Normal 2 3 30 3" xfId="28112" xr:uid="{00000000-0005-0000-0000-0000B36D0000}"/>
    <cellStyle name="Normal 2 3 30 3 10" xfId="28113" xr:uid="{00000000-0005-0000-0000-0000B46D0000}"/>
    <cellStyle name="Normal 2 3 30 3 2" xfId="28114" xr:uid="{00000000-0005-0000-0000-0000B56D0000}"/>
    <cellStyle name="Normal 2 3 30 3 3" xfId="28115" xr:uid="{00000000-0005-0000-0000-0000B66D0000}"/>
    <cellStyle name="Normal 2 3 30 3 4" xfId="28116" xr:uid="{00000000-0005-0000-0000-0000B76D0000}"/>
    <cellStyle name="Normal 2 3 30 3 5" xfId="28117" xr:uid="{00000000-0005-0000-0000-0000B86D0000}"/>
    <cellStyle name="Normal 2 3 30 3 6" xfId="28118" xr:uid="{00000000-0005-0000-0000-0000B96D0000}"/>
    <cellStyle name="Normal 2 3 30 3 7" xfId="28119" xr:uid="{00000000-0005-0000-0000-0000BA6D0000}"/>
    <cellStyle name="Normal 2 3 30 3 8" xfId="28120" xr:uid="{00000000-0005-0000-0000-0000BB6D0000}"/>
    <cellStyle name="Normal 2 3 30 3 9" xfId="28121" xr:uid="{00000000-0005-0000-0000-0000BC6D0000}"/>
    <cellStyle name="Normal 2 3 30 4" xfId="28122" xr:uid="{00000000-0005-0000-0000-0000BD6D0000}"/>
    <cellStyle name="Normal 2 3 30 4 10" xfId="28123" xr:uid="{00000000-0005-0000-0000-0000BE6D0000}"/>
    <cellStyle name="Normal 2 3 30 4 2" xfId="28124" xr:uid="{00000000-0005-0000-0000-0000BF6D0000}"/>
    <cellStyle name="Normal 2 3 30 4 3" xfId="28125" xr:uid="{00000000-0005-0000-0000-0000C06D0000}"/>
    <cellStyle name="Normal 2 3 30 4 4" xfId="28126" xr:uid="{00000000-0005-0000-0000-0000C16D0000}"/>
    <cellStyle name="Normal 2 3 30 4 5" xfId="28127" xr:uid="{00000000-0005-0000-0000-0000C26D0000}"/>
    <cellStyle name="Normal 2 3 30 4 6" xfId="28128" xr:uid="{00000000-0005-0000-0000-0000C36D0000}"/>
    <cellStyle name="Normal 2 3 30 4 7" xfId="28129" xr:uid="{00000000-0005-0000-0000-0000C46D0000}"/>
    <cellStyle name="Normal 2 3 30 4 8" xfId="28130" xr:uid="{00000000-0005-0000-0000-0000C56D0000}"/>
    <cellStyle name="Normal 2 3 30 4 9" xfId="28131" xr:uid="{00000000-0005-0000-0000-0000C66D0000}"/>
    <cellStyle name="Normal 2 3 30 5" xfId="28132" xr:uid="{00000000-0005-0000-0000-0000C76D0000}"/>
    <cellStyle name="Normal 2 3 30 5 10" xfId="28133" xr:uid="{00000000-0005-0000-0000-0000C86D0000}"/>
    <cellStyle name="Normal 2 3 30 5 2" xfId="28134" xr:uid="{00000000-0005-0000-0000-0000C96D0000}"/>
    <cellStyle name="Normal 2 3 30 5 3" xfId="28135" xr:uid="{00000000-0005-0000-0000-0000CA6D0000}"/>
    <cellStyle name="Normal 2 3 30 5 4" xfId="28136" xr:uid="{00000000-0005-0000-0000-0000CB6D0000}"/>
    <cellStyle name="Normal 2 3 30 5 5" xfId="28137" xr:uid="{00000000-0005-0000-0000-0000CC6D0000}"/>
    <cellStyle name="Normal 2 3 30 5 6" xfId="28138" xr:uid="{00000000-0005-0000-0000-0000CD6D0000}"/>
    <cellStyle name="Normal 2 3 30 5 7" xfId="28139" xr:uid="{00000000-0005-0000-0000-0000CE6D0000}"/>
    <cellStyle name="Normal 2 3 30 5 8" xfId="28140" xr:uid="{00000000-0005-0000-0000-0000CF6D0000}"/>
    <cellStyle name="Normal 2 3 30 5 9" xfId="28141" xr:uid="{00000000-0005-0000-0000-0000D06D0000}"/>
    <cellStyle name="Normal 2 3 30 6" xfId="28142" xr:uid="{00000000-0005-0000-0000-0000D16D0000}"/>
    <cellStyle name="Normal 2 3 30 7" xfId="28143" xr:uid="{00000000-0005-0000-0000-0000D26D0000}"/>
    <cellStyle name="Normal 2 3 30 8" xfId="28144" xr:uid="{00000000-0005-0000-0000-0000D36D0000}"/>
    <cellStyle name="Normal 2 3 30 9" xfId="28145" xr:uid="{00000000-0005-0000-0000-0000D46D0000}"/>
    <cellStyle name="Normal 2 3 31" xfId="28146" xr:uid="{00000000-0005-0000-0000-0000D56D0000}"/>
    <cellStyle name="Normal 2 3 31 10" xfId="28147" xr:uid="{00000000-0005-0000-0000-0000D66D0000}"/>
    <cellStyle name="Normal 2 3 31 11" xfId="28148" xr:uid="{00000000-0005-0000-0000-0000D76D0000}"/>
    <cellStyle name="Normal 2 3 31 12" xfId="28149" xr:uid="{00000000-0005-0000-0000-0000D86D0000}"/>
    <cellStyle name="Normal 2 3 31 13" xfId="28150" xr:uid="{00000000-0005-0000-0000-0000D96D0000}"/>
    <cellStyle name="Normal 2 3 31 14" xfId="28151" xr:uid="{00000000-0005-0000-0000-0000DA6D0000}"/>
    <cellStyle name="Normal 2 3 31 2" xfId="28152" xr:uid="{00000000-0005-0000-0000-0000DB6D0000}"/>
    <cellStyle name="Normal 2 3 31 2 10" xfId="28153" xr:uid="{00000000-0005-0000-0000-0000DC6D0000}"/>
    <cellStyle name="Normal 2 3 31 2 2" xfId="28154" xr:uid="{00000000-0005-0000-0000-0000DD6D0000}"/>
    <cellStyle name="Normal 2 3 31 2 3" xfId="28155" xr:uid="{00000000-0005-0000-0000-0000DE6D0000}"/>
    <cellStyle name="Normal 2 3 31 2 4" xfId="28156" xr:uid="{00000000-0005-0000-0000-0000DF6D0000}"/>
    <cellStyle name="Normal 2 3 31 2 5" xfId="28157" xr:uid="{00000000-0005-0000-0000-0000E06D0000}"/>
    <cellStyle name="Normal 2 3 31 2 6" xfId="28158" xr:uid="{00000000-0005-0000-0000-0000E16D0000}"/>
    <cellStyle name="Normal 2 3 31 2 7" xfId="28159" xr:uid="{00000000-0005-0000-0000-0000E26D0000}"/>
    <cellStyle name="Normal 2 3 31 2 8" xfId="28160" xr:uid="{00000000-0005-0000-0000-0000E36D0000}"/>
    <cellStyle name="Normal 2 3 31 2 9" xfId="28161" xr:uid="{00000000-0005-0000-0000-0000E46D0000}"/>
    <cellStyle name="Normal 2 3 31 3" xfId="28162" xr:uid="{00000000-0005-0000-0000-0000E56D0000}"/>
    <cellStyle name="Normal 2 3 31 3 10" xfId="28163" xr:uid="{00000000-0005-0000-0000-0000E66D0000}"/>
    <cellStyle name="Normal 2 3 31 3 2" xfId="28164" xr:uid="{00000000-0005-0000-0000-0000E76D0000}"/>
    <cellStyle name="Normal 2 3 31 3 3" xfId="28165" xr:uid="{00000000-0005-0000-0000-0000E86D0000}"/>
    <cellStyle name="Normal 2 3 31 3 4" xfId="28166" xr:uid="{00000000-0005-0000-0000-0000E96D0000}"/>
    <cellStyle name="Normal 2 3 31 3 5" xfId="28167" xr:uid="{00000000-0005-0000-0000-0000EA6D0000}"/>
    <cellStyle name="Normal 2 3 31 3 6" xfId="28168" xr:uid="{00000000-0005-0000-0000-0000EB6D0000}"/>
    <cellStyle name="Normal 2 3 31 3 7" xfId="28169" xr:uid="{00000000-0005-0000-0000-0000EC6D0000}"/>
    <cellStyle name="Normal 2 3 31 3 8" xfId="28170" xr:uid="{00000000-0005-0000-0000-0000ED6D0000}"/>
    <cellStyle name="Normal 2 3 31 3 9" xfId="28171" xr:uid="{00000000-0005-0000-0000-0000EE6D0000}"/>
    <cellStyle name="Normal 2 3 31 4" xfId="28172" xr:uid="{00000000-0005-0000-0000-0000EF6D0000}"/>
    <cellStyle name="Normal 2 3 31 4 10" xfId="28173" xr:uid="{00000000-0005-0000-0000-0000F06D0000}"/>
    <cellStyle name="Normal 2 3 31 4 2" xfId="28174" xr:uid="{00000000-0005-0000-0000-0000F16D0000}"/>
    <cellStyle name="Normal 2 3 31 4 3" xfId="28175" xr:uid="{00000000-0005-0000-0000-0000F26D0000}"/>
    <cellStyle name="Normal 2 3 31 4 4" xfId="28176" xr:uid="{00000000-0005-0000-0000-0000F36D0000}"/>
    <cellStyle name="Normal 2 3 31 4 5" xfId="28177" xr:uid="{00000000-0005-0000-0000-0000F46D0000}"/>
    <cellStyle name="Normal 2 3 31 4 6" xfId="28178" xr:uid="{00000000-0005-0000-0000-0000F56D0000}"/>
    <cellStyle name="Normal 2 3 31 4 7" xfId="28179" xr:uid="{00000000-0005-0000-0000-0000F66D0000}"/>
    <cellStyle name="Normal 2 3 31 4 8" xfId="28180" xr:uid="{00000000-0005-0000-0000-0000F76D0000}"/>
    <cellStyle name="Normal 2 3 31 4 9" xfId="28181" xr:uid="{00000000-0005-0000-0000-0000F86D0000}"/>
    <cellStyle name="Normal 2 3 31 5" xfId="28182" xr:uid="{00000000-0005-0000-0000-0000F96D0000}"/>
    <cellStyle name="Normal 2 3 31 5 10" xfId="28183" xr:uid="{00000000-0005-0000-0000-0000FA6D0000}"/>
    <cellStyle name="Normal 2 3 31 5 2" xfId="28184" xr:uid="{00000000-0005-0000-0000-0000FB6D0000}"/>
    <cellStyle name="Normal 2 3 31 5 3" xfId="28185" xr:uid="{00000000-0005-0000-0000-0000FC6D0000}"/>
    <cellStyle name="Normal 2 3 31 5 4" xfId="28186" xr:uid="{00000000-0005-0000-0000-0000FD6D0000}"/>
    <cellStyle name="Normal 2 3 31 5 5" xfId="28187" xr:uid="{00000000-0005-0000-0000-0000FE6D0000}"/>
    <cellStyle name="Normal 2 3 31 5 6" xfId="28188" xr:uid="{00000000-0005-0000-0000-0000FF6D0000}"/>
    <cellStyle name="Normal 2 3 31 5 7" xfId="28189" xr:uid="{00000000-0005-0000-0000-0000006E0000}"/>
    <cellStyle name="Normal 2 3 31 5 8" xfId="28190" xr:uid="{00000000-0005-0000-0000-0000016E0000}"/>
    <cellStyle name="Normal 2 3 31 5 9" xfId="28191" xr:uid="{00000000-0005-0000-0000-0000026E0000}"/>
    <cellStyle name="Normal 2 3 31 6" xfId="28192" xr:uid="{00000000-0005-0000-0000-0000036E0000}"/>
    <cellStyle name="Normal 2 3 31 7" xfId="28193" xr:uid="{00000000-0005-0000-0000-0000046E0000}"/>
    <cellStyle name="Normal 2 3 31 8" xfId="28194" xr:uid="{00000000-0005-0000-0000-0000056E0000}"/>
    <cellStyle name="Normal 2 3 31 9" xfId="28195" xr:uid="{00000000-0005-0000-0000-0000066E0000}"/>
    <cellStyle name="Normal 2 3 32" xfId="28196" xr:uid="{00000000-0005-0000-0000-0000076E0000}"/>
    <cellStyle name="Normal 2 3 32 10" xfId="28197" xr:uid="{00000000-0005-0000-0000-0000086E0000}"/>
    <cellStyle name="Normal 2 3 32 11" xfId="28198" xr:uid="{00000000-0005-0000-0000-0000096E0000}"/>
    <cellStyle name="Normal 2 3 32 12" xfId="28199" xr:uid="{00000000-0005-0000-0000-00000A6E0000}"/>
    <cellStyle name="Normal 2 3 32 13" xfId="28200" xr:uid="{00000000-0005-0000-0000-00000B6E0000}"/>
    <cellStyle name="Normal 2 3 32 14" xfId="28201" xr:uid="{00000000-0005-0000-0000-00000C6E0000}"/>
    <cellStyle name="Normal 2 3 32 2" xfId="28202" xr:uid="{00000000-0005-0000-0000-00000D6E0000}"/>
    <cellStyle name="Normal 2 3 32 2 10" xfId="28203" xr:uid="{00000000-0005-0000-0000-00000E6E0000}"/>
    <cellStyle name="Normal 2 3 32 2 2" xfId="28204" xr:uid="{00000000-0005-0000-0000-00000F6E0000}"/>
    <cellStyle name="Normal 2 3 32 2 3" xfId="28205" xr:uid="{00000000-0005-0000-0000-0000106E0000}"/>
    <cellStyle name="Normal 2 3 32 2 4" xfId="28206" xr:uid="{00000000-0005-0000-0000-0000116E0000}"/>
    <cellStyle name="Normal 2 3 32 2 5" xfId="28207" xr:uid="{00000000-0005-0000-0000-0000126E0000}"/>
    <cellStyle name="Normal 2 3 32 2 6" xfId="28208" xr:uid="{00000000-0005-0000-0000-0000136E0000}"/>
    <cellStyle name="Normal 2 3 32 2 7" xfId="28209" xr:uid="{00000000-0005-0000-0000-0000146E0000}"/>
    <cellStyle name="Normal 2 3 32 2 8" xfId="28210" xr:uid="{00000000-0005-0000-0000-0000156E0000}"/>
    <cellStyle name="Normal 2 3 32 2 9" xfId="28211" xr:uid="{00000000-0005-0000-0000-0000166E0000}"/>
    <cellStyle name="Normal 2 3 32 3" xfId="28212" xr:uid="{00000000-0005-0000-0000-0000176E0000}"/>
    <cellStyle name="Normal 2 3 32 3 10" xfId="28213" xr:uid="{00000000-0005-0000-0000-0000186E0000}"/>
    <cellStyle name="Normal 2 3 32 3 2" xfId="28214" xr:uid="{00000000-0005-0000-0000-0000196E0000}"/>
    <cellStyle name="Normal 2 3 32 3 3" xfId="28215" xr:uid="{00000000-0005-0000-0000-00001A6E0000}"/>
    <cellStyle name="Normal 2 3 32 3 4" xfId="28216" xr:uid="{00000000-0005-0000-0000-00001B6E0000}"/>
    <cellStyle name="Normal 2 3 32 3 5" xfId="28217" xr:uid="{00000000-0005-0000-0000-00001C6E0000}"/>
    <cellStyle name="Normal 2 3 32 3 6" xfId="28218" xr:uid="{00000000-0005-0000-0000-00001D6E0000}"/>
    <cellStyle name="Normal 2 3 32 3 7" xfId="28219" xr:uid="{00000000-0005-0000-0000-00001E6E0000}"/>
    <cellStyle name="Normal 2 3 32 3 8" xfId="28220" xr:uid="{00000000-0005-0000-0000-00001F6E0000}"/>
    <cellStyle name="Normal 2 3 32 3 9" xfId="28221" xr:uid="{00000000-0005-0000-0000-0000206E0000}"/>
    <cellStyle name="Normal 2 3 32 4" xfId="28222" xr:uid="{00000000-0005-0000-0000-0000216E0000}"/>
    <cellStyle name="Normal 2 3 32 4 10" xfId="28223" xr:uid="{00000000-0005-0000-0000-0000226E0000}"/>
    <cellStyle name="Normal 2 3 32 4 2" xfId="28224" xr:uid="{00000000-0005-0000-0000-0000236E0000}"/>
    <cellStyle name="Normal 2 3 32 4 3" xfId="28225" xr:uid="{00000000-0005-0000-0000-0000246E0000}"/>
    <cellStyle name="Normal 2 3 32 4 4" xfId="28226" xr:uid="{00000000-0005-0000-0000-0000256E0000}"/>
    <cellStyle name="Normal 2 3 32 4 5" xfId="28227" xr:uid="{00000000-0005-0000-0000-0000266E0000}"/>
    <cellStyle name="Normal 2 3 32 4 6" xfId="28228" xr:uid="{00000000-0005-0000-0000-0000276E0000}"/>
    <cellStyle name="Normal 2 3 32 4 7" xfId="28229" xr:uid="{00000000-0005-0000-0000-0000286E0000}"/>
    <cellStyle name="Normal 2 3 32 4 8" xfId="28230" xr:uid="{00000000-0005-0000-0000-0000296E0000}"/>
    <cellStyle name="Normal 2 3 32 4 9" xfId="28231" xr:uid="{00000000-0005-0000-0000-00002A6E0000}"/>
    <cellStyle name="Normal 2 3 32 5" xfId="28232" xr:uid="{00000000-0005-0000-0000-00002B6E0000}"/>
    <cellStyle name="Normal 2 3 32 5 10" xfId="28233" xr:uid="{00000000-0005-0000-0000-00002C6E0000}"/>
    <cellStyle name="Normal 2 3 32 5 2" xfId="28234" xr:uid="{00000000-0005-0000-0000-00002D6E0000}"/>
    <cellStyle name="Normal 2 3 32 5 3" xfId="28235" xr:uid="{00000000-0005-0000-0000-00002E6E0000}"/>
    <cellStyle name="Normal 2 3 32 5 4" xfId="28236" xr:uid="{00000000-0005-0000-0000-00002F6E0000}"/>
    <cellStyle name="Normal 2 3 32 5 5" xfId="28237" xr:uid="{00000000-0005-0000-0000-0000306E0000}"/>
    <cellStyle name="Normal 2 3 32 5 6" xfId="28238" xr:uid="{00000000-0005-0000-0000-0000316E0000}"/>
    <cellStyle name="Normal 2 3 32 5 7" xfId="28239" xr:uid="{00000000-0005-0000-0000-0000326E0000}"/>
    <cellStyle name="Normal 2 3 32 5 8" xfId="28240" xr:uid="{00000000-0005-0000-0000-0000336E0000}"/>
    <cellStyle name="Normal 2 3 32 5 9" xfId="28241" xr:uid="{00000000-0005-0000-0000-0000346E0000}"/>
    <cellStyle name="Normal 2 3 32 6" xfId="28242" xr:uid="{00000000-0005-0000-0000-0000356E0000}"/>
    <cellStyle name="Normal 2 3 32 7" xfId="28243" xr:uid="{00000000-0005-0000-0000-0000366E0000}"/>
    <cellStyle name="Normal 2 3 32 8" xfId="28244" xr:uid="{00000000-0005-0000-0000-0000376E0000}"/>
    <cellStyle name="Normal 2 3 32 9" xfId="28245" xr:uid="{00000000-0005-0000-0000-0000386E0000}"/>
    <cellStyle name="Normal 2 3 33" xfId="28246" xr:uid="{00000000-0005-0000-0000-0000396E0000}"/>
    <cellStyle name="Normal 2 3 33 10" xfId="28247" xr:uid="{00000000-0005-0000-0000-00003A6E0000}"/>
    <cellStyle name="Normal 2 3 33 11" xfId="28248" xr:uid="{00000000-0005-0000-0000-00003B6E0000}"/>
    <cellStyle name="Normal 2 3 33 12" xfId="28249" xr:uid="{00000000-0005-0000-0000-00003C6E0000}"/>
    <cellStyle name="Normal 2 3 33 13" xfId="28250" xr:uid="{00000000-0005-0000-0000-00003D6E0000}"/>
    <cellStyle name="Normal 2 3 33 14" xfId="28251" xr:uid="{00000000-0005-0000-0000-00003E6E0000}"/>
    <cellStyle name="Normal 2 3 33 2" xfId="28252" xr:uid="{00000000-0005-0000-0000-00003F6E0000}"/>
    <cellStyle name="Normal 2 3 33 2 10" xfId="28253" xr:uid="{00000000-0005-0000-0000-0000406E0000}"/>
    <cellStyle name="Normal 2 3 33 2 2" xfId="28254" xr:uid="{00000000-0005-0000-0000-0000416E0000}"/>
    <cellStyle name="Normal 2 3 33 2 3" xfId="28255" xr:uid="{00000000-0005-0000-0000-0000426E0000}"/>
    <cellStyle name="Normal 2 3 33 2 4" xfId="28256" xr:uid="{00000000-0005-0000-0000-0000436E0000}"/>
    <cellStyle name="Normal 2 3 33 2 5" xfId="28257" xr:uid="{00000000-0005-0000-0000-0000446E0000}"/>
    <cellStyle name="Normal 2 3 33 2 6" xfId="28258" xr:uid="{00000000-0005-0000-0000-0000456E0000}"/>
    <cellStyle name="Normal 2 3 33 2 7" xfId="28259" xr:uid="{00000000-0005-0000-0000-0000466E0000}"/>
    <cellStyle name="Normal 2 3 33 2 8" xfId="28260" xr:uid="{00000000-0005-0000-0000-0000476E0000}"/>
    <cellStyle name="Normal 2 3 33 2 9" xfId="28261" xr:uid="{00000000-0005-0000-0000-0000486E0000}"/>
    <cellStyle name="Normal 2 3 33 3" xfId="28262" xr:uid="{00000000-0005-0000-0000-0000496E0000}"/>
    <cellStyle name="Normal 2 3 33 3 10" xfId="28263" xr:uid="{00000000-0005-0000-0000-00004A6E0000}"/>
    <cellStyle name="Normal 2 3 33 3 2" xfId="28264" xr:uid="{00000000-0005-0000-0000-00004B6E0000}"/>
    <cellStyle name="Normal 2 3 33 3 3" xfId="28265" xr:uid="{00000000-0005-0000-0000-00004C6E0000}"/>
    <cellStyle name="Normal 2 3 33 3 4" xfId="28266" xr:uid="{00000000-0005-0000-0000-00004D6E0000}"/>
    <cellStyle name="Normal 2 3 33 3 5" xfId="28267" xr:uid="{00000000-0005-0000-0000-00004E6E0000}"/>
    <cellStyle name="Normal 2 3 33 3 6" xfId="28268" xr:uid="{00000000-0005-0000-0000-00004F6E0000}"/>
    <cellStyle name="Normal 2 3 33 3 7" xfId="28269" xr:uid="{00000000-0005-0000-0000-0000506E0000}"/>
    <cellStyle name="Normal 2 3 33 3 8" xfId="28270" xr:uid="{00000000-0005-0000-0000-0000516E0000}"/>
    <cellStyle name="Normal 2 3 33 3 9" xfId="28271" xr:uid="{00000000-0005-0000-0000-0000526E0000}"/>
    <cellStyle name="Normal 2 3 33 4" xfId="28272" xr:uid="{00000000-0005-0000-0000-0000536E0000}"/>
    <cellStyle name="Normal 2 3 33 4 10" xfId="28273" xr:uid="{00000000-0005-0000-0000-0000546E0000}"/>
    <cellStyle name="Normal 2 3 33 4 2" xfId="28274" xr:uid="{00000000-0005-0000-0000-0000556E0000}"/>
    <cellStyle name="Normal 2 3 33 4 3" xfId="28275" xr:uid="{00000000-0005-0000-0000-0000566E0000}"/>
    <cellStyle name="Normal 2 3 33 4 4" xfId="28276" xr:uid="{00000000-0005-0000-0000-0000576E0000}"/>
    <cellStyle name="Normal 2 3 33 4 5" xfId="28277" xr:uid="{00000000-0005-0000-0000-0000586E0000}"/>
    <cellStyle name="Normal 2 3 33 4 6" xfId="28278" xr:uid="{00000000-0005-0000-0000-0000596E0000}"/>
    <cellStyle name="Normal 2 3 33 4 7" xfId="28279" xr:uid="{00000000-0005-0000-0000-00005A6E0000}"/>
    <cellStyle name="Normal 2 3 33 4 8" xfId="28280" xr:uid="{00000000-0005-0000-0000-00005B6E0000}"/>
    <cellStyle name="Normal 2 3 33 4 9" xfId="28281" xr:uid="{00000000-0005-0000-0000-00005C6E0000}"/>
    <cellStyle name="Normal 2 3 33 5" xfId="28282" xr:uid="{00000000-0005-0000-0000-00005D6E0000}"/>
    <cellStyle name="Normal 2 3 33 5 10" xfId="28283" xr:uid="{00000000-0005-0000-0000-00005E6E0000}"/>
    <cellStyle name="Normal 2 3 33 5 2" xfId="28284" xr:uid="{00000000-0005-0000-0000-00005F6E0000}"/>
    <cellStyle name="Normal 2 3 33 5 3" xfId="28285" xr:uid="{00000000-0005-0000-0000-0000606E0000}"/>
    <cellStyle name="Normal 2 3 33 5 4" xfId="28286" xr:uid="{00000000-0005-0000-0000-0000616E0000}"/>
    <cellStyle name="Normal 2 3 33 5 5" xfId="28287" xr:uid="{00000000-0005-0000-0000-0000626E0000}"/>
    <cellStyle name="Normal 2 3 33 5 6" xfId="28288" xr:uid="{00000000-0005-0000-0000-0000636E0000}"/>
    <cellStyle name="Normal 2 3 33 5 7" xfId="28289" xr:uid="{00000000-0005-0000-0000-0000646E0000}"/>
    <cellStyle name="Normal 2 3 33 5 8" xfId="28290" xr:uid="{00000000-0005-0000-0000-0000656E0000}"/>
    <cellStyle name="Normal 2 3 33 5 9" xfId="28291" xr:uid="{00000000-0005-0000-0000-0000666E0000}"/>
    <cellStyle name="Normal 2 3 33 6" xfId="28292" xr:uid="{00000000-0005-0000-0000-0000676E0000}"/>
    <cellStyle name="Normal 2 3 33 7" xfId="28293" xr:uid="{00000000-0005-0000-0000-0000686E0000}"/>
    <cellStyle name="Normal 2 3 33 8" xfId="28294" xr:uid="{00000000-0005-0000-0000-0000696E0000}"/>
    <cellStyle name="Normal 2 3 33 9" xfId="28295" xr:uid="{00000000-0005-0000-0000-00006A6E0000}"/>
    <cellStyle name="Normal 2 3 34" xfId="28296" xr:uid="{00000000-0005-0000-0000-00006B6E0000}"/>
    <cellStyle name="Normal 2 3 34 10" xfId="28297" xr:uid="{00000000-0005-0000-0000-00006C6E0000}"/>
    <cellStyle name="Normal 2 3 34 11" xfId="28298" xr:uid="{00000000-0005-0000-0000-00006D6E0000}"/>
    <cellStyle name="Normal 2 3 34 12" xfId="28299" xr:uid="{00000000-0005-0000-0000-00006E6E0000}"/>
    <cellStyle name="Normal 2 3 34 13" xfId="28300" xr:uid="{00000000-0005-0000-0000-00006F6E0000}"/>
    <cellStyle name="Normal 2 3 34 14" xfId="28301" xr:uid="{00000000-0005-0000-0000-0000706E0000}"/>
    <cellStyle name="Normal 2 3 34 2" xfId="28302" xr:uid="{00000000-0005-0000-0000-0000716E0000}"/>
    <cellStyle name="Normal 2 3 34 2 10" xfId="28303" xr:uid="{00000000-0005-0000-0000-0000726E0000}"/>
    <cellStyle name="Normal 2 3 34 2 2" xfId="28304" xr:uid="{00000000-0005-0000-0000-0000736E0000}"/>
    <cellStyle name="Normal 2 3 34 2 3" xfId="28305" xr:uid="{00000000-0005-0000-0000-0000746E0000}"/>
    <cellStyle name="Normal 2 3 34 2 4" xfId="28306" xr:uid="{00000000-0005-0000-0000-0000756E0000}"/>
    <cellStyle name="Normal 2 3 34 2 5" xfId="28307" xr:uid="{00000000-0005-0000-0000-0000766E0000}"/>
    <cellStyle name="Normal 2 3 34 2 6" xfId="28308" xr:uid="{00000000-0005-0000-0000-0000776E0000}"/>
    <cellStyle name="Normal 2 3 34 2 7" xfId="28309" xr:uid="{00000000-0005-0000-0000-0000786E0000}"/>
    <cellStyle name="Normal 2 3 34 2 8" xfId="28310" xr:uid="{00000000-0005-0000-0000-0000796E0000}"/>
    <cellStyle name="Normal 2 3 34 2 9" xfId="28311" xr:uid="{00000000-0005-0000-0000-00007A6E0000}"/>
    <cellStyle name="Normal 2 3 34 3" xfId="28312" xr:uid="{00000000-0005-0000-0000-00007B6E0000}"/>
    <cellStyle name="Normal 2 3 34 3 10" xfId="28313" xr:uid="{00000000-0005-0000-0000-00007C6E0000}"/>
    <cellStyle name="Normal 2 3 34 3 2" xfId="28314" xr:uid="{00000000-0005-0000-0000-00007D6E0000}"/>
    <cellStyle name="Normal 2 3 34 3 3" xfId="28315" xr:uid="{00000000-0005-0000-0000-00007E6E0000}"/>
    <cellStyle name="Normal 2 3 34 3 4" xfId="28316" xr:uid="{00000000-0005-0000-0000-00007F6E0000}"/>
    <cellStyle name="Normal 2 3 34 3 5" xfId="28317" xr:uid="{00000000-0005-0000-0000-0000806E0000}"/>
    <cellStyle name="Normal 2 3 34 3 6" xfId="28318" xr:uid="{00000000-0005-0000-0000-0000816E0000}"/>
    <cellStyle name="Normal 2 3 34 3 7" xfId="28319" xr:uid="{00000000-0005-0000-0000-0000826E0000}"/>
    <cellStyle name="Normal 2 3 34 3 8" xfId="28320" xr:uid="{00000000-0005-0000-0000-0000836E0000}"/>
    <cellStyle name="Normal 2 3 34 3 9" xfId="28321" xr:uid="{00000000-0005-0000-0000-0000846E0000}"/>
    <cellStyle name="Normal 2 3 34 4" xfId="28322" xr:uid="{00000000-0005-0000-0000-0000856E0000}"/>
    <cellStyle name="Normal 2 3 34 4 10" xfId="28323" xr:uid="{00000000-0005-0000-0000-0000866E0000}"/>
    <cellStyle name="Normal 2 3 34 4 2" xfId="28324" xr:uid="{00000000-0005-0000-0000-0000876E0000}"/>
    <cellStyle name="Normal 2 3 34 4 3" xfId="28325" xr:uid="{00000000-0005-0000-0000-0000886E0000}"/>
    <cellStyle name="Normal 2 3 34 4 4" xfId="28326" xr:uid="{00000000-0005-0000-0000-0000896E0000}"/>
    <cellStyle name="Normal 2 3 34 4 5" xfId="28327" xr:uid="{00000000-0005-0000-0000-00008A6E0000}"/>
    <cellStyle name="Normal 2 3 34 4 6" xfId="28328" xr:uid="{00000000-0005-0000-0000-00008B6E0000}"/>
    <cellStyle name="Normal 2 3 34 4 7" xfId="28329" xr:uid="{00000000-0005-0000-0000-00008C6E0000}"/>
    <cellStyle name="Normal 2 3 34 4 8" xfId="28330" xr:uid="{00000000-0005-0000-0000-00008D6E0000}"/>
    <cellStyle name="Normal 2 3 34 4 9" xfId="28331" xr:uid="{00000000-0005-0000-0000-00008E6E0000}"/>
    <cellStyle name="Normal 2 3 34 5" xfId="28332" xr:uid="{00000000-0005-0000-0000-00008F6E0000}"/>
    <cellStyle name="Normal 2 3 34 5 10" xfId="28333" xr:uid="{00000000-0005-0000-0000-0000906E0000}"/>
    <cellStyle name="Normal 2 3 34 5 2" xfId="28334" xr:uid="{00000000-0005-0000-0000-0000916E0000}"/>
    <cellStyle name="Normal 2 3 34 5 3" xfId="28335" xr:uid="{00000000-0005-0000-0000-0000926E0000}"/>
    <cellStyle name="Normal 2 3 34 5 4" xfId="28336" xr:uid="{00000000-0005-0000-0000-0000936E0000}"/>
    <cellStyle name="Normal 2 3 34 5 5" xfId="28337" xr:uid="{00000000-0005-0000-0000-0000946E0000}"/>
    <cellStyle name="Normal 2 3 34 5 6" xfId="28338" xr:uid="{00000000-0005-0000-0000-0000956E0000}"/>
    <cellStyle name="Normal 2 3 34 5 7" xfId="28339" xr:uid="{00000000-0005-0000-0000-0000966E0000}"/>
    <cellStyle name="Normal 2 3 34 5 8" xfId="28340" xr:uid="{00000000-0005-0000-0000-0000976E0000}"/>
    <cellStyle name="Normal 2 3 34 5 9" xfId="28341" xr:uid="{00000000-0005-0000-0000-0000986E0000}"/>
    <cellStyle name="Normal 2 3 34 6" xfId="28342" xr:uid="{00000000-0005-0000-0000-0000996E0000}"/>
    <cellStyle name="Normal 2 3 34 7" xfId="28343" xr:uid="{00000000-0005-0000-0000-00009A6E0000}"/>
    <cellStyle name="Normal 2 3 34 8" xfId="28344" xr:uid="{00000000-0005-0000-0000-00009B6E0000}"/>
    <cellStyle name="Normal 2 3 34 9" xfId="28345" xr:uid="{00000000-0005-0000-0000-00009C6E0000}"/>
    <cellStyle name="Normal 2 3 35" xfId="28346" xr:uid="{00000000-0005-0000-0000-00009D6E0000}"/>
    <cellStyle name="Normal 2 3 35 10" xfId="28347" xr:uid="{00000000-0005-0000-0000-00009E6E0000}"/>
    <cellStyle name="Normal 2 3 35 2" xfId="28348" xr:uid="{00000000-0005-0000-0000-00009F6E0000}"/>
    <cellStyle name="Normal 2 3 35 3" xfId="28349" xr:uid="{00000000-0005-0000-0000-0000A06E0000}"/>
    <cellStyle name="Normal 2 3 35 4" xfId="28350" xr:uid="{00000000-0005-0000-0000-0000A16E0000}"/>
    <cellStyle name="Normal 2 3 35 5" xfId="28351" xr:uid="{00000000-0005-0000-0000-0000A26E0000}"/>
    <cellStyle name="Normal 2 3 35 6" xfId="28352" xr:uid="{00000000-0005-0000-0000-0000A36E0000}"/>
    <cellStyle name="Normal 2 3 35 7" xfId="28353" xr:uid="{00000000-0005-0000-0000-0000A46E0000}"/>
    <cellStyle name="Normal 2 3 35 8" xfId="28354" xr:uid="{00000000-0005-0000-0000-0000A56E0000}"/>
    <cellStyle name="Normal 2 3 35 9" xfId="28355" xr:uid="{00000000-0005-0000-0000-0000A66E0000}"/>
    <cellStyle name="Normal 2 3 36" xfId="28356" xr:uid="{00000000-0005-0000-0000-0000A76E0000}"/>
    <cellStyle name="Normal 2 3 36 10" xfId="28357" xr:uid="{00000000-0005-0000-0000-0000A86E0000}"/>
    <cellStyle name="Normal 2 3 36 2" xfId="28358" xr:uid="{00000000-0005-0000-0000-0000A96E0000}"/>
    <cellStyle name="Normal 2 3 36 3" xfId="28359" xr:uid="{00000000-0005-0000-0000-0000AA6E0000}"/>
    <cellStyle name="Normal 2 3 36 4" xfId="28360" xr:uid="{00000000-0005-0000-0000-0000AB6E0000}"/>
    <cellStyle name="Normal 2 3 36 5" xfId="28361" xr:uid="{00000000-0005-0000-0000-0000AC6E0000}"/>
    <cellStyle name="Normal 2 3 36 6" xfId="28362" xr:uid="{00000000-0005-0000-0000-0000AD6E0000}"/>
    <cellStyle name="Normal 2 3 36 7" xfId="28363" xr:uid="{00000000-0005-0000-0000-0000AE6E0000}"/>
    <cellStyle name="Normal 2 3 36 8" xfId="28364" xr:uid="{00000000-0005-0000-0000-0000AF6E0000}"/>
    <cellStyle name="Normal 2 3 36 9" xfId="28365" xr:uid="{00000000-0005-0000-0000-0000B06E0000}"/>
    <cellStyle name="Normal 2 3 37" xfId="28366" xr:uid="{00000000-0005-0000-0000-0000B16E0000}"/>
    <cellStyle name="Normal 2 3 37 10" xfId="28367" xr:uid="{00000000-0005-0000-0000-0000B26E0000}"/>
    <cellStyle name="Normal 2 3 37 2" xfId="28368" xr:uid="{00000000-0005-0000-0000-0000B36E0000}"/>
    <cellStyle name="Normal 2 3 37 3" xfId="28369" xr:uid="{00000000-0005-0000-0000-0000B46E0000}"/>
    <cellStyle name="Normal 2 3 37 4" xfId="28370" xr:uid="{00000000-0005-0000-0000-0000B56E0000}"/>
    <cellStyle name="Normal 2 3 37 5" xfId="28371" xr:uid="{00000000-0005-0000-0000-0000B66E0000}"/>
    <cellStyle name="Normal 2 3 37 6" xfId="28372" xr:uid="{00000000-0005-0000-0000-0000B76E0000}"/>
    <cellStyle name="Normal 2 3 37 7" xfId="28373" xr:uid="{00000000-0005-0000-0000-0000B86E0000}"/>
    <cellStyle name="Normal 2 3 37 8" xfId="28374" xr:uid="{00000000-0005-0000-0000-0000B96E0000}"/>
    <cellStyle name="Normal 2 3 37 9" xfId="28375" xr:uid="{00000000-0005-0000-0000-0000BA6E0000}"/>
    <cellStyle name="Normal 2 3 38" xfId="28376" xr:uid="{00000000-0005-0000-0000-0000BB6E0000}"/>
    <cellStyle name="Normal 2 3 38 10" xfId="28377" xr:uid="{00000000-0005-0000-0000-0000BC6E0000}"/>
    <cellStyle name="Normal 2 3 38 2" xfId="28378" xr:uid="{00000000-0005-0000-0000-0000BD6E0000}"/>
    <cellStyle name="Normal 2 3 38 3" xfId="28379" xr:uid="{00000000-0005-0000-0000-0000BE6E0000}"/>
    <cellStyle name="Normal 2 3 38 4" xfId="28380" xr:uid="{00000000-0005-0000-0000-0000BF6E0000}"/>
    <cellStyle name="Normal 2 3 38 5" xfId="28381" xr:uid="{00000000-0005-0000-0000-0000C06E0000}"/>
    <cellStyle name="Normal 2 3 38 6" xfId="28382" xr:uid="{00000000-0005-0000-0000-0000C16E0000}"/>
    <cellStyle name="Normal 2 3 38 7" xfId="28383" xr:uid="{00000000-0005-0000-0000-0000C26E0000}"/>
    <cellStyle name="Normal 2 3 38 8" xfId="28384" xr:uid="{00000000-0005-0000-0000-0000C36E0000}"/>
    <cellStyle name="Normal 2 3 38 9" xfId="28385" xr:uid="{00000000-0005-0000-0000-0000C46E0000}"/>
    <cellStyle name="Normal 2 3 39" xfId="28386" xr:uid="{00000000-0005-0000-0000-0000C56E0000}"/>
    <cellStyle name="Normal 2 3 4" xfId="28387" xr:uid="{00000000-0005-0000-0000-0000C66E0000}"/>
    <cellStyle name="Normal 2 3 4 10" xfId="28388" xr:uid="{00000000-0005-0000-0000-0000C76E0000}"/>
    <cellStyle name="Normal 2 3 4 11" xfId="28389" xr:uid="{00000000-0005-0000-0000-0000C86E0000}"/>
    <cellStyle name="Normal 2 3 4 12" xfId="28390" xr:uid="{00000000-0005-0000-0000-0000C96E0000}"/>
    <cellStyle name="Normal 2 3 4 13" xfId="28391" xr:uid="{00000000-0005-0000-0000-0000CA6E0000}"/>
    <cellStyle name="Normal 2 3 4 14" xfId="28392" xr:uid="{00000000-0005-0000-0000-0000CB6E0000}"/>
    <cellStyle name="Normal 2 3 4 15" xfId="28393" xr:uid="{00000000-0005-0000-0000-0000CC6E0000}"/>
    <cellStyle name="Normal 2 3 4 16" xfId="28394" xr:uid="{00000000-0005-0000-0000-0000CD6E0000}"/>
    <cellStyle name="Normal 2 3 4 2" xfId="28395" xr:uid="{00000000-0005-0000-0000-0000CE6E0000}"/>
    <cellStyle name="Normal 2 3 4 2 10" xfId="28396" xr:uid="{00000000-0005-0000-0000-0000CF6E0000}"/>
    <cellStyle name="Normal 2 3 4 2 2" xfId="28397" xr:uid="{00000000-0005-0000-0000-0000D06E0000}"/>
    <cellStyle name="Normal 2 3 4 2 3" xfId="28398" xr:uid="{00000000-0005-0000-0000-0000D16E0000}"/>
    <cellStyle name="Normal 2 3 4 2 4" xfId="28399" xr:uid="{00000000-0005-0000-0000-0000D26E0000}"/>
    <cellStyle name="Normal 2 3 4 2 5" xfId="28400" xr:uid="{00000000-0005-0000-0000-0000D36E0000}"/>
    <cellStyle name="Normal 2 3 4 2 6" xfId="28401" xr:uid="{00000000-0005-0000-0000-0000D46E0000}"/>
    <cellStyle name="Normal 2 3 4 2 7" xfId="28402" xr:uid="{00000000-0005-0000-0000-0000D56E0000}"/>
    <cellStyle name="Normal 2 3 4 2 8" xfId="28403" xr:uid="{00000000-0005-0000-0000-0000D66E0000}"/>
    <cellStyle name="Normal 2 3 4 2 9" xfId="28404" xr:uid="{00000000-0005-0000-0000-0000D76E0000}"/>
    <cellStyle name="Normal 2 3 4 3" xfId="28405" xr:uid="{00000000-0005-0000-0000-0000D86E0000}"/>
    <cellStyle name="Normal 2 3 4 3 10" xfId="28406" xr:uid="{00000000-0005-0000-0000-0000D96E0000}"/>
    <cellStyle name="Normal 2 3 4 3 2" xfId="28407" xr:uid="{00000000-0005-0000-0000-0000DA6E0000}"/>
    <cellStyle name="Normal 2 3 4 3 3" xfId="28408" xr:uid="{00000000-0005-0000-0000-0000DB6E0000}"/>
    <cellStyle name="Normal 2 3 4 3 4" xfId="28409" xr:uid="{00000000-0005-0000-0000-0000DC6E0000}"/>
    <cellStyle name="Normal 2 3 4 3 5" xfId="28410" xr:uid="{00000000-0005-0000-0000-0000DD6E0000}"/>
    <cellStyle name="Normal 2 3 4 3 6" xfId="28411" xr:uid="{00000000-0005-0000-0000-0000DE6E0000}"/>
    <cellStyle name="Normal 2 3 4 3 7" xfId="28412" xr:uid="{00000000-0005-0000-0000-0000DF6E0000}"/>
    <cellStyle name="Normal 2 3 4 3 8" xfId="28413" xr:uid="{00000000-0005-0000-0000-0000E06E0000}"/>
    <cellStyle name="Normal 2 3 4 3 9" xfId="28414" xr:uid="{00000000-0005-0000-0000-0000E16E0000}"/>
    <cellStyle name="Normal 2 3 4 4" xfId="28415" xr:uid="{00000000-0005-0000-0000-0000E26E0000}"/>
    <cellStyle name="Normal 2 3 4 4 10" xfId="28416" xr:uid="{00000000-0005-0000-0000-0000E36E0000}"/>
    <cellStyle name="Normal 2 3 4 4 2" xfId="28417" xr:uid="{00000000-0005-0000-0000-0000E46E0000}"/>
    <cellStyle name="Normal 2 3 4 4 3" xfId="28418" xr:uid="{00000000-0005-0000-0000-0000E56E0000}"/>
    <cellStyle name="Normal 2 3 4 4 4" xfId="28419" xr:uid="{00000000-0005-0000-0000-0000E66E0000}"/>
    <cellStyle name="Normal 2 3 4 4 5" xfId="28420" xr:uid="{00000000-0005-0000-0000-0000E76E0000}"/>
    <cellStyle name="Normal 2 3 4 4 6" xfId="28421" xr:uid="{00000000-0005-0000-0000-0000E86E0000}"/>
    <cellStyle name="Normal 2 3 4 4 7" xfId="28422" xr:uid="{00000000-0005-0000-0000-0000E96E0000}"/>
    <cellStyle name="Normal 2 3 4 4 8" xfId="28423" xr:uid="{00000000-0005-0000-0000-0000EA6E0000}"/>
    <cellStyle name="Normal 2 3 4 4 9" xfId="28424" xr:uid="{00000000-0005-0000-0000-0000EB6E0000}"/>
    <cellStyle name="Normal 2 3 4 5" xfId="28425" xr:uid="{00000000-0005-0000-0000-0000EC6E0000}"/>
    <cellStyle name="Normal 2 3 4 5 10" xfId="28426" xr:uid="{00000000-0005-0000-0000-0000ED6E0000}"/>
    <cellStyle name="Normal 2 3 4 5 2" xfId="28427" xr:uid="{00000000-0005-0000-0000-0000EE6E0000}"/>
    <cellStyle name="Normal 2 3 4 5 3" xfId="28428" xr:uid="{00000000-0005-0000-0000-0000EF6E0000}"/>
    <cellStyle name="Normal 2 3 4 5 4" xfId="28429" xr:uid="{00000000-0005-0000-0000-0000F06E0000}"/>
    <cellStyle name="Normal 2 3 4 5 5" xfId="28430" xr:uid="{00000000-0005-0000-0000-0000F16E0000}"/>
    <cellStyle name="Normal 2 3 4 5 6" xfId="28431" xr:uid="{00000000-0005-0000-0000-0000F26E0000}"/>
    <cellStyle name="Normal 2 3 4 5 7" xfId="28432" xr:uid="{00000000-0005-0000-0000-0000F36E0000}"/>
    <cellStyle name="Normal 2 3 4 5 8" xfId="28433" xr:uid="{00000000-0005-0000-0000-0000F46E0000}"/>
    <cellStyle name="Normal 2 3 4 5 9" xfId="28434" xr:uid="{00000000-0005-0000-0000-0000F56E0000}"/>
    <cellStyle name="Normal 2 3 4 6" xfId="28435" xr:uid="{00000000-0005-0000-0000-0000F66E0000}"/>
    <cellStyle name="Normal 2 3 4 7" xfId="28436" xr:uid="{00000000-0005-0000-0000-0000F76E0000}"/>
    <cellStyle name="Normal 2 3 4 8" xfId="28437" xr:uid="{00000000-0005-0000-0000-0000F86E0000}"/>
    <cellStyle name="Normal 2 3 4 9" xfId="28438" xr:uid="{00000000-0005-0000-0000-0000F96E0000}"/>
    <cellStyle name="Normal 2 3 40" xfId="28439" xr:uid="{00000000-0005-0000-0000-0000FA6E0000}"/>
    <cellStyle name="Normal 2 3 41" xfId="28440" xr:uid="{00000000-0005-0000-0000-0000FB6E0000}"/>
    <cellStyle name="Normal 2 3 42" xfId="28441" xr:uid="{00000000-0005-0000-0000-0000FC6E0000}"/>
    <cellStyle name="Normal 2 3 43" xfId="28442" xr:uid="{00000000-0005-0000-0000-0000FD6E0000}"/>
    <cellStyle name="Normal 2 3 44" xfId="28443" xr:uid="{00000000-0005-0000-0000-0000FE6E0000}"/>
    <cellStyle name="Normal 2 3 45" xfId="28444" xr:uid="{00000000-0005-0000-0000-0000FF6E0000}"/>
    <cellStyle name="Normal 2 3 46" xfId="28445" xr:uid="{00000000-0005-0000-0000-0000006F0000}"/>
    <cellStyle name="Normal 2 3 47" xfId="28446" xr:uid="{00000000-0005-0000-0000-0000016F0000}"/>
    <cellStyle name="Normal 2 3 48" xfId="28447" xr:uid="{00000000-0005-0000-0000-0000026F0000}"/>
    <cellStyle name="Normal 2 3 49" xfId="28448" xr:uid="{00000000-0005-0000-0000-0000036F0000}"/>
    <cellStyle name="Normal 2 3 5" xfId="28449" xr:uid="{00000000-0005-0000-0000-0000046F0000}"/>
    <cellStyle name="Normal 2 3 5 10" xfId="28450" xr:uid="{00000000-0005-0000-0000-0000056F0000}"/>
    <cellStyle name="Normal 2 3 5 11" xfId="28451" xr:uid="{00000000-0005-0000-0000-0000066F0000}"/>
    <cellStyle name="Normal 2 3 5 12" xfId="28452" xr:uid="{00000000-0005-0000-0000-0000076F0000}"/>
    <cellStyle name="Normal 2 3 5 13" xfId="28453" xr:uid="{00000000-0005-0000-0000-0000086F0000}"/>
    <cellStyle name="Normal 2 3 5 14" xfId="28454" xr:uid="{00000000-0005-0000-0000-0000096F0000}"/>
    <cellStyle name="Normal 2 3 5 15" xfId="28455" xr:uid="{00000000-0005-0000-0000-00000A6F0000}"/>
    <cellStyle name="Normal 2 3 5 16" xfId="28456" xr:uid="{00000000-0005-0000-0000-00000B6F0000}"/>
    <cellStyle name="Normal 2 3 5 2" xfId="28457" xr:uid="{00000000-0005-0000-0000-00000C6F0000}"/>
    <cellStyle name="Normal 2 3 5 2 10" xfId="28458" xr:uid="{00000000-0005-0000-0000-00000D6F0000}"/>
    <cellStyle name="Normal 2 3 5 2 11" xfId="28459" xr:uid="{00000000-0005-0000-0000-00000E6F0000}"/>
    <cellStyle name="Normal 2 3 5 2 12" xfId="28460" xr:uid="{00000000-0005-0000-0000-00000F6F0000}"/>
    <cellStyle name="Normal 2 3 5 2 2" xfId="28461" xr:uid="{00000000-0005-0000-0000-0000106F0000}"/>
    <cellStyle name="Normal 2 3 5 2 3" xfId="28462" xr:uid="{00000000-0005-0000-0000-0000116F0000}"/>
    <cellStyle name="Normal 2 3 5 2 4" xfId="28463" xr:uid="{00000000-0005-0000-0000-0000126F0000}"/>
    <cellStyle name="Normal 2 3 5 2 5" xfId="28464" xr:uid="{00000000-0005-0000-0000-0000136F0000}"/>
    <cellStyle name="Normal 2 3 5 2 6" xfId="28465" xr:uid="{00000000-0005-0000-0000-0000146F0000}"/>
    <cellStyle name="Normal 2 3 5 2 7" xfId="28466" xr:uid="{00000000-0005-0000-0000-0000156F0000}"/>
    <cellStyle name="Normal 2 3 5 2 8" xfId="28467" xr:uid="{00000000-0005-0000-0000-0000166F0000}"/>
    <cellStyle name="Normal 2 3 5 2 9" xfId="28468" xr:uid="{00000000-0005-0000-0000-0000176F0000}"/>
    <cellStyle name="Normal 2 3 5 3" xfId="28469" xr:uid="{00000000-0005-0000-0000-0000186F0000}"/>
    <cellStyle name="Normal 2 3 5 3 10" xfId="28470" xr:uid="{00000000-0005-0000-0000-0000196F0000}"/>
    <cellStyle name="Normal 2 3 5 3 2" xfId="28471" xr:uid="{00000000-0005-0000-0000-00001A6F0000}"/>
    <cellStyle name="Normal 2 3 5 3 3" xfId="28472" xr:uid="{00000000-0005-0000-0000-00001B6F0000}"/>
    <cellStyle name="Normal 2 3 5 3 4" xfId="28473" xr:uid="{00000000-0005-0000-0000-00001C6F0000}"/>
    <cellStyle name="Normal 2 3 5 3 5" xfId="28474" xr:uid="{00000000-0005-0000-0000-00001D6F0000}"/>
    <cellStyle name="Normal 2 3 5 3 6" xfId="28475" xr:uid="{00000000-0005-0000-0000-00001E6F0000}"/>
    <cellStyle name="Normal 2 3 5 3 7" xfId="28476" xr:uid="{00000000-0005-0000-0000-00001F6F0000}"/>
    <cellStyle name="Normal 2 3 5 3 8" xfId="28477" xr:uid="{00000000-0005-0000-0000-0000206F0000}"/>
    <cellStyle name="Normal 2 3 5 3 9" xfId="28478" xr:uid="{00000000-0005-0000-0000-0000216F0000}"/>
    <cellStyle name="Normal 2 3 5 4" xfId="28479" xr:uid="{00000000-0005-0000-0000-0000226F0000}"/>
    <cellStyle name="Normal 2 3 5 4 10" xfId="28480" xr:uid="{00000000-0005-0000-0000-0000236F0000}"/>
    <cellStyle name="Normal 2 3 5 4 2" xfId="28481" xr:uid="{00000000-0005-0000-0000-0000246F0000}"/>
    <cellStyle name="Normal 2 3 5 4 3" xfId="28482" xr:uid="{00000000-0005-0000-0000-0000256F0000}"/>
    <cellStyle name="Normal 2 3 5 4 4" xfId="28483" xr:uid="{00000000-0005-0000-0000-0000266F0000}"/>
    <cellStyle name="Normal 2 3 5 4 5" xfId="28484" xr:uid="{00000000-0005-0000-0000-0000276F0000}"/>
    <cellStyle name="Normal 2 3 5 4 6" xfId="28485" xr:uid="{00000000-0005-0000-0000-0000286F0000}"/>
    <cellStyle name="Normal 2 3 5 4 7" xfId="28486" xr:uid="{00000000-0005-0000-0000-0000296F0000}"/>
    <cellStyle name="Normal 2 3 5 4 8" xfId="28487" xr:uid="{00000000-0005-0000-0000-00002A6F0000}"/>
    <cellStyle name="Normal 2 3 5 4 9" xfId="28488" xr:uid="{00000000-0005-0000-0000-00002B6F0000}"/>
    <cellStyle name="Normal 2 3 5 5" xfId="28489" xr:uid="{00000000-0005-0000-0000-00002C6F0000}"/>
    <cellStyle name="Normal 2 3 5 5 10" xfId="28490" xr:uid="{00000000-0005-0000-0000-00002D6F0000}"/>
    <cellStyle name="Normal 2 3 5 5 2" xfId="28491" xr:uid="{00000000-0005-0000-0000-00002E6F0000}"/>
    <cellStyle name="Normal 2 3 5 5 3" xfId="28492" xr:uid="{00000000-0005-0000-0000-00002F6F0000}"/>
    <cellStyle name="Normal 2 3 5 5 4" xfId="28493" xr:uid="{00000000-0005-0000-0000-0000306F0000}"/>
    <cellStyle name="Normal 2 3 5 5 5" xfId="28494" xr:uid="{00000000-0005-0000-0000-0000316F0000}"/>
    <cellStyle name="Normal 2 3 5 5 6" xfId="28495" xr:uid="{00000000-0005-0000-0000-0000326F0000}"/>
    <cellStyle name="Normal 2 3 5 5 7" xfId="28496" xr:uid="{00000000-0005-0000-0000-0000336F0000}"/>
    <cellStyle name="Normal 2 3 5 5 8" xfId="28497" xr:uid="{00000000-0005-0000-0000-0000346F0000}"/>
    <cellStyle name="Normal 2 3 5 5 9" xfId="28498" xr:uid="{00000000-0005-0000-0000-0000356F0000}"/>
    <cellStyle name="Normal 2 3 5 6" xfId="28499" xr:uid="{00000000-0005-0000-0000-0000366F0000}"/>
    <cellStyle name="Normal 2 3 5 7" xfId="28500" xr:uid="{00000000-0005-0000-0000-0000376F0000}"/>
    <cellStyle name="Normal 2 3 5 8" xfId="28501" xr:uid="{00000000-0005-0000-0000-0000386F0000}"/>
    <cellStyle name="Normal 2 3 5 9" xfId="28502" xr:uid="{00000000-0005-0000-0000-0000396F0000}"/>
    <cellStyle name="Normal 2 3 50" xfId="25385" xr:uid="{00000000-0005-0000-0000-00003A6F0000}"/>
    <cellStyle name="Normal 2 3 6" xfId="28503" xr:uid="{00000000-0005-0000-0000-00003B6F0000}"/>
    <cellStyle name="Normal 2 3 6 10" xfId="28504" xr:uid="{00000000-0005-0000-0000-00003C6F0000}"/>
    <cellStyle name="Normal 2 3 6 11" xfId="28505" xr:uid="{00000000-0005-0000-0000-00003D6F0000}"/>
    <cellStyle name="Normal 2 3 6 12" xfId="28506" xr:uid="{00000000-0005-0000-0000-00003E6F0000}"/>
    <cellStyle name="Normal 2 3 6 13" xfId="28507" xr:uid="{00000000-0005-0000-0000-00003F6F0000}"/>
    <cellStyle name="Normal 2 3 6 14" xfId="28508" xr:uid="{00000000-0005-0000-0000-0000406F0000}"/>
    <cellStyle name="Normal 2 3 6 2" xfId="28509" xr:uid="{00000000-0005-0000-0000-0000416F0000}"/>
    <cellStyle name="Normal 2 3 6 2 10" xfId="28510" xr:uid="{00000000-0005-0000-0000-0000426F0000}"/>
    <cellStyle name="Normal 2 3 6 2 2" xfId="28511" xr:uid="{00000000-0005-0000-0000-0000436F0000}"/>
    <cellStyle name="Normal 2 3 6 2 3" xfId="28512" xr:uid="{00000000-0005-0000-0000-0000446F0000}"/>
    <cellStyle name="Normal 2 3 6 2 4" xfId="28513" xr:uid="{00000000-0005-0000-0000-0000456F0000}"/>
    <cellStyle name="Normal 2 3 6 2 5" xfId="28514" xr:uid="{00000000-0005-0000-0000-0000466F0000}"/>
    <cellStyle name="Normal 2 3 6 2 6" xfId="28515" xr:uid="{00000000-0005-0000-0000-0000476F0000}"/>
    <cellStyle name="Normal 2 3 6 2 7" xfId="28516" xr:uid="{00000000-0005-0000-0000-0000486F0000}"/>
    <cellStyle name="Normal 2 3 6 2 8" xfId="28517" xr:uid="{00000000-0005-0000-0000-0000496F0000}"/>
    <cellStyle name="Normal 2 3 6 2 9" xfId="28518" xr:uid="{00000000-0005-0000-0000-00004A6F0000}"/>
    <cellStyle name="Normal 2 3 6 3" xfId="28519" xr:uid="{00000000-0005-0000-0000-00004B6F0000}"/>
    <cellStyle name="Normal 2 3 6 3 10" xfId="28520" xr:uid="{00000000-0005-0000-0000-00004C6F0000}"/>
    <cellStyle name="Normal 2 3 6 3 2" xfId="28521" xr:uid="{00000000-0005-0000-0000-00004D6F0000}"/>
    <cellStyle name="Normal 2 3 6 3 3" xfId="28522" xr:uid="{00000000-0005-0000-0000-00004E6F0000}"/>
    <cellStyle name="Normal 2 3 6 3 4" xfId="28523" xr:uid="{00000000-0005-0000-0000-00004F6F0000}"/>
    <cellStyle name="Normal 2 3 6 3 5" xfId="28524" xr:uid="{00000000-0005-0000-0000-0000506F0000}"/>
    <cellStyle name="Normal 2 3 6 3 6" xfId="28525" xr:uid="{00000000-0005-0000-0000-0000516F0000}"/>
    <cellStyle name="Normal 2 3 6 3 7" xfId="28526" xr:uid="{00000000-0005-0000-0000-0000526F0000}"/>
    <cellStyle name="Normal 2 3 6 3 8" xfId="28527" xr:uid="{00000000-0005-0000-0000-0000536F0000}"/>
    <cellStyle name="Normal 2 3 6 3 9" xfId="28528" xr:uid="{00000000-0005-0000-0000-0000546F0000}"/>
    <cellStyle name="Normal 2 3 6 4" xfId="28529" xr:uid="{00000000-0005-0000-0000-0000556F0000}"/>
    <cellStyle name="Normal 2 3 6 4 10" xfId="28530" xr:uid="{00000000-0005-0000-0000-0000566F0000}"/>
    <cellStyle name="Normal 2 3 6 4 2" xfId="28531" xr:uid="{00000000-0005-0000-0000-0000576F0000}"/>
    <cellStyle name="Normal 2 3 6 4 3" xfId="28532" xr:uid="{00000000-0005-0000-0000-0000586F0000}"/>
    <cellStyle name="Normal 2 3 6 4 4" xfId="28533" xr:uid="{00000000-0005-0000-0000-0000596F0000}"/>
    <cellStyle name="Normal 2 3 6 4 5" xfId="28534" xr:uid="{00000000-0005-0000-0000-00005A6F0000}"/>
    <cellStyle name="Normal 2 3 6 4 6" xfId="28535" xr:uid="{00000000-0005-0000-0000-00005B6F0000}"/>
    <cellStyle name="Normal 2 3 6 4 7" xfId="28536" xr:uid="{00000000-0005-0000-0000-00005C6F0000}"/>
    <cellStyle name="Normal 2 3 6 4 8" xfId="28537" xr:uid="{00000000-0005-0000-0000-00005D6F0000}"/>
    <cellStyle name="Normal 2 3 6 4 9" xfId="28538" xr:uid="{00000000-0005-0000-0000-00005E6F0000}"/>
    <cellStyle name="Normal 2 3 6 5" xfId="28539" xr:uid="{00000000-0005-0000-0000-00005F6F0000}"/>
    <cellStyle name="Normal 2 3 6 5 10" xfId="28540" xr:uid="{00000000-0005-0000-0000-0000606F0000}"/>
    <cellStyle name="Normal 2 3 6 5 2" xfId="28541" xr:uid="{00000000-0005-0000-0000-0000616F0000}"/>
    <cellStyle name="Normal 2 3 6 5 3" xfId="28542" xr:uid="{00000000-0005-0000-0000-0000626F0000}"/>
    <cellStyle name="Normal 2 3 6 5 4" xfId="28543" xr:uid="{00000000-0005-0000-0000-0000636F0000}"/>
    <cellStyle name="Normal 2 3 6 5 5" xfId="28544" xr:uid="{00000000-0005-0000-0000-0000646F0000}"/>
    <cellStyle name="Normal 2 3 6 5 6" xfId="28545" xr:uid="{00000000-0005-0000-0000-0000656F0000}"/>
    <cellStyle name="Normal 2 3 6 5 7" xfId="28546" xr:uid="{00000000-0005-0000-0000-0000666F0000}"/>
    <cellStyle name="Normal 2 3 6 5 8" xfId="28547" xr:uid="{00000000-0005-0000-0000-0000676F0000}"/>
    <cellStyle name="Normal 2 3 6 5 9" xfId="28548" xr:uid="{00000000-0005-0000-0000-0000686F0000}"/>
    <cellStyle name="Normal 2 3 6 6" xfId="28549" xr:uid="{00000000-0005-0000-0000-0000696F0000}"/>
    <cellStyle name="Normal 2 3 6 7" xfId="28550" xr:uid="{00000000-0005-0000-0000-00006A6F0000}"/>
    <cellStyle name="Normal 2 3 6 8" xfId="28551" xr:uid="{00000000-0005-0000-0000-00006B6F0000}"/>
    <cellStyle name="Normal 2 3 6 9" xfId="28552" xr:uid="{00000000-0005-0000-0000-00006C6F0000}"/>
    <cellStyle name="Normal 2 3 7" xfId="28553" xr:uid="{00000000-0005-0000-0000-00006D6F0000}"/>
    <cellStyle name="Normal 2 3 7 10" xfId="28554" xr:uid="{00000000-0005-0000-0000-00006E6F0000}"/>
    <cellStyle name="Normal 2 3 7 11" xfId="28555" xr:uid="{00000000-0005-0000-0000-00006F6F0000}"/>
    <cellStyle name="Normal 2 3 7 12" xfId="28556" xr:uid="{00000000-0005-0000-0000-0000706F0000}"/>
    <cellStyle name="Normal 2 3 7 13" xfId="28557" xr:uid="{00000000-0005-0000-0000-0000716F0000}"/>
    <cellStyle name="Normal 2 3 7 14" xfId="28558" xr:uid="{00000000-0005-0000-0000-0000726F0000}"/>
    <cellStyle name="Normal 2 3 7 2" xfId="28559" xr:uid="{00000000-0005-0000-0000-0000736F0000}"/>
    <cellStyle name="Normal 2 3 7 2 10" xfId="28560" xr:uid="{00000000-0005-0000-0000-0000746F0000}"/>
    <cellStyle name="Normal 2 3 7 2 2" xfId="28561" xr:uid="{00000000-0005-0000-0000-0000756F0000}"/>
    <cellStyle name="Normal 2 3 7 2 3" xfId="28562" xr:uid="{00000000-0005-0000-0000-0000766F0000}"/>
    <cellStyle name="Normal 2 3 7 2 4" xfId="28563" xr:uid="{00000000-0005-0000-0000-0000776F0000}"/>
    <cellStyle name="Normal 2 3 7 2 5" xfId="28564" xr:uid="{00000000-0005-0000-0000-0000786F0000}"/>
    <cellStyle name="Normal 2 3 7 2 6" xfId="28565" xr:uid="{00000000-0005-0000-0000-0000796F0000}"/>
    <cellStyle name="Normal 2 3 7 2 7" xfId="28566" xr:uid="{00000000-0005-0000-0000-00007A6F0000}"/>
    <cellStyle name="Normal 2 3 7 2 8" xfId="28567" xr:uid="{00000000-0005-0000-0000-00007B6F0000}"/>
    <cellStyle name="Normal 2 3 7 2 9" xfId="28568" xr:uid="{00000000-0005-0000-0000-00007C6F0000}"/>
    <cellStyle name="Normal 2 3 7 3" xfId="28569" xr:uid="{00000000-0005-0000-0000-00007D6F0000}"/>
    <cellStyle name="Normal 2 3 7 3 10" xfId="28570" xr:uid="{00000000-0005-0000-0000-00007E6F0000}"/>
    <cellStyle name="Normal 2 3 7 3 2" xfId="28571" xr:uid="{00000000-0005-0000-0000-00007F6F0000}"/>
    <cellStyle name="Normal 2 3 7 3 3" xfId="28572" xr:uid="{00000000-0005-0000-0000-0000806F0000}"/>
    <cellStyle name="Normal 2 3 7 3 4" xfId="28573" xr:uid="{00000000-0005-0000-0000-0000816F0000}"/>
    <cellStyle name="Normal 2 3 7 3 5" xfId="28574" xr:uid="{00000000-0005-0000-0000-0000826F0000}"/>
    <cellStyle name="Normal 2 3 7 3 6" xfId="28575" xr:uid="{00000000-0005-0000-0000-0000836F0000}"/>
    <cellStyle name="Normal 2 3 7 3 7" xfId="28576" xr:uid="{00000000-0005-0000-0000-0000846F0000}"/>
    <cellStyle name="Normal 2 3 7 3 8" xfId="28577" xr:uid="{00000000-0005-0000-0000-0000856F0000}"/>
    <cellStyle name="Normal 2 3 7 3 9" xfId="28578" xr:uid="{00000000-0005-0000-0000-0000866F0000}"/>
    <cellStyle name="Normal 2 3 7 4" xfId="28579" xr:uid="{00000000-0005-0000-0000-0000876F0000}"/>
    <cellStyle name="Normal 2 3 7 4 10" xfId="28580" xr:uid="{00000000-0005-0000-0000-0000886F0000}"/>
    <cellStyle name="Normal 2 3 7 4 2" xfId="28581" xr:uid="{00000000-0005-0000-0000-0000896F0000}"/>
    <cellStyle name="Normal 2 3 7 4 3" xfId="28582" xr:uid="{00000000-0005-0000-0000-00008A6F0000}"/>
    <cellStyle name="Normal 2 3 7 4 4" xfId="28583" xr:uid="{00000000-0005-0000-0000-00008B6F0000}"/>
    <cellStyle name="Normal 2 3 7 4 5" xfId="28584" xr:uid="{00000000-0005-0000-0000-00008C6F0000}"/>
    <cellStyle name="Normal 2 3 7 4 6" xfId="28585" xr:uid="{00000000-0005-0000-0000-00008D6F0000}"/>
    <cellStyle name="Normal 2 3 7 4 7" xfId="28586" xr:uid="{00000000-0005-0000-0000-00008E6F0000}"/>
    <cellStyle name="Normal 2 3 7 4 8" xfId="28587" xr:uid="{00000000-0005-0000-0000-00008F6F0000}"/>
    <cellStyle name="Normal 2 3 7 4 9" xfId="28588" xr:uid="{00000000-0005-0000-0000-0000906F0000}"/>
    <cellStyle name="Normal 2 3 7 5" xfId="28589" xr:uid="{00000000-0005-0000-0000-0000916F0000}"/>
    <cellStyle name="Normal 2 3 7 5 10" xfId="28590" xr:uid="{00000000-0005-0000-0000-0000926F0000}"/>
    <cellStyle name="Normal 2 3 7 5 2" xfId="28591" xr:uid="{00000000-0005-0000-0000-0000936F0000}"/>
    <cellStyle name="Normal 2 3 7 5 3" xfId="28592" xr:uid="{00000000-0005-0000-0000-0000946F0000}"/>
    <cellStyle name="Normal 2 3 7 5 4" xfId="28593" xr:uid="{00000000-0005-0000-0000-0000956F0000}"/>
    <cellStyle name="Normal 2 3 7 5 5" xfId="28594" xr:uid="{00000000-0005-0000-0000-0000966F0000}"/>
    <cellStyle name="Normal 2 3 7 5 6" xfId="28595" xr:uid="{00000000-0005-0000-0000-0000976F0000}"/>
    <cellStyle name="Normal 2 3 7 5 7" xfId="28596" xr:uid="{00000000-0005-0000-0000-0000986F0000}"/>
    <cellStyle name="Normal 2 3 7 5 8" xfId="28597" xr:uid="{00000000-0005-0000-0000-0000996F0000}"/>
    <cellStyle name="Normal 2 3 7 5 9" xfId="28598" xr:uid="{00000000-0005-0000-0000-00009A6F0000}"/>
    <cellStyle name="Normal 2 3 7 6" xfId="28599" xr:uid="{00000000-0005-0000-0000-00009B6F0000}"/>
    <cellStyle name="Normal 2 3 7 7" xfId="28600" xr:uid="{00000000-0005-0000-0000-00009C6F0000}"/>
    <cellStyle name="Normal 2 3 7 8" xfId="28601" xr:uid="{00000000-0005-0000-0000-00009D6F0000}"/>
    <cellStyle name="Normal 2 3 7 9" xfId="28602" xr:uid="{00000000-0005-0000-0000-00009E6F0000}"/>
    <cellStyle name="Normal 2 3 8" xfId="28603" xr:uid="{00000000-0005-0000-0000-00009F6F0000}"/>
    <cellStyle name="Normal 2 3 8 10" xfId="28604" xr:uid="{00000000-0005-0000-0000-0000A06F0000}"/>
    <cellStyle name="Normal 2 3 8 11" xfId="28605" xr:uid="{00000000-0005-0000-0000-0000A16F0000}"/>
    <cellStyle name="Normal 2 3 8 12" xfId="28606" xr:uid="{00000000-0005-0000-0000-0000A26F0000}"/>
    <cellStyle name="Normal 2 3 8 13" xfId="28607" xr:uid="{00000000-0005-0000-0000-0000A36F0000}"/>
    <cellStyle name="Normal 2 3 8 14" xfId="28608" xr:uid="{00000000-0005-0000-0000-0000A46F0000}"/>
    <cellStyle name="Normal 2 3 8 2" xfId="28609" xr:uid="{00000000-0005-0000-0000-0000A56F0000}"/>
    <cellStyle name="Normal 2 3 8 2 10" xfId="28610" xr:uid="{00000000-0005-0000-0000-0000A66F0000}"/>
    <cellStyle name="Normal 2 3 8 2 2" xfId="28611" xr:uid="{00000000-0005-0000-0000-0000A76F0000}"/>
    <cellStyle name="Normal 2 3 8 2 3" xfId="28612" xr:uid="{00000000-0005-0000-0000-0000A86F0000}"/>
    <cellStyle name="Normal 2 3 8 2 4" xfId="28613" xr:uid="{00000000-0005-0000-0000-0000A96F0000}"/>
    <cellStyle name="Normal 2 3 8 2 5" xfId="28614" xr:uid="{00000000-0005-0000-0000-0000AA6F0000}"/>
    <cellStyle name="Normal 2 3 8 2 6" xfId="28615" xr:uid="{00000000-0005-0000-0000-0000AB6F0000}"/>
    <cellStyle name="Normal 2 3 8 2 7" xfId="28616" xr:uid="{00000000-0005-0000-0000-0000AC6F0000}"/>
    <cellStyle name="Normal 2 3 8 2 8" xfId="28617" xr:uid="{00000000-0005-0000-0000-0000AD6F0000}"/>
    <cellStyle name="Normal 2 3 8 2 9" xfId="28618" xr:uid="{00000000-0005-0000-0000-0000AE6F0000}"/>
    <cellStyle name="Normal 2 3 8 3" xfId="28619" xr:uid="{00000000-0005-0000-0000-0000AF6F0000}"/>
    <cellStyle name="Normal 2 3 8 3 10" xfId="28620" xr:uid="{00000000-0005-0000-0000-0000B06F0000}"/>
    <cellStyle name="Normal 2 3 8 3 2" xfId="28621" xr:uid="{00000000-0005-0000-0000-0000B16F0000}"/>
    <cellStyle name="Normal 2 3 8 3 3" xfId="28622" xr:uid="{00000000-0005-0000-0000-0000B26F0000}"/>
    <cellStyle name="Normal 2 3 8 3 4" xfId="28623" xr:uid="{00000000-0005-0000-0000-0000B36F0000}"/>
    <cellStyle name="Normal 2 3 8 3 5" xfId="28624" xr:uid="{00000000-0005-0000-0000-0000B46F0000}"/>
    <cellStyle name="Normal 2 3 8 3 6" xfId="28625" xr:uid="{00000000-0005-0000-0000-0000B56F0000}"/>
    <cellStyle name="Normal 2 3 8 3 7" xfId="28626" xr:uid="{00000000-0005-0000-0000-0000B66F0000}"/>
    <cellStyle name="Normal 2 3 8 3 8" xfId="28627" xr:uid="{00000000-0005-0000-0000-0000B76F0000}"/>
    <cellStyle name="Normal 2 3 8 3 9" xfId="28628" xr:uid="{00000000-0005-0000-0000-0000B86F0000}"/>
    <cellStyle name="Normal 2 3 8 4" xfId="28629" xr:uid="{00000000-0005-0000-0000-0000B96F0000}"/>
    <cellStyle name="Normal 2 3 8 4 10" xfId="28630" xr:uid="{00000000-0005-0000-0000-0000BA6F0000}"/>
    <cellStyle name="Normal 2 3 8 4 2" xfId="28631" xr:uid="{00000000-0005-0000-0000-0000BB6F0000}"/>
    <cellStyle name="Normal 2 3 8 4 3" xfId="28632" xr:uid="{00000000-0005-0000-0000-0000BC6F0000}"/>
    <cellStyle name="Normal 2 3 8 4 4" xfId="28633" xr:uid="{00000000-0005-0000-0000-0000BD6F0000}"/>
    <cellStyle name="Normal 2 3 8 4 5" xfId="28634" xr:uid="{00000000-0005-0000-0000-0000BE6F0000}"/>
    <cellStyle name="Normal 2 3 8 4 6" xfId="28635" xr:uid="{00000000-0005-0000-0000-0000BF6F0000}"/>
    <cellStyle name="Normal 2 3 8 4 7" xfId="28636" xr:uid="{00000000-0005-0000-0000-0000C06F0000}"/>
    <cellStyle name="Normal 2 3 8 4 8" xfId="28637" xr:uid="{00000000-0005-0000-0000-0000C16F0000}"/>
    <cellStyle name="Normal 2 3 8 4 9" xfId="28638" xr:uid="{00000000-0005-0000-0000-0000C26F0000}"/>
    <cellStyle name="Normal 2 3 8 5" xfId="28639" xr:uid="{00000000-0005-0000-0000-0000C36F0000}"/>
    <cellStyle name="Normal 2 3 8 5 10" xfId="28640" xr:uid="{00000000-0005-0000-0000-0000C46F0000}"/>
    <cellStyle name="Normal 2 3 8 5 2" xfId="28641" xr:uid="{00000000-0005-0000-0000-0000C56F0000}"/>
    <cellStyle name="Normal 2 3 8 5 3" xfId="28642" xr:uid="{00000000-0005-0000-0000-0000C66F0000}"/>
    <cellStyle name="Normal 2 3 8 5 4" xfId="28643" xr:uid="{00000000-0005-0000-0000-0000C76F0000}"/>
    <cellStyle name="Normal 2 3 8 5 5" xfId="28644" xr:uid="{00000000-0005-0000-0000-0000C86F0000}"/>
    <cellStyle name="Normal 2 3 8 5 6" xfId="28645" xr:uid="{00000000-0005-0000-0000-0000C96F0000}"/>
    <cellStyle name="Normal 2 3 8 5 7" xfId="28646" xr:uid="{00000000-0005-0000-0000-0000CA6F0000}"/>
    <cellStyle name="Normal 2 3 8 5 8" xfId="28647" xr:uid="{00000000-0005-0000-0000-0000CB6F0000}"/>
    <cellStyle name="Normal 2 3 8 5 9" xfId="28648" xr:uid="{00000000-0005-0000-0000-0000CC6F0000}"/>
    <cellStyle name="Normal 2 3 8 6" xfId="28649" xr:uid="{00000000-0005-0000-0000-0000CD6F0000}"/>
    <cellStyle name="Normal 2 3 8 7" xfId="28650" xr:uid="{00000000-0005-0000-0000-0000CE6F0000}"/>
    <cellStyle name="Normal 2 3 8 8" xfId="28651" xr:uid="{00000000-0005-0000-0000-0000CF6F0000}"/>
    <cellStyle name="Normal 2 3 8 9" xfId="28652" xr:uid="{00000000-0005-0000-0000-0000D06F0000}"/>
    <cellStyle name="Normal 2 3 9" xfId="28653" xr:uid="{00000000-0005-0000-0000-0000D16F0000}"/>
    <cellStyle name="Normal 2 3 9 10" xfId="28654" xr:uid="{00000000-0005-0000-0000-0000D26F0000}"/>
    <cellStyle name="Normal 2 3 9 11" xfId="28655" xr:uid="{00000000-0005-0000-0000-0000D36F0000}"/>
    <cellStyle name="Normal 2 3 9 12" xfId="28656" xr:uid="{00000000-0005-0000-0000-0000D46F0000}"/>
    <cellStyle name="Normal 2 3 9 13" xfId="28657" xr:uid="{00000000-0005-0000-0000-0000D56F0000}"/>
    <cellStyle name="Normal 2 3 9 14" xfId="28658" xr:uid="{00000000-0005-0000-0000-0000D66F0000}"/>
    <cellStyle name="Normal 2 3 9 2" xfId="28659" xr:uid="{00000000-0005-0000-0000-0000D76F0000}"/>
    <cellStyle name="Normal 2 3 9 2 10" xfId="28660" xr:uid="{00000000-0005-0000-0000-0000D86F0000}"/>
    <cellStyle name="Normal 2 3 9 2 2" xfId="28661" xr:uid="{00000000-0005-0000-0000-0000D96F0000}"/>
    <cellStyle name="Normal 2 3 9 2 3" xfId="28662" xr:uid="{00000000-0005-0000-0000-0000DA6F0000}"/>
    <cellStyle name="Normal 2 3 9 2 4" xfId="28663" xr:uid="{00000000-0005-0000-0000-0000DB6F0000}"/>
    <cellStyle name="Normal 2 3 9 2 5" xfId="28664" xr:uid="{00000000-0005-0000-0000-0000DC6F0000}"/>
    <cellStyle name="Normal 2 3 9 2 6" xfId="28665" xr:uid="{00000000-0005-0000-0000-0000DD6F0000}"/>
    <cellStyle name="Normal 2 3 9 2 7" xfId="28666" xr:uid="{00000000-0005-0000-0000-0000DE6F0000}"/>
    <cellStyle name="Normal 2 3 9 2 8" xfId="28667" xr:uid="{00000000-0005-0000-0000-0000DF6F0000}"/>
    <cellStyle name="Normal 2 3 9 2 9" xfId="28668" xr:uid="{00000000-0005-0000-0000-0000E06F0000}"/>
    <cellStyle name="Normal 2 3 9 3" xfId="28669" xr:uid="{00000000-0005-0000-0000-0000E16F0000}"/>
    <cellStyle name="Normal 2 3 9 3 10" xfId="28670" xr:uid="{00000000-0005-0000-0000-0000E26F0000}"/>
    <cellStyle name="Normal 2 3 9 3 2" xfId="28671" xr:uid="{00000000-0005-0000-0000-0000E36F0000}"/>
    <cellStyle name="Normal 2 3 9 3 3" xfId="28672" xr:uid="{00000000-0005-0000-0000-0000E46F0000}"/>
    <cellStyle name="Normal 2 3 9 3 4" xfId="28673" xr:uid="{00000000-0005-0000-0000-0000E56F0000}"/>
    <cellStyle name="Normal 2 3 9 3 5" xfId="28674" xr:uid="{00000000-0005-0000-0000-0000E66F0000}"/>
    <cellStyle name="Normal 2 3 9 3 6" xfId="28675" xr:uid="{00000000-0005-0000-0000-0000E76F0000}"/>
    <cellStyle name="Normal 2 3 9 3 7" xfId="28676" xr:uid="{00000000-0005-0000-0000-0000E86F0000}"/>
    <cellStyle name="Normal 2 3 9 3 8" xfId="28677" xr:uid="{00000000-0005-0000-0000-0000E96F0000}"/>
    <cellStyle name="Normal 2 3 9 3 9" xfId="28678" xr:uid="{00000000-0005-0000-0000-0000EA6F0000}"/>
    <cellStyle name="Normal 2 3 9 4" xfId="28679" xr:uid="{00000000-0005-0000-0000-0000EB6F0000}"/>
    <cellStyle name="Normal 2 3 9 4 10" xfId="28680" xr:uid="{00000000-0005-0000-0000-0000EC6F0000}"/>
    <cellStyle name="Normal 2 3 9 4 2" xfId="28681" xr:uid="{00000000-0005-0000-0000-0000ED6F0000}"/>
    <cellStyle name="Normal 2 3 9 4 3" xfId="28682" xr:uid="{00000000-0005-0000-0000-0000EE6F0000}"/>
    <cellStyle name="Normal 2 3 9 4 4" xfId="28683" xr:uid="{00000000-0005-0000-0000-0000EF6F0000}"/>
    <cellStyle name="Normal 2 3 9 4 5" xfId="28684" xr:uid="{00000000-0005-0000-0000-0000F06F0000}"/>
    <cellStyle name="Normal 2 3 9 4 6" xfId="28685" xr:uid="{00000000-0005-0000-0000-0000F16F0000}"/>
    <cellStyle name="Normal 2 3 9 4 7" xfId="28686" xr:uid="{00000000-0005-0000-0000-0000F26F0000}"/>
    <cellStyle name="Normal 2 3 9 4 8" xfId="28687" xr:uid="{00000000-0005-0000-0000-0000F36F0000}"/>
    <cellStyle name="Normal 2 3 9 4 9" xfId="28688" xr:uid="{00000000-0005-0000-0000-0000F46F0000}"/>
    <cellStyle name="Normal 2 3 9 5" xfId="28689" xr:uid="{00000000-0005-0000-0000-0000F56F0000}"/>
    <cellStyle name="Normal 2 3 9 5 10" xfId="28690" xr:uid="{00000000-0005-0000-0000-0000F66F0000}"/>
    <cellStyle name="Normal 2 3 9 5 2" xfId="28691" xr:uid="{00000000-0005-0000-0000-0000F76F0000}"/>
    <cellStyle name="Normal 2 3 9 5 3" xfId="28692" xr:uid="{00000000-0005-0000-0000-0000F86F0000}"/>
    <cellStyle name="Normal 2 3 9 5 4" xfId="28693" xr:uid="{00000000-0005-0000-0000-0000F96F0000}"/>
    <cellStyle name="Normal 2 3 9 5 5" xfId="28694" xr:uid="{00000000-0005-0000-0000-0000FA6F0000}"/>
    <cellStyle name="Normal 2 3 9 5 6" xfId="28695" xr:uid="{00000000-0005-0000-0000-0000FB6F0000}"/>
    <cellStyle name="Normal 2 3 9 5 7" xfId="28696" xr:uid="{00000000-0005-0000-0000-0000FC6F0000}"/>
    <cellStyle name="Normal 2 3 9 5 8" xfId="28697" xr:uid="{00000000-0005-0000-0000-0000FD6F0000}"/>
    <cellStyle name="Normal 2 3 9 5 9" xfId="28698" xr:uid="{00000000-0005-0000-0000-0000FE6F0000}"/>
    <cellStyle name="Normal 2 3 9 6" xfId="28699" xr:uid="{00000000-0005-0000-0000-0000FF6F0000}"/>
    <cellStyle name="Normal 2 3 9 7" xfId="28700" xr:uid="{00000000-0005-0000-0000-000000700000}"/>
    <cellStyle name="Normal 2 3 9 8" xfId="28701" xr:uid="{00000000-0005-0000-0000-000001700000}"/>
    <cellStyle name="Normal 2 3 9 9" xfId="28702" xr:uid="{00000000-0005-0000-0000-000002700000}"/>
    <cellStyle name="Normal 2 30" xfId="28703" xr:uid="{00000000-0005-0000-0000-000003700000}"/>
    <cellStyle name="Normal 2 30 2" xfId="28704" xr:uid="{00000000-0005-0000-0000-000004700000}"/>
    <cellStyle name="Normal 2 30 3" xfId="28705" xr:uid="{00000000-0005-0000-0000-000005700000}"/>
    <cellStyle name="Normal 2 31" xfId="28706" xr:uid="{00000000-0005-0000-0000-000006700000}"/>
    <cellStyle name="Normal 2 31 2" xfId="28707" xr:uid="{00000000-0005-0000-0000-000007700000}"/>
    <cellStyle name="Normal 2 31 2 2" xfId="28708" xr:uid="{00000000-0005-0000-0000-000008700000}"/>
    <cellStyle name="Normal 2 31 3" xfId="28709" xr:uid="{00000000-0005-0000-0000-000009700000}"/>
    <cellStyle name="Normal 2 32" xfId="28710" xr:uid="{00000000-0005-0000-0000-00000A700000}"/>
    <cellStyle name="Normal 2 32 2" xfId="28711" xr:uid="{00000000-0005-0000-0000-00000B700000}"/>
    <cellStyle name="Normal 2 32 2 2" xfId="28712" xr:uid="{00000000-0005-0000-0000-00000C700000}"/>
    <cellStyle name="Normal 2 32 3" xfId="28713" xr:uid="{00000000-0005-0000-0000-00000D700000}"/>
    <cellStyle name="Normal 2 33" xfId="28714" xr:uid="{00000000-0005-0000-0000-00000E700000}"/>
    <cellStyle name="Normal 2 33 2" xfId="28715" xr:uid="{00000000-0005-0000-0000-00000F700000}"/>
    <cellStyle name="Normal 2 33 2 2" xfId="28716" xr:uid="{00000000-0005-0000-0000-000010700000}"/>
    <cellStyle name="Normal 2 33 2 2 2" xfId="28717" xr:uid="{00000000-0005-0000-0000-000011700000}"/>
    <cellStyle name="Normal 2 33 2 2 2 2" xfId="28718" xr:uid="{00000000-0005-0000-0000-000012700000}"/>
    <cellStyle name="Normal 2 33 2 3" xfId="28719" xr:uid="{00000000-0005-0000-0000-000013700000}"/>
    <cellStyle name="Normal 2 33 2 4" xfId="28720" xr:uid="{00000000-0005-0000-0000-000014700000}"/>
    <cellStyle name="Normal 2 33 3" xfId="28721" xr:uid="{00000000-0005-0000-0000-000015700000}"/>
    <cellStyle name="Normal 2 33 3 2" xfId="28722" xr:uid="{00000000-0005-0000-0000-000016700000}"/>
    <cellStyle name="Normal 2 33 3 3" xfId="28723" xr:uid="{00000000-0005-0000-0000-000017700000}"/>
    <cellStyle name="Normal 2 33 4" xfId="28724" xr:uid="{00000000-0005-0000-0000-000018700000}"/>
    <cellStyle name="Normal 2 34" xfId="28725" xr:uid="{00000000-0005-0000-0000-000019700000}"/>
    <cellStyle name="Normal 2 34 2" xfId="28726" xr:uid="{00000000-0005-0000-0000-00001A700000}"/>
    <cellStyle name="Normal 2 34 2 2" xfId="28727" xr:uid="{00000000-0005-0000-0000-00001B700000}"/>
    <cellStyle name="Normal 2 34 3" xfId="28728" xr:uid="{00000000-0005-0000-0000-00001C700000}"/>
    <cellStyle name="Normal 2 35" xfId="28729" xr:uid="{00000000-0005-0000-0000-00001D700000}"/>
    <cellStyle name="Normal 2 35 2" xfId="28730" xr:uid="{00000000-0005-0000-0000-00001E700000}"/>
    <cellStyle name="Normal 2 35 2 2" xfId="28731" xr:uid="{00000000-0005-0000-0000-00001F700000}"/>
    <cellStyle name="Normal 2 35 3" xfId="28732" xr:uid="{00000000-0005-0000-0000-000020700000}"/>
    <cellStyle name="Normal 2 36" xfId="28733" xr:uid="{00000000-0005-0000-0000-000021700000}"/>
    <cellStyle name="Normal 2 36 2" xfId="28734" xr:uid="{00000000-0005-0000-0000-000022700000}"/>
    <cellStyle name="Normal 2 36 2 2" xfId="28735" xr:uid="{00000000-0005-0000-0000-000023700000}"/>
    <cellStyle name="Normal 2 36 3" xfId="28736" xr:uid="{00000000-0005-0000-0000-000024700000}"/>
    <cellStyle name="Normal 2 37" xfId="28737" xr:uid="{00000000-0005-0000-0000-000025700000}"/>
    <cellStyle name="Normal 2 37 2" xfId="28738" xr:uid="{00000000-0005-0000-0000-000026700000}"/>
    <cellStyle name="Normal 2 37 3" xfId="28739" xr:uid="{00000000-0005-0000-0000-000027700000}"/>
    <cellStyle name="Normal 2 38" xfId="28740" xr:uid="{00000000-0005-0000-0000-000028700000}"/>
    <cellStyle name="Normal 2 38 2" xfId="28741" xr:uid="{00000000-0005-0000-0000-000029700000}"/>
    <cellStyle name="Normal 2 38 3" xfId="28742" xr:uid="{00000000-0005-0000-0000-00002A700000}"/>
    <cellStyle name="Normal 2 39" xfId="28743" xr:uid="{00000000-0005-0000-0000-00002B700000}"/>
    <cellStyle name="Normal 2 39 2" xfId="28744" xr:uid="{00000000-0005-0000-0000-00002C700000}"/>
    <cellStyle name="Normal 2 39 3" xfId="28745" xr:uid="{00000000-0005-0000-0000-00002D700000}"/>
    <cellStyle name="Normal 2 4" xfId="12" xr:uid="{00000000-0005-0000-0000-00002E700000}"/>
    <cellStyle name="Normal 2 4 10" xfId="28746" xr:uid="{00000000-0005-0000-0000-00002F700000}"/>
    <cellStyle name="Normal 2 4 11" xfId="28747" xr:uid="{00000000-0005-0000-0000-000030700000}"/>
    <cellStyle name="Normal 2 4 12" xfId="28748" xr:uid="{00000000-0005-0000-0000-000031700000}"/>
    <cellStyle name="Normal 2 4 13" xfId="28749" xr:uid="{00000000-0005-0000-0000-000032700000}"/>
    <cellStyle name="Normal 2 4 14" xfId="28750" xr:uid="{00000000-0005-0000-0000-000033700000}"/>
    <cellStyle name="Normal 2 4 15" xfId="28751" xr:uid="{00000000-0005-0000-0000-000034700000}"/>
    <cellStyle name="Normal 2 4 16" xfId="28752" xr:uid="{00000000-0005-0000-0000-000035700000}"/>
    <cellStyle name="Normal 2 4 17" xfId="28753" xr:uid="{00000000-0005-0000-0000-000036700000}"/>
    <cellStyle name="Normal 2 4 18" xfId="28754" xr:uid="{00000000-0005-0000-0000-000037700000}"/>
    <cellStyle name="Normal 2 4 19" xfId="28755" xr:uid="{00000000-0005-0000-0000-000038700000}"/>
    <cellStyle name="Normal 2 4 2" xfId="57" xr:uid="{00000000-0005-0000-0000-000039700000}"/>
    <cellStyle name="Normal 2 4 2 10" xfId="28757" xr:uid="{00000000-0005-0000-0000-00003A700000}"/>
    <cellStyle name="Normal 2 4 2 11" xfId="28758" xr:uid="{00000000-0005-0000-0000-00003B700000}"/>
    <cellStyle name="Normal 2 4 2 12" xfId="28759" xr:uid="{00000000-0005-0000-0000-00003C700000}"/>
    <cellStyle name="Normal 2 4 2 13" xfId="28760" xr:uid="{00000000-0005-0000-0000-00003D700000}"/>
    <cellStyle name="Normal 2 4 2 14" xfId="28761" xr:uid="{00000000-0005-0000-0000-00003E700000}"/>
    <cellStyle name="Normal 2 4 2 15" xfId="28762" xr:uid="{00000000-0005-0000-0000-00003F700000}"/>
    <cellStyle name="Normal 2 4 2 16" xfId="28763" xr:uid="{00000000-0005-0000-0000-000040700000}"/>
    <cellStyle name="Normal 2 4 2 17" xfId="28764" xr:uid="{00000000-0005-0000-0000-000041700000}"/>
    <cellStyle name="Normal 2 4 2 18" xfId="28765" xr:uid="{00000000-0005-0000-0000-000042700000}"/>
    <cellStyle name="Normal 2 4 2 18 2" xfId="28766" xr:uid="{00000000-0005-0000-0000-000043700000}"/>
    <cellStyle name="Normal 2 4 2 18 2 2" xfId="28767" xr:uid="{00000000-0005-0000-0000-000044700000}"/>
    <cellStyle name="Normal 2 4 2 18 2 2 2" xfId="28768" xr:uid="{00000000-0005-0000-0000-000045700000}"/>
    <cellStyle name="Normal 2 4 2 18 2 2 2 2" xfId="28769" xr:uid="{00000000-0005-0000-0000-000046700000}"/>
    <cellStyle name="Normal 2 4 2 18 2 3" xfId="28770" xr:uid="{00000000-0005-0000-0000-000047700000}"/>
    <cellStyle name="Normal 2 4 2 18 3" xfId="28771" xr:uid="{00000000-0005-0000-0000-000048700000}"/>
    <cellStyle name="Normal 2 4 2 18 3 2" xfId="28772" xr:uid="{00000000-0005-0000-0000-000049700000}"/>
    <cellStyle name="Normal 2 4 2 19" xfId="28773" xr:uid="{00000000-0005-0000-0000-00004A700000}"/>
    <cellStyle name="Normal 2 4 2 2" xfId="28774" xr:uid="{00000000-0005-0000-0000-00004B700000}"/>
    <cellStyle name="Normal 2 4 2 2 2" xfId="28775" xr:uid="{00000000-0005-0000-0000-00004C700000}"/>
    <cellStyle name="Normal 2 4 2 20" xfId="28776" xr:uid="{00000000-0005-0000-0000-00004D700000}"/>
    <cellStyle name="Normal 2 4 2 21" xfId="28756" xr:uid="{00000000-0005-0000-0000-00004E700000}"/>
    <cellStyle name="Normal 2 4 2 3" xfId="28777" xr:uid="{00000000-0005-0000-0000-00004F700000}"/>
    <cellStyle name="Normal 2 4 2 4" xfId="28778" xr:uid="{00000000-0005-0000-0000-000050700000}"/>
    <cellStyle name="Normal 2 4 2 5" xfId="28779" xr:uid="{00000000-0005-0000-0000-000051700000}"/>
    <cellStyle name="Normal 2 4 2 6" xfId="28780" xr:uid="{00000000-0005-0000-0000-000052700000}"/>
    <cellStyle name="Normal 2 4 2 7" xfId="28781" xr:uid="{00000000-0005-0000-0000-000053700000}"/>
    <cellStyle name="Normal 2 4 2 8" xfId="28782" xr:uid="{00000000-0005-0000-0000-000054700000}"/>
    <cellStyle name="Normal 2 4 2 9" xfId="28783" xr:uid="{00000000-0005-0000-0000-000055700000}"/>
    <cellStyle name="Normal 2 4 3" xfId="28784" xr:uid="{00000000-0005-0000-0000-000056700000}"/>
    <cellStyle name="Normal 2 4 3 2" xfId="28785" xr:uid="{00000000-0005-0000-0000-000057700000}"/>
    <cellStyle name="Normal 2 4 3 3" xfId="28786" xr:uid="{00000000-0005-0000-0000-000058700000}"/>
    <cellStyle name="Normal 2 4 4" xfId="28787" xr:uid="{00000000-0005-0000-0000-000059700000}"/>
    <cellStyle name="Normal 2 4 4 2" xfId="28788" xr:uid="{00000000-0005-0000-0000-00005A700000}"/>
    <cellStyle name="Normal 2 4 4 3" xfId="28789" xr:uid="{00000000-0005-0000-0000-00005B700000}"/>
    <cellStyle name="Normal 2 4 5" xfId="28790" xr:uid="{00000000-0005-0000-0000-00005C700000}"/>
    <cellStyle name="Normal 2 4 5 2" xfId="28791" xr:uid="{00000000-0005-0000-0000-00005D700000}"/>
    <cellStyle name="Normal 2 4 6" xfId="28792" xr:uid="{00000000-0005-0000-0000-00005E700000}"/>
    <cellStyle name="Normal 2 4 6 2" xfId="28793" xr:uid="{00000000-0005-0000-0000-00005F700000}"/>
    <cellStyle name="Normal 2 4 7" xfId="28794" xr:uid="{00000000-0005-0000-0000-000060700000}"/>
    <cellStyle name="Normal 2 4 8" xfId="28795" xr:uid="{00000000-0005-0000-0000-000061700000}"/>
    <cellStyle name="Normal 2 4 9" xfId="28796" xr:uid="{00000000-0005-0000-0000-000062700000}"/>
    <cellStyle name="Normal 2 40" xfId="28797" xr:uid="{00000000-0005-0000-0000-000063700000}"/>
    <cellStyle name="Normal 2 40 2" xfId="28798" xr:uid="{00000000-0005-0000-0000-000064700000}"/>
    <cellStyle name="Normal 2 40 3" xfId="28799" xr:uid="{00000000-0005-0000-0000-000065700000}"/>
    <cellStyle name="Normal 2 41" xfId="21" xr:uid="{00000000-0005-0000-0000-000066700000}"/>
    <cellStyle name="Normal 2 41 2" xfId="28800" xr:uid="{00000000-0005-0000-0000-000067700000}"/>
    <cellStyle name="Normal 2 41 2 2" xfId="28801" xr:uid="{00000000-0005-0000-0000-000068700000}"/>
    <cellStyle name="Normal 2 41 3" xfId="28802" xr:uid="{00000000-0005-0000-0000-000069700000}"/>
    <cellStyle name="Normal 2 41 4" xfId="28803" xr:uid="{00000000-0005-0000-0000-00006A700000}"/>
    <cellStyle name="Normal 2 41 5" xfId="28804" xr:uid="{00000000-0005-0000-0000-00006B700000}"/>
    <cellStyle name="Normal 2 41 6" xfId="28805" xr:uid="{00000000-0005-0000-0000-00006C700000}"/>
    <cellStyle name="Normal 2 41 7" xfId="28806" xr:uid="{00000000-0005-0000-0000-00006D700000}"/>
    <cellStyle name="Normal 2 41 8" xfId="28807" xr:uid="{00000000-0005-0000-0000-00006E700000}"/>
    <cellStyle name="Normal 2 41 8 2" xfId="28808" xr:uid="{00000000-0005-0000-0000-00006F700000}"/>
    <cellStyle name="Normal 2 41 9" xfId="28809" xr:uid="{00000000-0005-0000-0000-000070700000}"/>
    <cellStyle name="Normal 2 42" xfId="28810" xr:uid="{00000000-0005-0000-0000-000071700000}"/>
    <cellStyle name="Normal 2 42 2" xfId="28811" xr:uid="{00000000-0005-0000-0000-000072700000}"/>
    <cellStyle name="Normal 2 42 3" xfId="28812" xr:uid="{00000000-0005-0000-0000-000073700000}"/>
    <cellStyle name="Normal 2 42 4" xfId="28813" xr:uid="{00000000-0005-0000-0000-000074700000}"/>
    <cellStyle name="Normal 2 42 5" xfId="28814" xr:uid="{00000000-0005-0000-0000-000075700000}"/>
    <cellStyle name="Normal 2 42 6" xfId="28815" xr:uid="{00000000-0005-0000-0000-000076700000}"/>
    <cellStyle name="Normal 2 42 7" xfId="28816" xr:uid="{00000000-0005-0000-0000-000077700000}"/>
    <cellStyle name="Normal 2 42 8" xfId="28817" xr:uid="{00000000-0005-0000-0000-000078700000}"/>
    <cellStyle name="Normal 2 43" xfId="28818" xr:uid="{00000000-0005-0000-0000-000079700000}"/>
    <cellStyle name="Normal 2 43 2" xfId="28819" xr:uid="{00000000-0005-0000-0000-00007A700000}"/>
    <cellStyle name="Normal 2 43 3" xfId="28820" xr:uid="{00000000-0005-0000-0000-00007B700000}"/>
    <cellStyle name="Normal 2 44" xfId="28821" xr:uid="{00000000-0005-0000-0000-00007C700000}"/>
    <cellStyle name="Normal 2 44 2" xfId="28822" xr:uid="{00000000-0005-0000-0000-00007D700000}"/>
    <cellStyle name="Normal 2 44 3" xfId="28823" xr:uid="{00000000-0005-0000-0000-00007E700000}"/>
    <cellStyle name="Normal 2 45" xfId="28824" xr:uid="{00000000-0005-0000-0000-00007F700000}"/>
    <cellStyle name="Normal 2 45 2" xfId="28825" xr:uid="{00000000-0005-0000-0000-000080700000}"/>
    <cellStyle name="Normal 2 45 3" xfId="28826" xr:uid="{00000000-0005-0000-0000-000081700000}"/>
    <cellStyle name="Normal 2 46" xfId="28827" xr:uid="{00000000-0005-0000-0000-000082700000}"/>
    <cellStyle name="Normal 2 46 2" xfId="28828" xr:uid="{00000000-0005-0000-0000-000083700000}"/>
    <cellStyle name="Normal 2 46 3" xfId="28829" xr:uid="{00000000-0005-0000-0000-000084700000}"/>
    <cellStyle name="Normal 2 47" xfId="28830" xr:uid="{00000000-0005-0000-0000-000085700000}"/>
    <cellStyle name="Normal 2 47 2" xfId="28831" xr:uid="{00000000-0005-0000-0000-000086700000}"/>
    <cellStyle name="Normal 2 47 3" xfId="28832" xr:uid="{00000000-0005-0000-0000-000087700000}"/>
    <cellStyle name="Normal 2 48" xfId="28833" xr:uid="{00000000-0005-0000-0000-000088700000}"/>
    <cellStyle name="Normal 2 48 2" xfId="28834" xr:uid="{00000000-0005-0000-0000-000089700000}"/>
    <cellStyle name="Normal 2 48 3" xfId="28835" xr:uid="{00000000-0005-0000-0000-00008A700000}"/>
    <cellStyle name="Normal 2 49" xfId="28836" xr:uid="{00000000-0005-0000-0000-00008B700000}"/>
    <cellStyle name="Normal 2 49 2" xfId="28837" xr:uid="{00000000-0005-0000-0000-00008C700000}"/>
    <cellStyle name="Normal 2 49 3" xfId="28838" xr:uid="{00000000-0005-0000-0000-00008D700000}"/>
    <cellStyle name="Normal 2 5" xfId="34" xr:uid="{00000000-0005-0000-0000-00008E700000}"/>
    <cellStyle name="Normal 2 5 10" xfId="28840" xr:uid="{00000000-0005-0000-0000-00008F700000}"/>
    <cellStyle name="Normal 2 5 11" xfId="28841" xr:uid="{00000000-0005-0000-0000-000090700000}"/>
    <cellStyle name="Normal 2 5 12" xfId="28842" xr:uid="{00000000-0005-0000-0000-000091700000}"/>
    <cellStyle name="Normal 2 5 13" xfId="28843" xr:uid="{00000000-0005-0000-0000-000092700000}"/>
    <cellStyle name="Normal 2 5 14" xfId="28844" xr:uid="{00000000-0005-0000-0000-000093700000}"/>
    <cellStyle name="Normal 2 5 15" xfId="28845" xr:uid="{00000000-0005-0000-0000-000094700000}"/>
    <cellStyle name="Normal 2 5 16" xfId="28846" xr:uid="{00000000-0005-0000-0000-000095700000}"/>
    <cellStyle name="Normal 2 5 17" xfId="28847" xr:uid="{00000000-0005-0000-0000-000096700000}"/>
    <cellStyle name="Normal 2 5 18" xfId="28848" xr:uid="{00000000-0005-0000-0000-000097700000}"/>
    <cellStyle name="Normal 2 5 19" xfId="28849" xr:uid="{00000000-0005-0000-0000-000098700000}"/>
    <cellStyle name="Normal 2 5 2" xfId="28850" xr:uid="{00000000-0005-0000-0000-000099700000}"/>
    <cellStyle name="Normal 2 5 2 10" xfId="28851" xr:uid="{00000000-0005-0000-0000-00009A700000}"/>
    <cellStyle name="Normal 2 5 2 11" xfId="28852" xr:uid="{00000000-0005-0000-0000-00009B700000}"/>
    <cellStyle name="Normal 2 5 2 12" xfId="28853" xr:uid="{00000000-0005-0000-0000-00009C700000}"/>
    <cellStyle name="Normal 2 5 2 13" xfId="28854" xr:uid="{00000000-0005-0000-0000-00009D700000}"/>
    <cellStyle name="Normal 2 5 2 14" xfId="28855" xr:uid="{00000000-0005-0000-0000-00009E700000}"/>
    <cellStyle name="Normal 2 5 2 15" xfId="28856" xr:uid="{00000000-0005-0000-0000-00009F700000}"/>
    <cellStyle name="Normal 2 5 2 16" xfId="28857" xr:uid="{00000000-0005-0000-0000-0000A0700000}"/>
    <cellStyle name="Normal 2 5 2 17" xfId="28858" xr:uid="{00000000-0005-0000-0000-0000A1700000}"/>
    <cellStyle name="Normal 2 5 2 18" xfId="28859" xr:uid="{00000000-0005-0000-0000-0000A2700000}"/>
    <cellStyle name="Normal 2 5 2 19" xfId="28860" xr:uid="{00000000-0005-0000-0000-0000A3700000}"/>
    <cellStyle name="Normal 2 5 2 2" xfId="28861" xr:uid="{00000000-0005-0000-0000-0000A4700000}"/>
    <cellStyle name="Normal 2 5 2 2 10" xfId="28862" xr:uid="{00000000-0005-0000-0000-0000A5700000}"/>
    <cellStyle name="Normal 2 5 2 2 11" xfId="28863" xr:uid="{00000000-0005-0000-0000-0000A6700000}"/>
    <cellStyle name="Normal 2 5 2 2 12" xfId="28864" xr:uid="{00000000-0005-0000-0000-0000A7700000}"/>
    <cellStyle name="Normal 2 5 2 2 13" xfId="28865" xr:uid="{00000000-0005-0000-0000-0000A8700000}"/>
    <cellStyle name="Normal 2 5 2 2 14" xfId="28866" xr:uid="{00000000-0005-0000-0000-0000A9700000}"/>
    <cellStyle name="Normal 2 5 2 2 15" xfId="28867" xr:uid="{00000000-0005-0000-0000-0000AA700000}"/>
    <cellStyle name="Normal 2 5 2 2 16" xfId="28868" xr:uid="{00000000-0005-0000-0000-0000AB700000}"/>
    <cellStyle name="Normal 2 5 2 2 17" xfId="28869" xr:uid="{00000000-0005-0000-0000-0000AC700000}"/>
    <cellStyle name="Normal 2 5 2 2 18" xfId="28870" xr:uid="{00000000-0005-0000-0000-0000AD700000}"/>
    <cellStyle name="Normal 2 5 2 2 19" xfId="28871" xr:uid="{00000000-0005-0000-0000-0000AE700000}"/>
    <cellStyle name="Normal 2 5 2 2 2" xfId="28872" xr:uid="{00000000-0005-0000-0000-0000AF700000}"/>
    <cellStyle name="Normal 2 5 2 2 20" xfId="28873" xr:uid="{00000000-0005-0000-0000-0000B0700000}"/>
    <cellStyle name="Normal 2 5 2 2 3" xfId="28874" xr:uid="{00000000-0005-0000-0000-0000B1700000}"/>
    <cellStyle name="Normal 2 5 2 2 4" xfId="28875" xr:uid="{00000000-0005-0000-0000-0000B2700000}"/>
    <cellStyle name="Normal 2 5 2 2 5" xfId="28876" xr:uid="{00000000-0005-0000-0000-0000B3700000}"/>
    <cellStyle name="Normal 2 5 2 2 6" xfId="28877" xr:uid="{00000000-0005-0000-0000-0000B4700000}"/>
    <cellStyle name="Normal 2 5 2 2 7" xfId="28878" xr:uid="{00000000-0005-0000-0000-0000B5700000}"/>
    <cellStyle name="Normal 2 5 2 2 8" xfId="28879" xr:uid="{00000000-0005-0000-0000-0000B6700000}"/>
    <cellStyle name="Normal 2 5 2 2 9" xfId="28880" xr:uid="{00000000-0005-0000-0000-0000B7700000}"/>
    <cellStyle name="Normal 2 5 2 20" xfId="28881" xr:uid="{00000000-0005-0000-0000-0000B8700000}"/>
    <cellStyle name="Normal 2 5 2 21" xfId="28882" xr:uid="{00000000-0005-0000-0000-0000B9700000}"/>
    <cellStyle name="Normal 2 5 2 22" xfId="28883" xr:uid="{00000000-0005-0000-0000-0000BA700000}"/>
    <cellStyle name="Normal 2 5 2 23" xfId="28884" xr:uid="{00000000-0005-0000-0000-0000BB700000}"/>
    <cellStyle name="Normal 2 5 2 3" xfId="28885" xr:uid="{00000000-0005-0000-0000-0000BC700000}"/>
    <cellStyle name="Normal 2 5 2 4" xfId="28886" xr:uid="{00000000-0005-0000-0000-0000BD700000}"/>
    <cellStyle name="Normal 2 5 2 5" xfId="28887" xr:uid="{00000000-0005-0000-0000-0000BE700000}"/>
    <cellStyle name="Normal 2 5 2 6" xfId="28888" xr:uid="{00000000-0005-0000-0000-0000BF700000}"/>
    <cellStyle name="Normal 2 5 2 7" xfId="28889" xr:uid="{00000000-0005-0000-0000-0000C0700000}"/>
    <cellStyle name="Normal 2 5 2 8" xfId="28890" xr:uid="{00000000-0005-0000-0000-0000C1700000}"/>
    <cellStyle name="Normal 2 5 2 9" xfId="28891" xr:uid="{00000000-0005-0000-0000-0000C2700000}"/>
    <cellStyle name="Normal 2 5 20" xfId="28892" xr:uid="{00000000-0005-0000-0000-0000C3700000}"/>
    <cellStyle name="Normal 2 5 21" xfId="28893" xr:uid="{00000000-0005-0000-0000-0000C4700000}"/>
    <cellStyle name="Normal 2 5 22" xfId="28894" xr:uid="{00000000-0005-0000-0000-0000C5700000}"/>
    <cellStyle name="Normal 2 5 23" xfId="28895" xr:uid="{00000000-0005-0000-0000-0000C6700000}"/>
    <cellStyle name="Normal 2 5 24" xfId="28896" xr:uid="{00000000-0005-0000-0000-0000C7700000}"/>
    <cellStyle name="Normal 2 5 25" xfId="28897" xr:uid="{00000000-0005-0000-0000-0000C8700000}"/>
    <cellStyle name="Normal 2 5 26" xfId="28898" xr:uid="{00000000-0005-0000-0000-0000C9700000}"/>
    <cellStyle name="Normal 2 5 27" xfId="28899" xr:uid="{00000000-0005-0000-0000-0000CA700000}"/>
    <cellStyle name="Normal 2 5 28" xfId="28900" xr:uid="{00000000-0005-0000-0000-0000CB700000}"/>
    <cellStyle name="Normal 2 5 29" xfId="28901" xr:uid="{00000000-0005-0000-0000-0000CC700000}"/>
    <cellStyle name="Normal 2 5 3" xfId="28902" xr:uid="{00000000-0005-0000-0000-0000CD700000}"/>
    <cellStyle name="Normal 2 5 3 2" xfId="28903" xr:uid="{00000000-0005-0000-0000-0000CE700000}"/>
    <cellStyle name="Normal 2 5 3 3" xfId="28904" xr:uid="{00000000-0005-0000-0000-0000CF700000}"/>
    <cellStyle name="Normal 2 5 3 4" xfId="28905" xr:uid="{00000000-0005-0000-0000-0000D0700000}"/>
    <cellStyle name="Normal 2 5 30" xfId="28906" xr:uid="{00000000-0005-0000-0000-0000D1700000}"/>
    <cellStyle name="Normal 2 5 31" xfId="28907" xr:uid="{00000000-0005-0000-0000-0000D2700000}"/>
    <cellStyle name="Normal 2 5 32" xfId="28908" xr:uid="{00000000-0005-0000-0000-0000D3700000}"/>
    <cellStyle name="Normal 2 5 33" xfId="28909" xr:uid="{00000000-0005-0000-0000-0000D4700000}"/>
    <cellStyle name="Normal 2 5 34" xfId="28910" xr:uid="{00000000-0005-0000-0000-0000D5700000}"/>
    <cellStyle name="Normal 2 5 35" xfId="28911" xr:uid="{00000000-0005-0000-0000-0000D6700000}"/>
    <cellStyle name="Normal 2 5 36" xfId="28839" xr:uid="{00000000-0005-0000-0000-0000D7700000}"/>
    <cellStyle name="Normal 2 5 4" xfId="28912" xr:uid="{00000000-0005-0000-0000-0000D8700000}"/>
    <cellStyle name="Normal 2 5 4 2" xfId="28913" xr:uid="{00000000-0005-0000-0000-0000D9700000}"/>
    <cellStyle name="Normal 2 5 5" xfId="28914" xr:uid="{00000000-0005-0000-0000-0000DA700000}"/>
    <cellStyle name="Normal 2 5 5 2" xfId="28915" xr:uid="{00000000-0005-0000-0000-0000DB700000}"/>
    <cellStyle name="Normal 2 5 6" xfId="28916" xr:uid="{00000000-0005-0000-0000-0000DC700000}"/>
    <cellStyle name="Normal 2 5 6 2" xfId="28917" xr:uid="{00000000-0005-0000-0000-0000DD700000}"/>
    <cellStyle name="Normal 2 5 7" xfId="28918" xr:uid="{00000000-0005-0000-0000-0000DE700000}"/>
    <cellStyle name="Normal 2 5 7 2" xfId="28919" xr:uid="{00000000-0005-0000-0000-0000DF700000}"/>
    <cellStyle name="Normal 2 5 8" xfId="28920" xr:uid="{00000000-0005-0000-0000-0000E0700000}"/>
    <cellStyle name="Normal 2 5 9" xfId="28921" xr:uid="{00000000-0005-0000-0000-0000E1700000}"/>
    <cellStyle name="Normal 2 50" xfId="28922" xr:uid="{00000000-0005-0000-0000-0000E2700000}"/>
    <cellStyle name="Normal 2 50 2" xfId="28923" xr:uid="{00000000-0005-0000-0000-0000E3700000}"/>
    <cellStyle name="Normal 2 50 3" xfId="28924" xr:uid="{00000000-0005-0000-0000-0000E4700000}"/>
    <cellStyle name="Normal 2 51" xfId="28925" xr:uid="{00000000-0005-0000-0000-0000E5700000}"/>
    <cellStyle name="Normal 2 51 2" xfId="28926" xr:uid="{00000000-0005-0000-0000-0000E6700000}"/>
    <cellStyle name="Normal 2 51 3" xfId="28927" xr:uid="{00000000-0005-0000-0000-0000E7700000}"/>
    <cellStyle name="Normal 2 51 4" xfId="28928" xr:uid="{00000000-0005-0000-0000-0000E8700000}"/>
    <cellStyle name="Normal 2 51 5" xfId="28929" xr:uid="{00000000-0005-0000-0000-0000E9700000}"/>
    <cellStyle name="Normal 2 52" xfId="28930" xr:uid="{00000000-0005-0000-0000-0000EA700000}"/>
    <cellStyle name="Normal 2 52 2" xfId="28931" xr:uid="{00000000-0005-0000-0000-0000EB700000}"/>
    <cellStyle name="Normal 2 52 3" xfId="28932" xr:uid="{00000000-0005-0000-0000-0000EC700000}"/>
    <cellStyle name="Normal 2 52 4" xfId="28933" xr:uid="{00000000-0005-0000-0000-0000ED700000}"/>
    <cellStyle name="Normal 2 52 5" xfId="28934" xr:uid="{00000000-0005-0000-0000-0000EE700000}"/>
    <cellStyle name="Normal 2 53" xfId="28935" xr:uid="{00000000-0005-0000-0000-0000EF700000}"/>
    <cellStyle name="Normal 2 53 2" xfId="28936" xr:uid="{00000000-0005-0000-0000-0000F0700000}"/>
    <cellStyle name="Normal 2 53 3" xfId="28937" xr:uid="{00000000-0005-0000-0000-0000F1700000}"/>
    <cellStyle name="Normal 2 53 4" xfId="28938" xr:uid="{00000000-0005-0000-0000-0000F2700000}"/>
    <cellStyle name="Normal 2 53 5" xfId="28939" xr:uid="{00000000-0005-0000-0000-0000F3700000}"/>
    <cellStyle name="Normal 2 54" xfId="28940" xr:uid="{00000000-0005-0000-0000-0000F4700000}"/>
    <cellStyle name="Normal 2 54 2" xfId="28941" xr:uid="{00000000-0005-0000-0000-0000F5700000}"/>
    <cellStyle name="Normal 2 54 3" xfId="28942" xr:uid="{00000000-0005-0000-0000-0000F6700000}"/>
    <cellStyle name="Normal 2 54 4" xfId="28943" xr:uid="{00000000-0005-0000-0000-0000F7700000}"/>
    <cellStyle name="Normal 2 54 5" xfId="28944" xr:uid="{00000000-0005-0000-0000-0000F8700000}"/>
    <cellStyle name="Normal 2 55" xfId="28945" xr:uid="{00000000-0005-0000-0000-0000F9700000}"/>
    <cellStyle name="Normal 2 55 2" xfId="28946" xr:uid="{00000000-0005-0000-0000-0000FA700000}"/>
    <cellStyle name="Normal 2 55 3" xfId="28947" xr:uid="{00000000-0005-0000-0000-0000FB700000}"/>
    <cellStyle name="Normal 2 55 4" xfId="28948" xr:uid="{00000000-0005-0000-0000-0000FC700000}"/>
    <cellStyle name="Normal 2 55 5" xfId="28949" xr:uid="{00000000-0005-0000-0000-0000FD700000}"/>
    <cellStyle name="Normal 2 56" xfId="28950" xr:uid="{00000000-0005-0000-0000-0000FE700000}"/>
    <cellStyle name="Normal 2 56 2" xfId="28951" xr:uid="{00000000-0005-0000-0000-0000FF700000}"/>
    <cellStyle name="Normal 2 56 3" xfId="28952" xr:uid="{00000000-0005-0000-0000-000000710000}"/>
    <cellStyle name="Normal 2 56 4" xfId="28953" xr:uid="{00000000-0005-0000-0000-000001710000}"/>
    <cellStyle name="Normal 2 56 5" xfId="28954" xr:uid="{00000000-0005-0000-0000-000002710000}"/>
    <cellStyle name="Normal 2 57" xfId="28955" xr:uid="{00000000-0005-0000-0000-000003710000}"/>
    <cellStyle name="Normal 2 57 2" xfId="28956" xr:uid="{00000000-0005-0000-0000-000004710000}"/>
    <cellStyle name="Normal 2 57 3" xfId="28957" xr:uid="{00000000-0005-0000-0000-000005710000}"/>
    <cellStyle name="Normal 2 57 4" xfId="28958" xr:uid="{00000000-0005-0000-0000-000006710000}"/>
    <cellStyle name="Normal 2 57 5" xfId="28959" xr:uid="{00000000-0005-0000-0000-000007710000}"/>
    <cellStyle name="Normal 2 58" xfId="28960" xr:uid="{00000000-0005-0000-0000-000008710000}"/>
    <cellStyle name="Normal 2 58 2" xfId="28961" xr:uid="{00000000-0005-0000-0000-000009710000}"/>
    <cellStyle name="Normal 2 58 3" xfId="28962" xr:uid="{00000000-0005-0000-0000-00000A710000}"/>
    <cellStyle name="Normal 2 58 4" xfId="28963" xr:uid="{00000000-0005-0000-0000-00000B710000}"/>
    <cellStyle name="Normal 2 58 5" xfId="28964" xr:uid="{00000000-0005-0000-0000-00000C710000}"/>
    <cellStyle name="Normal 2 59" xfId="28965" xr:uid="{00000000-0005-0000-0000-00000D710000}"/>
    <cellStyle name="Normal 2 59 2" xfId="28966" xr:uid="{00000000-0005-0000-0000-00000E710000}"/>
    <cellStyle name="Normal 2 59 3" xfId="28967" xr:uid="{00000000-0005-0000-0000-00000F710000}"/>
    <cellStyle name="Normal 2 59 4" xfId="28968" xr:uid="{00000000-0005-0000-0000-000010710000}"/>
    <cellStyle name="Normal 2 59 5" xfId="28969" xr:uid="{00000000-0005-0000-0000-000011710000}"/>
    <cellStyle name="Normal 2 6" xfId="28970" xr:uid="{00000000-0005-0000-0000-000012710000}"/>
    <cellStyle name="Normal 2 6 10" xfId="28971" xr:uid="{00000000-0005-0000-0000-000013710000}"/>
    <cellStyle name="Normal 2 6 11" xfId="28972" xr:uid="{00000000-0005-0000-0000-000014710000}"/>
    <cellStyle name="Normal 2 6 12" xfId="28973" xr:uid="{00000000-0005-0000-0000-000015710000}"/>
    <cellStyle name="Normal 2 6 13" xfId="28974" xr:uid="{00000000-0005-0000-0000-000016710000}"/>
    <cellStyle name="Normal 2 6 14" xfId="28975" xr:uid="{00000000-0005-0000-0000-000017710000}"/>
    <cellStyle name="Normal 2 6 15" xfId="28976" xr:uid="{00000000-0005-0000-0000-000018710000}"/>
    <cellStyle name="Normal 2 6 16" xfId="28977" xr:uid="{00000000-0005-0000-0000-000019710000}"/>
    <cellStyle name="Normal 2 6 17" xfId="28978" xr:uid="{00000000-0005-0000-0000-00001A710000}"/>
    <cellStyle name="Normal 2 6 18" xfId="28979" xr:uid="{00000000-0005-0000-0000-00001B710000}"/>
    <cellStyle name="Normal 2 6 19" xfId="28980" xr:uid="{00000000-0005-0000-0000-00001C710000}"/>
    <cellStyle name="Normal 2 6 2" xfId="28981" xr:uid="{00000000-0005-0000-0000-00001D710000}"/>
    <cellStyle name="Normal 2 6 2 10" xfId="28982" xr:uid="{00000000-0005-0000-0000-00001E710000}"/>
    <cellStyle name="Normal 2 6 2 11" xfId="28983" xr:uid="{00000000-0005-0000-0000-00001F710000}"/>
    <cellStyle name="Normal 2 6 2 12" xfId="28984" xr:uid="{00000000-0005-0000-0000-000020710000}"/>
    <cellStyle name="Normal 2 6 2 13" xfId="28985" xr:uid="{00000000-0005-0000-0000-000021710000}"/>
    <cellStyle name="Normal 2 6 2 14" xfId="28986" xr:uid="{00000000-0005-0000-0000-000022710000}"/>
    <cellStyle name="Normal 2 6 2 15" xfId="28987" xr:uid="{00000000-0005-0000-0000-000023710000}"/>
    <cellStyle name="Normal 2 6 2 16" xfId="28988" xr:uid="{00000000-0005-0000-0000-000024710000}"/>
    <cellStyle name="Normal 2 6 2 17" xfId="28989" xr:uid="{00000000-0005-0000-0000-000025710000}"/>
    <cellStyle name="Normal 2 6 2 18" xfId="28990" xr:uid="{00000000-0005-0000-0000-000026710000}"/>
    <cellStyle name="Normal 2 6 2 19" xfId="28991" xr:uid="{00000000-0005-0000-0000-000027710000}"/>
    <cellStyle name="Normal 2 6 2 2" xfId="28992" xr:uid="{00000000-0005-0000-0000-000028710000}"/>
    <cellStyle name="Normal 2 6 2 20" xfId="28993" xr:uid="{00000000-0005-0000-0000-000029710000}"/>
    <cellStyle name="Normal 2 6 2 21" xfId="28994" xr:uid="{00000000-0005-0000-0000-00002A710000}"/>
    <cellStyle name="Normal 2 6 2 3" xfId="28995" xr:uid="{00000000-0005-0000-0000-00002B710000}"/>
    <cellStyle name="Normal 2 6 2 4" xfId="28996" xr:uid="{00000000-0005-0000-0000-00002C710000}"/>
    <cellStyle name="Normal 2 6 2 5" xfId="28997" xr:uid="{00000000-0005-0000-0000-00002D710000}"/>
    <cellStyle name="Normal 2 6 2 6" xfId="28998" xr:uid="{00000000-0005-0000-0000-00002E710000}"/>
    <cellStyle name="Normal 2 6 2 7" xfId="28999" xr:uid="{00000000-0005-0000-0000-00002F710000}"/>
    <cellStyle name="Normal 2 6 2 8" xfId="29000" xr:uid="{00000000-0005-0000-0000-000030710000}"/>
    <cellStyle name="Normal 2 6 2 9" xfId="29001" xr:uid="{00000000-0005-0000-0000-000031710000}"/>
    <cellStyle name="Normal 2 6 20" xfId="29002" xr:uid="{00000000-0005-0000-0000-000032710000}"/>
    <cellStyle name="Normal 2 6 21" xfId="29003" xr:uid="{00000000-0005-0000-0000-000033710000}"/>
    <cellStyle name="Normal 2 6 22" xfId="29004" xr:uid="{00000000-0005-0000-0000-000034710000}"/>
    <cellStyle name="Normal 2 6 3" xfId="29005" xr:uid="{00000000-0005-0000-0000-000035710000}"/>
    <cellStyle name="Normal 2 6 4" xfId="29006" xr:uid="{00000000-0005-0000-0000-000036710000}"/>
    <cellStyle name="Normal 2 6 5" xfId="29007" xr:uid="{00000000-0005-0000-0000-000037710000}"/>
    <cellStyle name="Normal 2 6 6" xfId="29008" xr:uid="{00000000-0005-0000-0000-000038710000}"/>
    <cellStyle name="Normal 2 6 7" xfId="29009" xr:uid="{00000000-0005-0000-0000-000039710000}"/>
    <cellStyle name="Normal 2 6 8" xfId="29010" xr:uid="{00000000-0005-0000-0000-00003A710000}"/>
    <cellStyle name="Normal 2 6 9" xfId="29011" xr:uid="{00000000-0005-0000-0000-00003B710000}"/>
    <cellStyle name="Normal 2 60" xfId="29012" xr:uid="{00000000-0005-0000-0000-00003C710000}"/>
    <cellStyle name="Normal 2 60 2" xfId="29013" xr:uid="{00000000-0005-0000-0000-00003D710000}"/>
    <cellStyle name="Normal 2 60 3" xfId="29014" xr:uid="{00000000-0005-0000-0000-00003E710000}"/>
    <cellStyle name="Normal 2 61" xfId="29015" xr:uid="{00000000-0005-0000-0000-00003F710000}"/>
    <cellStyle name="Normal 2 61 2" xfId="29016" xr:uid="{00000000-0005-0000-0000-000040710000}"/>
    <cellStyle name="Normal 2 61 3" xfId="29017" xr:uid="{00000000-0005-0000-0000-000041710000}"/>
    <cellStyle name="Normal 2 62" xfId="29018" xr:uid="{00000000-0005-0000-0000-000042710000}"/>
    <cellStyle name="Normal 2 62 2" xfId="29019" xr:uid="{00000000-0005-0000-0000-000043710000}"/>
    <cellStyle name="Normal 2 62 3" xfId="29020" xr:uid="{00000000-0005-0000-0000-000044710000}"/>
    <cellStyle name="Normal 2 63" xfId="29021" xr:uid="{00000000-0005-0000-0000-000045710000}"/>
    <cellStyle name="Normal 2 63 2" xfId="29022" xr:uid="{00000000-0005-0000-0000-000046710000}"/>
    <cellStyle name="Normal 2 63 3" xfId="29023" xr:uid="{00000000-0005-0000-0000-000047710000}"/>
    <cellStyle name="Normal 2 64" xfId="29024" xr:uid="{00000000-0005-0000-0000-000048710000}"/>
    <cellStyle name="Normal 2 64 2" xfId="29025" xr:uid="{00000000-0005-0000-0000-000049710000}"/>
    <cellStyle name="Normal 2 64 3" xfId="29026" xr:uid="{00000000-0005-0000-0000-00004A710000}"/>
    <cellStyle name="Normal 2 65" xfId="29027" xr:uid="{00000000-0005-0000-0000-00004B710000}"/>
    <cellStyle name="Normal 2 65 2" xfId="29028" xr:uid="{00000000-0005-0000-0000-00004C710000}"/>
    <cellStyle name="Normal 2 65 3" xfId="29029" xr:uid="{00000000-0005-0000-0000-00004D710000}"/>
    <cellStyle name="Normal 2 66" xfId="29030" xr:uid="{00000000-0005-0000-0000-00004E710000}"/>
    <cellStyle name="Normal 2 66 2" xfId="29031" xr:uid="{00000000-0005-0000-0000-00004F710000}"/>
    <cellStyle name="Normal 2 66 3" xfId="29032" xr:uid="{00000000-0005-0000-0000-000050710000}"/>
    <cellStyle name="Normal 2 67" xfId="29033" xr:uid="{00000000-0005-0000-0000-000051710000}"/>
    <cellStyle name="Normal 2 67 2" xfId="29034" xr:uid="{00000000-0005-0000-0000-000052710000}"/>
    <cellStyle name="Normal 2 67 3" xfId="29035" xr:uid="{00000000-0005-0000-0000-000053710000}"/>
    <cellStyle name="Normal 2 68" xfId="29036" xr:uid="{00000000-0005-0000-0000-000054710000}"/>
    <cellStyle name="Normal 2 68 2" xfId="29037" xr:uid="{00000000-0005-0000-0000-000055710000}"/>
    <cellStyle name="Normal 2 68 3" xfId="29038" xr:uid="{00000000-0005-0000-0000-000056710000}"/>
    <cellStyle name="Normal 2 69" xfId="29039" xr:uid="{00000000-0005-0000-0000-000057710000}"/>
    <cellStyle name="Normal 2 69 2" xfId="29040" xr:uid="{00000000-0005-0000-0000-000058710000}"/>
    <cellStyle name="Normal 2 69 3" xfId="29041" xr:uid="{00000000-0005-0000-0000-000059710000}"/>
    <cellStyle name="Normal 2 7" xfId="29042" xr:uid="{00000000-0005-0000-0000-00005A710000}"/>
    <cellStyle name="Normal 2 7 2" xfId="29043" xr:uid="{00000000-0005-0000-0000-00005B710000}"/>
    <cellStyle name="Normal 2 7 3" xfId="29044" xr:uid="{00000000-0005-0000-0000-00005C710000}"/>
    <cellStyle name="Normal 2 70" xfId="29045" xr:uid="{00000000-0005-0000-0000-00005D710000}"/>
    <cellStyle name="Normal 2 70 2" xfId="29046" xr:uid="{00000000-0005-0000-0000-00005E710000}"/>
    <cellStyle name="Normal 2 70 3" xfId="29047" xr:uid="{00000000-0005-0000-0000-00005F710000}"/>
    <cellStyle name="Normal 2 71" xfId="29048" xr:uid="{00000000-0005-0000-0000-000060710000}"/>
    <cellStyle name="Normal 2 71 2" xfId="29049" xr:uid="{00000000-0005-0000-0000-000061710000}"/>
    <cellStyle name="Normal 2 71 3" xfId="29050" xr:uid="{00000000-0005-0000-0000-000062710000}"/>
    <cellStyle name="Normal 2 72" xfId="29051" xr:uid="{00000000-0005-0000-0000-000063710000}"/>
    <cellStyle name="Normal 2 72 2" xfId="29052" xr:uid="{00000000-0005-0000-0000-000064710000}"/>
    <cellStyle name="Normal 2 72 3" xfId="29053" xr:uid="{00000000-0005-0000-0000-000065710000}"/>
    <cellStyle name="Normal 2 73" xfId="29054" xr:uid="{00000000-0005-0000-0000-000066710000}"/>
    <cellStyle name="Normal 2 73 2" xfId="29055" xr:uid="{00000000-0005-0000-0000-000067710000}"/>
    <cellStyle name="Normal 2 73 3" xfId="29056" xr:uid="{00000000-0005-0000-0000-000068710000}"/>
    <cellStyle name="Normal 2 74" xfId="29057" xr:uid="{00000000-0005-0000-0000-000069710000}"/>
    <cellStyle name="Normal 2 74 2" xfId="29058" xr:uid="{00000000-0005-0000-0000-00006A710000}"/>
    <cellStyle name="Normal 2 74 3" xfId="29059" xr:uid="{00000000-0005-0000-0000-00006B710000}"/>
    <cellStyle name="Normal 2 75" xfId="29060" xr:uid="{00000000-0005-0000-0000-00006C710000}"/>
    <cellStyle name="Normal 2 76" xfId="29061" xr:uid="{00000000-0005-0000-0000-00006D710000}"/>
    <cellStyle name="Normal 2 77" xfId="29062" xr:uid="{00000000-0005-0000-0000-00006E710000}"/>
    <cellStyle name="Normal 2 78" xfId="29063" xr:uid="{00000000-0005-0000-0000-00006F710000}"/>
    <cellStyle name="Normal 2 79" xfId="29064" xr:uid="{00000000-0005-0000-0000-000070710000}"/>
    <cellStyle name="Normal 2 8" xfId="29065" xr:uid="{00000000-0005-0000-0000-000071710000}"/>
    <cellStyle name="Normal 2 8 2" xfId="29066" xr:uid="{00000000-0005-0000-0000-000072710000}"/>
    <cellStyle name="Normal 2 8 3" xfId="29067" xr:uid="{00000000-0005-0000-0000-000073710000}"/>
    <cellStyle name="Normal 2 80" xfId="29068" xr:uid="{00000000-0005-0000-0000-000074710000}"/>
    <cellStyle name="Normal 2 81" xfId="29069" xr:uid="{00000000-0005-0000-0000-000075710000}"/>
    <cellStyle name="Normal 2 82" xfId="29070" xr:uid="{00000000-0005-0000-0000-000076710000}"/>
    <cellStyle name="Normal 2 82 2" xfId="29071" xr:uid="{00000000-0005-0000-0000-000077710000}"/>
    <cellStyle name="Normal 2 82 2 2" xfId="29072" xr:uid="{00000000-0005-0000-0000-000078710000}"/>
    <cellStyle name="Normal 2 82 2 3" xfId="29073" xr:uid="{00000000-0005-0000-0000-000079710000}"/>
    <cellStyle name="Normal 2 82 3" xfId="29074" xr:uid="{00000000-0005-0000-0000-00007A710000}"/>
    <cellStyle name="Normal 2 82 4" xfId="29075" xr:uid="{00000000-0005-0000-0000-00007B710000}"/>
    <cellStyle name="Normal 2 83" xfId="29076" xr:uid="{00000000-0005-0000-0000-00007C710000}"/>
    <cellStyle name="Normal 2 83 2" xfId="29077" xr:uid="{00000000-0005-0000-0000-00007D710000}"/>
    <cellStyle name="Normal 2 84" xfId="29078" xr:uid="{00000000-0005-0000-0000-00007E710000}"/>
    <cellStyle name="Normal 2 84 2" xfId="29079" xr:uid="{00000000-0005-0000-0000-00007F710000}"/>
    <cellStyle name="Normal 2 85" xfId="29080" xr:uid="{00000000-0005-0000-0000-000080710000}"/>
    <cellStyle name="Normal 2 85 2" xfId="29081" xr:uid="{00000000-0005-0000-0000-000081710000}"/>
    <cellStyle name="Normal 2 85 2 2" xfId="29082" xr:uid="{00000000-0005-0000-0000-000082710000}"/>
    <cellStyle name="Normal 2 85 3" xfId="29083" xr:uid="{00000000-0005-0000-0000-000083710000}"/>
    <cellStyle name="Normal 2 85 4" xfId="29084" xr:uid="{00000000-0005-0000-0000-000084710000}"/>
    <cellStyle name="Normal 2 85 5" xfId="29085" xr:uid="{00000000-0005-0000-0000-000085710000}"/>
    <cellStyle name="Normal 2 86" xfId="29086" xr:uid="{00000000-0005-0000-0000-000086710000}"/>
    <cellStyle name="Normal 2 86 2" xfId="29087" xr:uid="{00000000-0005-0000-0000-000087710000}"/>
    <cellStyle name="Normal 2 86 2 2" xfId="29088" xr:uid="{00000000-0005-0000-0000-000088710000}"/>
    <cellStyle name="Normal 2 86 3" xfId="29089" xr:uid="{00000000-0005-0000-0000-000089710000}"/>
    <cellStyle name="Normal 2 87" xfId="29090" xr:uid="{00000000-0005-0000-0000-00008A710000}"/>
    <cellStyle name="Normal 2 87 2" xfId="29091" xr:uid="{00000000-0005-0000-0000-00008B710000}"/>
    <cellStyle name="Normal 2 87 3" xfId="29092" xr:uid="{00000000-0005-0000-0000-00008C710000}"/>
    <cellStyle name="Normal 2 87 4" xfId="29093" xr:uid="{00000000-0005-0000-0000-00008D710000}"/>
    <cellStyle name="Normal 2 87 5" xfId="29094" xr:uid="{00000000-0005-0000-0000-00008E710000}"/>
    <cellStyle name="Normal 2 88" xfId="29095" xr:uid="{00000000-0005-0000-0000-00008F710000}"/>
    <cellStyle name="Normal 2 88 2" xfId="29096" xr:uid="{00000000-0005-0000-0000-000090710000}"/>
    <cellStyle name="Normal 2 88 3" xfId="29097" xr:uid="{00000000-0005-0000-0000-000091710000}"/>
    <cellStyle name="Normal 2 88 4" xfId="29098" xr:uid="{00000000-0005-0000-0000-000092710000}"/>
    <cellStyle name="Normal 2 88 5" xfId="29099" xr:uid="{00000000-0005-0000-0000-000093710000}"/>
    <cellStyle name="Normal 2 89" xfId="29100" xr:uid="{00000000-0005-0000-0000-000094710000}"/>
    <cellStyle name="Normal 2 89 2" xfId="29101" xr:uid="{00000000-0005-0000-0000-000095710000}"/>
    <cellStyle name="Normal 2 9" xfId="29102" xr:uid="{00000000-0005-0000-0000-000096710000}"/>
    <cellStyle name="Normal 2 9 2" xfId="29103" xr:uid="{00000000-0005-0000-0000-000097710000}"/>
    <cellStyle name="Normal 2 9 3" xfId="29104" xr:uid="{00000000-0005-0000-0000-000098710000}"/>
    <cellStyle name="Normal 2 9 4" xfId="29105" xr:uid="{00000000-0005-0000-0000-000099710000}"/>
    <cellStyle name="Normal 2 9 5" xfId="29106" xr:uid="{00000000-0005-0000-0000-00009A710000}"/>
    <cellStyle name="Normal 2 9_Enlaces" xfId="29107" xr:uid="{00000000-0005-0000-0000-00009B710000}"/>
    <cellStyle name="Normal 2 90" xfId="29108" xr:uid="{00000000-0005-0000-0000-00009C710000}"/>
    <cellStyle name="Normal 2 90 2" xfId="29109" xr:uid="{00000000-0005-0000-0000-00009D710000}"/>
    <cellStyle name="Normal 2 91" xfId="29110" xr:uid="{00000000-0005-0000-0000-00009E710000}"/>
    <cellStyle name="Normal 2 91 2" xfId="29111" xr:uid="{00000000-0005-0000-0000-00009F710000}"/>
    <cellStyle name="Normal 2 92" xfId="29112" xr:uid="{00000000-0005-0000-0000-0000A0710000}"/>
    <cellStyle name="Normal 2 92 2" xfId="29113" xr:uid="{00000000-0005-0000-0000-0000A1710000}"/>
    <cellStyle name="Normal 2 93" xfId="29114" xr:uid="{00000000-0005-0000-0000-0000A2710000}"/>
    <cellStyle name="Normal 2 93 2" xfId="29115" xr:uid="{00000000-0005-0000-0000-0000A3710000}"/>
    <cellStyle name="Normal 2 94" xfId="29116" xr:uid="{00000000-0005-0000-0000-0000A4710000}"/>
    <cellStyle name="Normal 2 94 2" xfId="29117" xr:uid="{00000000-0005-0000-0000-0000A5710000}"/>
    <cellStyle name="Normal 2 95" xfId="29118" xr:uid="{00000000-0005-0000-0000-0000A6710000}"/>
    <cellStyle name="Normal 2 95 2" xfId="29119" xr:uid="{00000000-0005-0000-0000-0000A7710000}"/>
    <cellStyle name="Normal 2 96" xfId="29120" xr:uid="{00000000-0005-0000-0000-0000A8710000}"/>
    <cellStyle name="Normal 2 96 2" xfId="29121" xr:uid="{00000000-0005-0000-0000-0000A9710000}"/>
    <cellStyle name="Normal 2 97" xfId="29122" xr:uid="{00000000-0005-0000-0000-0000AA710000}"/>
    <cellStyle name="Normal 2 97 2" xfId="29123" xr:uid="{00000000-0005-0000-0000-0000AB710000}"/>
    <cellStyle name="Normal 2 98" xfId="29124" xr:uid="{00000000-0005-0000-0000-0000AC710000}"/>
    <cellStyle name="Normal 2 98 2" xfId="29125" xr:uid="{00000000-0005-0000-0000-0000AD710000}"/>
    <cellStyle name="Normal 2 99" xfId="29126" xr:uid="{00000000-0005-0000-0000-0000AE710000}"/>
    <cellStyle name="Normal 2 99 2" xfId="29127" xr:uid="{00000000-0005-0000-0000-0000AF710000}"/>
    <cellStyle name="Normal 20" xfId="29128" xr:uid="{00000000-0005-0000-0000-0000B0710000}"/>
    <cellStyle name="Normal 20 10" xfId="29129" xr:uid="{00000000-0005-0000-0000-0000B1710000}"/>
    <cellStyle name="Normal 20 11" xfId="29130" xr:uid="{00000000-0005-0000-0000-0000B2710000}"/>
    <cellStyle name="Normal 20 12" xfId="29131" xr:uid="{00000000-0005-0000-0000-0000B3710000}"/>
    <cellStyle name="Normal 20 13" xfId="29132" xr:uid="{00000000-0005-0000-0000-0000B4710000}"/>
    <cellStyle name="Normal 20 14" xfId="29133" xr:uid="{00000000-0005-0000-0000-0000B5710000}"/>
    <cellStyle name="Normal 20 15" xfId="29134" xr:uid="{00000000-0005-0000-0000-0000B6710000}"/>
    <cellStyle name="Normal 20 16" xfId="29135" xr:uid="{00000000-0005-0000-0000-0000B7710000}"/>
    <cellStyle name="Normal 20 17" xfId="29136" xr:uid="{00000000-0005-0000-0000-0000B8710000}"/>
    <cellStyle name="Normal 20 18" xfId="29137" xr:uid="{00000000-0005-0000-0000-0000B9710000}"/>
    <cellStyle name="Normal 20 19" xfId="29138" xr:uid="{00000000-0005-0000-0000-0000BA710000}"/>
    <cellStyle name="Normal 20 2" xfId="29139" xr:uid="{00000000-0005-0000-0000-0000BB710000}"/>
    <cellStyle name="Normal 20 2 2" xfId="29140" xr:uid="{00000000-0005-0000-0000-0000BC710000}"/>
    <cellStyle name="Normal 20 2 3" xfId="29141" xr:uid="{00000000-0005-0000-0000-0000BD710000}"/>
    <cellStyle name="Normal 20 2 4" xfId="29142" xr:uid="{00000000-0005-0000-0000-0000BE710000}"/>
    <cellStyle name="Normal 20 20" xfId="29143" xr:uid="{00000000-0005-0000-0000-0000BF710000}"/>
    <cellStyle name="Normal 20 21" xfId="29144" xr:uid="{00000000-0005-0000-0000-0000C0710000}"/>
    <cellStyle name="Normal 20 22" xfId="29145" xr:uid="{00000000-0005-0000-0000-0000C1710000}"/>
    <cellStyle name="Normal 20 23" xfId="29146" xr:uid="{00000000-0005-0000-0000-0000C2710000}"/>
    <cellStyle name="Normal 20 24" xfId="29147" xr:uid="{00000000-0005-0000-0000-0000C3710000}"/>
    <cellStyle name="Normal 20 25" xfId="29148" xr:uid="{00000000-0005-0000-0000-0000C4710000}"/>
    <cellStyle name="Normal 20 26" xfId="29149" xr:uid="{00000000-0005-0000-0000-0000C5710000}"/>
    <cellStyle name="Normal 20 3" xfId="29150" xr:uid="{00000000-0005-0000-0000-0000C6710000}"/>
    <cellStyle name="Normal 20 4" xfId="29151" xr:uid="{00000000-0005-0000-0000-0000C7710000}"/>
    <cellStyle name="Normal 20 5" xfId="29152" xr:uid="{00000000-0005-0000-0000-0000C8710000}"/>
    <cellStyle name="Normal 20 6" xfId="29153" xr:uid="{00000000-0005-0000-0000-0000C9710000}"/>
    <cellStyle name="Normal 20 7" xfId="29154" xr:uid="{00000000-0005-0000-0000-0000CA710000}"/>
    <cellStyle name="Normal 20 8" xfId="29155" xr:uid="{00000000-0005-0000-0000-0000CB710000}"/>
    <cellStyle name="Normal 20 9" xfId="29156" xr:uid="{00000000-0005-0000-0000-0000CC710000}"/>
    <cellStyle name="Normal 200" xfId="39232" xr:uid="{729482A8-8A0D-4C11-ADEE-7C73C9A18343}"/>
    <cellStyle name="Normal 201" xfId="39233" xr:uid="{F8558074-3957-4AFB-8F85-594567BB7AB4}"/>
    <cellStyle name="Normal 202" xfId="39234" xr:uid="{5F031282-A862-4D59-9C19-2123204028B4}"/>
    <cellStyle name="Normal 203" xfId="39235" xr:uid="{09065D28-D92D-4FA4-B02A-4A775C534BAF}"/>
    <cellStyle name="Normal 204" xfId="39236" xr:uid="{FFBD703D-743B-4D92-BBC7-53C0A30C6BD3}"/>
    <cellStyle name="Normal 205" xfId="39237" xr:uid="{02859D48-7BE5-4402-95B0-41B784FB339E}"/>
    <cellStyle name="Normal 206" xfId="39238" xr:uid="{022E3371-EB70-42D5-96CD-4F09470ADC31}"/>
    <cellStyle name="Normal 207" xfId="39239" xr:uid="{13FD3F7C-9BCE-4A59-BFE8-C0458E3CA35D}"/>
    <cellStyle name="Normal 208" xfId="39240" xr:uid="{4AC006FA-3372-46B4-BAA0-20CF2994CC71}"/>
    <cellStyle name="Normal 209" xfId="39241" xr:uid="{58B46305-5AF7-447D-A42D-7401AB2AF45E}"/>
    <cellStyle name="Normal 21" xfId="29157" xr:uid="{00000000-0005-0000-0000-0000CD710000}"/>
    <cellStyle name="Normal 21 10" xfId="29158" xr:uid="{00000000-0005-0000-0000-0000CE710000}"/>
    <cellStyle name="Normal 21 11" xfId="29159" xr:uid="{00000000-0005-0000-0000-0000CF710000}"/>
    <cellStyle name="Normal 21 12" xfId="29160" xr:uid="{00000000-0005-0000-0000-0000D0710000}"/>
    <cellStyle name="Normal 21 13" xfId="29161" xr:uid="{00000000-0005-0000-0000-0000D1710000}"/>
    <cellStyle name="Normal 21 14" xfId="29162" xr:uid="{00000000-0005-0000-0000-0000D2710000}"/>
    <cellStyle name="Normal 21 15" xfId="29163" xr:uid="{00000000-0005-0000-0000-0000D3710000}"/>
    <cellStyle name="Normal 21 16" xfId="29164" xr:uid="{00000000-0005-0000-0000-0000D4710000}"/>
    <cellStyle name="Normal 21 17" xfId="29165" xr:uid="{00000000-0005-0000-0000-0000D5710000}"/>
    <cellStyle name="Normal 21 18" xfId="29166" xr:uid="{00000000-0005-0000-0000-0000D6710000}"/>
    <cellStyle name="Normal 21 19" xfId="29167" xr:uid="{00000000-0005-0000-0000-0000D7710000}"/>
    <cellStyle name="Normal 21 2" xfId="29168" xr:uid="{00000000-0005-0000-0000-0000D8710000}"/>
    <cellStyle name="Normal 21 2 2" xfId="29169" xr:uid="{00000000-0005-0000-0000-0000D9710000}"/>
    <cellStyle name="Normal 21 2 3" xfId="29170" xr:uid="{00000000-0005-0000-0000-0000DA710000}"/>
    <cellStyle name="Normal 21 20" xfId="29171" xr:uid="{00000000-0005-0000-0000-0000DB710000}"/>
    <cellStyle name="Normal 21 21" xfId="29172" xr:uid="{00000000-0005-0000-0000-0000DC710000}"/>
    <cellStyle name="Normal 21 22" xfId="29173" xr:uid="{00000000-0005-0000-0000-0000DD710000}"/>
    <cellStyle name="Normal 21 23" xfId="29174" xr:uid="{00000000-0005-0000-0000-0000DE710000}"/>
    <cellStyle name="Normal 21 24" xfId="29175" xr:uid="{00000000-0005-0000-0000-0000DF710000}"/>
    <cellStyle name="Normal 21 25" xfId="29176" xr:uid="{00000000-0005-0000-0000-0000E0710000}"/>
    <cellStyle name="Normal 21 26" xfId="29177" xr:uid="{00000000-0005-0000-0000-0000E1710000}"/>
    <cellStyle name="Normal 21 3" xfId="29178" xr:uid="{00000000-0005-0000-0000-0000E2710000}"/>
    <cellStyle name="Normal 21 3 2" xfId="29179" xr:uid="{00000000-0005-0000-0000-0000E3710000}"/>
    <cellStyle name="Normal 21 3 3" xfId="29180" xr:uid="{00000000-0005-0000-0000-0000E4710000}"/>
    <cellStyle name="Normal 21 4" xfId="29181" xr:uid="{00000000-0005-0000-0000-0000E5710000}"/>
    <cellStyle name="Normal 21 5" xfId="29182" xr:uid="{00000000-0005-0000-0000-0000E6710000}"/>
    <cellStyle name="Normal 21 6" xfId="29183" xr:uid="{00000000-0005-0000-0000-0000E7710000}"/>
    <cellStyle name="Normal 21 7" xfId="29184" xr:uid="{00000000-0005-0000-0000-0000E8710000}"/>
    <cellStyle name="Normal 21 8" xfId="29185" xr:uid="{00000000-0005-0000-0000-0000E9710000}"/>
    <cellStyle name="Normal 21 9" xfId="29186" xr:uid="{00000000-0005-0000-0000-0000EA710000}"/>
    <cellStyle name="Normal 210" xfId="39242" xr:uid="{CC02FBAF-68F5-4BA0-854B-392EBE7F8C59}"/>
    <cellStyle name="Normal 211" xfId="39243" xr:uid="{A80269C7-B7E0-4999-9A6F-55934096208B}"/>
    <cellStyle name="Normal 212" xfId="39244" xr:uid="{DF49ED4F-A569-42CC-88B1-60DF3ADAB028}"/>
    <cellStyle name="Normal 213" xfId="39245" xr:uid="{C3E274A0-6D3C-40BF-B5EC-31226CEBF058}"/>
    <cellStyle name="Normal 214" xfId="39246" xr:uid="{B039948A-C1AF-45C5-AEF3-D9C5718DE4E8}"/>
    <cellStyle name="Normal 22" xfId="29187" xr:uid="{00000000-0005-0000-0000-0000EB710000}"/>
    <cellStyle name="Normal 22 10" xfId="29188" xr:uid="{00000000-0005-0000-0000-0000EC710000}"/>
    <cellStyle name="Normal 22 11" xfId="29189" xr:uid="{00000000-0005-0000-0000-0000ED710000}"/>
    <cellStyle name="Normal 22 12" xfId="29190" xr:uid="{00000000-0005-0000-0000-0000EE710000}"/>
    <cellStyle name="Normal 22 13" xfId="29191" xr:uid="{00000000-0005-0000-0000-0000EF710000}"/>
    <cellStyle name="Normal 22 14" xfId="29192" xr:uid="{00000000-0005-0000-0000-0000F0710000}"/>
    <cellStyle name="Normal 22 15" xfId="29193" xr:uid="{00000000-0005-0000-0000-0000F1710000}"/>
    <cellStyle name="Normal 22 16" xfId="29194" xr:uid="{00000000-0005-0000-0000-0000F2710000}"/>
    <cellStyle name="Normal 22 17" xfId="29195" xr:uid="{00000000-0005-0000-0000-0000F3710000}"/>
    <cellStyle name="Normal 22 18" xfId="29196" xr:uid="{00000000-0005-0000-0000-0000F4710000}"/>
    <cellStyle name="Normal 22 19" xfId="29197" xr:uid="{00000000-0005-0000-0000-0000F5710000}"/>
    <cellStyle name="Normal 22 2" xfId="29198" xr:uid="{00000000-0005-0000-0000-0000F6710000}"/>
    <cellStyle name="Normal 22 2 2" xfId="29199" xr:uid="{00000000-0005-0000-0000-0000F7710000}"/>
    <cellStyle name="Normal 22 2 3" xfId="29200" xr:uid="{00000000-0005-0000-0000-0000F8710000}"/>
    <cellStyle name="Normal 22 20" xfId="29201" xr:uid="{00000000-0005-0000-0000-0000F9710000}"/>
    <cellStyle name="Normal 22 21" xfId="29202" xr:uid="{00000000-0005-0000-0000-0000FA710000}"/>
    <cellStyle name="Normal 22 22" xfId="29203" xr:uid="{00000000-0005-0000-0000-0000FB710000}"/>
    <cellStyle name="Normal 22 23" xfId="29204" xr:uid="{00000000-0005-0000-0000-0000FC710000}"/>
    <cellStyle name="Normal 22 24" xfId="29205" xr:uid="{00000000-0005-0000-0000-0000FD710000}"/>
    <cellStyle name="Normal 22 25" xfId="29206" xr:uid="{00000000-0005-0000-0000-0000FE710000}"/>
    <cellStyle name="Normal 22 26" xfId="29207" xr:uid="{00000000-0005-0000-0000-0000FF710000}"/>
    <cellStyle name="Normal 22 3" xfId="29208" xr:uid="{00000000-0005-0000-0000-000000720000}"/>
    <cellStyle name="Normal 22 3 2" xfId="29209" xr:uid="{00000000-0005-0000-0000-000001720000}"/>
    <cellStyle name="Normal 22 3 3" xfId="29210" xr:uid="{00000000-0005-0000-0000-000002720000}"/>
    <cellStyle name="Normal 22 3 4" xfId="29211" xr:uid="{00000000-0005-0000-0000-000003720000}"/>
    <cellStyle name="Normal 22 3 5" xfId="29212" xr:uid="{00000000-0005-0000-0000-000004720000}"/>
    <cellStyle name="Normal 22 4" xfId="29213" xr:uid="{00000000-0005-0000-0000-000005720000}"/>
    <cellStyle name="Normal 22 5" xfId="29214" xr:uid="{00000000-0005-0000-0000-000006720000}"/>
    <cellStyle name="Normal 22 6" xfId="29215" xr:uid="{00000000-0005-0000-0000-000007720000}"/>
    <cellStyle name="Normal 22 7" xfId="29216" xr:uid="{00000000-0005-0000-0000-000008720000}"/>
    <cellStyle name="Normal 22 8" xfId="29217" xr:uid="{00000000-0005-0000-0000-000009720000}"/>
    <cellStyle name="Normal 22 9" xfId="29218" xr:uid="{00000000-0005-0000-0000-00000A720000}"/>
    <cellStyle name="Normal 23" xfId="29219" xr:uid="{00000000-0005-0000-0000-00000B720000}"/>
    <cellStyle name="Normal 23 10" xfId="29220" xr:uid="{00000000-0005-0000-0000-00000C720000}"/>
    <cellStyle name="Normal 23 11" xfId="29221" xr:uid="{00000000-0005-0000-0000-00000D720000}"/>
    <cellStyle name="Normal 23 12" xfId="29222" xr:uid="{00000000-0005-0000-0000-00000E720000}"/>
    <cellStyle name="Normal 23 13" xfId="29223" xr:uid="{00000000-0005-0000-0000-00000F720000}"/>
    <cellStyle name="Normal 23 14" xfId="29224" xr:uid="{00000000-0005-0000-0000-000010720000}"/>
    <cellStyle name="Normal 23 15" xfId="29225" xr:uid="{00000000-0005-0000-0000-000011720000}"/>
    <cellStyle name="Normal 23 16" xfId="29226" xr:uid="{00000000-0005-0000-0000-000012720000}"/>
    <cellStyle name="Normal 23 17" xfId="29227" xr:uid="{00000000-0005-0000-0000-000013720000}"/>
    <cellStyle name="Normal 23 18" xfId="29228" xr:uid="{00000000-0005-0000-0000-000014720000}"/>
    <cellStyle name="Normal 23 19" xfId="29229" xr:uid="{00000000-0005-0000-0000-000015720000}"/>
    <cellStyle name="Normal 23 2" xfId="29230" xr:uid="{00000000-0005-0000-0000-000016720000}"/>
    <cellStyle name="Normal 23 2 2" xfId="29231" xr:uid="{00000000-0005-0000-0000-000017720000}"/>
    <cellStyle name="Normal 23 2 3" xfId="29232" xr:uid="{00000000-0005-0000-0000-000018720000}"/>
    <cellStyle name="Normal 23 20" xfId="29233" xr:uid="{00000000-0005-0000-0000-000019720000}"/>
    <cellStyle name="Normal 23 21" xfId="29234" xr:uid="{00000000-0005-0000-0000-00001A720000}"/>
    <cellStyle name="Normal 23 22" xfId="29235" xr:uid="{00000000-0005-0000-0000-00001B720000}"/>
    <cellStyle name="Normal 23 23" xfId="29236" xr:uid="{00000000-0005-0000-0000-00001C720000}"/>
    <cellStyle name="Normal 23 24" xfId="29237" xr:uid="{00000000-0005-0000-0000-00001D720000}"/>
    <cellStyle name="Normal 23 25" xfId="29238" xr:uid="{00000000-0005-0000-0000-00001E720000}"/>
    <cellStyle name="Normal 23 26" xfId="29239" xr:uid="{00000000-0005-0000-0000-00001F720000}"/>
    <cellStyle name="Normal 23 3" xfId="29240" xr:uid="{00000000-0005-0000-0000-000020720000}"/>
    <cellStyle name="Normal 23 3 2" xfId="29241" xr:uid="{00000000-0005-0000-0000-000021720000}"/>
    <cellStyle name="Normal 23 3 3" xfId="29242" xr:uid="{00000000-0005-0000-0000-000022720000}"/>
    <cellStyle name="Normal 23 3 4" xfId="29243" xr:uid="{00000000-0005-0000-0000-000023720000}"/>
    <cellStyle name="Normal 23 3 5" xfId="29244" xr:uid="{00000000-0005-0000-0000-000024720000}"/>
    <cellStyle name="Normal 23 4" xfId="29245" xr:uid="{00000000-0005-0000-0000-000025720000}"/>
    <cellStyle name="Normal 23 5" xfId="29246" xr:uid="{00000000-0005-0000-0000-000026720000}"/>
    <cellStyle name="Normal 23 6" xfId="29247" xr:uid="{00000000-0005-0000-0000-000027720000}"/>
    <cellStyle name="Normal 23 7" xfId="29248" xr:uid="{00000000-0005-0000-0000-000028720000}"/>
    <cellStyle name="Normal 23 8" xfId="29249" xr:uid="{00000000-0005-0000-0000-000029720000}"/>
    <cellStyle name="Normal 23 9" xfId="29250" xr:uid="{00000000-0005-0000-0000-00002A720000}"/>
    <cellStyle name="Normal 24" xfId="29251" xr:uid="{00000000-0005-0000-0000-00002B720000}"/>
    <cellStyle name="Normal 24 10" xfId="29252" xr:uid="{00000000-0005-0000-0000-00002C720000}"/>
    <cellStyle name="Normal 24 11" xfId="29253" xr:uid="{00000000-0005-0000-0000-00002D720000}"/>
    <cellStyle name="Normal 24 12" xfId="29254" xr:uid="{00000000-0005-0000-0000-00002E720000}"/>
    <cellStyle name="Normal 24 13" xfId="29255" xr:uid="{00000000-0005-0000-0000-00002F720000}"/>
    <cellStyle name="Normal 24 14" xfId="29256" xr:uid="{00000000-0005-0000-0000-000030720000}"/>
    <cellStyle name="Normal 24 15" xfId="29257" xr:uid="{00000000-0005-0000-0000-000031720000}"/>
    <cellStyle name="Normal 24 16" xfId="29258" xr:uid="{00000000-0005-0000-0000-000032720000}"/>
    <cellStyle name="Normal 24 17" xfId="29259" xr:uid="{00000000-0005-0000-0000-000033720000}"/>
    <cellStyle name="Normal 24 18" xfId="29260" xr:uid="{00000000-0005-0000-0000-000034720000}"/>
    <cellStyle name="Normal 24 19" xfId="29261" xr:uid="{00000000-0005-0000-0000-000035720000}"/>
    <cellStyle name="Normal 24 2" xfId="29262" xr:uid="{00000000-0005-0000-0000-000036720000}"/>
    <cellStyle name="Normal 24 20" xfId="29263" xr:uid="{00000000-0005-0000-0000-000037720000}"/>
    <cellStyle name="Normal 24 21" xfId="29264" xr:uid="{00000000-0005-0000-0000-000038720000}"/>
    <cellStyle name="Normal 24 22" xfId="29265" xr:uid="{00000000-0005-0000-0000-000039720000}"/>
    <cellStyle name="Normal 24 23" xfId="29266" xr:uid="{00000000-0005-0000-0000-00003A720000}"/>
    <cellStyle name="Normal 24 24" xfId="29267" xr:uid="{00000000-0005-0000-0000-00003B720000}"/>
    <cellStyle name="Normal 24 25" xfId="29268" xr:uid="{00000000-0005-0000-0000-00003C720000}"/>
    <cellStyle name="Normal 24 26" xfId="29269" xr:uid="{00000000-0005-0000-0000-00003D720000}"/>
    <cellStyle name="Normal 24 27" xfId="29270" xr:uid="{00000000-0005-0000-0000-00003E720000}"/>
    <cellStyle name="Normal 24 3" xfId="29271" xr:uid="{00000000-0005-0000-0000-00003F720000}"/>
    <cellStyle name="Normal 24 4" xfId="29272" xr:uid="{00000000-0005-0000-0000-000040720000}"/>
    <cellStyle name="Normal 24 5" xfId="29273" xr:uid="{00000000-0005-0000-0000-000041720000}"/>
    <cellStyle name="Normal 24 6" xfId="29274" xr:uid="{00000000-0005-0000-0000-000042720000}"/>
    <cellStyle name="Normal 24 7" xfId="29275" xr:uid="{00000000-0005-0000-0000-000043720000}"/>
    <cellStyle name="Normal 24 8" xfId="29276" xr:uid="{00000000-0005-0000-0000-000044720000}"/>
    <cellStyle name="Normal 24 9" xfId="29277" xr:uid="{00000000-0005-0000-0000-000045720000}"/>
    <cellStyle name="Normal 25" xfId="29278" xr:uid="{00000000-0005-0000-0000-000046720000}"/>
    <cellStyle name="Normal 25 10" xfId="29279" xr:uid="{00000000-0005-0000-0000-000047720000}"/>
    <cellStyle name="Normal 25 11" xfId="29280" xr:uid="{00000000-0005-0000-0000-000048720000}"/>
    <cellStyle name="Normal 25 12" xfId="29281" xr:uid="{00000000-0005-0000-0000-000049720000}"/>
    <cellStyle name="Normal 25 13" xfId="29282" xr:uid="{00000000-0005-0000-0000-00004A720000}"/>
    <cellStyle name="Normal 25 14" xfId="29283" xr:uid="{00000000-0005-0000-0000-00004B720000}"/>
    <cellStyle name="Normal 25 15" xfId="29284" xr:uid="{00000000-0005-0000-0000-00004C720000}"/>
    <cellStyle name="Normal 25 16" xfId="29285" xr:uid="{00000000-0005-0000-0000-00004D720000}"/>
    <cellStyle name="Normal 25 17" xfId="29286" xr:uid="{00000000-0005-0000-0000-00004E720000}"/>
    <cellStyle name="Normal 25 18" xfId="29287" xr:uid="{00000000-0005-0000-0000-00004F720000}"/>
    <cellStyle name="Normal 25 19" xfId="29288" xr:uid="{00000000-0005-0000-0000-000050720000}"/>
    <cellStyle name="Normal 25 2" xfId="29289" xr:uid="{00000000-0005-0000-0000-000051720000}"/>
    <cellStyle name="Normal 25 20" xfId="29290" xr:uid="{00000000-0005-0000-0000-000052720000}"/>
    <cellStyle name="Normal 25 21" xfId="29291" xr:uid="{00000000-0005-0000-0000-000053720000}"/>
    <cellStyle name="Normal 25 22" xfId="29292" xr:uid="{00000000-0005-0000-0000-000054720000}"/>
    <cellStyle name="Normal 25 23" xfId="29293" xr:uid="{00000000-0005-0000-0000-000055720000}"/>
    <cellStyle name="Normal 25 24" xfId="29294" xr:uid="{00000000-0005-0000-0000-000056720000}"/>
    <cellStyle name="Normal 25 25" xfId="29295" xr:uid="{00000000-0005-0000-0000-000057720000}"/>
    <cellStyle name="Normal 25 3" xfId="29296" xr:uid="{00000000-0005-0000-0000-000058720000}"/>
    <cellStyle name="Normal 25 4" xfId="29297" xr:uid="{00000000-0005-0000-0000-000059720000}"/>
    <cellStyle name="Normal 25 5" xfId="29298" xr:uid="{00000000-0005-0000-0000-00005A720000}"/>
    <cellStyle name="Normal 25 6" xfId="29299" xr:uid="{00000000-0005-0000-0000-00005B720000}"/>
    <cellStyle name="Normal 25 7" xfId="29300" xr:uid="{00000000-0005-0000-0000-00005C720000}"/>
    <cellStyle name="Normal 25 8" xfId="29301" xr:uid="{00000000-0005-0000-0000-00005D720000}"/>
    <cellStyle name="Normal 25 9" xfId="29302" xr:uid="{00000000-0005-0000-0000-00005E720000}"/>
    <cellStyle name="Normal 26" xfId="29303" xr:uid="{00000000-0005-0000-0000-00005F720000}"/>
    <cellStyle name="Normal 26 10" xfId="29304" xr:uid="{00000000-0005-0000-0000-000060720000}"/>
    <cellStyle name="Normal 26 11" xfId="29305" xr:uid="{00000000-0005-0000-0000-000061720000}"/>
    <cellStyle name="Normal 26 12" xfId="29306" xr:uid="{00000000-0005-0000-0000-000062720000}"/>
    <cellStyle name="Normal 26 13" xfId="29307" xr:uid="{00000000-0005-0000-0000-000063720000}"/>
    <cellStyle name="Normal 26 14" xfId="29308" xr:uid="{00000000-0005-0000-0000-000064720000}"/>
    <cellStyle name="Normal 26 15" xfId="29309" xr:uid="{00000000-0005-0000-0000-000065720000}"/>
    <cellStyle name="Normal 26 16" xfId="29310" xr:uid="{00000000-0005-0000-0000-000066720000}"/>
    <cellStyle name="Normal 26 17" xfId="29311" xr:uid="{00000000-0005-0000-0000-000067720000}"/>
    <cellStyle name="Normal 26 18" xfId="29312" xr:uid="{00000000-0005-0000-0000-000068720000}"/>
    <cellStyle name="Normal 26 19" xfId="29313" xr:uid="{00000000-0005-0000-0000-000069720000}"/>
    <cellStyle name="Normal 26 2" xfId="29314" xr:uid="{00000000-0005-0000-0000-00006A720000}"/>
    <cellStyle name="Normal 26 20" xfId="29315" xr:uid="{00000000-0005-0000-0000-00006B720000}"/>
    <cellStyle name="Normal 26 21" xfId="29316" xr:uid="{00000000-0005-0000-0000-00006C720000}"/>
    <cellStyle name="Normal 26 22" xfId="29317" xr:uid="{00000000-0005-0000-0000-00006D720000}"/>
    <cellStyle name="Normal 26 23" xfId="29318" xr:uid="{00000000-0005-0000-0000-00006E720000}"/>
    <cellStyle name="Normal 26 24" xfId="29319" xr:uid="{00000000-0005-0000-0000-00006F720000}"/>
    <cellStyle name="Normal 26 25" xfId="29320" xr:uid="{00000000-0005-0000-0000-000070720000}"/>
    <cellStyle name="Normal 26 3" xfId="29321" xr:uid="{00000000-0005-0000-0000-000071720000}"/>
    <cellStyle name="Normal 26 4" xfId="29322" xr:uid="{00000000-0005-0000-0000-000072720000}"/>
    <cellStyle name="Normal 26 5" xfId="29323" xr:uid="{00000000-0005-0000-0000-000073720000}"/>
    <cellStyle name="Normal 26 6" xfId="29324" xr:uid="{00000000-0005-0000-0000-000074720000}"/>
    <cellStyle name="Normal 26 7" xfId="29325" xr:uid="{00000000-0005-0000-0000-000075720000}"/>
    <cellStyle name="Normal 26 8" xfId="29326" xr:uid="{00000000-0005-0000-0000-000076720000}"/>
    <cellStyle name="Normal 26 9" xfId="29327" xr:uid="{00000000-0005-0000-0000-000077720000}"/>
    <cellStyle name="Normal 27" xfId="29328" xr:uid="{00000000-0005-0000-0000-000078720000}"/>
    <cellStyle name="Normal 27 2" xfId="29329" xr:uid="{00000000-0005-0000-0000-000079720000}"/>
    <cellStyle name="Normal 28" xfId="29330" xr:uid="{00000000-0005-0000-0000-00007A720000}"/>
    <cellStyle name="Normal 28 10" xfId="29331" xr:uid="{00000000-0005-0000-0000-00007B720000}"/>
    <cellStyle name="Normal 28 11" xfId="29332" xr:uid="{00000000-0005-0000-0000-00007C720000}"/>
    <cellStyle name="Normal 28 12" xfId="29333" xr:uid="{00000000-0005-0000-0000-00007D720000}"/>
    <cellStyle name="Normal 28 13" xfId="29334" xr:uid="{00000000-0005-0000-0000-00007E720000}"/>
    <cellStyle name="Normal 28 14" xfId="29335" xr:uid="{00000000-0005-0000-0000-00007F720000}"/>
    <cellStyle name="Normal 28 15" xfId="29336" xr:uid="{00000000-0005-0000-0000-000080720000}"/>
    <cellStyle name="Normal 28 16" xfId="29337" xr:uid="{00000000-0005-0000-0000-000081720000}"/>
    <cellStyle name="Normal 28 17" xfId="29338" xr:uid="{00000000-0005-0000-0000-000082720000}"/>
    <cellStyle name="Normal 28 18" xfId="29339" xr:uid="{00000000-0005-0000-0000-000083720000}"/>
    <cellStyle name="Normal 28 19" xfId="29340" xr:uid="{00000000-0005-0000-0000-000084720000}"/>
    <cellStyle name="Normal 28 2" xfId="29341" xr:uid="{00000000-0005-0000-0000-000085720000}"/>
    <cellStyle name="Normal 28 2 2" xfId="29342" xr:uid="{00000000-0005-0000-0000-000086720000}"/>
    <cellStyle name="Normal 28 2 3" xfId="29343" xr:uid="{00000000-0005-0000-0000-000087720000}"/>
    <cellStyle name="Normal 28 20" xfId="29344" xr:uid="{00000000-0005-0000-0000-000088720000}"/>
    <cellStyle name="Normal 28 21" xfId="29345" xr:uid="{00000000-0005-0000-0000-000089720000}"/>
    <cellStyle name="Normal 28 22" xfId="29346" xr:uid="{00000000-0005-0000-0000-00008A720000}"/>
    <cellStyle name="Normal 28 23" xfId="29347" xr:uid="{00000000-0005-0000-0000-00008B720000}"/>
    <cellStyle name="Normal 28 24" xfId="29348" xr:uid="{00000000-0005-0000-0000-00008C720000}"/>
    <cellStyle name="Normal 28 25" xfId="29349" xr:uid="{00000000-0005-0000-0000-00008D720000}"/>
    <cellStyle name="Normal 28 26" xfId="29350" xr:uid="{00000000-0005-0000-0000-00008E720000}"/>
    <cellStyle name="Normal 28 3" xfId="29351" xr:uid="{00000000-0005-0000-0000-00008F720000}"/>
    <cellStyle name="Normal 28 3 2" xfId="29352" xr:uid="{00000000-0005-0000-0000-000090720000}"/>
    <cellStyle name="Normal 28 3 3" xfId="29353" xr:uid="{00000000-0005-0000-0000-000091720000}"/>
    <cellStyle name="Normal 28 4" xfId="29354" xr:uid="{00000000-0005-0000-0000-000092720000}"/>
    <cellStyle name="Normal 28 5" xfId="29355" xr:uid="{00000000-0005-0000-0000-000093720000}"/>
    <cellStyle name="Normal 28 6" xfId="29356" xr:uid="{00000000-0005-0000-0000-000094720000}"/>
    <cellStyle name="Normal 28 7" xfId="29357" xr:uid="{00000000-0005-0000-0000-000095720000}"/>
    <cellStyle name="Normal 28 8" xfId="29358" xr:uid="{00000000-0005-0000-0000-000096720000}"/>
    <cellStyle name="Normal 28 9" xfId="29359" xr:uid="{00000000-0005-0000-0000-000097720000}"/>
    <cellStyle name="Normal 29" xfId="29360" xr:uid="{00000000-0005-0000-0000-000098720000}"/>
    <cellStyle name="Normal 29 10" xfId="29361" xr:uid="{00000000-0005-0000-0000-000099720000}"/>
    <cellStyle name="Normal 29 11" xfId="29362" xr:uid="{00000000-0005-0000-0000-00009A720000}"/>
    <cellStyle name="Normal 29 12" xfId="29363" xr:uid="{00000000-0005-0000-0000-00009B720000}"/>
    <cellStyle name="Normal 29 13" xfId="29364" xr:uid="{00000000-0005-0000-0000-00009C720000}"/>
    <cellStyle name="Normal 29 14" xfId="29365" xr:uid="{00000000-0005-0000-0000-00009D720000}"/>
    <cellStyle name="Normal 29 15" xfId="29366" xr:uid="{00000000-0005-0000-0000-00009E720000}"/>
    <cellStyle name="Normal 29 16" xfId="29367" xr:uid="{00000000-0005-0000-0000-00009F720000}"/>
    <cellStyle name="Normal 29 17" xfId="29368" xr:uid="{00000000-0005-0000-0000-0000A0720000}"/>
    <cellStyle name="Normal 29 18" xfId="29369" xr:uid="{00000000-0005-0000-0000-0000A1720000}"/>
    <cellStyle name="Normal 29 19" xfId="29370" xr:uid="{00000000-0005-0000-0000-0000A2720000}"/>
    <cellStyle name="Normal 29 2" xfId="29371" xr:uid="{00000000-0005-0000-0000-0000A3720000}"/>
    <cellStyle name="Normal 29 2 2" xfId="29372" xr:uid="{00000000-0005-0000-0000-0000A4720000}"/>
    <cellStyle name="Normal 29 2 3" xfId="29373" xr:uid="{00000000-0005-0000-0000-0000A5720000}"/>
    <cellStyle name="Normal 29 20" xfId="29374" xr:uid="{00000000-0005-0000-0000-0000A6720000}"/>
    <cellStyle name="Normal 29 21" xfId="29375" xr:uid="{00000000-0005-0000-0000-0000A7720000}"/>
    <cellStyle name="Normal 29 22" xfId="29376" xr:uid="{00000000-0005-0000-0000-0000A8720000}"/>
    <cellStyle name="Normal 29 23" xfId="29377" xr:uid="{00000000-0005-0000-0000-0000A9720000}"/>
    <cellStyle name="Normal 29 24" xfId="29378" xr:uid="{00000000-0005-0000-0000-0000AA720000}"/>
    <cellStyle name="Normal 29 25" xfId="29379" xr:uid="{00000000-0005-0000-0000-0000AB720000}"/>
    <cellStyle name="Normal 29 26" xfId="29380" xr:uid="{00000000-0005-0000-0000-0000AC720000}"/>
    <cellStyle name="Normal 29 3" xfId="29381" xr:uid="{00000000-0005-0000-0000-0000AD720000}"/>
    <cellStyle name="Normal 29 3 2" xfId="29382" xr:uid="{00000000-0005-0000-0000-0000AE720000}"/>
    <cellStyle name="Normal 29 3 3" xfId="29383" xr:uid="{00000000-0005-0000-0000-0000AF720000}"/>
    <cellStyle name="Normal 29 4" xfId="29384" xr:uid="{00000000-0005-0000-0000-0000B0720000}"/>
    <cellStyle name="Normal 29 5" xfId="29385" xr:uid="{00000000-0005-0000-0000-0000B1720000}"/>
    <cellStyle name="Normal 29 6" xfId="29386" xr:uid="{00000000-0005-0000-0000-0000B2720000}"/>
    <cellStyle name="Normal 29 7" xfId="29387" xr:uid="{00000000-0005-0000-0000-0000B3720000}"/>
    <cellStyle name="Normal 29 8" xfId="29388" xr:uid="{00000000-0005-0000-0000-0000B4720000}"/>
    <cellStyle name="Normal 29 9" xfId="29389" xr:uid="{00000000-0005-0000-0000-0000B5720000}"/>
    <cellStyle name="Normal 3" xfId="13" xr:uid="{00000000-0005-0000-0000-0000B6720000}"/>
    <cellStyle name="Normal 3 10" xfId="29391" xr:uid="{00000000-0005-0000-0000-0000B7720000}"/>
    <cellStyle name="Normal 3 10 2" xfId="29392" xr:uid="{00000000-0005-0000-0000-0000B8720000}"/>
    <cellStyle name="Normal 3 10 3" xfId="29393" xr:uid="{00000000-0005-0000-0000-0000B9720000}"/>
    <cellStyle name="Normal 3 10 4" xfId="29394" xr:uid="{00000000-0005-0000-0000-0000BA720000}"/>
    <cellStyle name="Normal 3 10 5" xfId="29395" xr:uid="{00000000-0005-0000-0000-0000BB720000}"/>
    <cellStyle name="Normal 3 10 6" xfId="29396" xr:uid="{00000000-0005-0000-0000-0000BC720000}"/>
    <cellStyle name="Normal 3 10_Enlaces" xfId="29397" xr:uid="{00000000-0005-0000-0000-0000BD720000}"/>
    <cellStyle name="Normal 3 100" xfId="29398" xr:uid="{00000000-0005-0000-0000-0000BE720000}"/>
    <cellStyle name="Normal 3 100 2" xfId="29399" xr:uid="{00000000-0005-0000-0000-0000BF720000}"/>
    <cellStyle name="Normal 3 100 3" xfId="29400" xr:uid="{00000000-0005-0000-0000-0000C0720000}"/>
    <cellStyle name="Normal 3 101" xfId="29401" xr:uid="{00000000-0005-0000-0000-0000C1720000}"/>
    <cellStyle name="Normal 3 101 2" xfId="29402" xr:uid="{00000000-0005-0000-0000-0000C2720000}"/>
    <cellStyle name="Normal 3 101 3" xfId="29403" xr:uid="{00000000-0005-0000-0000-0000C3720000}"/>
    <cellStyle name="Normal 3 102" xfId="29404" xr:uid="{00000000-0005-0000-0000-0000C4720000}"/>
    <cellStyle name="Normal 3 102 2" xfId="29405" xr:uid="{00000000-0005-0000-0000-0000C5720000}"/>
    <cellStyle name="Normal 3 102 3" xfId="29406" xr:uid="{00000000-0005-0000-0000-0000C6720000}"/>
    <cellStyle name="Normal 3 103" xfId="29407" xr:uid="{00000000-0005-0000-0000-0000C7720000}"/>
    <cellStyle name="Normal 3 103 2" xfId="29408" xr:uid="{00000000-0005-0000-0000-0000C8720000}"/>
    <cellStyle name="Normal 3 103 3" xfId="29409" xr:uid="{00000000-0005-0000-0000-0000C9720000}"/>
    <cellStyle name="Normal 3 104" xfId="29410" xr:uid="{00000000-0005-0000-0000-0000CA720000}"/>
    <cellStyle name="Normal 3 104 2" xfId="29411" xr:uid="{00000000-0005-0000-0000-0000CB720000}"/>
    <cellStyle name="Normal 3 104 3" xfId="29412" xr:uid="{00000000-0005-0000-0000-0000CC720000}"/>
    <cellStyle name="Normal 3 105" xfId="29413" xr:uid="{00000000-0005-0000-0000-0000CD720000}"/>
    <cellStyle name="Normal 3 105 2" xfId="29414" xr:uid="{00000000-0005-0000-0000-0000CE720000}"/>
    <cellStyle name="Normal 3 105 3" xfId="29415" xr:uid="{00000000-0005-0000-0000-0000CF720000}"/>
    <cellStyle name="Normal 3 106" xfId="29416" xr:uid="{00000000-0005-0000-0000-0000D0720000}"/>
    <cellStyle name="Normal 3 106 2" xfId="29417" xr:uid="{00000000-0005-0000-0000-0000D1720000}"/>
    <cellStyle name="Normal 3 106 3" xfId="29418" xr:uid="{00000000-0005-0000-0000-0000D2720000}"/>
    <cellStyle name="Normal 3 107" xfId="29419" xr:uid="{00000000-0005-0000-0000-0000D3720000}"/>
    <cellStyle name="Normal 3 107 2" xfId="29420" xr:uid="{00000000-0005-0000-0000-0000D4720000}"/>
    <cellStyle name="Normal 3 107 3" xfId="29421" xr:uid="{00000000-0005-0000-0000-0000D5720000}"/>
    <cellStyle name="Normal 3 108" xfId="29422" xr:uid="{00000000-0005-0000-0000-0000D6720000}"/>
    <cellStyle name="Normal 3 108 2" xfId="29423" xr:uid="{00000000-0005-0000-0000-0000D7720000}"/>
    <cellStyle name="Normal 3 108 3" xfId="29424" xr:uid="{00000000-0005-0000-0000-0000D8720000}"/>
    <cellStyle name="Normal 3 109" xfId="29425" xr:uid="{00000000-0005-0000-0000-0000D9720000}"/>
    <cellStyle name="Normal 3 109 2" xfId="29426" xr:uid="{00000000-0005-0000-0000-0000DA720000}"/>
    <cellStyle name="Normal 3 109 3" xfId="29427" xr:uid="{00000000-0005-0000-0000-0000DB720000}"/>
    <cellStyle name="Normal 3 11" xfId="29428" xr:uid="{00000000-0005-0000-0000-0000DC720000}"/>
    <cellStyle name="Normal 3 11 2" xfId="29429" xr:uid="{00000000-0005-0000-0000-0000DD720000}"/>
    <cellStyle name="Normal 3 11 3" xfId="29430" xr:uid="{00000000-0005-0000-0000-0000DE720000}"/>
    <cellStyle name="Normal 3 11 4" xfId="29431" xr:uid="{00000000-0005-0000-0000-0000DF720000}"/>
    <cellStyle name="Normal 3 11_Enlaces" xfId="29432" xr:uid="{00000000-0005-0000-0000-0000E0720000}"/>
    <cellStyle name="Normal 3 110" xfId="29433" xr:uid="{00000000-0005-0000-0000-0000E1720000}"/>
    <cellStyle name="Normal 3 110 2" xfId="29434" xr:uid="{00000000-0005-0000-0000-0000E2720000}"/>
    <cellStyle name="Normal 3 110 3" xfId="29435" xr:uid="{00000000-0005-0000-0000-0000E3720000}"/>
    <cellStyle name="Normal 3 111" xfId="29436" xr:uid="{00000000-0005-0000-0000-0000E4720000}"/>
    <cellStyle name="Normal 3 111 2" xfId="29437" xr:uid="{00000000-0005-0000-0000-0000E5720000}"/>
    <cellStyle name="Normal 3 111 3" xfId="29438" xr:uid="{00000000-0005-0000-0000-0000E6720000}"/>
    <cellStyle name="Normal 3 112" xfId="29439" xr:uid="{00000000-0005-0000-0000-0000E7720000}"/>
    <cellStyle name="Normal 3 112 2" xfId="29440" xr:uid="{00000000-0005-0000-0000-0000E8720000}"/>
    <cellStyle name="Normal 3 112 3" xfId="29441" xr:uid="{00000000-0005-0000-0000-0000E9720000}"/>
    <cellStyle name="Normal 3 113" xfId="29442" xr:uid="{00000000-0005-0000-0000-0000EA720000}"/>
    <cellStyle name="Normal 3 113 2" xfId="29443" xr:uid="{00000000-0005-0000-0000-0000EB720000}"/>
    <cellStyle name="Normal 3 113 3" xfId="29444" xr:uid="{00000000-0005-0000-0000-0000EC720000}"/>
    <cellStyle name="Normal 3 114" xfId="29445" xr:uid="{00000000-0005-0000-0000-0000ED720000}"/>
    <cellStyle name="Normal 3 114 2" xfId="29446" xr:uid="{00000000-0005-0000-0000-0000EE720000}"/>
    <cellStyle name="Normal 3 114 3" xfId="29447" xr:uid="{00000000-0005-0000-0000-0000EF720000}"/>
    <cellStyle name="Normal 3 115" xfId="29448" xr:uid="{00000000-0005-0000-0000-0000F0720000}"/>
    <cellStyle name="Normal 3 115 2" xfId="29449" xr:uid="{00000000-0005-0000-0000-0000F1720000}"/>
    <cellStyle name="Normal 3 115 3" xfId="29450" xr:uid="{00000000-0005-0000-0000-0000F2720000}"/>
    <cellStyle name="Normal 3 116" xfId="29451" xr:uid="{00000000-0005-0000-0000-0000F3720000}"/>
    <cellStyle name="Normal 3 116 2" xfId="29452" xr:uid="{00000000-0005-0000-0000-0000F4720000}"/>
    <cellStyle name="Normal 3 116 3" xfId="29453" xr:uid="{00000000-0005-0000-0000-0000F5720000}"/>
    <cellStyle name="Normal 3 117" xfId="29454" xr:uid="{00000000-0005-0000-0000-0000F6720000}"/>
    <cellStyle name="Normal 3 117 2" xfId="29455" xr:uid="{00000000-0005-0000-0000-0000F7720000}"/>
    <cellStyle name="Normal 3 117 3" xfId="29456" xr:uid="{00000000-0005-0000-0000-0000F8720000}"/>
    <cellStyle name="Normal 3 118" xfId="29457" xr:uid="{00000000-0005-0000-0000-0000F9720000}"/>
    <cellStyle name="Normal 3 118 2" xfId="29458" xr:uid="{00000000-0005-0000-0000-0000FA720000}"/>
    <cellStyle name="Normal 3 118 3" xfId="29459" xr:uid="{00000000-0005-0000-0000-0000FB720000}"/>
    <cellStyle name="Normal 3 119" xfId="29460" xr:uid="{00000000-0005-0000-0000-0000FC720000}"/>
    <cellStyle name="Normal 3 119 2" xfId="29461" xr:uid="{00000000-0005-0000-0000-0000FD720000}"/>
    <cellStyle name="Normal 3 119 3" xfId="29462" xr:uid="{00000000-0005-0000-0000-0000FE720000}"/>
    <cellStyle name="Normal 3 12" xfId="29463" xr:uid="{00000000-0005-0000-0000-0000FF720000}"/>
    <cellStyle name="Normal 3 12 2" xfId="29464" xr:uid="{00000000-0005-0000-0000-000000730000}"/>
    <cellStyle name="Normal 3 12 3" xfId="29465" xr:uid="{00000000-0005-0000-0000-000001730000}"/>
    <cellStyle name="Normal 3 12_Enlaces" xfId="29466" xr:uid="{00000000-0005-0000-0000-000002730000}"/>
    <cellStyle name="Normal 3 120" xfId="29467" xr:uid="{00000000-0005-0000-0000-000003730000}"/>
    <cellStyle name="Normal 3 120 2" xfId="29468" xr:uid="{00000000-0005-0000-0000-000004730000}"/>
    <cellStyle name="Normal 3 120 3" xfId="29469" xr:uid="{00000000-0005-0000-0000-000005730000}"/>
    <cellStyle name="Normal 3 121" xfId="29470" xr:uid="{00000000-0005-0000-0000-000006730000}"/>
    <cellStyle name="Normal 3 121 2" xfId="29471" xr:uid="{00000000-0005-0000-0000-000007730000}"/>
    <cellStyle name="Normal 3 121 3" xfId="29472" xr:uid="{00000000-0005-0000-0000-000008730000}"/>
    <cellStyle name="Normal 3 122" xfId="29473" xr:uid="{00000000-0005-0000-0000-000009730000}"/>
    <cellStyle name="Normal 3 122 2" xfId="29474" xr:uid="{00000000-0005-0000-0000-00000A730000}"/>
    <cellStyle name="Normal 3 122 3" xfId="29475" xr:uid="{00000000-0005-0000-0000-00000B730000}"/>
    <cellStyle name="Normal 3 123" xfId="29476" xr:uid="{00000000-0005-0000-0000-00000C730000}"/>
    <cellStyle name="Normal 3 123 2" xfId="29477" xr:uid="{00000000-0005-0000-0000-00000D730000}"/>
    <cellStyle name="Normal 3 123 3" xfId="29478" xr:uid="{00000000-0005-0000-0000-00000E730000}"/>
    <cellStyle name="Normal 3 124" xfId="29479" xr:uid="{00000000-0005-0000-0000-00000F730000}"/>
    <cellStyle name="Normal 3 125" xfId="29480" xr:uid="{00000000-0005-0000-0000-000010730000}"/>
    <cellStyle name="Normal 3 126" xfId="29481" xr:uid="{00000000-0005-0000-0000-000011730000}"/>
    <cellStyle name="Normal 3 127" xfId="29482" xr:uid="{00000000-0005-0000-0000-000012730000}"/>
    <cellStyle name="Normal 3 128" xfId="29483" xr:uid="{00000000-0005-0000-0000-000013730000}"/>
    <cellStyle name="Normal 3 129" xfId="29484" xr:uid="{00000000-0005-0000-0000-000014730000}"/>
    <cellStyle name="Normal 3 13" xfId="29485" xr:uid="{00000000-0005-0000-0000-000015730000}"/>
    <cellStyle name="Normal 3 13 2" xfId="29486" xr:uid="{00000000-0005-0000-0000-000016730000}"/>
    <cellStyle name="Normal 3 13 3" xfId="29487" xr:uid="{00000000-0005-0000-0000-000017730000}"/>
    <cellStyle name="Normal 3 13_Enlaces" xfId="29488" xr:uid="{00000000-0005-0000-0000-000018730000}"/>
    <cellStyle name="Normal 3 130" xfId="29489" xr:uid="{00000000-0005-0000-0000-000019730000}"/>
    <cellStyle name="Normal 3 131" xfId="29490" xr:uid="{00000000-0005-0000-0000-00001A730000}"/>
    <cellStyle name="Normal 3 131 2" xfId="29491" xr:uid="{00000000-0005-0000-0000-00001B730000}"/>
    <cellStyle name="Normal 3 132" xfId="29492" xr:uid="{00000000-0005-0000-0000-00001C730000}"/>
    <cellStyle name="Normal 3 132 2" xfId="29493" xr:uid="{00000000-0005-0000-0000-00001D730000}"/>
    <cellStyle name="Normal 3 133" xfId="29494" xr:uid="{00000000-0005-0000-0000-00001E730000}"/>
    <cellStyle name="Normal 3 133 2" xfId="29495" xr:uid="{00000000-0005-0000-0000-00001F730000}"/>
    <cellStyle name="Normal 3 134" xfId="29496" xr:uid="{00000000-0005-0000-0000-000020730000}"/>
    <cellStyle name="Normal 3 134 2" xfId="29497" xr:uid="{00000000-0005-0000-0000-000021730000}"/>
    <cellStyle name="Normal 3 135" xfId="29498" xr:uid="{00000000-0005-0000-0000-000022730000}"/>
    <cellStyle name="Normal 3 135 2" xfId="29499" xr:uid="{00000000-0005-0000-0000-000023730000}"/>
    <cellStyle name="Normal 3 136" xfId="29500" xr:uid="{00000000-0005-0000-0000-000024730000}"/>
    <cellStyle name="Normal 3 136 2" xfId="29501" xr:uid="{00000000-0005-0000-0000-000025730000}"/>
    <cellStyle name="Normal 3 137" xfId="29502" xr:uid="{00000000-0005-0000-0000-000026730000}"/>
    <cellStyle name="Normal 3 137 2" xfId="29503" xr:uid="{00000000-0005-0000-0000-000027730000}"/>
    <cellStyle name="Normal 3 138" xfId="29504" xr:uid="{00000000-0005-0000-0000-000028730000}"/>
    <cellStyle name="Normal 3 138 2" xfId="29505" xr:uid="{00000000-0005-0000-0000-000029730000}"/>
    <cellStyle name="Normal 3 139" xfId="29506" xr:uid="{00000000-0005-0000-0000-00002A730000}"/>
    <cellStyle name="Normal 3 139 2" xfId="29507" xr:uid="{00000000-0005-0000-0000-00002B730000}"/>
    <cellStyle name="Normal 3 14" xfId="29508" xr:uid="{00000000-0005-0000-0000-00002C730000}"/>
    <cellStyle name="Normal 3 14 2" xfId="29509" xr:uid="{00000000-0005-0000-0000-00002D730000}"/>
    <cellStyle name="Normal 3 14 3" xfId="29510" xr:uid="{00000000-0005-0000-0000-00002E730000}"/>
    <cellStyle name="Normal 3 14_Enlaces" xfId="29511" xr:uid="{00000000-0005-0000-0000-00002F730000}"/>
    <cellStyle name="Normal 3 140" xfId="29512" xr:uid="{00000000-0005-0000-0000-000030730000}"/>
    <cellStyle name="Normal 3 140 2" xfId="29513" xr:uid="{00000000-0005-0000-0000-000031730000}"/>
    <cellStyle name="Normal 3 141" xfId="29514" xr:uid="{00000000-0005-0000-0000-000032730000}"/>
    <cellStyle name="Normal 3 141 2" xfId="29515" xr:uid="{00000000-0005-0000-0000-000033730000}"/>
    <cellStyle name="Normal 3 142" xfId="29516" xr:uid="{00000000-0005-0000-0000-000034730000}"/>
    <cellStyle name="Normal 3 143" xfId="29517" xr:uid="{00000000-0005-0000-0000-000035730000}"/>
    <cellStyle name="Normal 3 143 2" xfId="29518" xr:uid="{00000000-0005-0000-0000-000036730000}"/>
    <cellStyle name="Normal 3 144" xfId="29519" xr:uid="{00000000-0005-0000-0000-000037730000}"/>
    <cellStyle name="Normal 3 145" xfId="29520" xr:uid="{00000000-0005-0000-0000-000038730000}"/>
    <cellStyle name="Normal 3 146" xfId="29390" xr:uid="{00000000-0005-0000-0000-000039730000}"/>
    <cellStyle name="Normal 3 15" xfId="29521" xr:uid="{00000000-0005-0000-0000-00003A730000}"/>
    <cellStyle name="Normal 3 15 2" xfId="29522" xr:uid="{00000000-0005-0000-0000-00003B730000}"/>
    <cellStyle name="Normal 3 15 3" xfId="29523" xr:uid="{00000000-0005-0000-0000-00003C730000}"/>
    <cellStyle name="Normal 3 15_Enlaces" xfId="29524" xr:uid="{00000000-0005-0000-0000-00003D730000}"/>
    <cellStyle name="Normal 3 16" xfId="29525" xr:uid="{00000000-0005-0000-0000-00003E730000}"/>
    <cellStyle name="Normal 3 16 2" xfId="29526" xr:uid="{00000000-0005-0000-0000-00003F730000}"/>
    <cellStyle name="Normal 3 16 3" xfId="29527" xr:uid="{00000000-0005-0000-0000-000040730000}"/>
    <cellStyle name="Normal 3 16_Enlaces" xfId="29528" xr:uid="{00000000-0005-0000-0000-000041730000}"/>
    <cellStyle name="Normal 3 17" xfId="29529" xr:uid="{00000000-0005-0000-0000-000042730000}"/>
    <cellStyle name="Normal 3 17 2" xfId="29530" xr:uid="{00000000-0005-0000-0000-000043730000}"/>
    <cellStyle name="Normal 3 17 3" xfId="29531" xr:uid="{00000000-0005-0000-0000-000044730000}"/>
    <cellStyle name="Normal 3 17_Enlaces" xfId="29532" xr:uid="{00000000-0005-0000-0000-000045730000}"/>
    <cellStyle name="Normal 3 18" xfId="29533" xr:uid="{00000000-0005-0000-0000-000046730000}"/>
    <cellStyle name="Normal 3 18 2" xfId="29534" xr:uid="{00000000-0005-0000-0000-000047730000}"/>
    <cellStyle name="Normal 3 18 3" xfId="29535" xr:uid="{00000000-0005-0000-0000-000048730000}"/>
    <cellStyle name="Normal 3 18_Enlaces" xfId="29536" xr:uid="{00000000-0005-0000-0000-000049730000}"/>
    <cellStyle name="Normal 3 19" xfId="29537" xr:uid="{00000000-0005-0000-0000-00004A730000}"/>
    <cellStyle name="Normal 3 19 2" xfId="29538" xr:uid="{00000000-0005-0000-0000-00004B730000}"/>
    <cellStyle name="Normal 3 19 3" xfId="29539" xr:uid="{00000000-0005-0000-0000-00004C730000}"/>
    <cellStyle name="Normal 3 19_Enlaces" xfId="29540" xr:uid="{00000000-0005-0000-0000-00004D730000}"/>
    <cellStyle name="Normal 3 2" xfId="58" xr:uid="{00000000-0005-0000-0000-00004E730000}"/>
    <cellStyle name="Normal 3 2 10" xfId="29542" xr:uid="{00000000-0005-0000-0000-00004F730000}"/>
    <cellStyle name="Normal 3 2 10 2" xfId="29543" xr:uid="{00000000-0005-0000-0000-000050730000}"/>
    <cellStyle name="Normal 3 2 10 3" xfId="29544" xr:uid="{00000000-0005-0000-0000-000051730000}"/>
    <cellStyle name="Normal 3 2 11" xfId="29545" xr:uid="{00000000-0005-0000-0000-000052730000}"/>
    <cellStyle name="Normal 3 2 11 2" xfId="29546" xr:uid="{00000000-0005-0000-0000-000053730000}"/>
    <cellStyle name="Normal 3 2 12" xfId="29547" xr:uid="{00000000-0005-0000-0000-000054730000}"/>
    <cellStyle name="Normal 3 2 12 2" xfId="29548" xr:uid="{00000000-0005-0000-0000-000055730000}"/>
    <cellStyle name="Normal 3 2 13" xfId="29549" xr:uid="{00000000-0005-0000-0000-000056730000}"/>
    <cellStyle name="Normal 3 2 13 2" xfId="29550" xr:uid="{00000000-0005-0000-0000-000057730000}"/>
    <cellStyle name="Normal 3 2 14" xfId="29551" xr:uid="{00000000-0005-0000-0000-000058730000}"/>
    <cellStyle name="Normal 3 2 14 2" xfId="29552" xr:uid="{00000000-0005-0000-0000-000059730000}"/>
    <cellStyle name="Normal 3 2 15" xfId="29553" xr:uid="{00000000-0005-0000-0000-00005A730000}"/>
    <cellStyle name="Normal 3 2 15 2" xfId="29554" xr:uid="{00000000-0005-0000-0000-00005B730000}"/>
    <cellStyle name="Normal 3 2 16" xfId="29555" xr:uid="{00000000-0005-0000-0000-00005C730000}"/>
    <cellStyle name="Normal 3 2 16 2" xfId="29556" xr:uid="{00000000-0005-0000-0000-00005D730000}"/>
    <cellStyle name="Normal 3 2 17" xfId="29557" xr:uid="{00000000-0005-0000-0000-00005E730000}"/>
    <cellStyle name="Normal 3 2 17 2" xfId="29558" xr:uid="{00000000-0005-0000-0000-00005F730000}"/>
    <cellStyle name="Normal 3 2 18" xfId="29559" xr:uid="{00000000-0005-0000-0000-000060730000}"/>
    <cellStyle name="Normal 3 2 18 2" xfId="29560" xr:uid="{00000000-0005-0000-0000-000061730000}"/>
    <cellStyle name="Normal 3 2 19" xfId="29561" xr:uid="{00000000-0005-0000-0000-000062730000}"/>
    <cellStyle name="Normal 3 2 19 2" xfId="29562" xr:uid="{00000000-0005-0000-0000-000063730000}"/>
    <cellStyle name="Normal 3 2 2" xfId="29563" xr:uid="{00000000-0005-0000-0000-000064730000}"/>
    <cellStyle name="Normal 3 2 2 2" xfId="29564" xr:uid="{00000000-0005-0000-0000-000065730000}"/>
    <cellStyle name="Normal 3 2 2 2 2" xfId="29565" xr:uid="{00000000-0005-0000-0000-000066730000}"/>
    <cellStyle name="Normal 3 2 20" xfId="29566" xr:uid="{00000000-0005-0000-0000-000067730000}"/>
    <cellStyle name="Normal 3 2 20 2" xfId="29567" xr:uid="{00000000-0005-0000-0000-000068730000}"/>
    <cellStyle name="Normal 3 2 21" xfId="29568" xr:uid="{00000000-0005-0000-0000-000069730000}"/>
    <cellStyle name="Normal 3 2 21 2" xfId="29569" xr:uid="{00000000-0005-0000-0000-00006A730000}"/>
    <cellStyle name="Normal 3 2 22" xfId="29570" xr:uid="{00000000-0005-0000-0000-00006B730000}"/>
    <cellStyle name="Normal 3 2 22 2" xfId="29571" xr:uid="{00000000-0005-0000-0000-00006C730000}"/>
    <cellStyle name="Normal 3 2 23" xfId="29572" xr:uid="{00000000-0005-0000-0000-00006D730000}"/>
    <cellStyle name="Normal 3 2 23 2" xfId="29573" xr:uid="{00000000-0005-0000-0000-00006E730000}"/>
    <cellStyle name="Normal 3 2 24" xfId="29574" xr:uid="{00000000-0005-0000-0000-00006F730000}"/>
    <cellStyle name="Normal 3 2 24 2" xfId="29575" xr:uid="{00000000-0005-0000-0000-000070730000}"/>
    <cellStyle name="Normal 3 2 25" xfId="29576" xr:uid="{00000000-0005-0000-0000-000071730000}"/>
    <cellStyle name="Normal 3 2 25 2" xfId="29577" xr:uid="{00000000-0005-0000-0000-000072730000}"/>
    <cellStyle name="Normal 3 2 26" xfId="29578" xr:uid="{00000000-0005-0000-0000-000073730000}"/>
    <cellStyle name="Normal 3 2 27" xfId="29579" xr:uid="{00000000-0005-0000-0000-000074730000}"/>
    <cellStyle name="Normal 3 2 28" xfId="29580" xr:uid="{00000000-0005-0000-0000-000075730000}"/>
    <cellStyle name="Normal 3 2 29" xfId="29581" xr:uid="{00000000-0005-0000-0000-000076730000}"/>
    <cellStyle name="Normal 3 2 3" xfId="29582" xr:uid="{00000000-0005-0000-0000-000077730000}"/>
    <cellStyle name="Normal 3 2 3 2" xfId="29583" xr:uid="{00000000-0005-0000-0000-000078730000}"/>
    <cellStyle name="Normal 3 2 3 3" xfId="29584" xr:uid="{00000000-0005-0000-0000-000079730000}"/>
    <cellStyle name="Normal 3 2 30" xfId="29585" xr:uid="{00000000-0005-0000-0000-00007A730000}"/>
    <cellStyle name="Normal 3 2 31" xfId="29586" xr:uid="{00000000-0005-0000-0000-00007B730000}"/>
    <cellStyle name="Normal 3 2 32" xfId="29587" xr:uid="{00000000-0005-0000-0000-00007C730000}"/>
    <cellStyle name="Normal 3 2 33" xfId="29588" xr:uid="{00000000-0005-0000-0000-00007D730000}"/>
    <cellStyle name="Normal 3 2 34" xfId="29589" xr:uid="{00000000-0005-0000-0000-00007E730000}"/>
    <cellStyle name="Normal 3 2 35" xfId="29590" xr:uid="{00000000-0005-0000-0000-00007F730000}"/>
    <cellStyle name="Normal 3 2 36" xfId="29591" xr:uid="{00000000-0005-0000-0000-000080730000}"/>
    <cellStyle name="Normal 3 2 37" xfId="29592" xr:uid="{00000000-0005-0000-0000-000081730000}"/>
    <cellStyle name="Normal 3 2 38" xfId="29593" xr:uid="{00000000-0005-0000-0000-000082730000}"/>
    <cellStyle name="Normal 3 2 39" xfId="29594" xr:uid="{00000000-0005-0000-0000-000083730000}"/>
    <cellStyle name="Normal 3 2 4" xfId="29595" xr:uid="{00000000-0005-0000-0000-000084730000}"/>
    <cellStyle name="Normal 3 2 4 2" xfId="29596" xr:uid="{00000000-0005-0000-0000-000085730000}"/>
    <cellStyle name="Normal 3 2 4 3" xfId="29597" xr:uid="{00000000-0005-0000-0000-000086730000}"/>
    <cellStyle name="Normal 3 2 40" xfId="29598" xr:uid="{00000000-0005-0000-0000-000087730000}"/>
    <cellStyle name="Normal 3 2 41" xfId="29599" xr:uid="{00000000-0005-0000-0000-000088730000}"/>
    <cellStyle name="Normal 3 2 42" xfId="29600" xr:uid="{00000000-0005-0000-0000-000089730000}"/>
    <cellStyle name="Normal 3 2 43" xfId="29601" xr:uid="{00000000-0005-0000-0000-00008A730000}"/>
    <cellStyle name="Normal 3 2 44" xfId="29602" xr:uid="{00000000-0005-0000-0000-00008B730000}"/>
    <cellStyle name="Normal 3 2 45" xfId="29603" xr:uid="{00000000-0005-0000-0000-00008C730000}"/>
    <cellStyle name="Normal 3 2 46" xfId="29604" xr:uid="{00000000-0005-0000-0000-00008D730000}"/>
    <cellStyle name="Normal 3 2 47" xfId="29605" xr:uid="{00000000-0005-0000-0000-00008E730000}"/>
    <cellStyle name="Normal 3 2 48" xfId="29606" xr:uid="{00000000-0005-0000-0000-00008F730000}"/>
    <cellStyle name="Normal 3 2 49" xfId="29607" xr:uid="{00000000-0005-0000-0000-000090730000}"/>
    <cellStyle name="Normal 3 2 5" xfId="29608" xr:uid="{00000000-0005-0000-0000-000091730000}"/>
    <cellStyle name="Normal 3 2 5 2" xfId="29609" xr:uid="{00000000-0005-0000-0000-000092730000}"/>
    <cellStyle name="Normal 3 2 5 3" xfId="29610" xr:uid="{00000000-0005-0000-0000-000093730000}"/>
    <cellStyle name="Normal 3 2 50" xfId="29611" xr:uid="{00000000-0005-0000-0000-000094730000}"/>
    <cellStyle name="Normal 3 2 51" xfId="29612" xr:uid="{00000000-0005-0000-0000-000095730000}"/>
    <cellStyle name="Normal 3 2 52" xfId="29613" xr:uid="{00000000-0005-0000-0000-000096730000}"/>
    <cellStyle name="Normal 3 2 53" xfId="29614" xr:uid="{00000000-0005-0000-0000-000097730000}"/>
    <cellStyle name="Normal 3 2 54" xfId="29615" xr:uid="{00000000-0005-0000-0000-000098730000}"/>
    <cellStyle name="Normal 3 2 55" xfId="29616" xr:uid="{00000000-0005-0000-0000-000099730000}"/>
    <cellStyle name="Normal 3 2 56" xfId="29617" xr:uid="{00000000-0005-0000-0000-00009A730000}"/>
    <cellStyle name="Normal 3 2 57" xfId="29618" xr:uid="{00000000-0005-0000-0000-00009B730000}"/>
    <cellStyle name="Normal 3 2 58" xfId="29619" xr:uid="{00000000-0005-0000-0000-00009C730000}"/>
    <cellStyle name="Normal 3 2 59" xfId="29620" xr:uid="{00000000-0005-0000-0000-00009D730000}"/>
    <cellStyle name="Normal 3 2 6" xfId="29621" xr:uid="{00000000-0005-0000-0000-00009E730000}"/>
    <cellStyle name="Normal 3 2 6 2" xfId="29622" xr:uid="{00000000-0005-0000-0000-00009F730000}"/>
    <cellStyle name="Normal 3 2 6 3" xfId="29623" xr:uid="{00000000-0005-0000-0000-0000A0730000}"/>
    <cellStyle name="Normal 3 2 60" xfId="29624" xr:uid="{00000000-0005-0000-0000-0000A1730000}"/>
    <cellStyle name="Normal 3 2 61" xfId="29625" xr:uid="{00000000-0005-0000-0000-0000A2730000}"/>
    <cellStyle name="Normal 3 2 62" xfId="29626" xr:uid="{00000000-0005-0000-0000-0000A3730000}"/>
    <cellStyle name="Normal 3 2 63" xfId="29627" xr:uid="{00000000-0005-0000-0000-0000A4730000}"/>
    <cellStyle name="Normal 3 2 64" xfId="29628" xr:uid="{00000000-0005-0000-0000-0000A5730000}"/>
    <cellStyle name="Normal 3 2 65" xfId="29629" xr:uid="{00000000-0005-0000-0000-0000A6730000}"/>
    <cellStyle name="Normal 3 2 66" xfId="29630" xr:uid="{00000000-0005-0000-0000-0000A7730000}"/>
    <cellStyle name="Normal 3 2 67" xfId="29631" xr:uid="{00000000-0005-0000-0000-0000A8730000}"/>
    <cellStyle name="Normal 3 2 68" xfId="29632" xr:uid="{00000000-0005-0000-0000-0000A9730000}"/>
    <cellStyle name="Normal 3 2 69" xfId="29633" xr:uid="{00000000-0005-0000-0000-0000AA730000}"/>
    <cellStyle name="Normal 3 2 7" xfId="29634" xr:uid="{00000000-0005-0000-0000-0000AB730000}"/>
    <cellStyle name="Normal 3 2 7 2" xfId="29635" xr:uid="{00000000-0005-0000-0000-0000AC730000}"/>
    <cellStyle name="Normal 3 2 7 3" xfId="29636" xr:uid="{00000000-0005-0000-0000-0000AD730000}"/>
    <cellStyle name="Normal 3 2 70" xfId="29637" xr:uid="{00000000-0005-0000-0000-0000AE730000}"/>
    <cellStyle name="Normal 3 2 71" xfId="29638" xr:uid="{00000000-0005-0000-0000-0000AF730000}"/>
    <cellStyle name="Normal 3 2 72" xfId="29639" xr:uid="{00000000-0005-0000-0000-0000B0730000}"/>
    <cellStyle name="Normal 3 2 73" xfId="29640" xr:uid="{00000000-0005-0000-0000-0000B1730000}"/>
    <cellStyle name="Normal 3 2 74" xfId="29641" xr:uid="{00000000-0005-0000-0000-0000B2730000}"/>
    <cellStyle name="Normal 3 2 75" xfId="29642" xr:uid="{00000000-0005-0000-0000-0000B3730000}"/>
    <cellStyle name="Normal 3 2 76" xfId="29643" xr:uid="{00000000-0005-0000-0000-0000B4730000}"/>
    <cellStyle name="Normal 3 2 77" xfId="29644" xr:uid="{00000000-0005-0000-0000-0000B5730000}"/>
    <cellStyle name="Normal 3 2 78" xfId="29645" xr:uid="{00000000-0005-0000-0000-0000B6730000}"/>
    <cellStyle name="Normal 3 2 79" xfId="29646" xr:uid="{00000000-0005-0000-0000-0000B7730000}"/>
    <cellStyle name="Normal 3 2 8" xfId="29647" xr:uid="{00000000-0005-0000-0000-0000B8730000}"/>
    <cellStyle name="Normal 3 2 8 2" xfId="29648" xr:uid="{00000000-0005-0000-0000-0000B9730000}"/>
    <cellStyle name="Normal 3 2 8 3" xfId="29649" xr:uid="{00000000-0005-0000-0000-0000BA730000}"/>
    <cellStyle name="Normal 3 2 80" xfId="29650" xr:uid="{00000000-0005-0000-0000-0000BB730000}"/>
    <cellStyle name="Normal 3 2 81" xfId="29651" xr:uid="{00000000-0005-0000-0000-0000BC730000}"/>
    <cellStyle name="Normal 3 2 82" xfId="29652" xr:uid="{00000000-0005-0000-0000-0000BD730000}"/>
    <cellStyle name="Normal 3 2 83" xfId="29653" xr:uid="{00000000-0005-0000-0000-0000BE730000}"/>
    <cellStyle name="Normal 3 2 84" xfId="29654" xr:uid="{00000000-0005-0000-0000-0000BF730000}"/>
    <cellStyle name="Normal 3 2 85" xfId="29655" xr:uid="{00000000-0005-0000-0000-0000C0730000}"/>
    <cellStyle name="Normal 3 2 86" xfId="29656" xr:uid="{00000000-0005-0000-0000-0000C1730000}"/>
    <cellStyle name="Normal 3 2 87" xfId="29657" xr:uid="{00000000-0005-0000-0000-0000C2730000}"/>
    <cellStyle name="Normal 3 2 88" xfId="29658" xr:uid="{00000000-0005-0000-0000-0000C3730000}"/>
    <cellStyle name="Normal 3 2 89" xfId="29659" xr:uid="{00000000-0005-0000-0000-0000C4730000}"/>
    <cellStyle name="Normal 3 2 9" xfId="29660" xr:uid="{00000000-0005-0000-0000-0000C5730000}"/>
    <cellStyle name="Normal 3 2 9 2" xfId="29661" xr:uid="{00000000-0005-0000-0000-0000C6730000}"/>
    <cellStyle name="Normal 3 2 9 3" xfId="29662" xr:uid="{00000000-0005-0000-0000-0000C7730000}"/>
    <cellStyle name="Normal 3 2 90" xfId="29663" xr:uid="{00000000-0005-0000-0000-0000C8730000}"/>
    <cellStyle name="Normal 3 2 91" xfId="29664" xr:uid="{00000000-0005-0000-0000-0000C9730000}"/>
    <cellStyle name="Normal 3 2 92" xfId="29665" xr:uid="{00000000-0005-0000-0000-0000CA730000}"/>
    <cellStyle name="Normal 3 2 93" xfId="29666" xr:uid="{00000000-0005-0000-0000-0000CB730000}"/>
    <cellStyle name="Normal 3 2 94" xfId="29667" xr:uid="{00000000-0005-0000-0000-0000CC730000}"/>
    <cellStyle name="Normal 3 2 95" xfId="29541" xr:uid="{00000000-0005-0000-0000-0000CD730000}"/>
    <cellStyle name="Normal 3 2_Xa Parametrización de Usuarios" xfId="29668" xr:uid="{00000000-0005-0000-0000-0000CE730000}"/>
    <cellStyle name="Normal 3 20" xfId="29669" xr:uid="{00000000-0005-0000-0000-0000CF730000}"/>
    <cellStyle name="Normal 3 20 2" xfId="29670" xr:uid="{00000000-0005-0000-0000-0000D0730000}"/>
    <cellStyle name="Normal 3 20 3" xfId="29671" xr:uid="{00000000-0005-0000-0000-0000D1730000}"/>
    <cellStyle name="Normal 3 20_Enlaces" xfId="29672" xr:uid="{00000000-0005-0000-0000-0000D2730000}"/>
    <cellStyle name="Normal 3 21" xfId="29673" xr:uid="{00000000-0005-0000-0000-0000D3730000}"/>
    <cellStyle name="Normal 3 21 2" xfId="29674" xr:uid="{00000000-0005-0000-0000-0000D4730000}"/>
    <cellStyle name="Normal 3 21_Enlaces" xfId="29675" xr:uid="{00000000-0005-0000-0000-0000D5730000}"/>
    <cellStyle name="Normal 3 22" xfId="29676" xr:uid="{00000000-0005-0000-0000-0000D6730000}"/>
    <cellStyle name="Normal 3 22 2" xfId="29677" xr:uid="{00000000-0005-0000-0000-0000D7730000}"/>
    <cellStyle name="Normal 3 22_Enlaces" xfId="29678" xr:uid="{00000000-0005-0000-0000-0000D8730000}"/>
    <cellStyle name="Normal 3 23" xfId="29679" xr:uid="{00000000-0005-0000-0000-0000D9730000}"/>
    <cellStyle name="Normal 3 23 2" xfId="29680" xr:uid="{00000000-0005-0000-0000-0000DA730000}"/>
    <cellStyle name="Normal 3 23_Enlaces" xfId="29681" xr:uid="{00000000-0005-0000-0000-0000DB730000}"/>
    <cellStyle name="Normal 3 24" xfId="29682" xr:uid="{00000000-0005-0000-0000-0000DC730000}"/>
    <cellStyle name="Normal 3 24 2" xfId="29683" xr:uid="{00000000-0005-0000-0000-0000DD730000}"/>
    <cellStyle name="Normal 3 24_Enlaces" xfId="29684" xr:uid="{00000000-0005-0000-0000-0000DE730000}"/>
    <cellStyle name="Normal 3 25" xfId="29685" xr:uid="{00000000-0005-0000-0000-0000DF730000}"/>
    <cellStyle name="Normal 3 25 2" xfId="29686" xr:uid="{00000000-0005-0000-0000-0000E0730000}"/>
    <cellStyle name="Normal 3 25_Enlaces" xfId="29687" xr:uid="{00000000-0005-0000-0000-0000E1730000}"/>
    <cellStyle name="Normal 3 26" xfId="29688" xr:uid="{00000000-0005-0000-0000-0000E2730000}"/>
    <cellStyle name="Normal 3 26 2" xfId="29689" xr:uid="{00000000-0005-0000-0000-0000E3730000}"/>
    <cellStyle name="Normal 3 26_Enlaces" xfId="29690" xr:uid="{00000000-0005-0000-0000-0000E4730000}"/>
    <cellStyle name="Normal 3 27" xfId="29691" xr:uid="{00000000-0005-0000-0000-0000E5730000}"/>
    <cellStyle name="Normal 3 27 2" xfId="29692" xr:uid="{00000000-0005-0000-0000-0000E6730000}"/>
    <cellStyle name="Normal 3 27_Enlaces" xfId="29693" xr:uid="{00000000-0005-0000-0000-0000E7730000}"/>
    <cellStyle name="Normal 3 28" xfId="29694" xr:uid="{00000000-0005-0000-0000-0000E8730000}"/>
    <cellStyle name="Normal 3 29" xfId="29695" xr:uid="{00000000-0005-0000-0000-0000E9730000}"/>
    <cellStyle name="Normal 3 3" xfId="59" xr:uid="{00000000-0005-0000-0000-0000EA730000}"/>
    <cellStyle name="Normal 3 3 10" xfId="29697" xr:uid="{00000000-0005-0000-0000-0000EB730000}"/>
    <cellStyle name="Normal 3 3 11" xfId="29698" xr:uid="{00000000-0005-0000-0000-0000EC730000}"/>
    <cellStyle name="Normal 3 3 12" xfId="29699" xr:uid="{00000000-0005-0000-0000-0000ED730000}"/>
    <cellStyle name="Normal 3 3 13" xfId="29700" xr:uid="{00000000-0005-0000-0000-0000EE730000}"/>
    <cellStyle name="Normal 3 3 14" xfId="29701" xr:uid="{00000000-0005-0000-0000-0000EF730000}"/>
    <cellStyle name="Normal 3 3 15" xfId="29702" xr:uid="{00000000-0005-0000-0000-0000F0730000}"/>
    <cellStyle name="Normal 3 3 16" xfId="29703" xr:uid="{00000000-0005-0000-0000-0000F1730000}"/>
    <cellStyle name="Normal 3 3 17" xfId="29704" xr:uid="{00000000-0005-0000-0000-0000F2730000}"/>
    <cellStyle name="Normal 3 3 18" xfId="29705" xr:uid="{00000000-0005-0000-0000-0000F3730000}"/>
    <cellStyle name="Normal 3 3 19" xfId="29706" xr:uid="{00000000-0005-0000-0000-0000F4730000}"/>
    <cellStyle name="Normal 3 3 2" xfId="29707" xr:uid="{00000000-0005-0000-0000-0000F5730000}"/>
    <cellStyle name="Normal 3 3 2 2" xfId="29708" xr:uid="{00000000-0005-0000-0000-0000F6730000}"/>
    <cellStyle name="Normal 3 3 2 3" xfId="29709" xr:uid="{00000000-0005-0000-0000-0000F7730000}"/>
    <cellStyle name="Normal 3 3 20" xfId="29710" xr:uid="{00000000-0005-0000-0000-0000F8730000}"/>
    <cellStyle name="Normal 3 3 21" xfId="29711" xr:uid="{00000000-0005-0000-0000-0000F9730000}"/>
    <cellStyle name="Normal 3 3 22" xfId="29712" xr:uid="{00000000-0005-0000-0000-0000FA730000}"/>
    <cellStyle name="Normal 3 3 23" xfId="29713" xr:uid="{00000000-0005-0000-0000-0000FB730000}"/>
    <cellStyle name="Normal 3 3 24" xfId="29714" xr:uid="{00000000-0005-0000-0000-0000FC730000}"/>
    <cellStyle name="Normal 3 3 25" xfId="29715" xr:uid="{00000000-0005-0000-0000-0000FD730000}"/>
    <cellStyle name="Normal 3 3 26" xfId="29716" xr:uid="{00000000-0005-0000-0000-0000FE730000}"/>
    <cellStyle name="Normal 3 3 27" xfId="29717" xr:uid="{00000000-0005-0000-0000-0000FF730000}"/>
    <cellStyle name="Normal 3 3 28" xfId="29718" xr:uid="{00000000-0005-0000-0000-000000740000}"/>
    <cellStyle name="Normal 3 3 29" xfId="29719" xr:uid="{00000000-0005-0000-0000-000001740000}"/>
    <cellStyle name="Normal 3 3 3" xfId="29720" xr:uid="{00000000-0005-0000-0000-000002740000}"/>
    <cellStyle name="Normal 3 3 30" xfId="29721" xr:uid="{00000000-0005-0000-0000-000003740000}"/>
    <cellStyle name="Normal 3 3 31" xfId="29696" xr:uid="{00000000-0005-0000-0000-000004740000}"/>
    <cellStyle name="Normal 3 3 4" xfId="29722" xr:uid="{00000000-0005-0000-0000-000005740000}"/>
    <cellStyle name="Normal 3 3 5" xfId="29723" xr:uid="{00000000-0005-0000-0000-000006740000}"/>
    <cellStyle name="Normal 3 3 6" xfId="29724" xr:uid="{00000000-0005-0000-0000-000007740000}"/>
    <cellStyle name="Normal 3 3 7" xfId="29725" xr:uid="{00000000-0005-0000-0000-000008740000}"/>
    <cellStyle name="Normal 3 3 8" xfId="29726" xr:uid="{00000000-0005-0000-0000-000009740000}"/>
    <cellStyle name="Normal 3 3 9" xfId="29727" xr:uid="{00000000-0005-0000-0000-00000A740000}"/>
    <cellStyle name="Normal 3 3_Enlaces" xfId="29728" xr:uid="{00000000-0005-0000-0000-00000B740000}"/>
    <cellStyle name="Normal 3 30" xfId="29729" xr:uid="{00000000-0005-0000-0000-00000C740000}"/>
    <cellStyle name="Normal 3 31" xfId="29730" xr:uid="{00000000-0005-0000-0000-00000D740000}"/>
    <cellStyle name="Normal 3 32" xfId="29731" xr:uid="{00000000-0005-0000-0000-00000E740000}"/>
    <cellStyle name="Normal 3 33" xfId="29732" xr:uid="{00000000-0005-0000-0000-00000F740000}"/>
    <cellStyle name="Normal 3 34" xfId="29733" xr:uid="{00000000-0005-0000-0000-000010740000}"/>
    <cellStyle name="Normal 3 35" xfId="29734" xr:uid="{00000000-0005-0000-0000-000011740000}"/>
    <cellStyle name="Normal 3 36" xfId="29735" xr:uid="{00000000-0005-0000-0000-000012740000}"/>
    <cellStyle name="Normal 3 37" xfId="29736" xr:uid="{00000000-0005-0000-0000-000013740000}"/>
    <cellStyle name="Normal 3 38" xfId="29737" xr:uid="{00000000-0005-0000-0000-000014740000}"/>
    <cellStyle name="Normal 3 39" xfId="29738" xr:uid="{00000000-0005-0000-0000-000015740000}"/>
    <cellStyle name="Normal 3 4" xfId="40" xr:uid="{00000000-0005-0000-0000-000016740000}"/>
    <cellStyle name="Normal 3 4 10" xfId="29740" xr:uid="{00000000-0005-0000-0000-000017740000}"/>
    <cellStyle name="Normal 3 4 11" xfId="29741" xr:uid="{00000000-0005-0000-0000-000018740000}"/>
    <cellStyle name="Normal 3 4 12" xfId="29742" xr:uid="{00000000-0005-0000-0000-000019740000}"/>
    <cellStyle name="Normal 3 4 13" xfId="29743" xr:uid="{00000000-0005-0000-0000-00001A740000}"/>
    <cellStyle name="Normal 3 4 14" xfId="29744" xr:uid="{00000000-0005-0000-0000-00001B740000}"/>
    <cellStyle name="Normal 3 4 15" xfId="29745" xr:uid="{00000000-0005-0000-0000-00001C740000}"/>
    <cellStyle name="Normal 3 4 16" xfId="29746" xr:uid="{00000000-0005-0000-0000-00001D740000}"/>
    <cellStyle name="Normal 3 4 17" xfId="29747" xr:uid="{00000000-0005-0000-0000-00001E740000}"/>
    <cellStyle name="Normal 3 4 18" xfId="29748" xr:uid="{00000000-0005-0000-0000-00001F740000}"/>
    <cellStyle name="Normal 3 4 19" xfId="29749" xr:uid="{00000000-0005-0000-0000-000020740000}"/>
    <cellStyle name="Normal 3 4 2" xfId="29750" xr:uid="{00000000-0005-0000-0000-000021740000}"/>
    <cellStyle name="Normal 3 4 2 2" xfId="29751" xr:uid="{00000000-0005-0000-0000-000022740000}"/>
    <cellStyle name="Normal 3 4 20" xfId="29752" xr:uid="{00000000-0005-0000-0000-000023740000}"/>
    <cellStyle name="Normal 3 4 21" xfId="29753" xr:uid="{00000000-0005-0000-0000-000024740000}"/>
    <cellStyle name="Normal 3 4 22" xfId="29754" xr:uid="{00000000-0005-0000-0000-000025740000}"/>
    <cellStyle name="Normal 3 4 23" xfId="29755" xr:uid="{00000000-0005-0000-0000-000026740000}"/>
    <cellStyle name="Normal 3 4 24" xfId="29756" xr:uid="{00000000-0005-0000-0000-000027740000}"/>
    <cellStyle name="Normal 3 4 24 2" xfId="29757" xr:uid="{00000000-0005-0000-0000-000028740000}"/>
    <cellStyle name="Normal 3 4 25" xfId="29739" xr:uid="{00000000-0005-0000-0000-000029740000}"/>
    <cellStyle name="Normal 3 4 3" xfId="29758" xr:uid="{00000000-0005-0000-0000-00002A740000}"/>
    <cellStyle name="Normal 3 4 4" xfId="29759" xr:uid="{00000000-0005-0000-0000-00002B740000}"/>
    <cellStyle name="Normal 3 4 5" xfId="29760" xr:uid="{00000000-0005-0000-0000-00002C740000}"/>
    <cellStyle name="Normal 3 4 6" xfId="29761" xr:uid="{00000000-0005-0000-0000-00002D740000}"/>
    <cellStyle name="Normal 3 4 7" xfId="29762" xr:uid="{00000000-0005-0000-0000-00002E740000}"/>
    <cellStyle name="Normal 3 4 8" xfId="29763" xr:uid="{00000000-0005-0000-0000-00002F740000}"/>
    <cellStyle name="Normal 3 4 9" xfId="29764" xr:uid="{00000000-0005-0000-0000-000030740000}"/>
    <cellStyle name="Normal 3 4_Enlaces" xfId="29765" xr:uid="{00000000-0005-0000-0000-000031740000}"/>
    <cellStyle name="Normal 3 40" xfId="29766" xr:uid="{00000000-0005-0000-0000-000032740000}"/>
    <cellStyle name="Normal 3 41" xfId="29767" xr:uid="{00000000-0005-0000-0000-000033740000}"/>
    <cellStyle name="Normal 3 42" xfId="29768" xr:uid="{00000000-0005-0000-0000-000034740000}"/>
    <cellStyle name="Normal 3 43" xfId="29769" xr:uid="{00000000-0005-0000-0000-000035740000}"/>
    <cellStyle name="Normal 3 44" xfId="29770" xr:uid="{00000000-0005-0000-0000-000036740000}"/>
    <cellStyle name="Normal 3 45" xfId="29771" xr:uid="{00000000-0005-0000-0000-000037740000}"/>
    <cellStyle name="Normal 3 46" xfId="29772" xr:uid="{00000000-0005-0000-0000-000038740000}"/>
    <cellStyle name="Normal 3 47" xfId="29773" xr:uid="{00000000-0005-0000-0000-000039740000}"/>
    <cellStyle name="Normal 3 48" xfId="29774" xr:uid="{00000000-0005-0000-0000-00003A740000}"/>
    <cellStyle name="Normal 3 49" xfId="29775" xr:uid="{00000000-0005-0000-0000-00003B740000}"/>
    <cellStyle name="Normal 3 5" xfId="29776" xr:uid="{00000000-0005-0000-0000-00003C740000}"/>
    <cellStyle name="Normal 3 5 2" xfId="29777" xr:uid="{00000000-0005-0000-0000-00003D740000}"/>
    <cellStyle name="Normal 3 5 3" xfId="29778" xr:uid="{00000000-0005-0000-0000-00003E740000}"/>
    <cellStyle name="Normal 3 5 4" xfId="29779" xr:uid="{00000000-0005-0000-0000-00003F740000}"/>
    <cellStyle name="Normal 3 5_Enlaces" xfId="29780" xr:uid="{00000000-0005-0000-0000-000040740000}"/>
    <cellStyle name="Normal 3 50" xfId="29781" xr:uid="{00000000-0005-0000-0000-000041740000}"/>
    <cellStyle name="Normal 3 51" xfId="29782" xr:uid="{00000000-0005-0000-0000-000042740000}"/>
    <cellStyle name="Normal 3 52" xfId="29783" xr:uid="{00000000-0005-0000-0000-000043740000}"/>
    <cellStyle name="Normal 3 53" xfId="29784" xr:uid="{00000000-0005-0000-0000-000044740000}"/>
    <cellStyle name="Normal 3 54" xfId="29785" xr:uid="{00000000-0005-0000-0000-000045740000}"/>
    <cellStyle name="Normal 3 55" xfId="29786" xr:uid="{00000000-0005-0000-0000-000046740000}"/>
    <cellStyle name="Normal 3 56" xfId="29787" xr:uid="{00000000-0005-0000-0000-000047740000}"/>
    <cellStyle name="Normal 3 57" xfId="29788" xr:uid="{00000000-0005-0000-0000-000048740000}"/>
    <cellStyle name="Normal 3 58" xfId="29789" xr:uid="{00000000-0005-0000-0000-000049740000}"/>
    <cellStyle name="Normal 3 59" xfId="29790" xr:uid="{00000000-0005-0000-0000-00004A740000}"/>
    <cellStyle name="Normal 3 6" xfId="29791" xr:uid="{00000000-0005-0000-0000-00004B740000}"/>
    <cellStyle name="Normal 3 6 2" xfId="29792" xr:uid="{00000000-0005-0000-0000-00004C740000}"/>
    <cellStyle name="Normal 3 6 3" xfId="29793" xr:uid="{00000000-0005-0000-0000-00004D740000}"/>
    <cellStyle name="Normal 3 6 4" xfId="29794" xr:uid="{00000000-0005-0000-0000-00004E740000}"/>
    <cellStyle name="Normal 3 6_Enlaces" xfId="29795" xr:uid="{00000000-0005-0000-0000-00004F740000}"/>
    <cellStyle name="Normal 3 60" xfId="29796" xr:uid="{00000000-0005-0000-0000-000050740000}"/>
    <cellStyle name="Normal 3 61" xfId="29797" xr:uid="{00000000-0005-0000-0000-000051740000}"/>
    <cellStyle name="Normal 3 62" xfId="29798" xr:uid="{00000000-0005-0000-0000-000052740000}"/>
    <cellStyle name="Normal 3 63" xfId="29799" xr:uid="{00000000-0005-0000-0000-000053740000}"/>
    <cellStyle name="Normal 3 64" xfId="29800" xr:uid="{00000000-0005-0000-0000-000054740000}"/>
    <cellStyle name="Normal 3 65" xfId="29801" xr:uid="{00000000-0005-0000-0000-000055740000}"/>
    <cellStyle name="Normal 3 66" xfId="29802" xr:uid="{00000000-0005-0000-0000-000056740000}"/>
    <cellStyle name="Normal 3 67" xfId="29803" xr:uid="{00000000-0005-0000-0000-000057740000}"/>
    <cellStyle name="Normal 3 68" xfId="29804" xr:uid="{00000000-0005-0000-0000-000058740000}"/>
    <cellStyle name="Normal 3 69" xfId="29805" xr:uid="{00000000-0005-0000-0000-000059740000}"/>
    <cellStyle name="Normal 3 7" xfId="29806" xr:uid="{00000000-0005-0000-0000-00005A740000}"/>
    <cellStyle name="Normal 3 7 2" xfId="29807" xr:uid="{00000000-0005-0000-0000-00005B740000}"/>
    <cellStyle name="Normal 3 7 3" xfId="29808" xr:uid="{00000000-0005-0000-0000-00005C740000}"/>
    <cellStyle name="Normal 3 7 4" xfId="29809" xr:uid="{00000000-0005-0000-0000-00005D740000}"/>
    <cellStyle name="Normal 3 7_Enlaces" xfId="29810" xr:uid="{00000000-0005-0000-0000-00005E740000}"/>
    <cellStyle name="Normal 3 70" xfId="29811" xr:uid="{00000000-0005-0000-0000-00005F740000}"/>
    <cellStyle name="Normal 3 71" xfId="29812" xr:uid="{00000000-0005-0000-0000-000060740000}"/>
    <cellStyle name="Normal 3 72" xfId="29813" xr:uid="{00000000-0005-0000-0000-000061740000}"/>
    <cellStyle name="Normal 3 73" xfId="29814" xr:uid="{00000000-0005-0000-0000-000062740000}"/>
    <cellStyle name="Normal 3 74" xfId="29815" xr:uid="{00000000-0005-0000-0000-000063740000}"/>
    <cellStyle name="Normal 3 75" xfId="29816" xr:uid="{00000000-0005-0000-0000-000064740000}"/>
    <cellStyle name="Normal 3 76" xfId="29817" xr:uid="{00000000-0005-0000-0000-000065740000}"/>
    <cellStyle name="Normal 3 77" xfId="29818" xr:uid="{00000000-0005-0000-0000-000066740000}"/>
    <cellStyle name="Normal 3 78" xfId="29819" xr:uid="{00000000-0005-0000-0000-000067740000}"/>
    <cellStyle name="Normal 3 79" xfId="29820" xr:uid="{00000000-0005-0000-0000-000068740000}"/>
    <cellStyle name="Normal 3 8" xfId="29821" xr:uid="{00000000-0005-0000-0000-000069740000}"/>
    <cellStyle name="Normal 3 8 2" xfId="29822" xr:uid="{00000000-0005-0000-0000-00006A740000}"/>
    <cellStyle name="Normal 3 8 3" xfId="29823" xr:uid="{00000000-0005-0000-0000-00006B740000}"/>
    <cellStyle name="Normal 3 8 4" xfId="29824" xr:uid="{00000000-0005-0000-0000-00006C740000}"/>
    <cellStyle name="Normal 3 8_Enlaces" xfId="29825" xr:uid="{00000000-0005-0000-0000-00006D740000}"/>
    <cellStyle name="Normal 3 80" xfId="29826" xr:uid="{00000000-0005-0000-0000-00006E740000}"/>
    <cellStyle name="Normal 3 81" xfId="29827" xr:uid="{00000000-0005-0000-0000-00006F740000}"/>
    <cellStyle name="Normal 3 82" xfId="29828" xr:uid="{00000000-0005-0000-0000-000070740000}"/>
    <cellStyle name="Normal 3 83" xfId="29829" xr:uid="{00000000-0005-0000-0000-000071740000}"/>
    <cellStyle name="Normal 3 84" xfId="29830" xr:uid="{00000000-0005-0000-0000-000072740000}"/>
    <cellStyle name="Normal 3 85" xfId="29831" xr:uid="{00000000-0005-0000-0000-000073740000}"/>
    <cellStyle name="Normal 3 86" xfId="29832" xr:uid="{00000000-0005-0000-0000-000074740000}"/>
    <cellStyle name="Normal 3 87" xfId="29833" xr:uid="{00000000-0005-0000-0000-000075740000}"/>
    <cellStyle name="Normal 3 88" xfId="29834" xr:uid="{00000000-0005-0000-0000-000076740000}"/>
    <cellStyle name="Normal 3 89" xfId="29835" xr:uid="{00000000-0005-0000-0000-000077740000}"/>
    <cellStyle name="Normal 3 9" xfId="29836" xr:uid="{00000000-0005-0000-0000-000078740000}"/>
    <cellStyle name="Normal 3 9 2" xfId="29837" xr:uid="{00000000-0005-0000-0000-000079740000}"/>
    <cellStyle name="Normal 3 9 3" xfId="29838" xr:uid="{00000000-0005-0000-0000-00007A740000}"/>
    <cellStyle name="Normal 3 9 4" xfId="29839" xr:uid="{00000000-0005-0000-0000-00007B740000}"/>
    <cellStyle name="Normal 3 9_Enlaces" xfId="29840" xr:uid="{00000000-0005-0000-0000-00007C740000}"/>
    <cellStyle name="Normal 3 90" xfId="29841" xr:uid="{00000000-0005-0000-0000-00007D740000}"/>
    <cellStyle name="Normal 3 91" xfId="29842" xr:uid="{00000000-0005-0000-0000-00007E740000}"/>
    <cellStyle name="Normal 3 92" xfId="29843" xr:uid="{00000000-0005-0000-0000-00007F740000}"/>
    <cellStyle name="Normal 3 93" xfId="29844" xr:uid="{00000000-0005-0000-0000-000080740000}"/>
    <cellStyle name="Normal 3 94" xfId="29845" xr:uid="{00000000-0005-0000-0000-000081740000}"/>
    <cellStyle name="Normal 3 95" xfId="29846" xr:uid="{00000000-0005-0000-0000-000082740000}"/>
    <cellStyle name="Normal 3 96" xfId="29847" xr:uid="{00000000-0005-0000-0000-000083740000}"/>
    <cellStyle name="Normal 3 97" xfId="29848" xr:uid="{00000000-0005-0000-0000-000084740000}"/>
    <cellStyle name="Normal 3 98" xfId="29849" xr:uid="{00000000-0005-0000-0000-000085740000}"/>
    <cellStyle name="Normal 3 98 2" xfId="29850" xr:uid="{00000000-0005-0000-0000-000086740000}"/>
    <cellStyle name="Normal 3 98 3" xfId="29851" xr:uid="{00000000-0005-0000-0000-000087740000}"/>
    <cellStyle name="Normal 3 98 4" xfId="29852" xr:uid="{00000000-0005-0000-0000-000088740000}"/>
    <cellStyle name="Normal 3 98 5" xfId="29853" xr:uid="{00000000-0005-0000-0000-000089740000}"/>
    <cellStyle name="Normal 3 98 6" xfId="29854" xr:uid="{00000000-0005-0000-0000-00008A740000}"/>
    <cellStyle name="Normal 3 99" xfId="29855" xr:uid="{00000000-0005-0000-0000-00008B740000}"/>
    <cellStyle name="Normal 3 99 2" xfId="29856" xr:uid="{00000000-0005-0000-0000-00008C740000}"/>
    <cellStyle name="Normal 3 99 3" xfId="29857" xr:uid="{00000000-0005-0000-0000-00008D740000}"/>
    <cellStyle name="Normal 3 99 4" xfId="29858" xr:uid="{00000000-0005-0000-0000-00008E740000}"/>
    <cellStyle name="Normal 3 99 5" xfId="29859" xr:uid="{00000000-0005-0000-0000-00008F740000}"/>
    <cellStyle name="Normal 3 99 6" xfId="29860" xr:uid="{00000000-0005-0000-0000-000090740000}"/>
    <cellStyle name="Normal 3_Enlaces" xfId="29861" xr:uid="{00000000-0005-0000-0000-000091740000}"/>
    <cellStyle name="Normal 30" xfId="29862" xr:uid="{00000000-0005-0000-0000-000092740000}"/>
    <cellStyle name="Normal 30 10" xfId="29863" xr:uid="{00000000-0005-0000-0000-000093740000}"/>
    <cellStyle name="Normal 30 11" xfId="29864" xr:uid="{00000000-0005-0000-0000-000094740000}"/>
    <cellStyle name="Normal 30 12" xfId="29865" xr:uid="{00000000-0005-0000-0000-000095740000}"/>
    <cellStyle name="Normal 30 13" xfId="29866" xr:uid="{00000000-0005-0000-0000-000096740000}"/>
    <cellStyle name="Normal 30 14" xfId="29867" xr:uid="{00000000-0005-0000-0000-000097740000}"/>
    <cellStyle name="Normal 30 15" xfId="29868" xr:uid="{00000000-0005-0000-0000-000098740000}"/>
    <cellStyle name="Normal 30 16" xfId="29869" xr:uid="{00000000-0005-0000-0000-000099740000}"/>
    <cellStyle name="Normal 30 17" xfId="29870" xr:uid="{00000000-0005-0000-0000-00009A740000}"/>
    <cellStyle name="Normal 30 18" xfId="29871" xr:uid="{00000000-0005-0000-0000-00009B740000}"/>
    <cellStyle name="Normal 30 19" xfId="29872" xr:uid="{00000000-0005-0000-0000-00009C740000}"/>
    <cellStyle name="Normal 30 2" xfId="29873" xr:uid="{00000000-0005-0000-0000-00009D740000}"/>
    <cellStyle name="Normal 30 2 2" xfId="29874" xr:uid="{00000000-0005-0000-0000-00009E740000}"/>
    <cellStyle name="Normal 30 2 3" xfId="29875" xr:uid="{00000000-0005-0000-0000-00009F740000}"/>
    <cellStyle name="Normal 30 20" xfId="29876" xr:uid="{00000000-0005-0000-0000-0000A0740000}"/>
    <cellStyle name="Normal 30 21" xfId="29877" xr:uid="{00000000-0005-0000-0000-0000A1740000}"/>
    <cellStyle name="Normal 30 22" xfId="29878" xr:uid="{00000000-0005-0000-0000-0000A2740000}"/>
    <cellStyle name="Normal 30 23" xfId="29879" xr:uid="{00000000-0005-0000-0000-0000A3740000}"/>
    <cellStyle name="Normal 30 24" xfId="29880" xr:uid="{00000000-0005-0000-0000-0000A4740000}"/>
    <cellStyle name="Normal 30 25" xfId="29881" xr:uid="{00000000-0005-0000-0000-0000A5740000}"/>
    <cellStyle name="Normal 30 26" xfId="29882" xr:uid="{00000000-0005-0000-0000-0000A6740000}"/>
    <cellStyle name="Normal 30 3" xfId="29883" xr:uid="{00000000-0005-0000-0000-0000A7740000}"/>
    <cellStyle name="Normal 30 3 2" xfId="29884" xr:uid="{00000000-0005-0000-0000-0000A8740000}"/>
    <cellStyle name="Normal 30 3 3" xfId="29885" xr:uid="{00000000-0005-0000-0000-0000A9740000}"/>
    <cellStyle name="Normal 30 3 4" xfId="29886" xr:uid="{00000000-0005-0000-0000-0000AA740000}"/>
    <cellStyle name="Normal 30 3 5" xfId="29887" xr:uid="{00000000-0005-0000-0000-0000AB740000}"/>
    <cellStyle name="Normal 30 4" xfId="29888" xr:uid="{00000000-0005-0000-0000-0000AC740000}"/>
    <cellStyle name="Normal 30 5" xfId="29889" xr:uid="{00000000-0005-0000-0000-0000AD740000}"/>
    <cellStyle name="Normal 30 6" xfId="29890" xr:uid="{00000000-0005-0000-0000-0000AE740000}"/>
    <cellStyle name="Normal 30 7" xfId="29891" xr:uid="{00000000-0005-0000-0000-0000AF740000}"/>
    <cellStyle name="Normal 30 8" xfId="29892" xr:uid="{00000000-0005-0000-0000-0000B0740000}"/>
    <cellStyle name="Normal 30 9" xfId="29893" xr:uid="{00000000-0005-0000-0000-0000B1740000}"/>
    <cellStyle name="Normal 31" xfId="29894" xr:uid="{00000000-0005-0000-0000-0000B2740000}"/>
    <cellStyle name="Normal 31 10" xfId="29895" xr:uid="{00000000-0005-0000-0000-0000B3740000}"/>
    <cellStyle name="Normal 31 11" xfId="29896" xr:uid="{00000000-0005-0000-0000-0000B4740000}"/>
    <cellStyle name="Normal 31 12" xfId="29897" xr:uid="{00000000-0005-0000-0000-0000B5740000}"/>
    <cellStyle name="Normal 31 13" xfId="29898" xr:uid="{00000000-0005-0000-0000-0000B6740000}"/>
    <cellStyle name="Normal 31 14" xfId="29899" xr:uid="{00000000-0005-0000-0000-0000B7740000}"/>
    <cellStyle name="Normal 31 15" xfId="29900" xr:uid="{00000000-0005-0000-0000-0000B8740000}"/>
    <cellStyle name="Normal 31 16" xfId="29901" xr:uid="{00000000-0005-0000-0000-0000B9740000}"/>
    <cellStyle name="Normal 31 17" xfId="29902" xr:uid="{00000000-0005-0000-0000-0000BA740000}"/>
    <cellStyle name="Normal 31 18" xfId="29903" xr:uid="{00000000-0005-0000-0000-0000BB740000}"/>
    <cellStyle name="Normal 31 19" xfId="29904" xr:uid="{00000000-0005-0000-0000-0000BC740000}"/>
    <cellStyle name="Normal 31 2" xfId="29905" xr:uid="{00000000-0005-0000-0000-0000BD740000}"/>
    <cellStyle name="Normal 31 2 2" xfId="29906" xr:uid="{00000000-0005-0000-0000-0000BE740000}"/>
    <cellStyle name="Normal 31 2 3" xfId="29907" xr:uid="{00000000-0005-0000-0000-0000BF740000}"/>
    <cellStyle name="Normal 31 20" xfId="29908" xr:uid="{00000000-0005-0000-0000-0000C0740000}"/>
    <cellStyle name="Normal 31 21" xfId="29909" xr:uid="{00000000-0005-0000-0000-0000C1740000}"/>
    <cellStyle name="Normal 31 22" xfId="29910" xr:uid="{00000000-0005-0000-0000-0000C2740000}"/>
    <cellStyle name="Normal 31 23" xfId="29911" xr:uid="{00000000-0005-0000-0000-0000C3740000}"/>
    <cellStyle name="Normal 31 24" xfId="29912" xr:uid="{00000000-0005-0000-0000-0000C4740000}"/>
    <cellStyle name="Normal 31 25" xfId="29913" xr:uid="{00000000-0005-0000-0000-0000C5740000}"/>
    <cellStyle name="Normal 31 26" xfId="29914" xr:uid="{00000000-0005-0000-0000-0000C6740000}"/>
    <cellStyle name="Normal 31 3" xfId="29915" xr:uid="{00000000-0005-0000-0000-0000C7740000}"/>
    <cellStyle name="Normal 31 3 2" xfId="29916" xr:uid="{00000000-0005-0000-0000-0000C8740000}"/>
    <cellStyle name="Normal 31 3 3" xfId="29917" xr:uid="{00000000-0005-0000-0000-0000C9740000}"/>
    <cellStyle name="Normal 31 4" xfId="29918" xr:uid="{00000000-0005-0000-0000-0000CA740000}"/>
    <cellStyle name="Normal 31 5" xfId="29919" xr:uid="{00000000-0005-0000-0000-0000CB740000}"/>
    <cellStyle name="Normal 31 6" xfId="29920" xr:uid="{00000000-0005-0000-0000-0000CC740000}"/>
    <cellStyle name="Normal 31 7" xfId="29921" xr:uid="{00000000-0005-0000-0000-0000CD740000}"/>
    <cellStyle name="Normal 31 8" xfId="29922" xr:uid="{00000000-0005-0000-0000-0000CE740000}"/>
    <cellStyle name="Normal 31 9" xfId="29923" xr:uid="{00000000-0005-0000-0000-0000CF740000}"/>
    <cellStyle name="Normal 32" xfId="29924" xr:uid="{00000000-0005-0000-0000-0000D0740000}"/>
    <cellStyle name="Normal 32 2" xfId="29925" xr:uid="{00000000-0005-0000-0000-0000D1740000}"/>
    <cellStyle name="Normal 32 3" xfId="29926" xr:uid="{00000000-0005-0000-0000-0000D2740000}"/>
    <cellStyle name="Normal 32 4" xfId="29927" xr:uid="{00000000-0005-0000-0000-0000D3740000}"/>
    <cellStyle name="Normal 32 5" xfId="29928" xr:uid="{00000000-0005-0000-0000-0000D4740000}"/>
    <cellStyle name="Normal 33" xfId="29929" xr:uid="{00000000-0005-0000-0000-0000D5740000}"/>
    <cellStyle name="Normal 33 2" xfId="29930" xr:uid="{00000000-0005-0000-0000-0000D6740000}"/>
    <cellStyle name="Normal 33 3" xfId="29931" xr:uid="{00000000-0005-0000-0000-0000D7740000}"/>
    <cellStyle name="Normal 33 4" xfId="29932" xr:uid="{00000000-0005-0000-0000-0000D8740000}"/>
    <cellStyle name="Normal 33 5" xfId="29933" xr:uid="{00000000-0005-0000-0000-0000D9740000}"/>
    <cellStyle name="Normal 34" xfId="29934" xr:uid="{00000000-0005-0000-0000-0000DA740000}"/>
    <cellStyle name="Normal 34 10" xfId="29935" xr:uid="{00000000-0005-0000-0000-0000DB740000}"/>
    <cellStyle name="Normal 34 11" xfId="29936" xr:uid="{00000000-0005-0000-0000-0000DC740000}"/>
    <cellStyle name="Normal 34 12" xfId="29937" xr:uid="{00000000-0005-0000-0000-0000DD740000}"/>
    <cellStyle name="Normal 34 13" xfId="29938" xr:uid="{00000000-0005-0000-0000-0000DE740000}"/>
    <cellStyle name="Normal 34 14" xfId="29939" xr:uid="{00000000-0005-0000-0000-0000DF740000}"/>
    <cellStyle name="Normal 34 15" xfId="29940" xr:uid="{00000000-0005-0000-0000-0000E0740000}"/>
    <cellStyle name="Normal 34 16" xfId="29941" xr:uid="{00000000-0005-0000-0000-0000E1740000}"/>
    <cellStyle name="Normal 34 17" xfId="29942" xr:uid="{00000000-0005-0000-0000-0000E2740000}"/>
    <cellStyle name="Normal 34 18" xfId="29943" xr:uid="{00000000-0005-0000-0000-0000E3740000}"/>
    <cellStyle name="Normal 34 19" xfId="29944" xr:uid="{00000000-0005-0000-0000-0000E4740000}"/>
    <cellStyle name="Normal 34 2" xfId="29945" xr:uid="{00000000-0005-0000-0000-0000E5740000}"/>
    <cellStyle name="Normal 34 2 2" xfId="29946" xr:uid="{00000000-0005-0000-0000-0000E6740000}"/>
    <cellStyle name="Normal 34 2 3" xfId="29947" xr:uid="{00000000-0005-0000-0000-0000E7740000}"/>
    <cellStyle name="Normal 34 20" xfId="29948" xr:uid="{00000000-0005-0000-0000-0000E8740000}"/>
    <cellStyle name="Normal 34 21" xfId="29949" xr:uid="{00000000-0005-0000-0000-0000E9740000}"/>
    <cellStyle name="Normal 34 22" xfId="29950" xr:uid="{00000000-0005-0000-0000-0000EA740000}"/>
    <cellStyle name="Normal 34 23" xfId="29951" xr:uid="{00000000-0005-0000-0000-0000EB740000}"/>
    <cellStyle name="Normal 34 24" xfId="29952" xr:uid="{00000000-0005-0000-0000-0000EC740000}"/>
    <cellStyle name="Normal 34 25" xfId="29953" xr:uid="{00000000-0005-0000-0000-0000ED740000}"/>
    <cellStyle name="Normal 34 26" xfId="29954" xr:uid="{00000000-0005-0000-0000-0000EE740000}"/>
    <cellStyle name="Normal 34 3" xfId="29955" xr:uid="{00000000-0005-0000-0000-0000EF740000}"/>
    <cellStyle name="Normal 34 3 2" xfId="29956" xr:uid="{00000000-0005-0000-0000-0000F0740000}"/>
    <cellStyle name="Normal 34 3 3" xfId="29957" xr:uid="{00000000-0005-0000-0000-0000F1740000}"/>
    <cellStyle name="Normal 34 3 4" xfId="29958" xr:uid="{00000000-0005-0000-0000-0000F2740000}"/>
    <cellStyle name="Normal 34 3 5" xfId="29959" xr:uid="{00000000-0005-0000-0000-0000F3740000}"/>
    <cellStyle name="Normal 34 4" xfId="29960" xr:uid="{00000000-0005-0000-0000-0000F4740000}"/>
    <cellStyle name="Normal 34 5" xfId="29961" xr:uid="{00000000-0005-0000-0000-0000F5740000}"/>
    <cellStyle name="Normal 34 6" xfId="29962" xr:uid="{00000000-0005-0000-0000-0000F6740000}"/>
    <cellStyle name="Normal 34 7" xfId="29963" xr:uid="{00000000-0005-0000-0000-0000F7740000}"/>
    <cellStyle name="Normal 34 8" xfId="29964" xr:uid="{00000000-0005-0000-0000-0000F8740000}"/>
    <cellStyle name="Normal 34 9" xfId="29965" xr:uid="{00000000-0005-0000-0000-0000F9740000}"/>
    <cellStyle name="Normal 35" xfId="29966" xr:uid="{00000000-0005-0000-0000-0000FA740000}"/>
    <cellStyle name="Normal 35 10" xfId="29967" xr:uid="{00000000-0005-0000-0000-0000FB740000}"/>
    <cellStyle name="Normal 35 11" xfId="29968" xr:uid="{00000000-0005-0000-0000-0000FC740000}"/>
    <cellStyle name="Normal 35 12" xfId="29969" xr:uid="{00000000-0005-0000-0000-0000FD740000}"/>
    <cellStyle name="Normal 35 13" xfId="29970" xr:uid="{00000000-0005-0000-0000-0000FE740000}"/>
    <cellStyle name="Normal 35 14" xfId="29971" xr:uid="{00000000-0005-0000-0000-0000FF740000}"/>
    <cellStyle name="Normal 35 15" xfId="29972" xr:uid="{00000000-0005-0000-0000-000000750000}"/>
    <cellStyle name="Normal 35 16" xfId="29973" xr:uid="{00000000-0005-0000-0000-000001750000}"/>
    <cellStyle name="Normal 35 17" xfId="29974" xr:uid="{00000000-0005-0000-0000-000002750000}"/>
    <cellStyle name="Normal 35 18" xfId="29975" xr:uid="{00000000-0005-0000-0000-000003750000}"/>
    <cellStyle name="Normal 35 19" xfId="29976" xr:uid="{00000000-0005-0000-0000-000004750000}"/>
    <cellStyle name="Normal 35 2" xfId="29977" xr:uid="{00000000-0005-0000-0000-000005750000}"/>
    <cellStyle name="Normal 35 2 2" xfId="29978" xr:uid="{00000000-0005-0000-0000-000006750000}"/>
    <cellStyle name="Normal 35 2 3" xfId="29979" xr:uid="{00000000-0005-0000-0000-000007750000}"/>
    <cellStyle name="Normal 35 20" xfId="29980" xr:uid="{00000000-0005-0000-0000-000008750000}"/>
    <cellStyle name="Normal 35 21" xfId="29981" xr:uid="{00000000-0005-0000-0000-000009750000}"/>
    <cellStyle name="Normal 35 22" xfId="29982" xr:uid="{00000000-0005-0000-0000-00000A750000}"/>
    <cellStyle name="Normal 35 23" xfId="29983" xr:uid="{00000000-0005-0000-0000-00000B750000}"/>
    <cellStyle name="Normal 35 24" xfId="29984" xr:uid="{00000000-0005-0000-0000-00000C750000}"/>
    <cellStyle name="Normal 35 25" xfId="29985" xr:uid="{00000000-0005-0000-0000-00000D750000}"/>
    <cellStyle name="Normal 35 3" xfId="29986" xr:uid="{00000000-0005-0000-0000-00000E750000}"/>
    <cellStyle name="Normal 35 3 2" xfId="29987" xr:uid="{00000000-0005-0000-0000-00000F750000}"/>
    <cellStyle name="Normal 35 3 3" xfId="29988" xr:uid="{00000000-0005-0000-0000-000010750000}"/>
    <cellStyle name="Normal 35 3 4" xfId="29989" xr:uid="{00000000-0005-0000-0000-000011750000}"/>
    <cellStyle name="Normal 35 3 5" xfId="29990" xr:uid="{00000000-0005-0000-0000-000012750000}"/>
    <cellStyle name="Normal 35 4" xfId="29991" xr:uid="{00000000-0005-0000-0000-000013750000}"/>
    <cellStyle name="Normal 35 5" xfId="29992" xr:uid="{00000000-0005-0000-0000-000014750000}"/>
    <cellStyle name="Normal 35 6" xfId="29993" xr:uid="{00000000-0005-0000-0000-000015750000}"/>
    <cellStyle name="Normal 35 7" xfId="29994" xr:uid="{00000000-0005-0000-0000-000016750000}"/>
    <cellStyle name="Normal 35 8" xfId="29995" xr:uid="{00000000-0005-0000-0000-000017750000}"/>
    <cellStyle name="Normal 35 9" xfId="29996" xr:uid="{00000000-0005-0000-0000-000018750000}"/>
    <cellStyle name="Normal 36" xfId="29997" xr:uid="{00000000-0005-0000-0000-000019750000}"/>
    <cellStyle name="Normal 36 2" xfId="29998" xr:uid="{00000000-0005-0000-0000-00001A750000}"/>
    <cellStyle name="Normal 36 3" xfId="29999" xr:uid="{00000000-0005-0000-0000-00001B750000}"/>
    <cellStyle name="Normal 36 4" xfId="30000" xr:uid="{00000000-0005-0000-0000-00001C750000}"/>
    <cellStyle name="Normal 37" xfId="30001" xr:uid="{00000000-0005-0000-0000-00001D750000}"/>
    <cellStyle name="Normal 37 10" xfId="30002" xr:uid="{00000000-0005-0000-0000-00001E750000}"/>
    <cellStyle name="Normal 37 11" xfId="30003" xr:uid="{00000000-0005-0000-0000-00001F750000}"/>
    <cellStyle name="Normal 37 12" xfId="30004" xr:uid="{00000000-0005-0000-0000-000020750000}"/>
    <cellStyle name="Normal 37 13" xfId="30005" xr:uid="{00000000-0005-0000-0000-000021750000}"/>
    <cellStyle name="Normal 37 14" xfId="30006" xr:uid="{00000000-0005-0000-0000-000022750000}"/>
    <cellStyle name="Normal 37 15" xfId="30007" xr:uid="{00000000-0005-0000-0000-000023750000}"/>
    <cellStyle name="Normal 37 16" xfId="30008" xr:uid="{00000000-0005-0000-0000-000024750000}"/>
    <cellStyle name="Normal 37 17" xfId="30009" xr:uid="{00000000-0005-0000-0000-000025750000}"/>
    <cellStyle name="Normal 37 18" xfId="30010" xr:uid="{00000000-0005-0000-0000-000026750000}"/>
    <cellStyle name="Normal 37 19" xfId="30011" xr:uid="{00000000-0005-0000-0000-000027750000}"/>
    <cellStyle name="Normal 37 2" xfId="30012" xr:uid="{00000000-0005-0000-0000-000028750000}"/>
    <cellStyle name="Normal 37 2 2" xfId="30013" xr:uid="{00000000-0005-0000-0000-000029750000}"/>
    <cellStyle name="Normal 37 20" xfId="30014" xr:uid="{00000000-0005-0000-0000-00002A750000}"/>
    <cellStyle name="Normal 37 21" xfId="30015" xr:uid="{00000000-0005-0000-0000-00002B750000}"/>
    <cellStyle name="Normal 37 22" xfId="30016" xr:uid="{00000000-0005-0000-0000-00002C750000}"/>
    <cellStyle name="Normal 37 23" xfId="30017" xr:uid="{00000000-0005-0000-0000-00002D750000}"/>
    <cellStyle name="Normal 37 24" xfId="30018" xr:uid="{00000000-0005-0000-0000-00002E750000}"/>
    <cellStyle name="Normal 37 25" xfId="30019" xr:uid="{00000000-0005-0000-0000-00002F750000}"/>
    <cellStyle name="Normal 37 26" xfId="30020" xr:uid="{00000000-0005-0000-0000-000030750000}"/>
    <cellStyle name="Normal 37 3" xfId="30021" xr:uid="{00000000-0005-0000-0000-000031750000}"/>
    <cellStyle name="Normal 37 3 2" xfId="30022" xr:uid="{00000000-0005-0000-0000-000032750000}"/>
    <cellStyle name="Normal 37 4" xfId="30023" xr:uid="{00000000-0005-0000-0000-000033750000}"/>
    <cellStyle name="Normal 37 4 2" xfId="30024" xr:uid="{00000000-0005-0000-0000-000034750000}"/>
    <cellStyle name="Normal 37 5" xfId="30025" xr:uid="{00000000-0005-0000-0000-000035750000}"/>
    <cellStyle name="Normal 37 5 2" xfId="30026" xr:uid="{00000000-0005-0000-0000-000036750000}"/>
    <cellStyle name="Normal 37 6" xfId="30027" xr:uid="{00000000-0005-0000-0000-000037750000}"/>
    <cellStyle name="Normal 37 7" xfId="30028" xr:uid="{00000000-0005-0000-0000-000038750000}"/>
    <cellStyle name="Normal 37 8" xfId="30029" xr:uid="{00000000-0005-0000-0000-000039750000}"/>
    <cellStyle name="Normal 37 9" xfId="30030" xr:uid="{00000000-0005-0000-0000-00003A750000}"/>
    <cellStyle name="Normal 38" xfId="30031" xr:uid="{00000000-0005-0000-0000-00003B750000}"/>
    <cellStyle name="Normal 38 10" xfId="30032" xr:uid="{00000000-0005-0000-0000-00003C750000}"/>
    <cellStyle name="Normal 38 11" xfId="30033" xr:uid="{00000000-0005-0000-0000-00003D750000}"/>
    <cellStyle name="Normal 38 12" xfId="30034" xr:uid="{00000000-0005-0000-0000-00003E750000}"/>
    <cellStyle name="Normal 38 13" xfId="30035" xr:uid="{00000000-0005-0000-0000-00003F750000}"/>
    <cellStyle name="Normal 38 14" xfId="30036" xr:uid="{00000000-0005-0000-0000-000040750000}"/>
    <cellStyle name="Normal 38 15" xfId="30037" xr:uid="{00000000-0005-0000-0000-000041750000}"/>
    <cellStyle name="Normal 38 16" xfId="30038" xr:uid="{00000000-0005-0000-0000-000042750000}"/>
    <cellStyle name="Normal 38 17" xfId="30039" xr:uid="{00000000-0005-0000-0000-000043750000}"/>
    <cellStyle name="Normal 38 18" xfId="30040" xr:uid="{00000000-0005-0000-0000-000044750000}"/>
    <cellStyle name="Normal 38 19" xfId="30041" xr:uid="{00000000-0005-0000-0000-000045750000}"/>
    <cellStyle name="Normal 38 2" xfId="30042" xr:uid="{00000000-0005-0000-0000-000046750000}"/>
    <cellStyle name="Normal 38 2 2" xfId="30043" xr:uid="{00000000-0005-0000-0000-000047750000}"/>
    <cellStyle name="Normal 38 20" xfId="30044" xr:uid="{00000000-0005-0000-0000-000048750000}"/>
    <cellStyle name="Normal 38 21" xfId="30045" xr:uid="{00000000-0005-0000-0000-000049750000}"/>
    <cellStyle name="Normal 38 22" xfId="30046" xr:uid="{00000000-0005-0000-0000-00004A750000}"/>
    <cellStyle name="Normal 38 23" xfId="30047" xr:uid="{00000000-0005-0000-0000-00004B750000}"/>
    <cellStyle name="Normal 38 24" xfId="30048" xr:uid="{00000000-0005-0000-0000-00004C750000}"/>
    <cellStyle name="Normal 38 25" xfId="30049" xr:uid="{00000000-0005-0000-0000-00004D750000}"/>
    <cellStyle name="Normal 38 26" xfId="30050" xr:uid="{00000000-0005-0000-0000-00004E750000}"/>
    <cellStyle name="Normal 38 3" xfId="30051" xr:uid="{00000000-0005-0000-0000-00004F750000}"/>
    <cellStyle name="Normal 38 3 2" xfId="30052" xr:uid="{00000000-0005-0000-0000-000050750000}"/>
    <cellStyle name="Normal 38 4" xfId="30053" xr:uid="{00000000-0005-0000-0000-000051750000}"/>
    <cellStyle name="Normal 38 4 2" xfId="30054" xr:uid="{00000000-0005-0000-0000-000052750000}"/>
    <cellStyle name="Normal 38 5" xfId="30055" xr:uid="{00000000-0005-0000-0000-000053750000}"/>
    <cellStyle name="Normal 38 5 2" xfId="30056" xr:uid="{00000000-0005-0000-0000-000054750000}"/>
    <cellStyle name="Normal 38 6" xfId="30057" xr:uid="{00000000-0005-0000-0000-000055750000}"/>
    <cellStyle name="Normal 38 7" xfId="30058" xr:uid="{00000000-0005-0000-0000-000056750000}"/>
    <cellStyle name="Normal 38 8" xfId="30059" xr:uid="{00000000-0005-0000-0000-000057750000}"/>
    <cellStyle name="Normal 38 9" xfId="30060" xr:uid="{00000000-0005-0000-0000-000058750000}"/>
    <cellStyle name="Normal 39" xfId="30061" xr:uid="{00000000-0005-0000-0000-000059750000}"/>
    <cellStyle name="Normal 39 10" xfId="30062" xr:uid="{00000000-0005-0000-0000-00005A750000}"/>
    <cellStyle name="Normal 39 11" xfId="30063" xr:uid="{00000000-0005-0000-0000-00005B750000}"/>
    <cellStyle name="Normal 39 12" xfId="30064" xr:uid="{00000000-0005-0000-0000-00005C750000}"/>
    <cellStyle name="Normal 39 13" xfId="30065" xr:uid="{00000000-0005-0000-0000-00005D750000}"/>
    <cellStyle name="Normal 39 14" xfId="30066" xr:uid="{00000000-0005-0000-0000-00005E750000}"/>
    <cellStyle name="Normal 39 15" xfId="30067" xr:uid="{00000000-0005-0000-0000-00005F750000}"/>
    <cellStyle name="Normal 39 16" xfId="30068" xr:uid="{00000000-0005-0000-0000-000060750000}"/>
    <cellStyle name="Normal 39 17" xfId="30069" xr:uid="{00000000-0005-0000-0000-000061750000}"/>
    <cellStyle name="Normal 39 18" xfId="30070" xr:uid="{00000000-0005-0000-0000-000062750000}"/>
    <cellStyle name="Normal 39 19" xfId="30071" xr:uid="{00000000-0005-0000-0000-000063750000}"/>
    <cellStyle name="Normal 39 2" xfId="30072" xr:uid="{00000000-0005-0000-0000-000064750000}"/>
    <cellStyle name="Normal 39 2 2" xfId="30073" xr:uid="{00000000-0005-0000-0000-000065750000}"/>
    <cellStyle name="Normal 39 20" xfId="30074" xr:uid="{00000000-0005-0000-0000-000066750000}"/>
    <cellStyle name="Normal 39 21" xfId="30075" xr:uid="{00000000-0005-0000-0000-000067750000}"/>
    <cellStyle name="Normal 39 22" xfId="30076" xr:uid="{00000000-0005-0000-0000-000068750000}"/>
    <cellStyle name="Normal 39 23" xfId="30077" xr:uid="{00000000-0005-0000-0000-000069750000}"/>
    <cellStyle name="Normal 39 24" xfId="30078" xr:uid="{00000000-0005-0000-0000-00006A750000}"/>
    <cellStyle name="Normal 39 25" xfId="30079" xr:uid="{00000000-0005-0000-0000-00006B750000}"/>
    <cellStyle name="Normal 39 26" xfId="30080" xr:uid="{00000000-0005-0000-0000-00006C750000}"/>
    <cellStyle name="Normal 39 3" xfId="30081" xr:uid="{00000000-0005-0000-0000-00006D750000}"/>
    <cellStyle name="Normal 39 3 2" xfId="30082" xr:uid="{00000000-0005-0000-0000-00006E750000}"/>
    <cellStyle name="Normal 39 4" xfId="30083" xr:uid="{00000000-0005-0000-0000-00006F750000}"/>
    <cellStyle name="Normal 39 4 2" xfId="30084" xr:uid="{00000000-0005-0000-0000-000070750000}"/>
    <cellStyle name="Normal 39 5" xfId="30085" xr:uid="{00000000-0005-0000-0000-000071750000}"/>
    <cellStyle name="Normal 39 5 2" xfId="30086" xr:uid="{00000000-0005-0000-0000-000072750000}"/>
    <cellStyle name="Normal 39 6" xfId="30087" xr:uid="{00000000-0005-0000-0000-000073750000}"/>
    <cellStyle name="Normal 39 7" xfId="30088" xr:uid="{00000000-0005-0000-0000-000074750000}"/>
    <cellStyle name="Normal 39 8" xfId="30089" xr:uid="{00000000-0005-0000-0000-000075750000}"/>
    <cellStyle name="Normal 39 9" xfId="30090" xr:uid="{00000000-0005-0000-0000-000076750000}"/>
    <cellStyle name="Normal 4" xfId="16" xr:uid="{00000000-0005-0000-0000-000077750000}"/>
    <cellStyle name="Normal 4 10" xfId="30092" xr:uid="{00000000-0005-0000-0000-000078750000}"/>
    <cellStyle name="Normal 4 10 2" xfId="30093" xr:uid="{00000000-0005-0000-0000-000079750000}"/>
    <cellStyle name="Normal 4 10 3" xfId="30094" xr:uid="{00000000-0005-0000-0000-00007A750000}"/>
    <cellStyle name="Normal 4 10 4" xfId="30095" xr:uid="{00000000-0005-0000-0000-00007B750000}"/>
    <cellStyle name="Normal 4 10 5" xfId="30096" xr:uid="{00000000-0005-0000-0000-00007C750000}"/>
    <cellStyle name="Normal 4 10_Enlaces" xfId="30097" xr:uid="{00000000-0005-0000-0000-00007D750000}"/>
    <cellStyle name="Normal 4 100" xfId="30098" xr:uid="{00000000-0005-0000-0000-00007E750000}"/>
    <cellStyle name="Normal 4 100 2" xfId="30099" xr:uid="{00000000-0005-0000-0000-00007F750000}"/>
    <cellStyle name="Normal 4 100 3" xfId="30100" xr:uid="{00000000-0005-0000-0000-000080750000}"/>
    <cellStyle name="Normal 4 101" xfId="30101" xr:uid="{00000000-0005-0000-0000-000081750000}"/>
    <cellStyle name="Normal 4 101 2" xfId="30102" xr:uid="{00000000-0005-0000-0000-000082750000}"/>
    <cellStyle name="Normal 4 101 3" xfId="30103" xr:uid="{00000000-0005-0000-0000-000083750000}"/>
    <cellStyle name="Normal 4 102" xfId="30104" xr:uid="{00000000-0005-0000-0000-000084750000}"/>
    <cellStyle name="Normal 4 102 2" xfId="30105" xr:uid="{00000000-0005-0000-0000-000085750000}"/>
    <cellStyle name="Normal 4 102 3" xfId="30106" xr:uid="{00000000-0005-0000-0000-000086750000}"/>
    <cellStyle name="Normal 4 103" xfId="30107" xr:uid="{00000000-0005-0000-0000-000087750000}"/>
    <cellStyle name="Normal 4 103 2" xfId="30108" xr:uid="{00000000-0005-0000-0000-000088750000}"/>
    <cellStyle name="Normal 4 103 3" xfId="30109" xr:uid="{00000000-0005-0000-0000-000089750000}"/>
    <cellStyle name="Normal 4 104" xfId="30110" xr:uid="{00000000-0005-0000-0000-00008A750000}"/>
    <cellStyle name="Normal 4 104 2" xfId="30111" xr:uid="{00000000-0005-0000-0000-00008B750000}"/>
    <cellStyle name="Normal 4 104 3" xfId="30112" xr:uid="{00000000-0005-0000-0000-00008C750000}"/>
    <cellStyle name="Normal 4 105" xfId="30113" xr:uid="{00000000-0005-0000-0000-00008D750000}"/>
    <cellStyle name="Normal 4 105 2" xfId="30114" xr:uid="{00000000-0005-0000-0000-00008E750000}"/>
    <cellStyle name="Normal 4 105 3" xfId="30115" xr:uid="{00000000-0005-0000-0000-00008F750000}"/>
    <cellStyle name="Normal 4 106" xfId="30116" xr:uid="{00000000-0005-0000-0000-000090750000}"/>
    <cellStyle name="Normal 4 106 2" xfId="30117" xr:uid="{00000000-0005-0000-0000-000091750000}"/>
    <cellStyle name="Normal 4 106 3" xfId="30118" xr:uid="{00000000-0005-0000-0000-000092750000}"/>
    <cellStyle name="Normal 4 107" xfId="30119" xr:uid="{00000000-0005-0000-0000-000093750000}"/>
    <cellStyle name="Normal 4 107 2" xfId="30120" xr:uid="{00000000-0005-0000-0000-000094750000}"/>
    <cellStyle name="Normal 4 107 3" xfId="30121" xr:uid="{00000000-0005-0000-0000-000095750000}"/>
    <cellStyle name="Normal 4 108" xfId="30122" xr:uid="{00000000-0005-0000-0000-000096750000}"/>
    <cellStyle name="Normal 4 108 2" xfId="30123" xr:uid="{00000000-0005-0000-0000-000097750000}"/>
    <cellStyle name="Normal 4 108 3" xfId="30124" xr:uid="{00000000-0005-0000-0000-000098750000}"/>
    <cellStyle name="Normal 4 109" xfId="30125" xr:uid="{00000000-0005-0000-0000-000099750000}"/>
    <cellStyle name="Normal 4 109 2" xfId="30126" xr:uid="{00000000-0005-0000-0000-00009A750000}"/>
    <cellStyle name="Normal 4 109 3" xfId="30127" xr:uid="{00000000-0005-0000-0000-00009B750000}"/>
    <cellStyle name="Normal 4 11" xfId="30128" xr:uid="{00000000-0005-0000-0000-00009C750000}"/>
    <cellStyle name="Normal 4 11 2" xfId="30129" xr:uid="{00000000-0005-0000-0000-00009D750000}"/>
    <cellStyle name="Normal 4 11 3" xfId="30130" xr:uid="{00000000-0005-0000-0000-00009E750000}"/>
    <cellStyle name="Normal 4 11 4" xfId="30131" xr:uid="{00000000-0005-0000-0000-00009F750000}"/>
    <cellStyle name="Normal 4 11 5" xfId="30132" xr:uid="{00000000-0005-0000-0000-0000A0750000}"/>
    <cellStyle name="Normal 4 11_Enlaces" xfId="30133" xr:uid="{00000000-0005-0000-0000-0000A1750000}"/>
    <cellStyle name="Normal 4 110" xfId="30134" xr:uid="{00000000-0005-0000-0000-0000A2750000}"/>
    <cellStyle name="Normal 4 110 2" xfId="30135" xr:uid="{00000000-0005-0000-0000-0000A3750000}"/>
    <cellStyle name="Normal 4 110 3" xfId="30136" xr:uid="{00000000-0005-0000-0000-0000A4750000}"/>
    <cellStyle name="Normal 4 111" xfId="30137" xr:uid="{00000000-0005-0000-0000-0000A5750000}"/>
    <cellStyle name="Normal 4 111 2" xfId="30138" xr:uid="{00000000-0005-0000-0000-0000A6750000}"/>
    <cellStyle name="Normal 4 111 3" xfId="30139" xr:uid="{00000000-0005-0000-0000-0000A7750000}"/>
    <cellStyle name="Normal 4 112" xfId="30140" xr:uid="{00000000-0005-0000-0000-0000A8750000}"/>
    <cellStyle name="Normal 4 112 2" xfId="30141" xr:uid="{00000000-0005-0000-0000-0000A9750000}"/>
    <cellStyle name="Normal 4 112 3" xfId="30142" xr:uid="{00000000-0005-0000-0000-0000AA750000}"/>
    <cellStyle name="Normal 4 113" xfId="30143" xr:uid="{00000000-0005-0000-0000-0000AB750000}"/>
    <cellStyle name="Normal 4 113 2" xfId="30144" xr:uid="{00000000-0005-0000-0000-0000AC750000}"/>
    <cellStyle name="Normal 4 113 3" xfId="30145" xr:uid="{00000000-0005-0000-0000-0000AD750000}"/>
    <cellStyle name="Normal 4 114" xfId="30146" xr:uid="{00000000-0005-0000-0000-0000AE750000}"/>
    <cellStyle name="Normal 4 114 2" xfId="30147" xr:uid="{00000000-0005-0000-0000-0000AF750000}"/>
    <cellStyle name="Normal 4 114 3" xfId="30148" xr:uid="{00000000-0005-0000-0000-0000B0750000}"/>
    <cellStyle name="Normal 4 115" xfId="30149" xr:uid="{00000000-0005-0000-0000-0000B1750000}"/>
    <cellStyle name="Normal 4 115 2" xfId="30150" xr:uid="{00000000-0005-0000-0000-0000B2750000}"/>
    <cellStyle name="Normal 4 115 3" xfId="30151" xr:uid="{00000000-0005-0000-0000-0000B3750000}"/>
    <cellStyle name="Normal 4 116" xfId="30152" xr:uid="{00000000-0005-0000-0000-0000B4750000}"/>
    <cellStyle name="Normal 4 116 2" xfId="30153" xr:uid="{00000000-0005-0000-0000-0000B5750000}"/>
    <cellStyle name="Normal 4 116 3" xfId="30154" xr:uid="{00000000-0005-0000-0000-0000B6750000}"/>
    <cellStyle name="Normal 4 117" xfId="30155" xr:uid="{00000000-0005-0000-0000-0000B7750000}"/>
    <cellStyle name="Normal 4 117 2" xfId="30156" xr:uid="{00000000-0005-0000-0000-0000B8750000}"/>
    <cellStyle name="Normal 4 117 3" xfId="30157" xr:uid="{00000000-0005-0000-0000-0000B9750000}"/>
    <cellStyle name="Normal 4 118" xfId="30158" xr:uid="{00000000-0005-0000-0000-0000BA750000}"/>
    <cellStyle name="Normal 4 118 2" xfId="30159" xr:uid="{00000000-0005-0000-0000-0000BB750000}"/>
    <cellStyle name="Normal 4 118 3" xfId="30160" xr:uid="{00000000-0005-0000-0000-0000BC750000}"/>
    <cellStyle name="Normal 4 119" xfId="30161" xr:uid="{00000000-0005-0000-0000-0000BD750000}"/>
    <cellStyle name="Normal 4 119 2" xfId="30162" xr:uid="{00000000-0005-0000-0000-0000BE750000}"/>
    <cellStyle name="Normal 4 119 3" xfId="30163" xr:uid="{00000000-0005-0000-0000-0000BF750000}"/>
    <cellStyle name="Normal 4 12" xfId="30164" xr:uid="{00000000-0005-0000-0000-0000C0750000}"/>
    <cellStyle name="Normal 4 12 2" xfId="30165" xr:uid="{00000000-0005-0000-0000-0000C1750000}"/>
    <cellStyle name="Normal 4 12 3" xfId="30166" xr:uid="{00000000-0005-0000-0000-0000C2750000}"/>
    <cellStyle name="Normal 4 12 4" xfId="30167" xr:uid="{00000000-0005-0000-0000-0000C3750000}"/>
    <cellStyle name="Normal 4 12 5" xfId="30168" xr:uid="{00000000-0005-0000-0000-0000C4750000}"/>
    <cellStyle name="Normal 4 12_Enlaces" xfId="30169" xr:uid="{00000000-0005-0000-0000-0000C5750000}"/>
    <cellStyle name="Normal 4 120" xfId="30170" xr:uid="{00000000-0005-0000-0000-0000C6750000}"/>
    <cellStyle name="Normal 4 120 2" xfId="30171" xr:uid="{00000000-0005-0000-0000-0000C7750000}"/>
    <cellStyle name="Normal 4 120 3" xfId="30172" xr:uid="{00000000-0005-0000-0000-0000C8750000}"/>
    <cellStyle name="Normal 4 121" xfId="30173" xr:uid="{00000000-0005-0000-0000-0000C9750000}"/>
    <cellStyle name="Normal 4 121 2" xfId="30174" xr:uid="{00000000-0005-0000-0000-0000CA750000}"/>
    <cellStyle name="Normal 4 121 3" xfId="30175" xr:uid="{00000000-0005-0000-0000-0000CB750000}"/>
    <cellStyle name="Normal 4 122" xfId="30176" xr:uid="{00000000-0005-0000-0000-0000CC750000}"/>
    <cellStyle name="Normal 4 122 2" xfId="30177" xr:uid="{00000000-0005-0000-0000-0000CD750000}"/>
    <cellStyle name="Normal 4 122 3" xfId="30178" xr:uid="{00000000-0005-0000-0000-0000CE750000}"/>
    <cellStyle name="Normal 4 123" xfId="30179" xr:uid="{00000000-0005-0000-0000-0000CF750000}"/>
    <cellStyle name="Normal 4 123 2" xfId="30180" xr:uid="{00000000-0005-0000-0000-0000D0750000}"/>
    <cellStyle name="Normal 4 123 3" xfId="30181" xr:uid="{00000000-0005-0000-0000-0000D1750000}"/>
    <cellStyle name="Normal 4 124" xfId="30182" xr:uid="{00000000-0005-0000-0000-0000D2750000}"/>
    <cellStyle name="Normal 4 125" xfId="30183" xr:uid="{00000000-0005-0000-0000-0000D3750000}"/>
    <cellStyle name="Normal 4 126" xfId="30184" xr:uid="{00000000-0005-0000-0000-0000D4750000}"/>
    <cellStyle name="Normal 4 127" xfId="30185" xr:uid="{00000000-0005-0000-0000-0000D5750000}"/>
    <cellStyle name="Normal 4 128" xfId="30186" xr:uid="{00000000-0005-0000-0000-0000D6750000}"/>
    <cellStyle name="Normal 4 129" xfId="30187" xr:uid="{00000000-0005-0000-0000-0000D7750000}"/>
    <cellStyle name="Normal 4 13" xfId="30188" xr:uid="{00000000-0005-0000-0000-0000D8750000}"/>
    <cellStyle name="Normal 4 13 2" xfId="30189" xr:uid="{00000000-0005-0000-0000-0000D9750000}"/>
    <cellStyle name="Normal 4 13 3" xfId="30190" xr:uid="{00000000-0005-0000-0000-0000DA750000}"/>
    <cellStyle name="Normal 4 13 4" xfId="30191" xr:uid="{00000000-0005-0000-0000-0000DB750000}"/>
    <cellStyle name="Normal 4 13 5" xfId="30192" xr:uid="{00000000-0005-0000-0000-0000DC750000}"/>
    <cellStyle name="Normal 4 13_Enlaces" xfId="30193" xr:uid="{00000000-0005-0000-0000-0000DD750000}"/>
    <cellStyle name="Normal 4 130" xfId="30194" xr:uid="{00000000-0005-0000-0000-0000DE750000}"/>
    <cellStyle name="Normal 4 131" xfId="30195" xr:uid="{00000000-0005-0000-0000-0000DF750000}"/>
    <cellStyle name="Normal 4 131 2" xfId="30196" xr:uid="{00000000-0005-0000-0000-0000E0750000}"/>
    <cellStyle name="Normal 4 132" xfId="30197" xr:uid="{00000000-0005-0000-0000-0000E1750000}"/>
    <cellStyle name="Normal 4 132 2" xfId="30198" xr:uid="{00000000-0005-0000-0000-0000E2750000}"/>
    <cellStyle name="Normal 4 133" xfId="30199" xr:uid="{00000000-0005-0000-0000-0000E3750000}"/>
    <cellStyle name="Normal 4 133 2" xfId="30200" xr:uid="{00000000-0005-0000-0000-0000E4750000}"/>
    <cellStyle name="Normal 4 134" xfId="30201" xr:uid="{00000000-0005-0000-0000-0000E5750000}"/>
    <cellStyle name="Normal 4 134 2" xfId="30202" xr:uid="{00000000-0005-0000-0000-0000E6750000}"/>
    <cellStyle name="Normal 4 135" xfId="30203" xr:uid="{00000000-0005-0000-0000-0000E7750000}"/>
    <cellStyle name="Normal 4 135 2" xfId="30204" xr:uid="{00000000-0005-0000-0000-0000E8750000}"/>
    <cellStyle name="Normal 4 136" xfId="30205" xr:uid="{00000000-0005-0000-0000-0000E9750000}"/>
    <cellStyle name="Normal 4 136 2" xfId="30206" xr:uid="{00000000-0005-0000-0000-0000EA750000}"/>
    <cellStyle name="Normal 4 137" xfId="30207" xr:uid="{00000000-0005-0000-0000-0000EB750000}"/>
    <cellStyle name="Normal 4 137 2" xfId="30208" xr:uid="{00000000-0005-0000-0000-0000EC750000}"/>
    <cellStyle name="Normal 4 138" xfId="30209" xr:uid="{00000000-0005-0000-0000-0000ED750000}"/>
    <cellStyle name="Normal 4 138 2" xfId="30210" xr:uid="{00000000-0005-0000-0000-0000EE750000}"/>
    <cellStyle name="Normal 4 139" xfId="30211" xr:uid="{00000000-0005-0000-0000-0000EF750000}"/>
    <cellStyle name="Normal 4 139 2" xfId="30212" xr:uid="{00000000-0005-0000-0000-0000F0750000}"/>
    <cellStyle name="Normal 4 14" xfId="30213" xr:uid="{00000000-0005-0000-0000-0000F1750000}"/>
    <cellStyle name="Normal 4 14 2" xfId="30214" xr:uid="{00000000-0005-0000-0000-0000F2750000}"/>
    <cellStyle name="Normal 4 14 3" xfId="30215" xr:uid="{00000000-0005-0000-0000-0000F3750000}"/>
    <cellStyle name="Normal 4 14 4" xfId="30216" xr:uid="{00000000-0005-0000-0000-0000F4750000}"/>
    <cellStyle name="Normal 4 14 5" xfId="30217" xr:uid="{00000000-0005-0000-0000-0000F5750000}"/>
    <cellStyle name="Normal 4 14_Enlaces" xfId="30218" xr:uid="{00000000-0005-0000-0000-0000F6750000}"/>
    <cellStyle name="Normal 4 140" xfId="30219" xr:uid="{00000000-0005-0000-0000-0000F7750000}"/>
    <cellStyle name="Normal 4 140 2" xfId="30220" xr:uid="{00000000-0005-0000-0000-0000F8750000}"/>
    <cellStyle name="Normal 4 141" xfId="30221" xr:uid="{00000000-0005-0000-0000-0000F9750000}"/>
    <cellStyle name="Normal 4 141 2" xfId="30222" xr:uid="{00000000-0005-0000-0000-0000FA750000}"/>
    <cellStyle name="Normal 4 142" xfId="30223" xr:uid="{00000000-0005-0000-0000-0000FB750000}"/>
    <cellStyle name="Normal 4 142 2" xfId="30224" xr:uid="{00000000-0005-0000-0000-0000FC750000}"/>
    <cellStyle name="Normal 4 143" xfId="30225" xr:uid="{00000000-0005-0000-0000-0000FD750000}"/>
    <cellStyle name="Normal 4 143 2" xfId="30226" xr:uid="{00000000-0005-0000-0000-0000FE750000}"/>
    <cellStyle name="Normal 4 144" xfId="30227" xr:uid="{00000000-0005-0000-0000-0000FF750000}"/>
    <cellStyle name="Normal 4 144 2" xfId="30228" xr:uid="{00000000-0005-0000-0000-000000760000}"/>
    <cellStyle name="Normal 4 145" xfId="30229" xr:uid="{00000000-0005-0000-0000-000001760000}"/>
    <cellStyle name="Normal 4 145 2" xfId="30230" xr:uid="{00000000-0005-0000-0000-000002760000}"/>
    <cellStyle name="Normal 4 146" xfId="30231" xr:uid="{00000000-0005-0000-0000-000003760000}"/>
    <cellStyle name="Normal 4 146 2" xfId="30232" xr:uid="{00000000-0005-0000-0000-000004760000}"/>
    <cellStyle name="Normal 4 147" xfId="30233" xr:uid="{00000000-0005-0000-0000-000005760000}"/>
    <cellStyle name="Normal 4 147 2" xfId="30234" xr:uid="{00000000-0005-0000-0000-000006760000}"/>
    <cellStyle name="Normal 4 148" xfId="30235" xr:uid="{00000000-0005-0000-0000-000007760000}"/>
    <cellStyle name="Normal 4 148 2" xfId="30236" xr:uid="{00000000-0005-0000-0000-000008760000}"/>
    <cellStyle name="Normal 4 148 3" xfId="30237" xr:uid="{00000000-0005-0000-0000-000009760000}"/>
    <cellStyle name="Normal 4 149" xfId="30238" xr:uid="{00000000-0005-0000-0000-00000A760000}"/>
    <cellStyle name="Normal 4 149 2" xfId="30239" xr:uid="{00000000-0005-0000-0000-00000B760000}"/>
    <cellStyle name="Normal 4 149 3" xfId="30240" xr:uid="{00000000-0005-0000-0000-00000C760000}"/>
    <cellStyle name="Normal 4 15" xfId="30241" xr:uid="{00000000-0005-0000-0000-00000D760000}"/>
    <cellStyle name="Normal 4 15 2" xfId="30242" xr:uid="{00000000-0005-0000-0000-00000E760000}"/>
    <cellStyle name="Normal 4 15 3" xfId="30243" xr:uid="{00000000-0005-0000-0000-00000F760000}"/>
    <cellStyle name="Normal 4 15 4" xfId="30244" xr:uid="{00000000-0005-0000-0000-000010760000}"/>
    <cellStyle name="Normal 4 15 5" xfId="30245" xr:uid="{00000000-0005-0000-0000-000011760000}"/>
    <cellStyle name="Normal 4 15_Enlaces" xfId="30246" xr:uid="{00000000-0005-0000-0000-000012760000}"/>
    <cellStyle name="Normal 4 150" xfId="30247" xr:uid="{00000000-0005-0000-0000-000013760000}"/>
    <cellStyle name="Normal 4 150 2" xfId="30248" xr:uid="{00000000-0005-0000-0000-000014760000}"/>
    <cellStyle name="Normal 4 150 3" xfId="30249" xr:uid="{00000000-0005-0000-0000-000015760000}"/>
    <cellStyle name="Normal 4 151" xfId="30250" xr:uid="{00000000-0005-0000-0000-000016760000}"/>
    <cellStyle name="Normal 4 151 2" xfId="30251" xr:uid="{00000000-0005-0000-0000-000017760000}"/>
    <cellStyle name="Normal 4 151 3" xfId="30252" xr:uid="{00000000-0005-0000-0000-000018760000}"/>
    <cellStyle name="Normal 4 152" xfId="30253" xr:uid="{00000000-0005-0000-0000-000019760000}"/>
    <cellStyle name="Normal 4 152 2" xfId="30254" xr:uid="{00000000-0005-0000-0000-00001A760000}"/>
    <cellStyle name="Normal 4 152 3" xfId="30255" xr:uid="{00000000-0005-0000-0000-00001B760000}"/>
    <cellStyle name="Normal 4 153" xfId="30256" xr:uid="{00000000-0005-0000-0000-00001C760000}"/>
    <cellStyle name="Normal 4 153 2" xfId="30257" xr:uid="{00000000-0005-0000-0000-00001D760000}"/>
    <cellStyle name="Normal 4 154" xfId="30258" xr:uid="{00000000-0005-0000-0000-00001E760000}"/>
    <cellStyle name="Normal 4 155" xfId="30259" xr:uid="{00000000-0005-0000-0000-00001F760000}"/>
    <cellStyle name="Normal 4 156" xfId="30260" xr:uid="{00000000-0005-0000-0000-000020760000}"/>
    <cellStyle name="Normal 4 157" xfId="30261" xr:uid="{00000000-0005-0000-0000-000021760000}"/>
    <cellStyle name="Normal 4 158" xfId="30262" xr:uid="{00000000-0005-0000-0000-000022760000}"/>
    <cellStyle name="Normal 4 159" xfId="30263" xr:uid="{00000000-0005-0000-0000-000023760000}"/>
    <cellStyle name="Normal 4 16" xfId="30264" xr:uid="{00000000-0005-0000-0000-000024760000}"/>
    <cellStyle name="Normal 4 16 2" xfId="30265" xr:uid="{00000000-0005-0000-0000-000025760000}"/>
    <cellStyle name="Normal 4 16 3" xfId="30266" xr:uid="{00000000-0005-0000-0000-000026760000}"/>
    <cellStyle name="Normal 4 16 4" xfId="30267" xr:uid="{00000000-0005-0000-0000-000027760000}"/>
    <cellStyle name="Normal 4 16 5" xfId="30268" xr:uid="{00000000-0005-0000-0000-000028760000}"/>
    <cellStyle name="Normal 4 16_Enlaces" xfId="30269" xr:uid="{00000000-0005-0000-0000-000029760000}"/>
    <cellStyle name="Normal 4 160" xfId="30270" xr:uid="{00000000-0005-0000-0000-00002A760000}"/>
    <cellStyle name="Normal 4 161" xfId="30271" xr:uid="{00000000-0005-0000-0000-00002B760000}"/>
    <cellStyle name="Normal 4 162" xfId="30272" xr:uid="{00000000-0005-0000-0000-00002C760000}"/>
    <cellStyle name="Normal 4 163" xfId="30273" xr:uid="{00000000-0005-0000-0000-00002D760000}"/>
    <cellStyle name="Normal 4 164" xfId="30274" xr:uid="{00000000-0005-0000-0000-00002E760000}"/>
    <cellStyle name="Normal 4 165" xfId="30275" xr:uid="{00000000-0005-0000-0000-00002F760000}"/>
    <cellStyle name="Normal 4 166" xfId="30276" xr:uid="{00000000-0005-0000-0000-000030760000}"/>
    <cellStyle name="Normal 4 167" xfId="30277" xr:uid="{00000000-0005-0000-0000-000031760000}"/>
    <cellStyle name="Normal 4 168" xfId="30278" xr:uid="{00000000-0005-0000-0000-000032760000}"/>
    <cellStyle name="Normal 4 169" xfId="30279" xr:uid="{00000000-0005-0000-0000-000033760000}"/>
    <cellStyle name="Normal 4 17" xfId="30280" xr:uid="{00000000-0005-0000-0000-000034760000}"/>
    <cellStyle name="Normal 4 17 2" xfId="30281" xr:uid="{00000000-0005-0000-0000-000035760000}"/>
    <cellStyle name="Normal 4 17 3" xfId="30282" xr:uid="{00000000-0005-0000-0000-000036760000}"/>
    <cellStyle name="Normal 4 17 4" xfId="30283" xr:uid="{00000000-0005-0000-0000-000037760000}"/>
    <cellStyle name="Normal 4 17 5" xfId="30284" xr:uid="{00000000-0005-0000-0000-000038760000}"/>
    <cellStyle name="Normal 4 17_Enlaces" xfId="30285" xr:uid="{00000000-0005-0000-0000-000039760000}"/>
    <cellStyle name="Normal 4 170" xfId="30286" xr:uid="{00000000-0005-0000-0000-00003A760000}"/>
    <cellStyle name="Normal 4 171" xfId="30287" xr:uid="{00000000-0005-0000-0000-00003B760000}"/>
    <cellStyle name="Normal 4 172" xfId="30091" xr:uid="{00000000-0005-0000-0000-00003C760000}"/>
    <cellStyle name="Normal 4 18" xfId="30288" xr:uid="{00000000-0005-0000-0000-00003D760000}"/>
    <cellStyle name="Normal 4 18 2" xfId="30289" xr:uid="{00000000-0005-0000-0000-00003E760000}"/>
    <cellStyle name="Normal 4 18 3" xfId="30290" xr:uid="{00000000-0005-0000-0000-00003F760000}"/>
    <cellStyle name="Normal 4 18 4" xfId="30291" xr:uid="{00000000-0005-0000-0000-000040760000}"/>
    <cellStyle name="Normal 4 18 5" xfId="30292" xr:uid="{00000000-0005-0000-0000-000041760000}"/>
    <cellStyle name="Normal 4 18_Enlaces" xfId="30293" xr:uid="{00000000-0005-0000-0000-000042760000}"/>
    <cellStyle name="Normal 4 19" xfId="30294" xr:uid="{00000000-0005-0000-0000-000043760000}"/>
    <cellStyle name="Normal 4 19 2" xfId="30295" xr:uid="{00000000-0005-0000-0000-000044760000}"/>
    <cellStyle name="Normal 4 19 3" xfId="30296" xr:uid="{00000000-0005-0000-0000-000045760000}"/>
    <cellStyle name="Normal 4 19 4" xfId="30297" xr:uid="{00000000-0005-0000-0000-000046760000}"/>
    <cellStyle name="Normal 4 19 5" xfId="30298" xr:uid="{00000000-0005-0000-0000-000047760000}"/>
    <cellStyle name="Normal 4 19_Enlaces" xfId="30299" xr:uid="{00000000-0005-0000-0000-000048760000}"/>
    <cellStyle name="Normal 4 2" xfId="60" xr:uid="{00000000-0005-0000-0000-000049760000}"/>
    <cellStyle name="Normal 4 2 10" xfId="30301" xr:uid="{00000000-0005-0000-0000-00004A760000}"/>
    <cellStyle name="Normal 4 2 10 2" xfId="30302" xr:uid="{00000000-0005-0000-0000-00004B760000}"/>
    <cellStyle name="Normal 4 2 11" xfId="30303" xr:uid="{00000000-0005-0000-0000-00004C760000}"/>
    <cellStyle name="Normal 4 2 11 2" xfId="30304" xr:uid="{00000000-0005-0000-0000-00004D760000}"/>
    <cellStyle name="Normal 4 2 12" xfId="30305" xr:uid="{00000000-0005-0000-0000-00004E760000}"/>
    <cellStyle name="Normal 4 2 12 2" xfId="30306" xr:uid="{00000000-0005-0000-0000-00004F760000}"/>
    <cellStyle name="Normal 4 2 13" xfId="30307" xr:uid="{00000000-0005-0000-0000-000050760000}"/>
    <cellStyle name="Normal 4 2 13 2" xfId="30308" xr:uid="{00000000-0005-0000-0000-000051760000}"/>
    <cellStyle name="Normal 4 2 14" xfId="30309" xr:uid="{00000000-0005-0000-0000-000052760000}"/>
    <cellStyle name="Normal 4 2 14 2" xfId="30310" xr:uid="{00000000-0005-0000-0000-000053760000}"/>
    <cellStyle name="Normal 4 2 15" xfId="30311" xr:uid="{00000000-0005-0000-0000-000054760000}"/>
    <cellStyle name="Normal 4 2 15 2" xfId="30312" xr:uid="{00000000-0005-0000-0000-000055760000}"/>
    <cellStyle name="Normal 4 2 16" xfId="30313" xr:uid="{00000000-0005-0000-0000-000056760000}"/>
    <cellStyle name="Normal 4 2 16 2" xfId="30314" xr:uid="{00000000-0005-0000-0000-000057760000}"/>
    <cellStyle name="Normal 4 2 17" xfId="30315" xr:uid="{00000000-0005-0000-0000-000058760000}"/>
    <cellStyle name="Normal 4 2 17 2" xfId="30316" xr:uid="{00000000-0005-0000-0000-000059760000}"/>
    <cellStyle name="Normal 4 2 18" xfId="30317" xr:uid="{00000000-0005-0000-0000-00005A760000}"/>
    <cellStyle name="Normal 4 2 18 2" xfId="30318" xr:uid="{00000000-0005-0000-0000-00005B760000}"/>
    <cellStyle name="Normal 4 2 19" xfId="30319" xr:uid="{00000000-0005-0000-0000-00005C760000}"/>
    <cellStyle name="Normal 4 2 19 2" xfId="30320" xr:uid="{00000000-0005-0000-0000-00005D760000}"/>
    <cellStyle name="Normal 4 2 2" xfId="30321" xr:uid="{00000000-0005-0000-0000-00005E760000}"/>
    <cellStyle name="Normal 4 2 2 2" xfId="30322" xr:uid="{00000000-0005-0000-0000-00005F760000}"/>
    <cellStyle name="Normal 4 2 20" xfId="30323" xr:uid="{00000000-0005-0000-0000-000060760000}"/>
    <cellStyle name="Normal 4 2 20 2" xfId="30324" xr:uid="{00000000-0005-0000-0000-000061760000}"/>
    <cellStyle name="Normal 4 2 21" xfId="30325" xr:uid="{00000000-0005-0000-0000-000062760000}"/>
    <cellStyle name="Normal 4 2 21 2" xfId="30326" xr:uid="{00000000-0005-0000-0000-000063760000}"/>
    <cellStyle name="Normal 4 2 22" xfId="30327" xr:uid="{00000000-0005-0000-0000-000064760000}"/>
    <cellStyle name="Normal 4 2 22 2" xfId="30328" xr:uid="{00000000-0005-0000-0000-000065760000}"/>
    <cellStyle name="Normal 4 2 23" xfId="30329" xr:uid="{00000000-0005-0000-0000-000066760000}"/>
    <cellStyle name="Normal 4 2 23 2" xfId="30330" xr:uid="{00000000-0005-0000-0000-000067760000}"/>
    <cellStyle name="Normal 4 2 24" xfId="30331" xr:uid="{00000000-0005-0000-0000-000068760000}"/>
    <cellStyle name="Normal 4 2 25" xfId="30332" xr:uid="{00000000-0005-0000-0000-000069760000}"/>
    <cellStyle name="Normal 4 2 26" xfId="30333" xr:uid="{00000000-0005-0000-0000-00006A760000}"/>
    <cellStyle name="Normal 4 2 27" xfId="30334" xr:uid="{00000000-0005-0000-0000-00006B760000}"/>
    <cellStyle name="Normal 4 2 28" xfId="30335" xr:uid="{00000000-0005-0000-0000-00006C760000}"/>
    <cellStyle name="Normal 4 2 29" xfId="30336" xr:uid="{00000000-0005-0000-0000-00006D760000}"/>
    <cellStyle name="Normal 4 2 3" xfId="30337" xr:uid="{00000000-0005-0000-0000-00006E760000}"/>
    <cellStyle name="Normal 4 2 3 2" xfId="30338" xr:uid="{00000000-0005-0000-0000-00006F760000}"/>
    <cellStyle name="Normal 4 2 30" xfId="30339" xr:uid="{00000000-0005-0000-0000-000070760000}"/>
    <cellStyle name="Normal 4 2 31" xfId="30340" xr:uid="{00000000-0005-0000-0000-000071760000}"/>
    <cellStyle name="Normal 4 2 32" xfId="30341" xr:uid="{00000000-0005-0000-0000-000072760000}"/>
    <cellStyle name="Normal 4 2 33" xfId="30342" xr:uid="{00000000-0005-0000-0000-000073760000}"/>
    <cellStyle name="Normal 4 2 34" xfId="30343" xr:uid="{00000000-0005-0000-0000-000074760000}"/>
    <cellStyle name="Normal 4 2 35" xfId="30344" xr:uid="{00000000-0005-0000-0000-000075760000}"/>
    <cellStyle name="Normal 4 2 36" xfId="30345" xr:uid="{00000000-0005-0000-0000-000076760000}"/>
    <cellStyle name="Normal 4 2 37" xfId="30346" xr:uid="{00000000-0005-0000-0000-000077760000}"/>
    <cellStyle name="Normal 4 2 38" xfId="30347" xr:uid="{00000000-0005-0000-0000-000078760000}"/>
    <cellStyle name="Normal 4 2 39" xfId="30348" xr:uid="{00000000-0005-0000-0000-000079760000}"/>
    <cellStyle name="Normal 4 2 4" xfId="30349" xr:uid="{00000000-0005-0000-0000-00007A760000}"/>
    <cellStyle name="Normal 4 2 4 2" xfId="30350" xr:uid="{00000000-0005-0000-0000-00007B760000}"/>
    <cellStyle name="Normal 4 2 40" xfId="30351" xr:uid="{00000000-0005-0000-0000-00007C760000}"/>
    <cellStyle name="Normal 4 2 41" xfId="30352" xr:uid="{00000000-0005-0000-0000-00007D760000}"/>
    <cellStyle name="Normal 4 2 42" xfId="30353" xr:uid="{00000000-0005-0000-0000-00007E760000}"/>
    <cellStyle name="Normal 4 2 43" xfId="30354" xr:uid="{00000000-0005-0000-0000-00007F760000}"/>
    <cellStyle name="Normal 4 2 44" xfId="30355" xr:uid="{00000000-0005-0000-0000-000080760000}"/>
    <cellStyle name="Normal 4 2 45" xfId="30356" xr:uid="{00000000-0005-0000-0000-000081760000}"/>
    <cellStyle name="Normal 4 2 46" xfId="30357" xr:uid="{00000000-0005-0000-0000-000082760000}"/>
    <cellStyle name="Normal 4 2 47" xfId="30358" xr:uid="{00000000-0005-0000-0000-000083760000}"/>
    <cellStyle name="Normal 4 2 48" xfId="30359" xr:uid="{00000000-0005-0000-0000-000084760000}"/>
    <cellStyle name="Normal 4 2 49" xfId="30360" xr:uid="{00000000-0005-0000-0000-000085760000}"/>
    <cellStyle name="Normal 4 2 5" xfId="30361" xr:uid="{00000000-0005-0000-0000-000086760000}"/>
    <cellStyle name="Normal 4 2 5 2" xfId="30362" xr:uid="{00000000-0005-0000-0000-000087760000}"/>
    <cellStyle name="Normal 4 2 50" xfId="30363" xr:uid="{00000000-0005-0000-0000-000088760000}"/>
    <cellStyle name="Normal 4 2 51" xfId="30364" xr:uid="{00000000-0005-0000-0000-000089760000}"/>
    <cellStyle name="Normal 4 2 52" xfId="30365" xr:uid="{00000000-0005-0000-0000-00008A760000}"/>
    <cellStyle name="Normal 4 2 53" xfId="30366" xr:uid="{00000000-0005-0000-0000-00008B760000}"/>
    <cellStyle name="Normal 4 2 54" xfId="30367" xr:uid="{00000000-0005-0000-0000-00008C760000}"/>
    <cellStyle name="Normal 4 2 55" xfId="30368" xr:uid="{00000000-0005-0000-0000-00008D760000}"/>
    <cellStyle name="Normal 4 2 56" xfId="30369" xr:uid="{00000000-0005-0000-0000-00008E760000}"/>
    <cellStyle name="Normal 4 2 57" xfId="30370" xr:uid="{00000000-0005-0000-0000-00008F760000}"/>
    <cellStyle name="Normal 4 2 58" xfId="30371" xr:uid="{00000000-0005-0000-0000-000090760000}"/>
    <cellStyle name="Normal 4 2 59" xfId="30372" xr:uid="{00000000-0005-0000-0000-000091760000}"/>
    <cellStyle name="Normal 4 2 6" xfId="30373" xr:uid="{00000000-0005-0000-0000-000092760000}"/>
    <cellStyle name="Normal 4 2 6 2" xfId="30374" xr:uid="{00000000-0005-0000-0000-000093760000}"/>
    <cellStyle name="Normal 4 2 60" xfId="30375" xr:uid="{00000000-0005-0000-0000-000094760000}"/>
    <cellStyle name="Normal 4 2 61" xfId="30376" xr:uid="{00000000-0005-0000-0000-000095760000}"/>
    <cellStyle name="Normal 4 2 62" xfId="30377" xr:uid="{00000000-0005-0000-0000-000096760000}"/>
    <cellStyle name="Normal 4 2 63" xfId="30378" xr:uid="{00000000-0005-0000-0000-000097760000}"/>
    <cellStyle name="Normal 4 2 64" xfId="30379" xr:uid="{00000000-0005-0000-0000-000098760000}"/>
    <cellStyle name="Normal 4 2 65" xfId="30380" xr:uid="{00000000-0005-0000-0000-000099760000}"/>
    <cellStyle name="Normal 4 2 66" xfId="30381" xr:uid="{00000000-0005-0000-0000-00009A760000}"/>
    <cellStyle name="Normal 4 2 67" xfId="30382" xr:uid="{00000000-0005-0000-0000-00009B760000}"/>
    <cellStyle name="Normal 4 2 68" xfId="30383" xr:uid="{00000000-0005-0000-0000-00009C760000}"/>
    <cellStyle name="Normal 4 2 69" xfId="30384" xr:uid="{00000000-0005-0000-0000-00009D760000}"/>
    <cellStyle name="Normal 4 2 7" xfId="30385" xr:uid="{00000000-0005-0000-0000-00009E760000}"/>
    <cellStyle name="Normal 4 2 7 2" xfId="30386" xr:uid="{00000000-0005-0000-0000-00009F760000}"/>
    <cellStyle name="Normal 4 2 70" xfId="30387" xr:uid="{00000000-0005-0000-0000-0000A0760000}"/>
    <cellStyle name="Normal 4 2 71" xfId="30388" xr:uid="{00000000-0005-0000-0000-0000A1760000}"/>
    <cellStyle name="Normal 4 2 72" xfId="30389" xr:uid="{00000000-0005-0000-0000-0000A2760000}"/>
    <cellStyle name="Normal 4 2 73" xfId="30390" xr:uid="{00000000-0005-0000-0000-0000A3760000}"/>
    <cellStyle name="Normal 4 2 74" xfId="30391" xr:uid="{00000000-0005-0000-0000-0000A4760000}"/>
    <cellStyle name="Normal 4 2 75" xfId="30392" xr:uid="{00000000-0005-0000-0000-0000A5760000}"/>
    <cellStyle name="Normal 4 2 76" xfId="30393" xr:uid="{00000000-0005-0000-0000-0000A6760000}"/>
    <cellStyle name="Normal 4 2 77" xfId="30394" xr:uid="{00000000-0005-0000-0000-0000A7760000}"/>
    <cellStyle name="Normal 4 2 78" xfId="30395" xr:uid="{00000000-0005-0000-0000-0000A8760000}"/>
    <cellStyle name="Normal 4 2 79" xfId="30396" xr:uid="{00000000-0005-0000-0000-0000A9760000}"/>
    <cellStyle name="Normal 4 2 8" xfId="30397" xr:uid="{00000000-0005-0000-0000-0000AA760000}"/>
    <cellStyle name="Normal 4 2 8 2" xfId="30398" xr:uid="{00000000-0005-0000-0000-0000AB760000}"/>
    <cellStyle name="Normal 4 2 80" xfId="30399" xr:uid="{00000000-0005-0000-0000-0000AC760000}"/>
    <cellStyle name="Normal 4 2 81" xfId="30400" xr:uid="{00000000-0005-0000-0000-0000AD760000}"/>
    <cellStyle name="Normal 4 2 82" xfId="30401" xr:uid="{00000000-0005-0000-0000-0000AE760000}"/>
    <cellStyle name="Normal 4 2 83" xfId="30402" xr:uid="{00000000-0005-0000-0000-0000AF760000}"/>
    <cellStyle name="Normal 4 2 84" xfId="30403" xr:uid="{00000000-0005-0000-0000-0000B0760000}"/>
    <cellStyle name="Normal 4 2 85" xfId="30404" xr:uid="{00000000-0005-0000-0000-0000B1760000}"/>
    <cellStyle name="Normal 4 2 86" xfId="30405" xr:uid="{00000000-0005-0000-0000-0000B2760000}"/>
    <cellStyle name="Normal 4 2 87" xfId="30406" xr:uid="{00000000-0005-0000-0000-0000B3760000}"/>
    <cellStyle name="Normal 4 2 87 2" xfId="30407" xr:uid="{00000000-0005-0000-0000-0000B4760000}"/>
    <cellStyle name="Normal 4 2 88" xfId="30300" xr:uid="{00000000-0005-0000-0000-0000B5760000}"/>
    <cellStyle name="Normal 4 2 9" xfId="30408" xr:uid="{00000000-0005-0000-0000-0000B6760000}"/>
    <cellStyle name="Normal 4 2 9 2" xfId="30409" xr:uid="{00000000-0005-0000-0000-0000B7760000}"/>
    <cellStyle name="Normal 4 2_Xa Parametrización de Usuarios" xfId="30410" xr:uid="{00000000-0005-0000-0000-0000B8760000}"/>
    <cellStyle name="Normal 4 20" xfId="30411" xr:uid="{00000000-0005-0000-0000-0000B9760000}"/>
    <cellStyle name="Normal 4 20 2" xfId="30412" xr:uid="{00000000-0005-0000-0000-0000BA760000}"/>
    <cellStyle name="Normal 4 20 3" xfId="30413" xr:uid="{00000000-0005-0000-0000-0000BB760000}"/>
    <cellStyle name="Normal 4 20 4" xfId="30414" xr:uid="{00000000-0005-0000-0000-0000BC760000}"/>
    <cellStyle name="Normal 4 20_Enlaces" xfId="30415" xr:uid="{00000000-0005-0000-0000-0000BD760000}"/>
    <cellStyle name="Normal 4 21" xfId="30416" xr:uid="{00000000-0005-0000-0000-0000BE760000}"/>
    <cellStyle name="Normal 4 21 2" xfId="30417" xr:uid="{00000000-0005-0000-0000-0000BF760000}"/>
    <cellStyle name="Normal 4 21 3" xfId="30418" xr:uid="{00000000-0005-0000-0000-0000C0760000}"/>
    <cellStyle name="Normal 4 21 4" xfId="30419" xr:uid="{00000000-0005-0000-0000-0000C1760000}"/>
    <cellStyle name="Normal 4 21_Enlaces" xfId="30420" xr:uid="{00000000-0005-0000-0000-0000C2760000}"/>
    <cellStyle name="Normal 4 22" xfId="30421" xr:uid="{00000000-0005-0000-0000-0000C3760000}"/>
    <cellStyle name="Normal 4 22 2" xfId="30422" xr:uid="{00000000-0005-0000-0000-0000C4760000}"/>
    <cellStyle name="Normal 4 22 3" xfId="30423" xr:uid="{00000000-0005-0000-0000-0000C5760000}"/>
    <cellStyle name="Normal 4 22 4" xfId="30424" xr:uid="{00000000-0005-0000-0000-0000C6760000}"/>
    <cellStyle name="Normal 4 22_Enlaces" xfId="30425" xr:uid="{00000000-0005-0000-0000-0000C7760000}"/>
    <cellStyle name="Normal 4 23" xfId="30426" xr:uid="{00000000-0005-0000-0000-0000C8760000}"/>
    <cellStyle name="Normal 4 23 2" xfId="30427" xr:uid="{00000000-0005-0000-0000-0000C9760000}"/>
    <cellStyle name="Normal 4 23 3" xfId="30428" xr:uid="{00000000-0005-0000-0000-0000CA760000}"/>
    <cellStyle name="Normal 4 23 4" xfId="30429" xr:uid="{00000000-0005-0000-0000-0000CB760000}"/>
    <cellStyle name="Normal 4 23_Enlaces" xfId="30430" xr:uid="{00000000-0005-0000-0000-0000CC760000}"/>
    <cellStyle name="Normal 4 24" xfId="30431" xr:uid="{00000000-0005-0000-0000-0000CD760000}"/>
    <cellStyle name="Normal 4 24 2" xfId="30432" xr:uid="{00000000-0005-0000-0000-0000CE760000}"/>
    <cellStyle name="Normal 4 24 3" xfId="30433" xr:uid="{00000000-0005-0000-0000-0000CF760000}"/>
    <cellStyle name="Normal 4 24 4" xfId="30434" xr:uid="{00000000-0005-0000-0000-0000D0760000}"/>
    <cellStyle name="Normal 4 24_Enlaces" xfId="30435" xr:uid="{00000000-0005-0000-0000-0000D1760000}"/>
    <cellStyle name="Normal 4 25" xfId="30436" xr:uid="{00000000-0005-0000-0000-0000D2760000}"/>
    <cellStyle name="Normal 4 25 2" xfId="30437" xr:uid="{00000000-0005-0000-0000-0000D3760000}"/>
    <cellStyle name="Normal 4 25 3" xfId="30438" xr:uid="{00000000-0005-0000-0000-0000D4760000}"/>
    <cellStyle name="Normal 4 25 4" xfId="30439" xr:uid="{00000000-0005-0000-0000-0000D5760000}"/>
    <cellStyle name="Normal 4 25_Enlaces" xfId="30440" xr:uid="{00000000-0005-0000-0000-0000D6760000}"/>
    <cellStyle name="Normal 4 26" xfId="30441" xr:uid="{00000000-0005-0000-0000-0000D7760000}"/>
    <cellStyle name="Normal 4 26 2" xfId="30442" xr:uid="{00000000-0005-0000-0000-0000D8760000}"/>
    <cellStyle name="Normal 4 26 3" xfId="30443" xr:uid="{00000000-0005-0000-0000-0000D9760000}"/>
    <cellStyle name="Normal 4 26 4" xfId="30444" xr:uid="{00000000-0005-0000-0000-0000DA760000}"/>
    <cellStyle name="Normal 4 26_Enlaces" xfId="30445" xr:uid="{00000000-0005-0000-0000-0000DB760000}"/>
    <cellStyle name="Normal 4 27" xfId="30446" xr:uid="{00000000-0005-0000-0000-0000DC760000}"/>
    <cellStyle name="Normal 4 27 2" xfId="30447" xr:uid="{00000000-0005-0000-0000-0000DD760000}"/>
    <cellStyle name="Normal 4 27 3" xfId="30448" xr:uid="{00000000-0005-0000-0000-0000DE760000}"/>
    <cellStyle name="Normal 4 28" xfId="30449" xr:uid="{00000000-0005-0000-0000-0000DF760000}"/>
    <cellStyle name="Normal 4 28 2" xfId="30450" xr:uid="{00000000-0005-0000-0000-0000E0760000}"/>
    <cellStyle name="Normal 4 28 3" xfId="30451" xr:uid="{00000000-0005-0000-0000-0000E1760000}"/>
    <cellStyle name="Normal 4 29" xfId="30452" xr:uid="{00000000-0005-0000-0000-0000E2760000}"/>
    <cellStyle name="Normal 4 29 2" xfId="30453" xr:uid="{00000000-0005-0000-0000-0000E3760000}"/>
    <cellStyle name="Normal 4 29 3" xfId="30454" xr:uid="{00000000-0005-0000-0000-0000E4760000}"/>
    <cellStyle name="Normal 4 3" xfId="41" xr:uid="{00000000-0005-0000-0000-0000E5760000}"/>
    <cellStyle name="Normal 4 3 10" xfId="30456" xr:uid="{00000000-0005-0000-0000-0000E6760000}"/>
    <cellStyle name="Normal 4 3 11" xfId="30457" xr:uid="{00000000-0005-0000-0000-0000E7760000}"/>
    <cellStyle name="Normal 4 3 12" xfId="30458" xr:uid="{00000000-0005-0000-0000-0000E8760000}"/>
    <cellStyle name="Normal 4 3 13" xfId="30459" xr:uid="{00000000-0005-0000-0000-0000E9760000}"/>
    <cellStyle name="Normal 4 3 14" xfId="30460" xr:uid="{00000000-0005-0000-0000-0000EA760000}"/>
    <cellStyle name="Normal 4 3 15" xfId="30461" xr:uid="{00000000-0005-0000-0000-0000EB760000}"/>
    <cellStyle name="Normal 4 3 16" xfId="30462" xr:uid="{00000000-0005-0000-0000-0000EC760000}"/>
    <cellStyle name="Normal 4 3 17" xfId="30463" xr:uid="{00000000-0005-0000-0000-0000ED760000}"/>
    <cellStyle name="Normal 4 3 18" xfId="30464" xr:uid="{00000000-0005-0000-0000-0000EE760000}"/>
    <cellStyle name="Normal 4 3 19" xfId="30465" xr:uid="{00000000-0005-0000-0000-0000EF760000}"/>
    <cellStyle name="Normal 4 3 2" xfId="30466" xr:uid="{00000000-0005-0000-0000-0000F0760000}"/>
    <cellStyle name="Normal 4 3 2 2" xfId="30467" xr:uid="{00000000-0005-0000-0000-0000F1760000}"/>
    <cellStyle name="Normal 4 3 20" xfId="30468" xr:uid="{00000000-0005-0000-0000-0000F2760000}"/>
    <cellStyle name="Normal 4 3 21" xfId="30469" xr:uid="{00000000-0005-0000-0000-0000F3760000}"/>
    <cellStyle name="Normal 4 3 22" xfId="30470" xr:uid="{00000000-0005-0000-0000-0000F4760000}"/>
    <cellStyle name="Normal 4 3 23" xfId="30471" xr:uid="{00000000-0005-0000-0000-0000F5760000}"/>
    <cellStyle name="Normal 4 3 24" xfId="30472" xr:uid="{00000000-0005-0000-0000-0000F6760000}"/>
    <cellStyle name="Normal 4 3 25" xfId="30473" xr:uid="{00000000-0005-0000-0000-0000F7760000}"/>
    <cellStyle name="Normal 4 3 26" xfId="30474" xr:uid="{00000000-0005-0000-0000-0000F8760000}"/>
    <cellStyle name="Normal 4 3 27" xfId="30475" xr:uid="{00000000-0005-0000-0000-0000F9760000}"/>
    <cellStyle name="Normal 4 3 28" xfId="30476" xr:uid="{00000000-0005-0000-0000-0000FA760000}"/>
    <cellStyle name="Normal 4 3 29" xfId="30477" xr:uid="{00000000-0005-0000-0000-0000FB760000}"/>
    <cellStyle name="Normal 4 3 3" xfId="30478" xr:uid="{00000000-0005-0000-0000-0000FC760000}"/>
    <cellStyle name="Normal 4 3 30" xfId="30479" xr:uid="{00000000-0005-0000-0000-0000FD760000}"/>
    <cellStyle name="Normal 4 3 31" xfId="30480" xr:uid="{00000000-0005-0000-0000-0000FE760000}"/>
    <cellStyle name="Normal 4 3 32" xfId="30481" xr:uid="{00000000-0005-0000-0000-0000FF760000}"/>
    <cellStyle name="Normal 4 3 33" xfId="30482" xr:uid="{00000000-0005-0000-0000-000000770000}"/>
    <cellStyle name="Normal 4 3 34" xfId="30483" xr:uid="{00000000-0005-0000-0000-000001770000}"/>
    <cellStyle name="Normal 4 3 35" xfId="30455" xr:uid="{00000000-0005-0000-0000-000002770000}"/>
    <cellStyle name="Normal 4 3 4" xfId="30484" xr:uid="{00000000-0005-0000-0000-000003770000}"/>
    <cellStyle name="Normal 4 3 5" xfId="30485" xr:uid="{00000000-0005-0000-0000-000004770000}"/>
    <cellStyle name="Normal 4 3 6" xfId="30486" xr:uid="{00000000-0005-0000-0000-000005770000}"/>
    <cellStyle name="Normal 4 3 7" xfId="30487" xr:uid="{00000000-0005-0000-0000-000006770000}"/>
    <cellStyle name="Normal 4 3 8" xfId="30488" xr:uid="{00000000-0005-0000-0000-000007770000}"/>
    <cellStyle name="Normal 4 3 9" xfId="30489" xr:uid="{00000000-0005-0000-0000-000008770000}"/>
    <cellStyle name="Normal 4 3_Enlaces" xfId="30490" xr:uid="{00000000-0005-0000-0000-000009770000}"/>
    <cellStyle name="Normal 4 30" xfId="30491" xr:uid="{00000000-0005-0000-0000-00000A770000}"/>
    <cellStyle name="Normal 4 30 2" xfId="30492" xr:uid="{00000000-0005-0000-0000-00000B770000}"/>
    <cellStyle name="Normal 4 30 3" xfId="30493" xr:uid="{00000000-0005-0000-0000-00000C770000}"/>
    <cellStyle name="Normal 4 31" xfId="30494" xr:uid="{00000000-0005-0000-0000-00000D770000}"/>
    <cellStyle name="Normal 4 31 2" xfId="30495" xr:uid="{00000000-0005-0000-0000-00000E770000}"/>
    <cellStyle name="Normal 4 31 3" xfId="30496" xr:uid="{00000000-0005-0000-0000-00000F770000}"/>
    <cellStyle name="Normal 4 32" xfId="30497" xr:uid="{00000000-0005-0000-0000-000010770000}"/>
    <cellStyle name="Normal 4 32 2" xfId="30498" xr:uid="{00000000-0005-0000-0000-000011770000}"/>
    <cellStyle name="Normal 4 32 3" xfId="30499" xr:uid="{00000000-0005-0000-0000-000012770000}"/>
    <cellStyle name="Normal 4 33" xfId="30500" xr:uid="{00000000-0005-0000-0000-000013770000}"/>
    <cellStyle name="Normal 4 33 2" xfId="30501" xr:uid="{00000000-0005-0000-0000-000014770000}"/>
    <cellStyle name="Normal 4 33 3" xfId="30502" xr:uid="{00000000-0005-0000-0000-000015770000}"/>
    <cellStyle name="Normal 4 34" xfId="30503" xr:uid="{00000000-0005-0000-0000-000016770000}"/>
    <cellStyle name="Normal 4 34 2" xfId="30504" xr:uid="{00000000-0005-0000-0000-000017770000}"/>
    <cellStyle name="Normal 4 34 3" xfId="30505" xr:uid="{00000000-0005-0000-0000-000018770000}"/>
    <cellStyle name="Normal 4 35" xfId="30506" xr:uid="{00000000-0005-0000-0000-000019770000}"/>
    <cellStyle name="Normal 4 35 2" xfId="30507" xr:uid="{00000000-0005-0000-0000-00001A770000}"/>
    <cellStyle name="Normal 4 35 3" xfId="30508" xr:uid="{00000000-0005-0000-0000-00001B770000}"/>
    <cellStyle name="Normal 4 36" xfId="30509" xr:uid="{00000000-0005-0000-0000-00001C770000}"/>
    <cellStyle name="Normal 4 36 2" xfId="30510" xr:uid="{00000000-0005-0000-0000-00001D770000}"/>
    <cellStyle name="Normal 4 36 3" xfId="30511" xr:uid="{00000000-0005-0000-0000-00001E770000}"/>
    <cellStyle name="Normal 4 37" xfId="30512" xr:uid="{00000000-0005-0000-0000-00001F770000}"/>
    <cellStyle name="Normal 4 37 2" xfId="30513" xr:uid="{00000000-0005-0000-0000-000020770000}"/>
    <cellStyle name="Normal 4 37 3" xfId="30514" xr:uid="{00000000-0005-0000-0000-000021770000}"/>
    <cellStyle name="Normal 4 38" xfId="30515" xr:uid="{00000000-0005-0000-0000-000022770000}"/>
    <cellStyle name="Normal 4 38 2" xfId="30516" xr:uid="{00000000-0005-0000-0000-000023770000}"/>
    <cellStyle name="Normal 4 38 3" xfId="30517" xr:uid="{00000000-0005-0000-0000-000024770000}"/>
    <cellStyle name="Normal 4 39" xfId="30518" xr:uid="{00000000-0005-0000-0000-000025770000}"/>
    <cellStyle name="Normal 4 39 2" xfId="30519" xr:uid="{00000000-0005-0000-0000-000026770000}"/>
    <cellStyle name="Normal 4 39 3" xfId="30520" xr:uid="{00000000-0005-0000-0000-000027770000}"/>
    <cellStyle name="Normal 4 4" xfId="30521" xr:uid="{00000000-0005-0000-0000-000028770000}"/>
    <cellStyle name="Normal 4 4 2" xfId="30522" xr:uid="{00000000-0005-0000-0000-000029770000}"/>
    <cellStyle name="Normal 4 4 3" xfId="30523" xr:uid="{00000000-0005-0000-0000-00002A770000}"/>
    <cellStyle name="Normal 4 4 4" xfId="30524" xr:uid="{00000000-0005-0000-0000-00002B770000}"/>
    <cellStyle name="Normal 4 4 5" xfId="30525" xr:uid="{00000000-0005-0000-0000-00002C770000}"/>
    <cellStyle name="Normal 4 4_Enlaces" xfId="30526" xr:uid="{00000000-0005-0000-0000-00002D770000}"/>
    <cellStyle name="Normal 4 40" xfId="30527" xr:uid="{00000000-0005-0000-0000-00002E770000}"/>
    <cellStyle name="Normal 4 40 2" xfId="30528" xr:uid="{00000000-0005-0000-0000-00002F770000}"/>
    <cellStyle name="Normal 4 40 3" xfId="30529" xr:uid="{00000000-0005-0000-0000-000030770000}"/>
    <cellStyle name="Normal 4 41" xfId="30530" xr:uid="{00000000-0005-0000-0000-000031770000}"/>
    <cellStyle name="Normal 4 41 2" xfId="30531" xr:uid="{00000000-0005-0000-0000-000032770000}"/>
    <cellStyle name="Normal 4 41 3" xfId="30532" xr:uid="{00000000-0005-0000-0000-000033770000}"/>
    <cellStyle name="Normal 4 42" xfId="30533" xr:uid="{00000000-0005-0000-0000-000034770000}"/>
    <cellStyle name="Normal 4 42 2" xfId="30534" xr:uid="{00000000-0005-0000-0000-000035770000}"/>
    <cellStyle name="Normal 4 42 3" xfId="30535" xr:uid="{00000000-0005-0000-0000-000036770000}"/>
    <cellStyle name="Normal 4 43" xfId="30536" xr:uid="{00000000-0005-0000-0000-000037770000}"/>
    <cellStyle name="Normal 4 43 2" xfId="30537" xr:uid="{00000000-0005-0000-0000-000038770000}"/>
    <cellStyle name="Normal 4 43 3" xfId="30538" xr:uid="{00000000-0005-0000-0000-000039770000}"/>
    <cellStyle name="Normal 4 44" xfId="30539" xr:uid="{00000000-0005-0000-0000-00003A770000}"/>
    <cellStyle name="Normal 4 44 2" xfId="30540" xr:uid="{00000000-0005-0000-0000-00003B770000}"/>
    <cellStyle name="Normal 4 44 3" xfId="30541" xr:uid="{00000000-0005-0000-0000-00003C770000}"/>
    <cellStyle name="Normal 4 45" xfId="30542" xr:uid="{00000000-0005-0000-0000-00003D770000}"/>
    <cellStyle name="Normal 4 45 2" xfId="30543" xr:uid="{00000000-0005-0000-0000-00003E770000}"/>
    <cellStyle name="Normal 4 45 3" xfId="30544" xr:uid="{00000000-0005-0000-0000-00003F770000}"/>
    <cellStyle name="Normal 4 46" xfId="30545" xr:uid="{00000000-0005-0000-0000-000040770000}"/>
    <cellStyle name="Normal 4 46 2" xfId="30546" xr:uid="{00000000-0005-0000-0000-000041770000}"/>
    <cellStyle name="Normal 4 46 3" xfId="30547" xr:uid="{00000000-0005-0000-0000-000042770000}"/>
    <cellStyle name="Normal 4 47" xfId="30548" xr:uid="{00000000-0005-0000-0000-000043770000}"/>
    <cellStyle name="Normal 4 48" xfId="30549" xr:uid="{00000000-0005-0000-0000-000044770000}"/>
    <cellStyle name="Normal 4 49" xfId="30550" xr:uid="{00000000-0005-0000-0000-000045770000}"/>
    <cellStyle name="Normal 4 5" xfId="30551" xr:uid="{00000000-0005-0000-0000-000046770000}"/>
    <cellStyle name="Normal 4 5 2" xfId="30552" xr:uid="{00000000-0005-0000-0000-000047770000}"/>
    <cellStyle name="Normal 4 5 3" xfId="30553" xr:uid="{00000000-0005-0000-0000-000048770000}"/>
    <cellStyle name="Normal 4 5 4" xfId="30554" xr:uid="{00000000-0005-0000-0000-000049770000}"/>
    <cellStyle name="Normal 4 5 5" xfId="30555" xr:uid="{00000000-0005-0000-0000-00004A770000}"/>
    <cellStyle name="Normal 4 5_Enlaces" xfId="30556" xr:uid="{00000000-0005-0000-0000-00004B770000}"/>
    <cellStyle name="Normal 4 50" xfId="30557" xr:uid="{00000000-0005-0000-0000-00004C770000}"/>
    <cellStyle name="Normal 4 51" xfId="30558" xr:uid="{00000000-0005-0000-0000-00004D770000}"/>
    <cellStyle name="Normal 4 52" xfId="30559" xr:uid="{00000000-0005-0000-0000-00004E770000}"/>
    <cellStyle name="Normal 4 53" xfId="30560" xr:uid="{00000000-0005-0000-0000-00004F770000}"/>
    <cellStyle name="Normal 4 54" xfId="30561" xr:uid="{00000000-0005-0000-0000-000050770000}"/>
    <cellStyle name="Normal 4 55" xfId="30562" xr:uid="{00000000-0005-0000-0000-000051770000}"/>
    <cellStyle name="Normal 4 56" xfId="30563" xr:uid="{00000000-0005-0000-0000-000052770000}"/>
    <cellStyle name="Normal 4 57" xfId="30564" xr:uid="{00000000-0005-0000-0000-000053770000}"/>
    <cellStyle name="Normal 4 58" xfId="30565" xr:uid="{00000000-0005-0000-0000-000054770000}"/>
    <cellStyle name="Normal 4 59" xfId="30566" xr:uid="{00000000-0005-0000-0000-000055770000}"/>
    <cellStyle name="Normal 4 6" xfId="30567" xr:uid="{00000000-0005-0000-0000-000056770000}"/>
    <cellStyle name="Normal 4 6 2" xfId="30568" xr:uid="{00000000-0005-0000-0000-000057770000}"/>
    <cellStyle name="Normal 4 6 3" xfId="30569" xr:uid="{00000000-0005-0000-0000-000058770000}"/>
    <cellStyle name="Normal 4 6 4" xfId="30570" xr:uid="{00000000-0005-0000-0000-000059770000}"/>
    <cellStyle name="Normal 4 6 5" xfId="30571" xr:uid="{00000000-0005-0000-0000-00005A770000}"/>
    <cellStyle name="Normal 4 6_Enlaces" xfId="30572" xr:uid="{00000000-0005-0000-0000-00005B770000}"/>
    <cellStyle name="Normal 4 60" xfId="30573" xr:uid="{00000000-0005-0000-0000-00005C770000}"/>
    <cellStyle name="Normal 4 61" xfId="30574" xr:uid="{00000000-0005-0000-0000-00005D770000}"/>
    <cellStyle name="Normal 4 62" xfId="30575" xr:uid="{00000000-0005-0000-0000-00005E770000}"/>
    <cellStyle name="Normal 4 63" xfId="30576" xr:uid="{00000000-0005-0000-0000-00005F770000}"/>
    <cellStyle name="Normal 4 64" xfId="30577" xr:uid="{00000000-0005-0000-0000-000060770000}"/>
    <cellStyle name="Normal 4 65" xfId="30578" xr:uid="{00000000-0005-0000-0000-000061770000}"/>
    <cellStyle name="Normal 4 66" xfId="30579" xr:uid="{00000000-0005-0000-0000-000062770000}"/>
    <cellStyle name="Normal 4 67" xfId="30580" xr:uid="{00000000-0005-0000-0000-000063770000}"/>
    <cellStyle name="Normal 4 68" xfId="30581" xr:uid="{00000000-0005-0000-0000-000064770000}"/>
    <cellStyle name="Normal 4 69" xfId="30582" xr:uid="{00000000-0005-0000-0000-000065770000}"/>
    <cellStyle name="Normal 4 7" xfId="30583" xr:uid="{00000000-0005-0000-0000-000066770000}"/>
    <cellStyle name="Normal 4 7 2" xfId="30584" xr:uid="{00000000-0005-0000-0000-000067770000}"/>
    <cellStyle name="Normal 4 7 3" xfId="30585" xr:uid="{00000000-0005-0000-0000-000068770000}"/>
    <cellStyle name="Normal 4 7 4" xfId="30586" xr:uid="{00000000-0005-0000-0000-000069770000}"/>
    <cellStyle name="Normal 4 7 5" xfId="30587" xr:uid="{00000000-0005-0000-0000-00006A770000}"/>
    <cellStyle name="Normal 4 7_Enlaces" xfId="30588" xr:uid="{00000000-0005-0000-0000-00006B770000}"/>
    <cellStyle name="Normal 4 70" xfId="30589" xr:uid="{00000000-0005-0000-0000-00006C770000}"/>
    <cellStyle name="Normal 4 71" xfId="30590" xr:uid="{00000000-0005-0000-0000-00006D770000}"/>
    <cellStyle name="Normal 4 72" xfId="30591" xr:uid="{00000000-0005-0000-0000-00006E770000}"/>
    <cellStyle name="Normal 4 73" xfId="30592" xr:uid="{00000000-0005-0000-0000-00006F770000}"/>
    <cellStyle name="Normal 4 74" xfId="30593" xr:uid="{00000000-0005-0000-0000-000070770000}"/>
    <cellStyle name="Normal 4 75" xfId="30594" xr:uid="{00000000-0005-0000-0000-000071770000}"/>
    <cellStyle name="Normal 4 76" xfId="30595" xr:uid="{00000000-0005-0000-0000-000072770000}"/>
    <cellStyle name="Normal 4 77" xfId="30596" xr:uid="{00000000-0005-0000-0000-000073770000}"/>
    <cellStyle name="Normal 4 78" xfId="30597" xr:uid="{00000000-0005-0000-0000-000074770000}"/>
    <cellStyle name="Normal 4 79" xfId="30598" xr:uid="{00000000-0005-0000-0000-000075770000}"/>
    <cellStyle name="Normal 4 8" xfId="30599" xr:uid="{00000000-0005-0000-0000-000076770000}"/>
    <cellStyle name="Normal 4 8 2" xfId="30600" xr:uid="{00000000-0005-0000-0000-000077770000}"/>
    <cellStyle name="Normal 4 8 3" xfId="30601" xr:uid="{00000000-0005-0000-0000-000078770000}"/>
    <cellStyle name="Normal 4 8 4" xfId="30602" xr:uid="{00000000-0005-0000-0000-000079770000}"/>
    <cellStyle name="Normal 4 8 5" xfId="30603" xr:uid="{00000000-0005-0000-0000-00007A770000}"/>
    <cellStyle name="Normal 4 8_Enlaces" xfId="30604" xr:uid="{00000000-0005-0000-0000-00007B770000}"/>
    <cellStyle name="Normal 4 80" xfId="30605" xr:uid="{00000000-0005-0000-0000-00007C770000}"/>
    <cellStyle name="Normal 4 81" xfId="30606" xr:uid="{00000000-0005-0000-0000-00007D770000}"/>
    <cellStyle name="Normal 4 82" xfId="30607" xr:uid="{00000000-0005-0000-0000-00007E770000}"/>
    <cellStyle name="Normal 4 83" xfId="30608" xr:uid="{00000000-0005-0000-0000-00007F770000}"/>
    <cellStyle name="Normal 4 84" xfId="30609" xr:uid="{00000000-0005-0000-0000-000080770000}"/>
    <cellStyle name="Normal 4 85" xfId="30610" xr:uid="{00000000-0005-0000-0000-000081770000}"/>
    <cellStyle name="Normal 4 86" xfId="30611" xr:uid="{00000000-0005-0000-0000-000082770000}"/>
    <cellStyle name="Normal 4 87" xfId="30612" xr:uid="{00000000-0005-0000-0000-000083770000}"/>
    <cellStyle name="Normal 4 88" xfId="30613" xr:uid="{00000000-0005-0000-0000-000084770000}"/>
    <cellStyle name="Normal 4 89" xfId="30614" xr:uid="{00000000-0005-0000-0000-000085770000}"/>
    <cellStyle name="Normal 4 9" xfId="30615" xr:uid="{00000000-0005-0000-0000-000086770000}"/>
    <cellStyle name="Normal 4 9 2" xfId="30616" xr:uid="{00000000-0005-0000-0000-000087770000}"/>
    <cellStyle name="Normal 4 9 3" xfId="30617" xr:uid="{00000000-0005-0000-0000-000088770000}"/>
    <cellStyle name="Normal 4 9 4" xfId="30618" xr:uid="{00000000-0005-0000-0000-000089770000}"/>
    <cellStyle name="Normal 4 9 5" xfId="30619" xr:uid="{00000000-0005-0000-0000-00008A770000}"/>
    <cellStyle name="Normal 4 9_Enlaces" xfId="30620" xr:uid="{00000000-0005-0000-0000-00008B770000}"/>
    <cellStyle name="Normal 4 90" xfId="30621" xr:uid="{00000000-0005-0000-0000-00008C770000}"/>
    <cellStyle name="Normal 4 91" xfId="30622" xr:uid="{00000000-0005-0000-0000-00008D770000}"/>
    <cellStyle name="Normal 4 92" xfId="30623" xr:uid="{00000000-0005-0000-0000-00008E770000}"/>
    <cellStyle name="Normal 4 93" xfId="30624" xr:uid="{00000000-0005-0000-0000-00008F770000}"/>
    <cellStyle name="Normal 4 94" xfId="30625" xr:uid="{00000000-0005-0000-0000-000090770000}"/>
    <cellStyle name="Normal 4 95" xfId="30626" xr:uid="{00000000-0005-0000-0000-000091770000}"/>
    <cellStyle name="Normal 4 96" xfId="30627" xr:uid="{00000000-0005-0000-0000-000092770000}"/>
    <cellStyle name="Normal 4 97" xfId="30628" xr:uid="{00000000-0005-0000-0000-000093770000}"/>
    <cellStyle name="Normal 4 98" xfId="30629" xr:uid="{00000000-0005-0000-0000-000094770000}"/>
    <cellStyle name="Normal 4 98 2" xfId="30630" xr:uid="{00000000-0005-0000-0000-000095770000}"/>
    <cellStyle name="Normal 4 98 3" xfId="30631" xr:uid="{00000000-0005-0000-0000-000096770000}"/>
    <cellStyle name="Normal 4 98 4" xfId="30632" xr:uid="{00000000-0005-0000-0000-000097770000}"/>
    <cellStyle name="Normal 4 98 5" xfId="30633" xr:uid="{00000000-0005-0000-0000-000098770000}"/>
    <cellStyle name="Normal 4 98 6" xfId="30634" xr:uid="{00000000-0005-0000-0000-000099770000}"/>
    <cellStyle name="Normal 4 99" xfId="30635" xr:uid="{00000000-0005-0000-0000-00009A770000}"/>
    <cellStyle name="Normal 4 99 2" xfId="30636" xr:uid="{00000000-0005-0000-0000-00009B770000}"/>
    <cellStyle name="Normal 4 99 3" xfId="30637" xr:uid="{00000000-0005-0000-0000-00009C770000}"/>
    <cellStyle name="Normal 4 99 4" xfId="30638" xr:uid="{00000000-0005-0000-0000-00009D770000}"/>
    <cellStyle name="Normal 4 99 5" xfId="30639" xr:uid="{00000000-0005-0000-0000-00009E770000}"/>
    <cellStyle name="Normal 4 99 6" xfId="30640" xr:uid="{00000000-0005-0000-0000-00009F770000}"/>
    <cellStyle name="Normal 4_Enlaces" xfId="30641" xr:uid="{00000000-0005-0000-0000-0000A0770000}"/>
    <cellStyle name="Normal 40" xfId="30642" xr:uid="{00000000-0005-0000-0000-0000A1770000}"/>
    <cellStyle name="Normal 40 10" xfId="30643" xr:uid="{00000000-0005-0000-0000-0000A2770000}"/>
    <cellStyle name="Normal 40 11" xfId="30644" xr:uid="{00000000-0005-0000-0000-0000A3770000}"/>
    <cellStyle name="Normal 40 12" xfId="30645" xr:uid="{00000000-0005-0000-0000-0000A4770000}"/>
    <cellStyle name="Normal 40 13" xfId="30646" xr:uid="{00000000-0005-0000-0000-0000A5770000}"/>
    <cellStyle name="Normal 40 14" xfId="30647" xr:uid="{00000000-0005-0000-0000-0000A6770000}"/>
    <cellStyle name="Normal 40 15" xfId="30648" xr:uid="{00000000-0005-0000-0000-0000A7770000}"/>
    <cellStyle name="Normal 40 16" xfId="30649" xr:uid="{00000000-0005-0000-0000-0000A8770000}"/>
    <cellStyle name="Normal 40 17" xfId="30650" xr:uid="{00000000-0005-0000-0000-0000A9770000}"/>
    <cellStyle name="Normal 40 18" xfId="30651" xr:uid="{00000000-0005-0000-0000-0000AA770000}"/>
    <cellStyle name="Normal 40 19" xfId="30652" xr:uid="{00000000-0005-0000-0000-0000AB770000}"/>
    <cellStyle name="Normal 40 2" xfId="30653" xr:uid="{00000000-0005-0000-0000-0000AC770000}"/>
    <cellStyle name="Normal 40 2 2" xfId="30654" xr:uid="{00000000-0005-0000-0000-0000AD770000}"/>
    <cellStyle name="Normal 40 20" xfId="30655" xr:uid="{00000000-0005-0000-0000-0000AE770000}"/>
    <cellStyle name="Normal 40 21" xfId="30656" xr:uid="{00000000-0005-0000-0000-0000AF770000}"/>
    <cellStyle name="Normal 40 22" xfId="30657" xr:uid="{00000000-0005-0000-0000-0000B0770000}"/>
    <cellStyle name="Normal 40 23" xfId="30658" xr:uid="{00000000-0005-0000-0000-0000B1770000}"/>
    <cellStyle name="Normal 40 24" xfId="30659" xr:uid="{00000000-0005-0000-0000-0000B2770000}"/>
    <cellStyle name="Normal 40 25" xfId="30660" xr:uid="{00000000-0005-0000-0000-0000B3770000}"/>
    <cellStyle name="Normal 40 26" xfId="30661" xr:uid="{00000000-0005-0000-0000-0000B4770000}"/>
    <cellStyle name="Normal 40 3" xfId="30662" xr:uid="{00000000-0005-0000-0000-0000B5770000}"/>
    <cellStyle name="Normal 40 3 2" xfId="30663" xr:uid="{00000000-0005-0000-0000-0000B6770000}"/>
    <cellStyle name="Normal 40 4" xfId="30664" xr:uid="{00000000-0005-0000-0000-0000B7770000}"/>
    <cellStyle name="Normal 40 4 2" xfId="30665" xr:uid="{00000000-0005-0000-0000-0000B8770000}"/>
    <cellStyle name="Normal 40 5" xfId="30666" xr:uid="{00000000-0005-0000-0000-0000B9770000}"/>
    <cellStyle name="Normal 40 5 2" xfId="30667" xr:uid="{00000000-0005-0000-0000-0000BA770000}"/>
    <cellStyle name="Normal 40 6" xfId="30668" xr:uid="{00000000-0005-0000-0000-0000BB770000}"/>
    <cellStyle name="Normal 40 7" xfId="30669" xr:uid="{00000000-0005-0000-0000-0000BC770000}"/>
    <cellStyle name="Normal 40 8" xfId="30670" xr:uid="{00000000-0005-0000-0000-0000BD770000}"/>
    <cellStyle name="Normal 40 9" xfId="30671" xr:uid="{00000000-0005-0000-0000-0000BE770000}"/>
    <cellStyle name="Normal 41" xfId="30672" xr:uid="{00000000-0005-0000-0000-0000BF770000}"/>
    <cellStyle name="Normal 41 10" xfId="30673" xr:uid="{00000000-0005-0000-0000-0000C0770000}"/>
    <cellStyle name="Normal 41 11" xfId="30674" xr:uid="{00000000-0005-0000-0000-0000C1770000}"/>
    <cellStyle name="Normal 41 12" xfId="30675" xr:uid="{00000000-0005-0000-0000-0000C2770000}"/>
    <cellStyle name="Normal 41 13" xfId="30676" xr:uid="{00000000-0005-0000-0000-0000C3770000}"/>
    <cellStyle name="Normal 41 14" xfId="30677" xr:uid="{00000000-0005-0000-0000-0000C4770000}"/>
    <cellStyle name="Normal 41 15" xfId="30678" xr:uid="{00000000-0005-0000-0000-0000C5770000}"/>
    <cellStyle name="Normal 41 16" xfId="30679" xr:uid="{00000000-0005-0000-0000-0000C6770000}"/>
    <cellStyle name="Normal 41 17" xfId="30680" xr:uid="{00000000-0005-0000-0000-0000C7770000}"/>
    <cellStyle name="Normal 41 18" xfId="30681" xr:uid="{00000000-0005-0000-0000-0000C8770000}"/>
    <cellStyle name="Normal 41 19" xfId="30682" xr:uid="{00000000-0005-0000-0000-0000C9770000}"/>
    <cellStyle name="Normal 41 2" xfId="30683" xr:uid="{00000000-0005-0000-0000-0000CA770000}"/>
    <cellStyle name="Normal 41 2 2" xfId="30684" xr:uid="{00000000-0005-0000-0000-0000CB770000}"/>
    <cellStyle name="Normal 41 20" xfId="30685" xr:uid="{00000000-0005-0000-0000-0000CC770000}"/>
    <cellStyle name="Normal 41 21" xfId="30686" xr:uid="{00000000-0005-0000-0000-0000CD770000}"/>
    <cellStyle name="Normal 41 22" xfId="30687" xr:uid="{00000000-0005-0000-0000-0000CE770000}"/>
    <cellStyle name="Normal 41 23" xfId="30688" xr:uid="{00000000-0005-0000-0000-0000CF770000}"/>
    <cellStyle name="Normal 41 24" xfId="30689" xr:uid="{00000000-0005-0000-0000-0000D0770000}"/>
    <cellStyle name="Normal 41 25" xfId="30690" xr:uid="{00000000-0005-0000-0000-0000D1770000}"/>
    <cellStyle name="Normal 41 26" xfId="30691" xr:uid="{00000000-0005-0000-0000-0000D2770000}"/>
    <cellStyle name="Normal 41 3" xfId="30692" xr:uid="{00000000-0005-0000-0000-0000D3770000}"/>
    <cellStyle name="Normal 41 3 2" xfId="30693" xr:uid="{00000000-0005-0000-0000-0000D4770000}"/>
    <cellStyle name="Normal 41 4" xfId="30694" xr:uid="{00000000-0005-0000-0000-0000D5770000}"/>
    <cellStyle name="Normal 41 4 2" xfId="30695" xr:uid="{00000000-0005-0000-0000-0000D6770000}"/>
    <cellStyle name="Normal 41 5" xfId="30696" xr:uid="{00000000-0005-0000-0000-0000D7770000}"/>
    <cellStyle name="Normal 41 5 2" xfId="30697" xr:uid="{00000000-0005-0000-0000-0000D8770000}"/>
    <cellStyle name="Normal 41 6" xfId="30698" xr:uid="{00000000-0005-0000-0000-0000D9770000}"/>
    <cellStyle name="Normal 41 7" xfId="30699" xr:uid="{00000000-0005-0000-0000-0000DA770000}"/>
    <cellStyle name="Normal 41 8" xfId="30700" xr:uid="{00000000-0005-0000-0000-0000DB770000}"/>
    <cellStyle name="Normal 41 9" xfId="30701" xr:uid="{00000000-0005-0000-0000-0000DC770000}"/>
    <cellStyle name="Normal 42" xfId="30702" xr:uid="{00000000-0005-0000-0000-0000DD770000}"/>
    <cellStyle name="Normal 43" xfId="30703" xr:uid="{00000000-0005-0000-0000-0000DE770000}"/>
    <cellStyle name="Normal 43 10" xfId="30704" xr:uid="{00000000-0005-0000-0000-0000DF770000}"/>
    <cellStyle name="Normal 43 11" xfId="30705" xr:uid="{00000000-0005-0000-0000-0000E0770000}"/>
    <cellStyle name="Normal 43 12" xfId="30706" xr:uid="{00000000-0005-0000-0000-0000E1770000}"/>
    <cellStyle name="Normal 43 13" xfId="30707" xr:uid="{00000000-0005-0000-0000-0000E2770000}"/>
    <cellStyle name="Normal 43 14" xfId="30708" xr:uid="{00000000-0005-0000-0000-0000E3770000}"/>
    <cellStyle name="Normal 43 15" xfId="30709" xr:uid="{00000000-0005-0000-0000-0000E4770000}"/>
    <cellStyle name="Normal 43 16" xfId="30710" xr:uid="{00000000-0005-0000-0000-0000E5770000}"/>
    <cellStyle name="Normal 43 17" xfId="30711" xr:uid="{00000000-0005-0000-0000-0000E6770000}"/>
    <cellStyle name="Normal 43 18" xfId="30712" xr:uid="{00000000-0005-0000-0000-0000E7770000}"/>
    <cellStyle name="Normal 43 19" xfId="30713" xr:uid="{00000000-0005-0000-0000-0000E8770000}"/>
    <cellStyle name="Normal 43 2" xfId="30714" xr:uid="{00000000-0005-0000-0000-0000E9770000}"/>
    <cellStyle name="Normal 43 2 2" xfId="30715" xr:uid="{00000000-0005-0000-0000-0000EA770000}"/>
    <cellStyle name="Normal 43 20" xfId="30716" xr:uid="{00000000-0005-0000-0000-0000EB770000}"/>
    <cellStyle name="Normal 43 21" xfId="30717" xr:uid="{00000000-0005-0000-0000-0000EC770000}"/>
    <cellStyle name="Normal 43 22" xfId="30718" xr:uid="{00000000-0005-0000-0000-0000ED770000}"/>
    <cellStyle name="Normal 43 23" xfId="30719" xr:uid="{00000000-0005-0000-0000-0000EE770000}"/>
    <cellStyle name="Normal 43 24" xfId="30720" xr:uid="{00000000-0005-0000-0000-0000EF770000}"/>
    <cellStyle name="Normal 43 25" xfId="30721" xr:uid="{00000000-0005-0000-0000-0000F0770000}"/>
    <cellStyle name="Normal 43 26" xfId="30722" xr:uid="{00000000-0005-0000-0000-0000F1770000}"/>
    <cellStyle name="Normal 43 27" xfId="30723" xr:uid="{00000000-0005-0000-0000-0000F2770000}"/>
    <cellStyle name="Normal 43 28" xfId="30724" xr:uid="{00000000-0005-0000-0000-0000F3770000}"/>
    <cellStyle name="Normal 43 3" xfId="30725" xr:uid="{00000000-0005-0000-0000-0000F4770000}"/>
    <cellStyle name="Normal 43 3 2" xfId="30726" xr:uid="{00000000-0005-0000-0000-0000F5770000}"/>
    <cellStyle name="Normal 43 4" xfId="30727" xr:uid="{00000000-0005-0000-0000-0000F6770000}"/>
    <cellStyle name="Normal 43 4 2" xfId="30728" xr:uid="{00000000-0005-0000-0000-0000F7770000}"/>
    <cellStyle name="Normal 43 5" xfId="30729" xr:uid="{00000000-0005-0000-0000-0000F8770000}"/>
    <cellStyle name="Normal 43 5 2" xfId="30730" xr:uid="{00000000-0005-0000-0000-0000F9770000}"/>
    <cellStyle name="Normal 43 6" xfId="30731" xr:uid="{00000000-0005-0000-0000-0000FA770000}"/>
    <cellStyle name="Normal 43 7" xfId="30732" xr:uid="{00000000-0005-0000-0000-0000FB770000}"/>
    <cellStyle name="Normal 43 8" xfId="30733" xr:uid="{00000000-0005-0000-0000-0000FC770000}"/>
    <cellStyle name="Normal 43 9" xfId="30734" xr:uid="{00000000-0005-0000-0000-0000FD770000}"/>
    <cellStyle name="Normal 44" xfId="30735" xr:uid="{00000000-0005-0000-0000-0000FE770000}"/>
    <cellStyle name="Normal 44 10" xfId="30736" xr:uid="{00000000-0005-0000-0000-0000FF770000}"/>
    <cellStyle name="Normal 44 11" xfId="30737" xr:uid="{00000000-0005-0000-0000-000000780000}"/>
    <cellStyle name="Normal 44 12" xfId="30738" xr:uid="{00000000-0005-0000-0000-000001780000}"/>
    <cellStyle name="Normal 44 13" xfId="30739" xr:uid="{00000000-0005-0000-0000-000002780000}"/>
    <cellStyle name="Normal 44 14" xfId="30740" xr:uid="{00000000-0005-0000-0000-000003780000}"/>
    <cellStyle name="Normal 44 15" xfId="30741" xr:uid="{00000000-0005-0000-0000-000004780000}"/>
    <cellStyle name="Normal 44 16" xfId="30742" xr:uid="{00000000-0005-0000-0000-000005780000}"/>
    <cellStyle name="Normal 44 17" xfId="30743" xr:uid="{00000000-0005-0000-0000-000006780000}"/>
    <cellStyle name="Normal 44 18" xfId="30744" xr:uid="{00000000-0005-0000-0000-000007780000}"/>
    <cellStyle name="Normal 44 19" xfId="30745" xr:uid="{00000000-0005-0000-0000-000008780000}"/>
    <cellStyle name="Normal 44 2" xfId="30746" xr:uid="{00000000-0005-0000-0000-000009780000}"/>
    <cellStyle name="Normal 44 2 2" xfId="30747" xr:uid="{00000000-0005-0000-0000-00000A780000}"/>
    <cellStyle name="Normal 44 20" xfId="30748" xr:uid="{00000000-0005-0000-0000-00000B780000}"/>
    <cellStyle name="Normal 44 21" xfId="30749" xr:uid="{00000000-0005-0000-0000-00000C780000}"/>
    <cellStyle name="Normal 44 22" xfId="30750" xr:uid="{00000000-0005-0000-0000-00000D780000}"/>
    <cellStyle name="Normal 44 23" xfId="30751" xr:uid="{00000000-0005-0000-0000-00000E780000}"/>
    <cellStyle name="Normal 44 24" xfId="30752" xr:uid="{00000000-0005-0000-0000-00000F780000}"/>
    <cellStyle name="Normal 44 25" xfId="30753" xr:uid="{00000000-0005-0000-0000-000010780000}"/>
    <cellStyle name="Normal 44 26" xfId="30754" xr:uid="{00000000-0005-0000-0000-000011780000}"/>
    <cellStyle name="Normal 44 3" xfId="30755" xr:uid="{00000000-0005-0000-0000-000012780000}"/>
    <cellStyle name="Normal 44 3 2" xfId="30756" xr:uid="{00000000-0005-0000-0000-000013780000}"/>
    <cellStyle name="Normal 44 4" xfId="30757" xr:uid="{00000000-0005-0000-0000-000014780000}"/>
    <cellStyle name="Normal 44 4 2" xfId="30758" xr:uid="{00000000-0005-0000-0000-000015780000}"/>
    <cellStyle name="Normal 44 5" xfId="30759" xr:uid="{00000000-0005-0000-0000-000016780000}"/>
    <cellStyle name="Normal 44 5 2" xfId="30760" xr:uid="{00000000-0005-0000-0000-000017780000}"/>
    <cellStyle name="Normal 44 6" xfId="30761" xr:uid="{00000000-0005-0000-0000-000018780000}"/>
    <cellStyle name="Normal 44 7" xfId="30762" xr:uid="{00000000-0005-0000-0000-000019780000}"/>
    <cellStyle name="Normal 44 8" xfId="30763" xr:uid="{00000000-0005-0000-0000-00001A780000}"/>
    <cellStyle name="Normal 44 9" xfId="30764" xr:uid="{00000000-0005-0000-0000-00001B780000}"/>
    <cellStyle name="Normal 45" xfId="30765" xr:uid="{00000000-0005-0000-0000-00001C780000}"/>
    <cellStyle name="Normal 46" xfId="30766" xr:uid="{00000000-0005-0000-0000-00001D780000}"/>
    <cellStyle name="Normal 47" xfId="30767" xr:uid="{00000000-0005-0000-0000-00001E780000}"/>
    <cellStyle name="Normal 48" xfId="30768" xr:uid="{00000000-0005-0000-0000-00001F780000}"/>
    <cellStyle name="Normal 49" xfId="30769" xr:uid="{00000000-0005-0000-0000-000020780000}"/>
    <cellStyle name="Normal 49 10" xfId="30770" xr:uid="{00000000-0005-0000-0000-000021780000}"/>
    <cellStyle name="Normal 49 11" xfId="30771" xr:uid="{00000000-0005-0000-0000-000022780000}"/>
    <cellStyle name="Normal 49 12" xfId="30772" xr:uid="{00000000-0005-0000-0000-000023780000}"/>
    <cellStyle name="Normal 49 13" xfId="30773" xr:uid="{00000000-0005-0000-0000-000024780000}"/>
    <cellStyle name="Normal 49 14" xfId="30774" xr:uid="{00000000-0005-0000-0000-000025780000}"/>
    <cellStyle name="Normal 49 15" xfId="30775" xr:uid="{00000000-0005-0000-0000-000026780000}"/>
    <cellStyle name="Normal 49 16" xfId="30776" xr:uid="{00000000-0005-0000-0000-000027780000}"/>
    <cellStyle name="Normal 49 17" xfId="30777" xr:uid="{00000000-0005-0000-0000-000028780000}"/>
    <cellStyle name="Normal 49 18" xfId="30778" xr:uid="{00000000-0005-0000-0000-000029780000}"/>
    <cellStyle name="Normal 49 19" xfId="30779" xr:uid="{00000000-0005-0000-0000-00002A780000}"/>
    <cellStyle name="Normal 49 2" xfId="30780" xr:uid="{00000000-0005-0000-0000-00002B780000}"/>
    <cellStyle name="Normal 49 2 2" xfId="30781" xr:uid="{00000000-0005-0000-0000-00002C780000}"/>
    <cellStyle name="Normal 49 20" xfId="30782" xr:uid="{00000000-0005-0000-0000-00002D780000}"/>
    <cellStyle name="Normal 49 21" xfId="30783" xr:uid="{00000000-0005-0000-0000-00002E780000}"/>
    <cellStyle name="Normal 49 22" xfId="30784" xr:uid="{00000000-0005-0000-0000-00002F780000}"/>
    <cellStyle name="Normal 49 23" xfId="30785" xr:uid="{00000000-0005-0000-0000-000030780000}"/>
    <cellStyle name="Normal 49 24" xfId="30786" xr:uid="{00000000-0005-0000-0000-000031780000}"/>
    <cellStyle name="Normal 49 25" xfId="30787" xr:uid="{00000000-0005-0000-0000-000032780000}"/>
    <cellStyle name="Normal 49 26" xfId="30788" xr:uid="{00000000-0005-0000-0000-000033780000}"/>
    <cellStyle name="Normal 49 3" xfId="30789" xr:uid="{00000000-0005-0000-0000-000034780000}"/>
    <cellStyle name="Normal 49 3 2" xfId="30790" xr:uid="{00000000-0005-0000-0000-000035780000}"/>
    <cellStyle name="Normal 49 4" xfId="30791" xr:uid="{00000000-0005-0000-0000-000036780000}"/>
    <cellStyle name="Normal 49 4 2" xfId="30792" xr:uid="{00000000-0005-0000-0000-000037780000}"/>
    <cellStyle name="Normal 49 5" xfId="30793" xr:uid="{00000000-0005-0000-0000-000038780000}"/>
    <cellStyle name="Normal 49 5 2" xfId="30794" xr:uid="{00000000-0005-0000-0000-000039780000}"/>
    <cellStyle name="Normal 49 6" xfId="30795" xr:uid="{00000000-0005-0000-0000-00003A780000}"/>
    <cellStyle name="Normal 49 7" xfId="30796" xr:uid="{00000000-0005-0000-0000-00003B780000}"/>
    <cellStyle name="Normal 49 8" xfId="30797" xr:uid="{00000000-0005-0000-0000-00003C780000}"/>
    <cellStyle name="Normal 49 9" xfId="30798" xr:uid="{00000000-0005-0000-0000-00003D780000}"/>
    <cellStyle name="Normal 5" xfId="24" xr:uid="{00000000-0005-0000-0000-00003E780000}"/>
    <cellStyle name="Normal 5 10" xfId="37" xr:uid="{00000000-0005-0000-0000-00003F780000}"/>
    <cellStyle name="Normal 5 10 10" xfId="30800" xr:uid="{00000000-0005-0000-0000-000040780000}"/>
    <cellStyle name="Normal 5 10 10 10" xfId="30801" xr:uid="{00000000-0005-0000-0000-000041780000}"/>
    <cellStyle name="Normal 5 10 10 11" xfId="30802" xr:uid="{00000000-0005-0000-0000-000042780000}"/>
    <cellStyle name="Normal 5 10 10 12" xfId="30803" xr:uid="{00000000-0005-0000-0000-000043780000}"/>
    <cellStyle name="Normal 5 10 10 13" xfId="30804" xr:uid="{00000000-0005-0000-0000-000044780000}"/>
    <cellStyle name="Normal 5 10 10 14" xfId="30805" xr:uid="{00000000-0005-0000-0000-000045780000}"/>
    <cellStyle name="Normal 5 10 10 2" xfId="30806" xr:uid="{00000000-0005-0000-0000-000046780000}"/>
    <cellStyle name="Normal 5 10 10 2 10" xfId="30807" xr:uid="{00000000-0005-0000-0000-000047780000}"/>
    <cellStyle name="Normal 5 10 10 2 2" xfId="30808" xr:uid="{00000000-0005-0000-0000-000048780000}"/>
    <cellStyle name="Normal 5 10 10 2 3" xfId="30809" xr:uid="{00000000-0005-0000-0000-000049780000}"/>
    <cellStyle name="Normal 5 10 10 2 4" xfId="30810" xr:uid="{00000000-0005-0000-0000-00004A780000}"/>
    <cellStyle name="Normal 5 10 10 2 5" xfId="30811" xr:uid="{00000000-0005-0000-0000-00004B780000}"/>
    <cellStyle name="Normal 5 10 10 2 6" xfId="30812" xr:uid="{00000000-0005-0000-0000-00004C780000}"/>
    <cellStyle name="Normal 5 10 10 2 7" xfId="30813" xr:uid="{00000000-0005-0000-0000-00004D780000}"/>
    <cellStyle name="Normal 5 10 10 2 8" xfId="30814" xr:uid="{00000000-0005-0000-0000-00004E780000}"/>
    <cellStyle name="Normal 5 10 10 2 9" xfId="30815" xr:uid="{00000000-0005-0000-0000-00004F780000}"/>
    <cellStyle name="Normal 5 10 10 3" xfId="30816" xr:uid="{00000000-0005-0000-0000-000050780000}"/>
    <cellStyle name="Normal 5 10 10 3 10" xfId="30817" xr:uid="{00000000-0005-0000-0000-000051780000}"/>
    <cellStyle name="Normal 5 10 10 3 2" xfId="30818" xr:uid="{00000000-0005-0000-0000-000052780000}"/>
    <cellStyle name="Normal 5 10 10 3 3" xfId="30819" xr:uid="{00000000-0005-0000-0000-000053780000}"/>
    <cellStyle name="Normal 5 10 10 3 4" xfId="30820" xr:uid="{00000000-0005-0000-0000-000054780000}"/>
    <cellStyle name="Normal 5 10 10 3 5" xfId="30821" xr:uid="{00000000-0005-0000-0000-000055780000}"/>
    <cellStyle name="Normal 5 10 10 3 6" xfId="30822" xr:uid="{00000000-0005-0000-0000-000056780000}"/>
    <cellStyle name="Normal 5 10 10 3 7" xfId="30823" xr:uid="{00000000-0005-0000-0000-000057780000}"/>
    <cellStyle name="Normal 5 10 10 3 8" xfId="30824" xr:uid="{00000000-0005-0000-0000-000058780000}"/>
    <cellStyle name="Normal 5 10 10 3 9" xfId="30825" xr:uid="{00000000-0005-0000-0000-000059780000}"/>
    <cellStyle name="Normal 5 10 10 4" xfId="30826" xr:uid="{00000000-0005-0000-0000-00005A780000}"/>
    <cellStyle name="Normal 5 10 10 4 10" xfId="30827" xr:uid="{00000000-0005-0000-0000-00005B780000}"/>
    <cellStyle name="Normal 5 10 10 4 2" xfId="30828" xr:uid="{00000000-0005-0000-0000-00005C780000}"/>
    <cellStyle name="Normal 5 10 10 4 3" xfId="30829" xr:uid="{00000000-0005-0000-0000-00005D780000}"/>
    <cellStyle name="Normal 5 10 10 4 4" xfId="30830" xr:uid="{00000000-0005-0000-0000-00005E780000}"/>
    <cellStyle name="Normal 5 10 10 4 5" xfId="30831" xr:uid="{00000000-0005-0000-0000-00005F780000}"/>
    <cellStyle name="Normal 5 10 10 4 6" xfId="30832" xr:uid="{00000000-0005-0000-0000-000060780000}"/>
    <cellStyle name="Normal 5 10 10 4 7" xfId="30833" xr:uid="{00000000-0005-0000-0000-000061780000}"/>
    <cellStyle name="Normal 5 10 10 4 8" xfId="30834" xr:uid="{00000000-0005-0000-0000-000062780000}"/>
    <cellStyle name="Normal 5 10 10 4 9" xfId="30835" xr:uid="{00000000-0005-0000-0000-000063780000}"/>
    <cellStyle name="Normal 5 10 10 5" xfId="30836" xr:uid="{00000000-0005-0000-0000-000064780000}"/>
    <cellStyle name="Normal 5 10 10 5 10" xfId="30837" xr:uid="{00000000-0005-0000-0000-000065780000}"/>
    <cellStyle name="Normal 5 10 10 5 2" xfId="30838" xr:uid="{00000000-0005-0000-0000-000066780000}"/>
    <cellStyle name="Normal 5 10 10 5 3" xfId="30839" xr:uid="{00000000-0005-0000-0000-000067780000}"/>
    <cellStyle name="Normal 5 10 10 5 4" xfId="30840" xr:uid="{00000000-0005-0000-0000-000068780000}"/>
    <cellStyle name="Normal 5 10 10 5 5" xfId="30841" xr:uid="{00000000-0005-0000-0000-000069780000}"/>
    <cellStyle name="Normal 5 10 10 5 6" xfId="30842" xr:uid="{00000000-0005-0000-0000-00006A780000}"/>
    <cellStyle name="Normal 5 10 10 5 7" xfId="30843" xr:uid="{00000000-0005-0000-0000-00006B780000}"/>
    <cellStyle name="Normal 5 10 10 5 8" xfId="30844" xr:uid="{00000000-0005-0000-0000-00006C780000}"/>
    <cellStyle name="Normal 5 10 10 5 9" xfId="30845" xr:uid="{00000000-0005-0000-0000-00006D780000}"/>
    <cellStyle name="Normal 5 10 10 6" xfId="30846" xr:uid="{00000000-0005-0000-0000-00006E780000}"/>
    <cellStyle name="Normal 5 10 10 7" xfId="30847" xr:uid="{00000000-0005-0000-0000-00006F780000}"/>
    <cellStyle name="Normal 5 10 10 8" xfId="30848" xr:uid="{00000000-0005-0000-0000-000070780000}"/>
    <cellStyle name="Normal 5 10 10 9" xfId="30849" xr:uid="{00000000-0005-0000-0000-000071780000}"/>
    <cellStyle name="Normal 5 10 11" xfId="30850" xr:uid="{00000000-0005-0000-0000-000072780000}"/>
    <cellStyle name="Normal 5 10 11 10" xfId="30851" xr:uid="{00000000-0005-0000-0000-000073780000}"/>
    <cellStyle name="Normal 5 10 11 11" xfId="30852" xr:uid="{00000000-0005-0000-0000-000074780000}"/>
    <cellStyle name="Normal 5 10 11 12" xfId="30853" xr:uid="{00000000-0005-0000-0000-000075780000}"/>
    <cellStyle name="Normal 5 10 11 13" xfId="30854" xr:uid="{00000000-0005-0000-0000-000076780000}"/>
    <cellStyle name="Normal 5 10 11 14" xfId="30855" xr:uid="{00000000-0005-0000-0000-000077780000}"/>
    <cellStyle name="Normal 5 10 11 2" xfId="30856" xr:uid="{00000000-0005-0000-0000-000078780000}"/>
    <cellStyle name="Normal 5 10 11 2 10" xfId="30857" xr:uid="{00000000-0005-0000-0000-000079780000}"/>
    <cellStyle name="Normal 5 10 11 2 2" xfId="30858" xr:uid="{00000000-0005-0000-0000-00007A780000}"/>
    <cellStyle name="Normal 5 10 11 2 3" xfId="30859" xr:uid="{00000000-0005-0000-0000-00007B780000}"/>
    <cellStyle name="Normal 5 10 11 2 4" xfId="30860" xr:uid="{00000000-0005-0000-0000-00007C780000}"/>
    <cellStyle name="Normal 5 10 11 2 5" xfId="30861" xr:uid="{00000000-0005-0000-0000-00007D780000}"/>
    <cellStyle name="Normal 5 10 11 2 6" xfId="30862" xr:uid="{00000000-0005-0000-0000-00007E780000}"/>
    <cellStyle name="Normal 5 10 11 2 7" xfId="30863" xr:uid="{00000000-0005-0000-0000-00007F780000}"/>
    <cellStyle name="Normal 5 10 11 2 8" xfId="30864" xr:uid="{00000000-0005-0000-0000-000080780000}"/>
    <cellStyle name="Normal 5 10 11 2 9" xfId="30865" xr:uid="{00000000-0005-0000-0000-000081780000}"/>
    <cellStyle name="Normal 5 10 11 3" xfId="30866" xr:uid="{00000000-0005-0000-0000-000082780000}"/>
    <cellStyle name="Normal 5 10 11 3 10" xfId="30867" xr:uid="{00000000-0005-0000-0000-000083780000}"/>
    <cellStyle name="Normal 5 10 11 3 2" xfId="30868" xr:uid="{00000000-0005-0000-0000-000084780000}"/>
    <cellStyle name="Normal 5 10 11 3 3" xfId="30869" xr:uid="{00000000-0005-0000-0000-000085780000}"/>
    <cellStyle name="Normal 5 10 11 3 4" xfId="30870" xr:uid="{00000000-0005-0000-0000-000086780000}"/>
    <cellStyle name="Normal 5 10 11 3 5" xfId="30871" xr:uid="{00000000-0005-0000-0000-000087780000}"/>
    <cellStyle name="Normal 5 10 11 3 6" xfId="30872" xr:uid="{00000000-0005-0000-0000-000088780000}"/>
    <cellStyle name="Normal 5 10 11 3 7" xfId="30873" xr:uid="{00000000-0005-0000-0000-000089780000}"/>
    <cellStyle name="Normal 5 10 11 3 8" xfId="30874" xr:uid="{00000000-0005-0000-0000-00008A780000}"/>
    <cellStyle name="Normal 5 10 11 3 9" xfId="30875" xr:uid="{00000000-0005-0000-0000-00008B780000}"/>
    <cellStyle name="Normal 5 10 11 4" xfId="30876" xr:uid="{00000000-0005-0000-0000-00008C780000}"/>
    <cellStyle name="Normal 5 10 11 4 10" xfId="30877" xr:uid="{00000000-0005-0000-0000-00008D780000}"/>
    <cellStyle name="Normal 5 10 11 4 2" xfId="30878" xr:uid="{00000000-0005-0000-0000-00008E780000}"/>
    <cellStyle name="Normal 5 10 11 4 3" xfId="30879" xr:uid="{00000000-0005-0000-0000-00008F780000}"/>
    <cellStyle name="Normal 5 10 11 4 4" xfId="30880" xr:uid="{00000000-0005-0000-0000-000090780000}"/>
    <cellStyle name="Normal 5 10 11 4 5" xfId="30881" xr:uid="{00000000-0005-0000-0000-000091780000}"/>
    <cellStyle name="Normal 5 10 11 4 6" xfId="30882" xr:uid="{00000000-0005-0000-0000-000092780000}"/>
    <cellStyle name="Normal 5 10 11 4 7" xfId="30883" xr:uid="{00000000-0005-0000-0000-000093780000}"/>
    <cellStyle name="Normal 5 10 11 4 8" xfId="30884" xr:uid="{00000000-0005-0000-0000-000094780000}"/>
    <cellStyle name="Normal 5 10 11 4 9" xfId="30885" xr:uid="{00000000-0005-0000-0000-000095780000}"/>
    <cellStyle name="Normal 5 10 11 5" xfId="30886" xr:uid="{00000000-0005-0000-0000-000096780000}"/>
    <cellStyle name="Normal 5 10 11 5 10" xfId="30887" xr:uid="{00000000-0005-0000-0000-000097780000}"/>
    <cellStyle name="Normal 5 10 11 5 2" xfId="30888" xr:uid="{00000000-0005-0000-0000-000098780000}"/>
    <cellStyle name="Normal 5 10 11 5 3" xfId="30889" xr:uid="{00000000-0005-0000-0000-000099780000}"/>
    <cellStyle name="Normal 5 10 11 5 4" xfId="30890" xr:uid="{00000000-0005-0000-0000-00009A780000}"/>
    <cellStyle name="Normal 5 10 11 5 5" xfId="30891" xr:uid="{00000000-0005-0000-0000-00009B780000}"/>
    <cellStyle name="Normal 5 10 11 5 6" xfId="30892" xr:uid="{00000000-0005-0000-0000-00009C780000}"/>
    <cellStyle name="Normal 5 10 11 5 7" xfId="30893" xr:uid="{00000000-0005-0000-0000-00009D780000}"/>
    <cellStyle name="Normal 5 10 11 5 8" xfId="30894" xr:uid="{00000000-0005-0000-0000-00009E780000}"/>
    <cellStyle name="Normal 5 10 11 5 9" xfId="30895" xr:uid="{00000000-0005-0000-0000-00009F780000}"/>
    <cellStyle name="Normal 5 10 11 6" xfId="30896" xr:uid="{00000000-0005-0000-0000-0000A0780000}"/>
    <cellStyle name="Normal 5 10 11 7" xfId="30897" xr:uid="{00000000-0005-0000-0000-0000A1780000}"/>
    <cellStyle name="Normal 5 10 11 8" xfId="30898" xr:uid="{00000000-0005-0000-0000-0000A2780000}"/>
    <cellStyle name="Normal 5 10 11 9" xfId="30899" xr:uid="{00000000-0005-0000-0000-0000A3780000}"/>
    <cellStyle name="Normal 5 10 12" xfId="30900" xr:uid="{00000000-0005-0000-0000-0000A4780000}"/>
    <cellStyle name="Normal 5 10 12 10" xfId="30901" xr:uid="{00000000-0005-0000-0000-0000A5780000}"/>
    <cellStyle name="Normal 5 10 12 11" xfId="30902" xr:uid="{00000000-0005-0000-0000-0000A6780000}"/>
    <cellStyle name="Normal 5 10 12 12" xfId="30903" xr:uid="{00000000-0005-0000-0000-0000A7780000}"/>
    <cellStyle name="Normal 5 10 12 13" xfId="30904" xr:uid="{00000000-0005-0000-0000-0000A8780000}"/>
    <cellStyle name="Normal 5 10 12 14" xfId="30905" xr:uid="{00000000-0005-0000-0000-0000A9780000}"/>
    <cellStyle name="Normal 5 10 12 2" xfId="30906" xr:uid="{00000000-0005-0000-0000-0000AA780000}"/>
    <cellStyle name="Normal 5 10 12 2 10" xfId="30907" xr:uid="{00000000-0005-0000-0000-0000AB780000}"/>
    <cellStyle name="Normal 5 10 12 2 2" xfId="30908" xr:uid="{00000000-0005-0000-0000-0000AC780000}"/>
    <cellStyle name="Normal 5 10 12 2 3" xfId="30909" xr:uid="{00000000-0005-0000-0000-0000AD780000}"/>
    <cellStyle name="Normal 5 10 12 2 4" xfId="30910" xr:uid="{00000000-0005-0000-0000-0000AE780000}"/>
    <cellStyle name="Normal 5 10 12 2 5" xfId="30911" xr:uid="{00000000-0005-0000-0000-0000AF780000}"/>
    <cellStyle name="Normal 5 10 12 2 6" xfId="30912" xr:uid="{00000000-0005-0000-0000-0000B0780000}"/>
    <cellStyle name="Normal 5 10 12 2 7" xfId="30913" xr:uid="{00000000-0005-0000-0000-0000B1780000}"/>
    <cellStyle name="Normal 5 10 12 2 8" xfId="30914" xr:uid="{00000000-0005-0000-0000-0000B2780000}"/>
    <cellStyle name="Normal 5 10 12 2 9" xfId="30915" xr:uid="{00000000-0005-0000-0000-0000B3780000}"/>
    <cellStyle name="Normal 5 10 12 3" xfId="30916" xr:uid="{00000000-0005-0000-0000-0000B4780000}"/>
    <cellStyle name="Normal 5 10 12 3 10" xfId="30917" xr:uid="{00000000-0005-0000-0000-0000B5780000}"/>
    <cellStyle name="Normal 5 10 12 3 2" xfId="30918" xr:uid="{00000000-0005-0000-0000-0000B6780000}"/>
    <cellStyle name="Normal 5 10 12 3 3" xfId="30919" xr:uid="{00000000-0005-0000-0000-0000B7780000}"/>
    <cellStyle name="Normal 5 10 12 3 4" xfId="30920" xr:uid="{00000000-0005-0000-0000-0000B8780000}"/>
    <cellStyle name="Normal 5 10 12 3 5" xfId="30921" xr:uid="{00000000-0005-0000-0000-0000B9780000}"/>
    <cellStyle name="Normal 5 10 12 3 6" xfId="30922" xr:uid="{00000000-0005-0000-0000-0000BA780000}"/>
    <cellStyle name="Normal 5 10 12 3 7" xfId="30923" xr:uid="{00000000-0005-0000-0000-0000BB780000}"/>
    <cellStyle name="Normal 5 10 12 3 8" xfId="30924" xr:uid="{00000000-0005-0000-0000-0000BC780000}"/>
    <cellStyle name="Normal 5 10 12 3 9" xfId="30925" xr:uid="{00000000-0005-0000-0000-0000BD780000}"/>
    <cellStyle name="Normal 5 10 12 4" xfId="30926" xr:uid="{00000000-0005-0000-0000-0000BE780000}"/>
    <cellStyle name="Normal 5 10 12 4 10" xfId="30927" xr:uid="{00000000-0005-0000-0000-0000BF780000}"/>
    <cellStyle name="Normal 5 10 12 4 2" xfId="30928" xr:uid="{00000000-0005-0000-0000-0000C0780000}"/>
    <cellStyle name="Normal 5 10 12 4 3" xfId="30929" xr:uid="{00000000-0005-0000-0000-0000C1780000}"/>
    <cellStyle name="Normal 5 10 12 4 4" xfId="30930" xr:uid="{00000000-0005-0000-0000-0000C2780000}"/>
    <cellStyle name="Normal 5 10 12 4 5" xfId="30931" xr:uid="{00000000-0005-0000-0000-0000C3780000}"/>
    <cellStyle name="Normal 5 10 12 4 6" xfId="30932" xr:uid="{00000000-0005-0000-0000-0000C4780000}"/>
    <cellStyle name="Normal 5 10 12 4 7" xfId="30933" xr:uid="{00000000-0005-0000-0000-0000C5780000}"/>
    <cellStyle name="Normal 5 10 12 4 8" xfId="30934" xr:uid="{00000000-0005-0000-0000-0000C6780000}"/>
    <cellStyle name="Normal 5 10 12 4 9" xfId="30935" xr:uid="{00000000-0005-0000-0000-0000C7780000}"/>
    <cellStyle name="Normal 5 10 12 5" xfId="30936" xr:uid="{00000000-0005-0000-0000-0000C8780000}"/>
    <cellStyle name="Normal 5 10 12 5 10" xfId="30937" xr:uid="{00000000-0005-0000-0000-0000C9780000}"/>
    <cellStyle name="Normal 5 10 12 5 2" xfId="30938" xr:uid="{00000000-0005-0000-0000-0000CA780000}"/>
    <cellStyle name="Normal 5 10 12 5 3" xfId="30939" xr:uid="{00000000-0005-0000-0000-0000CB780000}"/>
    <cellStyle name="Normal 5 10 12 5 4" xfId="30940" xr:uid="{00000000-0005-0000-0000-0000CC780000}"/>
    <cellStyle name="Normal 5 10 12 5 5" xfId="30941" xr:uid="{00000000-0005-0000-0000-0000CD780000}"/>
    <cellStyle name="Normal 5 10 12 5 6" xfId="30942" xr:uid="{00000000-0005-0000-0000-0000CE780000}"/>
    <cellStyle name="Normal 5 10 12 5 7" xfId="30943" xr:uid="{00000000-0005-0000-0000-0000CF780000}"/>
    <cellStyle name="Normal 5 10 12 5 8" xfId="30944" xr:uid="{00000000-0005-0000-0000-0000D0780000}"/>
    <cellStyle name="Normal 5 10 12 5 9" xfId="30945" xr:uid="{00000000-0005-0000-0000-0000D1780000}"/>
    <cellStyle name="Normal 5 10 12 6" xfId="30946" xr:uid="{00000000-0005-0000-0000-0000D2780000}"/>
    <cellStyle name="Normal 5 10 12 7" xfId="30947" xr:uid="{00000000-0005-0000-0000-0000D3780000}"/>
    <cellStyle name="Normal 5 10 12 8" xfId="30948" xr:uid="{00000000-0005-0000-0000-0000D4780000}"/>
    <cellStyle name="Normal 5 10 12 9" xfId="30949" xr:uid="{00000000-0005-0000-0000-0000D5780000}"/>
    <cellStyle name="Normal 5 10 13" xfId="30950" xr:uid="{00000000-0005-0000-0000-0000D6780000}"/>
    <cellStyle name="Normal 5 10 13 10" xfId="30951" xr:uid="{00000000-0005-0000-0000-0000D7780000}"/>
    <cellStyle name="Normal 5 10 13 11" xfId="30952" xr:uid="{00000000-0005-0000-0000-0000D8780000}"/>
    <cellStyle name="Normal 5 10 13 12" xfId="30953" xr:uid="{00000000-0005-0000-0000-0000D9780000}"/>
    <cellStyle name="Normal 5 10 13 13" xfId="30954" xr:uid="{00000000-0005-0000-0000-0000DA780000}"/>
    <cellStyle name="Normal 5 10 13 14" xfId="30955" xr:uid="{00000000-0005-0000-0000-0000DB780000}"/>
    <cellStyle name="Normal 5 10 13 2" xfId="30956" xr:uid="{00000000-0005-0000-0000-0000DC780000}"/>
    <cellStyle name="Normal 5 10 13 2 10" xfId="30957" xr:uid="{00000000-0005-0000-0000-0000DD780000}"/>
    <cellStyle name="Normal 5 10 13 2 2" xfId="30958" xr:uid="{00000000-0005-0000-0000-0000DE780000}"/>
    <cellStyle name="Normal 5 10 13 2 3" xfId="30959" xr:uid="{00000000-0005-0000-0000-0000DF780000}"/>
    <cellStyle name="Normal 5 10 13 2 4" xfId="30960" xr:uid="{00000000-0005-0000-0000-0000E0780000}"/>
    <cellStyle name="Normal 5 10 13 2 5" xfId="30961" xr:uid="{00000000-0005-0000-0000-0000E1780000}"/>
    <cellStyle name="Normal 5 10 13 2 6" xfId="30962" xr:uid="{00000000-0005-0000-0000-0000E2780000}"/>
    <cellStyle name="Normal 5 10 13 2 7" xfId="30963" xr:uid="{00000000-0005-0000-0000-0000E3780000}"/>
    <cellStyle name="Normal 5 10 13 2 8" xfId="30964" xr:uid="{00000000-0005-0000-0000-0000E4780000}"/>
    <cellStyle name="Normal 5 10 13 2 9" xfId="30965" xr:uid="{00000000-0005-0000-0000-0000E5780000}"/>
    <cellStyle name="Normal 5 10 13 3" xfId="30966" xr:uid="{00000000-0005-0000-0000-0000E6780000}"/>
    <cellStyle name="Normal 5 10 13 3 10" xfId="30967" xr:uid="{00000000-0005-0000-0000-0000E7780000}"/>
    <cellStyle name="Normal 5 10 13 3 2" xfId="30968" xr:uid="{00000000-0005-0000-0000-0000E8780000}"/>
    <cellStyle name="Normal 5 10 13 3 3" xfId="30969" xr:uid="{00000000-0005-0000-0000-0000E9780000}"/>
    <cellStyle name="Normal 5 10 13 3 4" xfId="30970" xr:uid="{00000000-0005-0000-0000-0000EA780000}"/>
    <cellStyle name="Normal 5 10 13 3 5" xfId="30971" xr:uid="{00000000-0005-0000-0000-0000EB780000}"/>
    <cellStyle name="Normal 5 10 13 3 6" xfId="30972" xr:uid="{00000000-0005-0000-0000-0000EC780000}"/>
    <cellStyle name="Normal 5 10 13 3 7" xfId="30973" xr:uid="{00000000-0005-0000-0000-0000ED780000}"/>
    <cellStyle name="Normal 5 10 13 3 8" xfId="30974" xr:uid="{00000000-0005-0000-0000-0000EE780000}"/>
    <cellStyle name="Normal 5 10 13 3 9" xfId="30975" xr:uid="{00000000-0005-0000-0000-0000EF780000}"/>
    <cellStyle name="Normal 5 10 13 4" xfId="30976" xr:uid="{00000000-0005-0000-0000-0000F0780000}"/>
    <cellStyle name="Normal 5 10 13 4 10" xfId="30977" xr:uid="{00000000-0005-0000-0000-0000F1780000}"/>
    <cellStyle name="Normal 5 10 13 4 2" xfId="30978" xr:uid="{00000000-0005-0000-0000-0000F2780000}"/>
    <cellStyle name="Normal 5 10 13 4 3" xfId="30979" xr:uid="{00000000-0005-0000-0000-0000F3780000}"/>
    <cellStyle name="Normal 5 10 13 4 4" xfId="30980" xr:uid="{00000000-0005-0000-0000-0000F4780000}"/>
    <cellStyle name="Normal 5 10 13 4 5" xfId="30981" xr:uid="{00000000-0005-0000-0000-0000F5780000}"/>
    <cellStyle name="Normal 5 10 13 4 6" xfId="30982" xr:uid="{00000000-0005-0000-0000-0000F6780000}"/>
    <cellStyle name="Normal 5 10 13 4 7" xfId="30983" xr:uid="{00000000-0005-0000-0000-0000F7780000}"/>
    <cellStyle name="Normal 5 10 13 4 8" xfId="30984" xr:uid="{00000000-0005-0000-0000-0000F8780000}"/>
    <cellStyle name="Normal 5 10 13 4 9" xfId="30985" xr:uid="{00000000-0005-0000-0000-0000F9780000}"/>
    <cellStyle name="Normal 5 10 13 5" xfId="30986" xr:uid="{00000000-0005-0000-0000-0000FA780000}"/>
    <cellStyle name="Normal 5 10 13 5 10" xfId="30987" xr:uid="{00000000-0005-0000-0000-0000FB780000}"/>
    <cellStyle name="Normal 5 10 13 5 2" xfId="30988" xr:uid="{00000000-0005-0000-0000-0000FC780000}"/>
    <cellStyle name="Normal 5 10 13 5 3" xfId="30989" xr:uid="{00000000-0005-0000-0000-0000FD780000}"/>
    <cellStyle name="Normal 5 10 13 5 4" xfId="30990" xr:uid="{00000000-0005-0000-0000-0000FE780000}"/>
    <cellStyle name="Normal 5 10 13 5 5" xfId="30991" xr:uid="{00000000-0005-0000-0000-0000FF780000}"/>
    <cellStyle name="Normal 5 10 13 5 6" xfId="30992" xr:uid="{00000000-0005-0000-0000-000000790000}"/>
    <cellStyle name="Normal 5 10 13 5 7" xfId="30993" xr:uid="{00000000-0005-0000-0000-000001790000}"/>
    <cellStyle name="Normal 5 10 13 5 8" xfId="30994" xr:uid="{00000000-0005-0000-0000-000002790000}"/>
    <cellStyle name="Normal 5 10 13 5 9" xfId="30995" xr:uid="{00000000-0005-0000-0000-000003790000}"/>
    <cellStyle name="Normal 5 10 13 6" xfId="30996" xr:uid="{00000000-0005-0000-0000-000004790000}"/>
    <cellStyle name="Normal 5 10 13 7" xfId="30997" xr:uid="{00000000-0005-0000-0000-000005790000}"/>
    <cellStyle name="Normal 5 10 13 8" xfId="30998" xr:uid="{00000000-0005-0000-0000-000006790000}"/>
    <cellStyle name="Normal 5 10 13 9" xfId="30999" xr:uid="{00000000-0005-0000-0000-000007790000}"/>
    <cellStyle name="Normal 5 10 14" xfId="31000" xr:uid="{00000000-0005-0000-0000-000008790000}"/>
    <cellStyle name="Normal 5 10 14 10" xfId="31001" xr:uid="{00000000-0005-0000-0000-000009790000}"/>
    <cellStyle name="Normal 5 10 14 11" xfId="31002" xr:uid="{00000000-0005-0000-0000-00000A790000}"/>
    <cellStyle name="Normal 5 10 14 12" xfId="31003" xr:uid="{00000000-0005-0000-0000-00000B790000}"/>
    <cellStyle name="Normal 5 10 14 13" xfId="31004" xr:uid="{00000000-0005-0000-0000-00000C790000}"/>
    <cellStyle name="Normal 5 10 14 14" xfId="31005" xr:uid="{00000000-0005-0000-0000-00000D790000}"/>
    <cellStyle name="Normal 5 10 14 2" xfId="31006" xr:uid="{00000000-0005-0000-0000-00000E790000}"/>
    <cellStyle name="Normal 5 10 14 2 10" xfId="31007" xr:uid="{00000000-0005-0000-0000-00000F790000}"/>
    <cellStyle name="Normal 5 10 14 2 2" xfId="31008" xr:uid="{00000000-0005-0000-0000-000010790000}"/>
    <cellStyle name="Normal 5 10 14 2 3" xfId="31009" xr:uid="{00000000-0005-0000-0000-000011790000}"/>
    <cellStyle name="Normal 5 10 14 2 4" xfId="31010" xr:uid="{00000000-0005-0000-0000-000012790000}"/>
    <cellStyle name="Normal 5 10 14 2 5" xfId="31011" xr:uid="{00000000-0005-0000-0000-000013790000}"/>
    <cellStyle name="Normal 5 10 14 2 6" xfId="31012" xr:uid="{00000000-0005-0000-0000-000014790000}"/>
    <cellStyle name="Normal 5 10 14 2 7" xfId="31013" xr:uid="{00000000-0005-0000-0000-000015790000}"/>
    <cellStyle name="Normal 5 10 14 2 8" xfId="31014" xr:uid="{00000000-0005-0000-0000-000016790000}"/>
    <cellStyle name="Normal 5 10 14 2 9" xfId="31015" xr:uid="{00000000-0005-0000-0000-000017790000}"/>
    <cellStyle name="Normal 5 10 14 3" xfId="31016" xr:uid="{00000000-0005-0000-0000-000018790000}"/>
    <cellStyle name="Normal 5 10 14 3 10" xfId="31017" xr:uid="{00000000-0005-0000-0000-000019790000}"/>
    <cellStyle name="Normal 5 10 14 3 2" xfId="31018" xr:uid="{00000000-0005-0000-0000-00001A790000}"/>
    <cellStyle name="Normal 5 10 14 3 3" xfId="31019" xr:uid="{00000000-0005-0000-0000-00001B790000}"/>
    <cellStyle name="Normal 5 10 14 3 4" xfId="31020" xr:uid="{00000000-0005-0000-0000-00001C790000}"/>
    <cellStyle name="Normal 5 10 14 3 5" xfId="31021" xr:uid="{00000000-0005-0000-0000-00001D790000}"/>
    <cellStyle name="Normal 5 10 14 3 6" xfId="31022" xr:uid="{00000000-0005-0000-0000-00001E790000}"/>
    <cellStyle name="Normal 5 10 14 3 7" xfId="31023" xr:uid="{00000000-0005-0000-0000-00001F790000}"/>
    <cellStyle name="Normal 5 10 14 3 8" xfId="31024" xr:uid="{00000000-0005-0000-0000-000020790000}"/>
    <cellStyle name="Normal 5 10 14 3 9" xfId="31025" xr:uid="{00000000-0005-0000-0000-000021790000}"/>
    <cellStyle name="Normal 5 10 14 4" xfId="31026" xr:uid="{00000000-0005-0000-0000-000022790000}"/>
    <cellStyle name="Normal 5 10 14 4 10" xfId="31027" xr:uid="{00000000-0005-0000-0000-000023790000}"/>
    <cellStyle name="Normal 5 10 14 4 2" xfId="31028" xr:uid="{00000000-0005-0000-0000-000024790000}"/>
    <cellStyle name="Normal 5 10 14 4 3" xfId="31029" xr:uid="{00000000-0005-0000-0000-000025790000}"/>
    <cellStyle name="Normal 5 10 14 4 4" xfId="31030" xr:uid="{00000000-0005-0000-0000-000026790000}"/>
    <cellStyle name="Normal 5 10 14 4 5" xfId="31031" xr:uid="{00000000-0005-0000-0000-000027790000}"/>
    <cellStyle name="Normal 5 10 14 4 6" xfId="31032" xr:uid="{00000000-0005-0000-0000-000028790000}"/>
    <cellStyle name="Normal 5 10 14 4 7" xfId="31033" xr:uid="{00000000-0005-0000-0000-000029790000}"/>
    <cellStyle name="Normal 5 10 14 4 8" xfId="31034" xr:uid="{00000000-0005-0000-0000-00002A790000}"/>
    <cellStyle name="Normal 5 10 14 4 9" xfId="31035" xr:uid="{00000000-0005-0000-0000-00002B790000}"/>
    <cellStyle name="Normal 5 10 14 5" xfId="31036" xr:uid="{00000000-0005-0000-0000-00002C790000}"/>
    <cellStyle name="Normal 5 10 14 5 10" xfId="31037" xr:uid="{00000000-0005-0000-0000-00002D790000}"/>
    <cellStyle name="Normal 5 10 14 5 2" xfId="31038" xr:uid="{00000000-0005-0000-0000-00002E790000}"/>
    <cellStyle name="Normal 5 10 14 5 3" xfId="31039" xr:uid="{00000000-0005-0000-0000-00002F790000}"/>
    <cellStyle name="Normal 5 10 14 5 4" xfId="31040" xr:uid="{00000000-0005-0000-0000-000030790000}"/>
    <cellStyle name="Normal 5 10 14 5 5" xfId="31041" xr:uid="{00000000-0005-0000-0000-000031790000}"/>
    <cellStyle name="Normal 5 10 14 5 6" xfId="31042" xr:uid="{00000000-0005-0000-0000-000032790000}"/>
    <cellStyle name="Normal 5 10 14 5 7" xfId="31043" xr:uid="{00000000-0005-0000-0000-000033790000}"/>
    <cellStyle name="Normal 5 10 14 5 8" xfId="31044" xr:uid="{00000000-0005-0000-0000-000034790000}"/>
    <cellStyle name="Normal 5 10 14 5 9" xfId="31045" xr:uid="{00000000-0005-0000-0000-000035790000}"/>
    <cellStyle name="Normal 5 10 14 6" xfId="31046" xr:uid="{00000000-0005-0000-0000-000036790000}"/>
    <cellStyle name="Normal 5 10 14 7" xfId="31047" xr:uid="{00000000-0005-0000-0000-000037790000}"/>
    <cellStyle name="Normal 5 10 14 8" xfId="31048" xr:uid="{00000000-0005-0000-0000-000038790000}"/>
    <cellStyle name="Normal 5 10 14 9" xfId="31049" xr:uid="{00000000-0005-0000-0000-000039790000}"/>
    <cellStyle name="Normal 5 10 15" xfId="31050" xr:uid="{00000000-0005-0000-0000-00003A790000}"/>
    <cellStyle name="Normal 5 10 15 10" xfId="31051" xr:uid="{00000000-0005-0000-0000-00003B790000}"/>
    <cellStyle name="Normal 5 10 15 11" xfId="31052" xr:uid="{00000000-0005-0000-0000-00003C790000}"/>
    <cellStyle name="Normal 5 10 15 12" xfId="31053" xr:uid="{00000000-0005-0000-0000-00003D790000}"/>
    <cellStyle name="Normal 5 10 15 13" xfId="31054" xr:uid="{00000000-0005-0000-0000-00003E790000}"/>
    <cellStyle name="Normal 5 10 15 14" xfId="31055" xr:uid="{00000000-0005-0000-0000-00003F790000}"/>
    <cellStyle name="Normal 5 10 15 2" xfId="31056" xr:uid="{00000000-0005-0000-0000-000040790000}"/>
    <cellStyle name="Normal 5 10 15 2 10" xfId="31057" xr:uid="{00000000-0005-0000-0000-000041790000}"/>
    <cellStyle name="Normal 5 10 15 2 2" xfId="31058" xr:uid="{00000000-0005-0000-0000-000042790000}"/>
    <cellStyle name="Normal 5 10 15 2 3" xfId="31059" xr:uid="{00000000-0005-0000-0000-000043790000}"/>
    <cellStyle name="Normal 5 10 15 2 4" xfId="31060" xr:uid="{00000000-0005-0000-0000-000044790000}"/>
    <cellStyle name="Normal 5 10 15 2 5" xfId="31061" xr:uid="{00000000-0005-0000-0000-000045790000}"/>
    <cellStyle name="Normal 5 10 15 2 6" xfId="31062" xr:uid="{00000000-0005-0000-0000-000046790000}"/>
    <cellStyle name="Normal 5 10 15 2 7" xfId="31063" xr:uid="{00000000-0005-0000-0000-000047790000}"/>
    <cellStyle name="Normal 5 10 15 2 8" xfId="31064" xr:uid="{00000000-0005-0000-0000-000048790000}"/>
    <cellStyle name="Normal 5 10 15 2 9" xfId="31065" xr:uid="{00000000-0005-0000-0000-000049790000}"/>
    <cellStyle name="Normal 5 10 15 3" xfId="31066" xr:uid="{00000000-0005-0000-0000-00004A790000}"/>
    <cellStyle name="Normal 5 10 15 3 10" xfId="31067" xr:uid="{00000000-0005-0000-0000-00004B790000}"/>
    <cellStyle name="Normal 5 10 15 3 2" xfId="31068" xr:uid="{00000000-0005-0000-0000-00004C790000}"/>
    <cellStyle name="Normal 5 10 15 3 3" xfId="31069" xr:uid="{00000000-0005-0000-0000-00004D790000}"/>
    <cellStyle name="Normal 5 10 15 3 4" xfId="31070" xr:uid="{00000000-0005-0000-0000-00004E790000}"/>
    <cellStyle name="Normal 5 10 15 3 5" xfId="31071" xr:uid="{00000000-0005-0000-0000-00004F790000}"/>
    <cellStyle name="Normal 5 10 15 3 6" xfId="31072" xr:uid="{00000000-0005-0000-0000-000050790000}"/>
    <cellStyle name="Normal 5 10 15 3 7" xfId="31073" xr:uid="{00000000-0005-0000-0000-000051790000}"/>
    <cellStyle name="Normal 5 10 15 3 8" xfId="31074" xr:uid="{00000000-0005-0000-0000-000052790000}"/>
    <cellStyle name="Normal 5 10 15 3 9" xfId="31075" xr:uid="{00000000-0005-0000-0000-000053790000}"/>
    <cellStyle name="Normal 5 10 15 4" xfId="31076" xr:uid="{00000000-0005-0000-0000-000054790000}"/>
    <cellStyle name="Normal 5 10 15 4 10" xfId="31077" xr:uid="{00000000-0005-0000-0000-000055790000}"/>
    <cellStyle name="Normal 5 10 15 4 2" xfId="31078" xr:uid="{00000000-0005-0000-0000-000056790000}"/>
    <cellStyle name="Normal 5 10 15 4 3" xfId="31079" xr:uid="{00000000-0005-0000-0000-000057790000}"/>
    <cellStyle name="Normal 5 10 15 4 4" xfId="31080" xr:uid="{00000000-0005-0000-0000-000058790000}"/>
    <cellStyle name="Normal 5 10 15 4 5" xfId="31081" xr:uid="{00000000-0005-0000-0000-000059790000}"/>
    <cellStyle name="Normal 5 10 15 4 6" xfId="31082" xr:uid="{00000000-0005-0000-0000-00005A790000}"/>
    <cellStyle name="Normal 5 10 15 4 7" xfId="31083" xr:uid="{00000000-0005-0000-0000-00005B790000}"/>
    <cellStyle name="Normal 5 10 15 4 8" xfId="31084" xr:uid="{00000000-0005-0000-0000-00005C790000}"/>
    <cellStyle name="Normal 5 10 15 4 9" xfId="31085" xr:uid="{00000000-0005-0000-0000-00005D790000}"/>
    <cellStyle name="Normal 5 10 15 5" xfId="31086" xr:uid="{00000000-0005-0000-0000-00005E790000}"/>
    <cellStyle name="Normal 5 10 15 5 10" xfId="31087" xr:uid="{00000000-0005-0000-0000-00005F790000}"/>
    <cellStyle name="Normal 5 10 15 5 2" xfId="31088" xr:uid="{00000000-0005-0000-0000-000060790000}"/>
    <cellStyle name="Normal 5 10 15 5 3" xfId="31089" xr:uid="{00000000-0005-0000-0000-000061790000}"/>
    <cellStyle name="Normal 5 10 15 5 4" xfId="31090" xr:uid="{00000000-0005-0000-0000-000062790000}"/>
    <cellStyle name="Normal 5 10 15 5 5" xfId="31091" xr:uid="{00000000-0005-0000-0000-000063790000}"/>
    <cellStyle name="Normal 5 10 15 5 6" xfId="31092" xr:uid="{00000000-0005-0000-0000-000064790000}"/>
    <cellStyle name="Normal 5 10 15 5 7" xfId="31093" xr:uid="{00000000-0005-0000-0000-000065790000}"/>
    <cellStyle name="Normal 5 10 15 5 8" xfId="31094" xr:uid="{00000000-0005-0000-0000-000066790000}"/>
    <cellStyle name="Normal 5 10 15 5 9" xfId="31095" xr:uid="{00000000-0005-0000-0000-000067790000}"/>
    <cellStyle name="Normal 5 10 15 6" xfId="31096" xr:uid="{00000000-0005-0000-0000-000068790000}"/>
    <cellStyle name="Normal 5 10 15 7" xfId="31097" xr:uid="{00000000-0005-0000-0000-000069790000}"/>
    <cellStyle name="Normal 5 10 15 8" xfId="31098" xr:uid="{00000000-0005-0000-0000-00006A790000}"/>
    <cellStyle name="Normal 5 10 15 9" xfId="31099" xr:uid="{00000000-0005-0000-0000-00006B790000}"/>
    <cellStyle name="Normal 5 10 16" xfId="31100" xr:uid="{00000000-0005-0000-0000-00006C790000}"/>
    <cellStyle name="Normal 5 10 16 10" xfId="31101" xr:uid="{00000000-0005-0000-0000-00006D790000}"/>
    <cellStyle name="Normal 5 10 16 11" xfId="31102" xr:uid="{00000000-0005-0000-0000-00006E790000}"/>
    <cellStyle name="Normal 5 10 16 12" xfId="31103" xr:uid="{00000000-0005-0000-0000-00006F790000}"/>
    <cellStyle name="Normal 5 10 16 13" xfId="31104" xr:uid="{00000000-0005-0000-0000-000070790000}"/>
    <cellStyle name="Normal 5 10 16 14" xfId="31105" xr:uid="{00000000-0005-0000-0000-000071790000}"/>
    <cellStyle name="Normal 5 10 16 2" xfId="31106" xr:uid="{00000000-0005-0000-0000-000072790000}"/>
    <cellStyle name="Normal 5 10 16 2 10" xfId="31107" xr:uid="{00000000-0005-0000-0000-000073790000}"/>
    <cellStyle name="Normal 5 10 16 2 2" xfId="31108" xr:uid="{00000000-0005-0000-0000-000074790000}"/>
    <cellStyle name="Normal 5 10 16 2 3" xfId="31109" xr:uid="{00000000-0005-0000-0000-000075790000}"/>
    <cellStyle name="Normal 5 10 16 2 4" xfId="31110" xr:uid="{00000000-0005-0000-0000-000076790000}"/>
    <cellStyle name="Normal 5 10 16 2 5" xfId="31111" xr:uid="{00000000-0005-0000-0000-000077790000}"/>
    <cellStyle name="Normal 5 10 16 2 6" xfId="31112" xr:uid="{00000000-0005-0000-0000-000078790000}"/>
    <cellStyle name="Normal 5 10 16 2 7" xfId="31113" xr:uid="{00000000-0005-0000-0000-000079790000}"/>
    <cellStyle name="Normal 5 10 16 2 8" xfId="31114" xr:uid="{00000000-0005-0000-0000-00007A790000}"/>
    <cellStyle name="Normal 5 10 16 2 9" xfId="31115" xr:uid="{00000000-0005-0000-0000-00007B790000}"/>
    <cellStyle name="Normal 5 10 16 3" xfId="31116" xr:uid="{00000000-0005-0000-0000-00007C790000}"/>
    <cellStyle name="Normal 5 10 16 3 10" xfId="31117" xr:uid="{00000000-0005-0000-0000-00007D790000}"/>
    <cellStyle name="Normal 5 10 16 3 2" xfId="31118" xr:uid="{00000000-0005-0000-0000-00007E790000}"/>
    <cellStyle name="Normal 5 10 16 3 3" xfId="31119" xr:uid="{00000000-0005-0000-0000-00007F790000}"/>
    <cellStyle name="Normal 5 10 16 3 4" xfId="31120" xr:uid="{00000000-0005-0000-0000-000080790000}"/>
    <cellStyle name="Normal 5 10 16 3 5" xfId="31121" xr:uid="{00000000-0005-0000-0000-000081790000}"/>
    <cellStyle name="Normal 5 10 16 3 6" xfId="31122" xr:uid="{00000000-0005-0000-0000-000082790000}"/>
    <cellStyle name="Normal 5 10 16 3 7" xfId="31123" xr:uid="{00000000-0005-0000-0000-000083790000}"/>
    <cellStyle name="Normal 5 10 16 3 8" xfId="31124" xr:uid="{00000000-0005-0000-0000-000084790000}"/>
    <cellStyle name="Normal 5 10 16 3 9" xfId="31125" xr:uid="{00000000-0005-0000-0000-000085790000}"/>
    <cellStyle name="Normal 5 10 16 4" xfId="31126" xr:uid="{00000000-0005-0000-0000-000086790000}"/>
    <cellStyle name="Normal 5 10 16 4 10" xfId="31127" xr:uid="{00000000-0005-0000-0000-000087790000}"/>
    <cellStyle name="Normal 5 10 16 4 2" xfId="31128" xr:uid="{00000000-0005-0000-0000-000088790000}"/>
    <cellStyle name="Normal 5 10 16 4 3" xfId="31129" xr:uid="{00000000-0005-0000-0000-000089790000}"/>
    <cellStyle name="Normal 5 10 16 4 4" xfId="31130" xr:uid="{00000000-0005-0000-0000-00008A790000}"/>
    <cellStyle name="Normal 5 10 16 4 5" xfId="31131" xr:uid="{00000000-0005-0000-0000-00008B790000}"/>
    <cellStyle name="Normal 5 10 16 4 6" xfId="31132" xr:uid="{00000000-0005-0000-0000-00008C790000}"/>
    <cellStyle name="Normal 5 10 16 4 7" xfId="31133" xr:uid="{00000000-0005-0000-0000-00008D790000}"/>
    <cellStyle name="Normal 5 10 16 4 8" xfId="31134" xr:uid="{00000000-0005-0000-0000-00008E790000}"/>
    <cellStyle name="Normal 5 10 16 4 9" xfId="31135" xr:uid="{00000000-0005-0000-0000-00008F790000}"/>
    <cellStyle name="Normal 5 10 16 5" xfId="31136" xr:uid="{00000000-0005-0000-0000-000090790000}"/>
    <cellStyle name="Normal 5 10 16 5 10" xfId="31137" xr:uid="{00000000-0005-0000-0000-000091790000}"/>
    <cellStyle name="Normal 5 10 16 5 2" xfId="31138" xr:uid="{00000000-0005-0000-0000-000092790000}"/>
    <cellStyle name="Normal 5 10 16 5 3" xfId="31139" xr:uid="{00000000-0005-0000-0000-000093790000}"/>
    <cellStyle name="Normal 5 10 16 5 4" xfId="31140" xr:uid="{00000000-0005-0000-0000-000094790000}"/>
    <cellStyle name="Normal 5 10 16 5 5" xfId="31141" xr:uid="{00000000-0005-0000-0000-000095790000}"/>
    <cellStyle name="Normal 5 10 16 5 6" xfId="31142" xr:uid="{00000000-0005-0000-0000-000096790000}"/>
    <cellStyle name="Normal 5 10 16 5 7" xfId="31143" xr:uid="{00000000-0005-0000-0000-000097790000}"/>
    <cellStyle name="Normal 5 10 16 5 8" xfId="31144" xr:uid="{00000000-0005-0000-0000-000098790000}"/>
    <cellStyle name="Normal 5 10 16 5 9" xfId="31145" xr:uid="{00000000-0005-0000-0000-000099790000}"/>
    <cellStyle name="Normal 5 10 16 6" xfId="31146" xr:uid="{00000000-0005-0000-0000-00009A790000}"/>
    <cellStyle name="Normal 5 10 16 7" xfId="31147" xr:uid="{00000000-0005-0000-0000-00009B790000}"/>
    <cellStyle name="Normal 5 10 16 8" xfId="31148" xr:uid="{00000000-0005-0000-0000-00009C790000}"/>
    <cellStyle name="Normal 5 10 16 9" xfId="31149" xr:uid="{00000000-0005-0000-0000-00009D790000}"/>
    <cellStyle name="Normal 5 10 17" xfId="31150" xr:uid="{00000000-0005-0000-0000-00009E790000}"/>
    <cellStyle name="Normal 5 10 17 10" xfId="31151" xr:uid="{00000000-0005-0000-0000-00009F790000}"/>
    <cellStyle name="Normal 5 10 17 11" xfId="31152" xr:uid="{00000000-0005-0000-0000-0000A0790000}"/>
    <cellStyle name="Normal 5 10 17 12" xfId="31153" xr:uid="{00000000-0005-0000-0000-0000A1790000}"/>
    <cellStyle name="Normal 5 10 17 13" xfId="31154" xr:uid="{00000000-0005-0000-0000-0000A2790000}"/>
    <cellStyle name="Normal 5 10 17 14" xfId="31155" xr:uid="{00000000-0005-0000-0000-0000A3790000}"/>
    <cellStyle name="Normal 5 10 17 2" xfId="31156" xr:uid="{00000000-0005-0000-0000-0000A4790000}"/>
    <cellStyle name="Normal 5 10 17 2 10" xfId="31157" xr:uid="{00000000-0005-0000-0000-0000A5790000}"/>
    <cellStyle name="Normal 5 10 17 2 2" xfId="31158" xr:uid="{00000000-0005-0000-0000-0000A6790000}"/>
    <cellStyle name="Normal 5 10 17 2 3" xfId="31159" xr:uid="{00000000-0005-0000-0000-0000A7790000}"/>
    <cellStyle name="Normal 5 10 17 2 4" xfId="31160" xr:uid="{00000000-0005-0000-0000-0000A8790000}"/>
    <cellStyle name="Normal 5 10 17 2 5" xfId="31161" xr:uid="{00000000-0005-0000-0000-0000A9790000}"/>
    <cellStyle name="Normal 5 10 17 2 6" xfId="31162" xr:uid="{00000000-0005-0000-0000-0000AA790000}"/>
    <cellStyle name="Normal 5 10 17 2 7" xfId="31163" xr:uid="{00000000-0005-0000-0000-0000AB790000}"/>
    <cellStyle name="Normal 5 10 17 2 8" xfId="31164" xr:uid="{00000000-0005-0000-0000-0000AC790000}"/>
    <cellStyle name="Normal 5 10 17 2 9" xfId="31165" xr:uid="{00000000-0005-0000-0000-0000AD790000}"/>
    <cellStyle name="Normal 5 10 17 3" xfId="31166" xr:uid="{00000000-0005-0000-0000-0000AE790000}"/>
    <cellStyle name="Normal 5 10 17 3 10" xfId="31167" xr:uid="{00000000-0005-0000-0000-0000AF790000}"/>
    <cellStyle name="Normal 5 10 17 3 2" xfId="31168" xr:uid="{00000000-0005-0000-0000-0000B0790000}"/>
    <cellStyle name="Normal 5 10 17 3 3" xfId="31169" xr:uid="{00000000-0005-0000-0000-0000B1790000}"/>
    <cellStyle name="Normal 5 10 17 3 4" xfId="31170" xr:uid="{00000000-0005-0000-0000-0000B2790000}"/>
    <cellStyle name="Normal 5 10 17 3 5" xfId="31171" xr:uid="{00000000-0005-0000-0000-0000B3790000}"/>
    <cellStyle name="Normal 5 10 17 3 6" xfId="31172" xr:uid="{00000000-0005-0000-0000-0000B4790000}"/>
    <cellStyle name="Normal 5 10 17 3 7" xfId="31173" xr:uid="{00000000-0005-0000-0000-0000B5790000}"/>
    <cellStyle name="Normal 5 10 17 3 8" xfId="31174" xr:uid="{00000000-0005-0000-0000-0000B6790000}"/>
    <cellStyle name="Normal 5 10 17 3 9" xfId="31175" xr:uid="{00000000-0005-0000-0000-0000B7790000}"/>
    <cellStyle name="Normal 5 10 17 4" xfId="31176" xr:uid="{00000000-0005-0000-0000-0000B8790000}"/>
    <cellStyle name="Normal 5 10 17 4 10" xfId="31177" xr:uid="{00000000-0005-0000-0000-0000B9790000}"/>
    <cellStyle name="Normal 5 10 17 4 2" xfId="31178" xr:uid="{00000000-0005-0000-0000-0000BA790000}"/>
    <cellStyle name="Normal 5 10 17 4 3" xfId="31179" xr:uid="{00000000-0005-0000-0000-0000BB790000}"/>
    <cellStyle name="Normal 5 10 17 4 4" xfId="31180" xr:uid="{00000000-0005-0000-0000-0000BC790000}"/>
    <cellStyle name="Normal 5 10 17 4 5" xfId="31181" xr:uid="{00000000-0005-0000-0000-0000BD790000}"/>
    <cellStyle name="Normal 5 10 17 4 6" xfId="31182" xr:uid="{00000000-0005-0000-0000-0000BE790000}"/>
    <cellStyle name="Normal 5 10 17 4 7" xfId="31183" xr:uid="{00000000-0005-0000-0000-0000BF790000}"/>
    <cellStyle name="Normal 5 10 17 4 8" xfId="31184" xr:uid="{00000000-0005-0000-0000-0000C0790000}"/>
    <cellStyle name="Normal 5 10 17 4 9" xfId="31185" xr:uid="{00000000-0005-0000-0000-0000C1790000}"/>
    <cellStyle name="Normal 5 10 17 5" xfId="31186" xr:uid="{00000000-0005-0000-0000-0000C2790000}"/>
    <cellStyle name="Normal 5 10 17 5 10" xfId="31187" xr:uid="{00000000-0005-0000-0000-0000C3790000}"/>
    <cellStyle name="Normal 5 10 17 5 2" xfId="31188" xr:uid="{00000000-0005-0000-0000-0000C4790000}"/>
    <cellStyle name="Normal 5 10 17 5 3" xfId="31189" xr:uid="{00000000-0005-0000-0000-0000C5790000}"/>
    <cellStyle name="Normal 5 10 17 5 4" xfId="31190" xr:uid="{00000000-0005-0000-0000-0000C6790000}"/>
    <cellStyle name="Normal 5 10 17 5 5" xfId="31191" xr:uid="{00000000-0005-0000-0000-0000C7790000}"/>
    <cellStyle name="Normal 5 10 17 5 6" xfId="31192" xr:uid="{00000000-0005-0000-0000-0000C8790000}"/>
    <cellStyle name="Normal 5 10 17 5 7" xfId="31193" xr:uid="{00000000-0005-0000-0000-0000C9790000}"/>
    <cellStyle name="Normal 5 10 17 5 8" xfId="31194" xr:uid="{00000000-0005-0000-0000-0000CA790000}"/>
    <cellStyle name="Normal 5 10 17 5 9" xfId="31195" xr:uid="{00000000-0005-0000-0000-0000CB790000}"/>
    <cellStyle name="Normal 5 10 17 6" xfId="31196" xr:uid="{00000000-0005-0000-0000-0000CC790000}"/>
    <cellStyle name="Normal 5 10 17 7" xfId="31197" xr:uid="{00000000-0005-0000-0000-0000CD790000}"/>
    <cellStyle name="Normal 5 10 17 8" xfId="31198" xr:uid="{00000000-0005-0000-0000-0000CE790000}"/>
    <cellStyle name="Normal 5 10 17 9" xfId="31199" xr:uid="{00000000-0005-0000-0000-0000CF790000}"/>
    <cellStyle name="Normal 5 10 18" xfId="31200" xr:uid="{00000000-0005-0000-0000-0000D0790000}"/>
    <cellStyle name="Normal 5 10 18 10" xfId="31201" xr:uid="{00000000-0005-0000-0000-0000D1790000}"/>
    <cellStyle name="Normal 5 10 18 11" xfId="31202" xr:uid="{00000000-0005-0000-0000-0000D2790000}"/>
    <cellStyle name="Normal 5 10 18 12" xfId="31203" xr:uid="{00000000-0005-0000-0000-0000D3790000}"/>
    <cellStyle name="Normal 5 10 18 13" xfId="31204" xr:uid="{00000000-0005-0000-0000-0000D4790000}"/>
    <cellStyle name="Normal 5 10 18 14" xfId="31205" xr:uid="{00000000-0005-0000-0000-0000D5790000}"/>
    <cellStyle name="Normal 5 10 18 2" xfId="31206" xr:uid="{00000000-0005-0000-0000-0000D6790000}"/>
    <cellStyle name="Normal 5 10 18 2 10" xfId="31207" xr:uid="{00000000-0005-0000-0000-0000D7790000}"/>
    <cellStyle name="Normal 5 10 18 2 2" xfId="31208" xr:uid="{00000000-0005-0000-0000-0000D8790000}"/>
    <cellStyle name="Normal 5 10 18 2 3" xfId="31209" xr:uid="{00000000-0005-0000-0000-0000D9790000}"/>
    <cellStyle name="Normal 5 10 18 2 4" xfId="31210" xr:uid="{00000000-0005-0000-0000-0000DA790000}"/>
    <cellStyle name="Normal 5 10 18 2 5" xfId="31211" xr:uid="{00000000-0005-0000-0000-0000DB790000}"/>
    <cellStyle name="Normal 5 10 18 2 6" xfId="31212" xr:uid="{00000000-0005-0000-0000-0000DC790000}"/>
    <cellStyle name="Normal 5 10 18 2 7" xfId="31213" xr:uid="{00000000-0005-0000-0000-0000DD790000}"/>
    <cellStyle name="Normal 5 10 18 2 8" xfId="31214" xr:uid="{00000000-0005-0000-0000-0000DE790000}"/>
    <cellStyle name="Normal 5 10 18 2 9" xfId="31215" xr:uid="{00000000-0005-0000-0000-0000DF790000}"/>
    <cellStyle name="Normal 5 10 18 3" xfId="31216" xr:uid="{00000000-0005-0000-0000-0000E0790000}"/>
    <cellStyle name="Normal 5 10 18 3 10" xfId="31217" xr:uid="{00000000-0005-0000-0000-0000E1790000}"/>
    <cellStyle name="Normal 5 10 18 3 2" xfId="31218" xr:uid="{00000000-0005-0000-0000-0000E2790000}"/>
    <cellStyle name="Normal 5 10 18 3 3" xfId="31219" xr:uid="{00000000-0005-0000-0000-0000E3790000}"/>
    <cellStyle name="Normal 5 10 18 3 4" xfId="31220" xr:uid="{00000000-0005-0000-0000-0000E4790000}"/>
    <cellStyle name="Normal 5 10 18 3 5" xfId="31221" xr:uid="{00000000-0005-0000-0000-0000E5790000}"/>
    <cellStyle name="Normal 5 10 18 3 6" xfId="31222" xr:uid="{00000000-0005-0000-0000-0000E6790000}"/>
    <cellStyle name="Normal 5 10 18 3 7" xfId="31223" xr:uid="{00000000-0005-0000-0000-0000E7790000}"/>
    <cellStyle name="Normal 5 10 18 3 8" xfId="31224" xr:uid="{00000000-0005-0000-0000-0000E8790000}"/>
    <cellStyle name="Normal 5 10 18 3 9" xfId="31225" xr:uid="{00000000-0005-0000-0000-0000E9790000}"/>
    <cellStyle name="Normal 5 10 18 4" xfId="31226" xr:uid="{00000000-0005-0000-0000-0000EA790000}"/>
    <cellStyle name="Normal 5 10 18 4 10" xfId="31227" xr:uid="{00000000-0005-0000-0000-0000EB790000}"/>
    <cellStyle name="Normal 5 10 18 4 2" xfId="31228" xr:uid="{00000000-0005-0000-0000-0000EC790000}"/>
    <cellStyle name="Normal 5 10 18 4 3" xfId="31229" xr:uid="{00000000-0005-0000-0000-0000ED790000}"/>
    <cellStyle name="Normal 5 10 18 4 4" xfId="31230" xr:uid="{00000000-0005-0000-0000-0000EE790000}"/>
    <cellStyle name="Normal 5 10 18 4 5" xfId="31231" xr:uid="{00000000-0005-0000-0000-0000EF790000}"/>
    <cellStyle name="Normal 5 10 18 4 6" xfId="31232" xr:uid="{00000000-0005-0000-0000-0000F0790000}"/>
    <cellStyle name="Normal 5 10 18 4 7" xfId="31233" xr:uid="{00000000-0005-0000-0000-0000F1790000}"/>
    <cellStyle name="Normal 5 10 18 4 8" xfId="31234" xr:uid="{00000000-0005-0000-0000-0000F2790000}"/>
    <cellStyle name="Normal 5 10 18 4 9" xfId="31235" xr:uid="{00000000-0005-0000-0000-0000F3790000}"/>
    <cellStyle name="Normal 5 10 18 5" xfId="31236" xr:uid="{00000000-0005-0000-0000-0000F4790000}"/>
    <cellStyle name="Normal 5 10 18 5 10" xfId="31237" xr:uid="{00000000-0005-0000-0000-0000F5790000}"/>
    <cellStyle name="Normal 5 10 18 5 2" xfId="31238" xr:uid="{00000000-0005-0000-0000-0000F6790000}"/>
    <cellStyle name="Normal 5 10 18 5 3" xfId="31239" xr:uid="{00000000-0005-0000-0000-0000F7790000}"/>
    <cellStyle name="Normal 5 10 18 5 4" xfId="31240" xr:uid="{00000000-0005-0000-0000-0000F8790000}"/>
    <cellStyle name="Normal 5 10 18 5 5" xfId="31241" xr:uid="{00000000-0005-0000-0000-0000F9790000}"/>
    <cellStyle name="Normal 5 10 18 5 6" xfId="31242" xr:uid="{00000000-0005-0000-0000-0000FA790000}"/>
    <cellStyle name="Normal 5 10 18 5 7" xfId="31243" xr:uid="{00000000-0005-0000-0000-0000FB790000}"/>
    <cellStyle name="Normal 5 10 18 5 8" xfId="31244" xr:uid="{00000000-0005-0000-0000-0000FC790000}"/>
    <cellStyle name="Normal 5 10 18 5 9" xfId="31245" xr:uid="{00000000-0005-0000-0000-0000FD790000}"/>
    <cellStyle name="Normal 5 10 18 6" xfId="31246" xr:uid="{00000000-0005-0000-0000-0000FE790000}"/>
    <cellStyle name="Normal 5 10 18 7" xfId="31247" xr:uid="{00000000-0005-0000-0000-0000FF790000}"/>
    <cellStyle name="Normal 5 10 18 8" xfId="31248" xr:uid="{00000000-0005-0000-0000-0000007A0000}"/>
    <cellStyle name="Normal 5 10 18 9" xfId="31249" xr:uid="{00000000-0005-0000-0000-0000017A0000}"/>
    <cellStyle name="Normal 5 10 19" xfId="31250" xr:uid="{00000000-0005-0000-0000-0000027A0000}"/>
    <cellStyle name="Normal 5 10 19 10" xfId="31251" xr:uid="{00000000-0005-0000-0000-0000037A0000}"/>
    <cellStyle name="Normal 5 10 19 11" xfId="31252" xr:uid="{00000000-0005-0000-0000-0000047A0000}"/>
    <cellStyle name="Normal 5 10 19 12" xfId="31253" xr:uid="{00000000-0005-0000-0000-0000057A0000}"/>
    <cellStyle name="Normal 5 10 19 13" xfId="31254" xr:uid="{00000000-0005-0000-0000-0000067A0000}"/>
    <cellStyle name="Normal 5 10 19 14" xfId="31255" xr:uid="{00000000-0005-0000-0000-0000077A0000}"/>
    <cellStyle name="Normal 5 10 19 2" xfId="31256" xr:uid="{00000000-0005-0000-0000-0000087A0000}"/>
    <cellStyle name="Normal 5 10 19 2 10" xfId="31257" xr:uid="{00000000-0005-0000-0000-0000097A0000}"/>
    <cellStyle name="Normal 5 10 19 2 2" xfId="31258" xr:uid="{00000000-0005-0000-0000-00000A7A0000}"/>
    <cellStyle name="Normal 5 10 19 2 3" xfId="31259" xr:uid="{00000000-0005-0000-0000-00000B7A0000}"/>
    <cellStyle name="Normal 5 10 19 2 4" xfId="31260" xr:uid="{00000000-0005-0000-0000-00000C7A0000}"/>
    <cellStyle name="Normal 5 10 19 2 5" xfId="31261" xr:uid="{00000000-0005-0000-0000-00000D7A0000}"/>
    <cellStyle name="Normal 5 10 19 2 6" xfId="31262" xr:uid="{00000000-0005-0000-0000-00000E7A0000}"/>
    <cellStyle name="Normal 5 10 19 2 7" xfId="31263" xr:uid="{00000000-0005-0000-0000-00000F7A0000}"/>
    <cellStyle name="Normal 5 10 19 2 8" xfId="31264" xr:uid="{00000000-0005-0000-0000-0000107A0000}"/>
    <cellStyle name="Normal 5 10 19 2 9" xfId="31265" xr:uid="{00000000-0005-0000-0000-0000117A0000}"/>
    <cellStyle name="Normal 5 10 19 3" xfId="31266" xr:uid="{00000000-0005-0000-0000-0000127A0000}"/>
    <cellStyle name="Normal 5 10 19 3 10" xfId="31267" xr:uid="{00000000-0005-0000-0000-0000137A0000}"/>
    <cellStyle name="Normal 5 10 19 3 2" xfId="31268" xr:uid="{00000000-0005-0000-0000-0000147A0000}"/>
    <cellStyle name="Normal 5 10 19 3 3" xfId="31269" xr:uid="{00000000-0005-0000-0000-0000157A0000}"/>
    <cellStyle name="Normal 5 10 19 3 4" xfId="31270" xr:uid="{00000000-0005-0000-0000-0000167A0000}"/>
    <cellStyle name="Normal 5 10 19 3 5" xfId="31271" xr:uid="{00000000-0005-0000-0000-0000177A0000}"/>
    <cellStyle name="Normal 5 10 19 3 6" xfId="31272" xr:uid="{00000000-0005-0000-0000-0000187A0000}"/>
    <cellStyle name="Normal 5 10 19 3 7" xfId="31273" xr:uid="{00000000-0005-0000-0000-0000197A0000}"/>
    <cellStyle name="Normal 5 10 19 3 8" xfId="31274" xr:uid="{00000000-0005-0000-0000-00001A7A0000}"/>
    <cellStyle name="Normal 5 10 19 3 9" xfId="31275" xr:uid="{00000000-0005-0000-0000-00001B7A0000}"/>
    <cellStyle name="Normal 5 10 19 4" xfId="31276" xr:uid="{00000000-0005-0000-0000-00001C7A0000}"/>
    <cellStyle name="Normal 5 10 19 4 10" xfId="31277" xr:uid="{00000000-0005-0000-0000-00001D7A0000}"/>
    <cellStyle name="Normal 5 10 19 4 2" xfId="31278" xr:uid="{00000000-0005-0000-0000-00001E7A0000}"/>
    <cellStyle name="Normal 5 10 19 4 3" xfId="31279" xr:uid="{00000000-0005-0000-0000-00001F7A0000}"/>
    <cellStyle name="Normal 5 10 19 4 4" xfId="31280" xr:uid="{00000000-0005-0000-0000-0000207A0000}"/>
    <cellStyle name="Normal 5 10 19 4 5" xfId="31281" xr:uid="{00000000-0005-0000-0000-0000217A0000}"/>
    <cellStyle name="Normal 5 10 19 4 6" xfId="31282" xr:uid="{00000000-0005-0000-0000-0000227A0000}"/>
    <cellStyle name="Normal 5 10 19 4 7" xfId="31283" xr:uid="{00000000-0005-0000-0000-0000237A0000}"/>
    <cellStyle name="Normal 5 10 19 4 8" xfId="31284" xr:uid="{00000000-0005-0000-0000-0000247A0000}"/>
    <cellStyle name="Normal 5 10 19 4 9" xfId="31285" xr:uid="{00000000-0005-0000-0000-0000257A0000}"/>
    <cellStyle name="Normal 5 10 19 5" xfId="31286" xr:uid="{00000000-0005-0000-0000-0000267A0000}"/>
    <cellStyle name="Normal 5 10 19 5 10" xfId="31287" xr:uid="{00000000-0005-0000-0000-0000277A0000}"/>
    <cellStyle name="Normal 5 10 19 5 2" xfId="31288" xr:uid="{00000000-0005-0000-0000-0000287A0000}"/>
    <cellStyle name="Normal 5 10 19 5 3" xfId="31289" xr:uid="{00000000-0005-0000-0000-0000297A0000}"/>
    <cellStyle name="Normal 5 10 19 5 4" xfId="31290" xr:uid="{00000000-0005-0000-0000-00002A7A0000}"/>
    <cellStyle name="Normal 5 10 19 5 5" xfId="31291" xr:uid="{00000000-0005-0000-0000-00002B7A0000}"/>
    <cellStyle name="Normal 5 10 19 5 6" xfId="31292" xr:uid="{00000000-0005-0000-0000-00002C7A0000}"/>
    <cellStyle name="Normal 5 10 19 5 7" xfId="31293" xr:uid="{00000000-0005-0000-0000-00002D7A0000}"/>
    <cellStyle name="Normal 5 10 19 5 8" xfId="31294" xr:uid="{00000000-0005-0000-0000-00002E7A0000}"/>
    <cellStyle name="Normal 5 10 19 5 9" xfId="31295" xr:uid="{00000000-0005-0000-0000-00002F7A0000}"/>
    <cellStyle name="Normal 5 10 19 6" xfId="31296" xr:uid="{00000000-0005-0000-0000-0000307A0000}"/>
    <cellStyle name="Normal 5 10 19 7" xfId="31297" xr:uid="{00000000-0005-0000-0000-0000317A0000}"/>
    <cellStyle name="Normal 5 10 19 8" xfId="31298" xr:uid="{00000000-0005-0000-0000-0000327A0000}"/>
    <cellStyle name="Normal 5 10 19 9" xfId="31299" xr:uid="{00000000-0005-0000-0000-0000337A0000}"/>
    <cellStyle name="Normal 5 10 2" xfId="61" xr:uid="{00000000-0005-0000-0000-0000347A0000}"/>
    <cellStyle name="Normal 5 10 2 10" xfId="31301" xr:uid="{00000000-0005-0000-0000-0000357A0000}"/>
    <cellStyle name="Normal 5 10 2 10 10" xfId="31302" xr:uid="{00000000-0005-0000-0000-0000367A0000}"/>
    <cellStyle name="Normal 5 10 2 10 11" xfId="31303" xr:uid="{00000000-0005-0000-0000-0000377A0000}"/>
    <cellStyle name="Normal 5 10 2 10 12" xfId="31304" xr:uid="{00000000-0005-0000-0000-0000387A0000}"/>
    <cellStyle name="Normal 5 10 2 10 13" xfId="31305" xr:uid="{00000000-0005-0000-0000-0000397A0000}"/>
    <cellStyle name="Normal 5 10 2 10 14" xfId="31306" xr:uid="{00000000-0005-0000-0000-00003A7A0000}"/>
    <cellStyle name="Normal 5 10 2 10 2" xfId="31307" xr:uid="{00000000-0005-0000-0000-00003B7A0000}"/>
    <cellStyle name="Normal 5 10 2 10 2 10" xfId="31308" xr:uid="{00000000-0005-0000-0000-00003C7A0000}"/>
    <cellStyle name="Normal 5 10 2 10 2 2" xfId="31309" xr:uid="{00000000-0005-0000-0000-00003D7A0000}"/>
    <cellStyle name="Normal 5 10 2 10 2 3" xfId="31310" xr:uid="{00000000-0005-0000-0000-00003E7A0000}"/>
    <cellStyle name="Normal 5 10 2 10 2 4" xfId="31311" xr:uid="{00000000-0005-0000-0000-00003F7A0000}"/>
    <cellStyle name="Normal 5 10 2 10 2 5" xfId="31312" xr:uid="{00000000-0005-0000-0000-0000407A0000}"/>
    <cellStyle name="Normal 5 10 2 10 2 6" xfId="31313" xr:uid="{00000000-0005-0000-0000-0000417A0000}"/>
    <cellStyle name="Normal 5 10 2 10 2 7" xfId="31314" xr:uid="{00000000-0005-0000-0000-0000427A0000}"/>
    <cellStyle name="Normal 5 10 2 10 2 8" xfId="31315" xr:uid="{00000000-0005-0000-0000-0000437A0000}"/>
    <cellStyle name="Normal 5 10 2 10 2 9" xfId="31316" xr:uid="{00000000-0005-0000-0000-0000447A0000}"/>
    <cellStyle name="Normal 5 10 2 10 3" xfId="31317" xr:uid="{00000000-0005-0000-0000-0000457A0000}"/>
    <cellStyle name="Normal 5 10 2 10 3 10" xfId="31318" xr:uid="{00000000-0005-0000-0000-0000467A0000}"/>
    <cellStyle name="Normal 5 10 2 10 3 2" xfId="31319" xr:uid="{00000000-0005-0000-0000-0000477A0000}"/>
    <cellStyle name="Normal 5 10 2 10 3 3" xfId="31320" xr:uid="{00000000-0005-0000-0000-0000487A0000}"/>
    <cellStyle name="Normal 5 10 2 10 3 4" xfId="31321" xr:uid="{00000000-0005-0000-0000-0000497A0000}"/>
    <cellStyle name="Normal 5 10 2 10 3 5" xfId="31322" xr:uid="{00000000-0005-0000-0000-00004A7A0000}"/>
    <cellStyle name="Normal 5 10 2 10 3 6" xfId="31323" xr:uid="{00000000-0005-0000-0000-00004B7A0000}"/>
    <cellStyle name="Normal 5 10 2 10 3 7" xfId="31324" xr:uid="{00000000-0005-0000-0000-00004C7A0000}"/>
    <cellStyle name="Normal 5 10 2 10 3 8" xfId="31325" xr:uid="{00000000-0005-0000-0000-00004D7A0000}"/>
    <cellStyle name="Normal 5 10 2 10 3 9" xfId="31326" xr:uid="{00000000-0005-0000-0000-00004E7A0000}"/>
    <cellStyle name="Normal 5 10 2 10 4" xfId="31327" xr:uid="{00000000-0005-0000-0000-00004F7A0000}"/>
    <cellStyle name="Normal 5 10 2 10 4 10" xfId="31328" xr:uid="{00000000-0005-0000-0000-0000507A0000}"/>
    <cellStyle name="Normal 5 10 2 10 4 2" xfId="31329" xr:uid="{00000000-0005-0000-0000-0000517A0000}"/>
    <cellStyle name="Normal 5 10 2 10 4 3" xfId="31330" xr:uid="{00000000-0005-0000-0000-0000527A0000}"/>
    <cellStyle name="Normal 5 10 2 10 4 4" xfId="31331" xr:uid="{00000000-0005-0000-0000-0000537A0000}"/>
    <cellStyle name="Normal 5 10 2 10 4 5" xfId="31332" xr:uid="{00000000-0005-0000-0000-0000547A0000}"/>
    <cellStyle name="Normal 5 10 2 10 4 6" xfId="31333" xr:uid="{00000000-0005-0000-0000-0000557A0000}"/>
    <cellStyle name="Normal 5 10 2 10 4 7" xfId="31334" xr:uid="{00000000-0005-0000-0000-0000567A0000}"/>
    <cellStyle name="Normal 5 10 2 10 4 8" xfId="31335" xr:uid="{00000000-0005-0000-0000-0000577A0000}"/>
    <cellStyle name="Normal 5 10 2 10 4 9" xfId="31336" xr:uid="{00000000-0005-0000-0000-0000587A0000}"/>
    <cellStyle name="Normal 5 10 2 10 5" xfId="31337" xr:uid="{00000000-0005-0000-0000-0000597A0000}"/>
    <cellStyle name="Normal 5 10 2 10 5 10" xfId="31338" xr:uid="{00000000-0005-0000-0000-00005A7A0000}"/>
    <cellStyle name="Normal 5 10 2 10 5 2" xfId="31339" xr:uid="{00000000-0005-0000-0000-00005B7A0000}"/>
    <cellStyle name="Normal 5 10 2 10 5 3" xfId="31340" xr:uid="{00000000-0005-0000-0000-00005C7A0000}"/>
    <cellStyle name="Normal 5 10 2 10 5 4" xfId="31341" xr:uid="{00000000-0005-0000-0000-00005D7A0000}"/>
    <cellStyle name="Normal 5 10 2 10 5 5" xfId="31342" xr:uid="{00000000-0005-0000-0000-00005E7A0000}"/>
    <cellStyle name="Normal 5 10 2 10 5 6" xfId="31343" xr:uid="{00000000-0005-0000-0000-00005F7A0000}"/>
    <cellStyle name="Normal 5 10 2 10 5 7" xfId="31344" xr:uid="{00000000-0005-0000-0000-0000607A0000}"/>
    <cellStyle name="Normal 5 10 2 10 5 8" xfId="31345" xr:uid="{00000000-0005-0000-0000-0000617A0000}"/>
    <cellStyle name="Normal 5 10 2 10 5 9" xfId="31346" xr:uid="{00000000-0005-0000-0000-0000627A0000}"/>
    <cellStyle name="Normal 5 10 2 10 6" xfId="31347" xr:uid="{00000000-0005-0000-0000-0000637A0000}"/>
    <cellStyle name="Normal 5 10 2 10 7" xfId="31348" xr:uid="{00000000-0005-0000-0000-0000647A0000}"/>
    <cellStyle name="Normal 5 10 2 10 8" xfId="31349" xr:uid="{00000000-0005-0000-0000-0000657A0000}"/>
    <cellStyle name="Normal 5 10 2 10 9" xfId="31350" xr:uid="{00000000-0005-0000-0000-0000667A0000}"/>
    <cellStyle name="Normal 5 10 2 11" xfId="31351" xr:uid="{00000000-0005-0000-0000-0000677A0000}"/>
    <cellStyle name="Normal 5 10 2 11 10" xfId="31352" xr:uid="{00000000-0005-0000-0000-0000687A0000}"/>
    <cellStyle name="Normal 5 10 2 11 11" xfId="31353" xr:uid="{00000000-0005-0000-0000-0000697A0000}"/>
    <cellStyle name="Normal 5 10 2 11 12" xfId="31354" xr:uid="{00000000-0005-0000-0000-00006A7A0000}"/>
    <cellStyle name="Normal 5 10 2 11 13" xfId="31355" xr:uid="{00000000-0005-0000-0000-00006B7A0000}"/>
    <cellStyle name="Normal 5 10 2 11 14" xfId="31356" xr:uid="{00000000-0005-0000-0000-00006C7A0000}"/>
    <cellStyle name="Normal 5 10 2 11 2" xfId="31357" xr:uid="{00000000-0005-0000-0000-00006D7A0000}"/>
    <cellStyle name="Normal 5 10 2 11 2 10" xfId="31358" xr:uid="{00000000-0005-0000-0000-00006E7A0000}"/>
    <cellStyle name="Normal 5 10 2 11 2 2" xfId="31359" xr:uid="{00000000-0005-0000-0000-00006F7A0000}"/>
    <cellStyle name="Normal 5 10 2 11 2 3" xfId="31360" xr:uid="{00000000-0005-0000-0000-0000707A0000}"/>
    <cellStyle name="Normal 5 10 2 11 2 4" xfId="31361" xr:uid="{00000000-0005-0000-0000-0000717A0000}"/>
    <cellStyle name="Normal 5 10 2 11 2 5" xfId="31362" xr:uid="{00000000-0005-0000-0000-0000727A0000}"/>
    <cellStyle name="Normal 5 10 2 11 2 6" xfId="31363" xr:uid="{00000000-0005-0000-0000-0000737A0000}"/>
    <cellStyle name="Normal 5 10 2 11 2 7" xfId="31364" xr:uid="{00000000-0005-0000-0000-0000747A0000}"/>
    <cellStyle name="Normal 5 10 2 11 2 8" xfId="31365" xr:uid="{00000000-0005-0000-0000-0000757A0000}"/>
    <cellStyle name="Normal 5 10 2 11 2 9" xfId="31366" xr:uid="{00000000-0005-0000-0000-0000767A0000}"/>
    <cellStyle name="Normal 5 10 2 11 3" xfId="31367" xr:uid="{00000000-0005-0000-0000-0000777A0000}"/>
    <cellStyle name="Normal 5 10 2 11 3 10" xfId="31368" xr:uid="{00000000-0005-0000-0000-0000787A0000}"/>
    <cellStyle name="Normal 5 10 2 11 3 2" xfId="31369" xr:uid="{00000000-0005-0000-0000-0000797A0000}"/>
    <cellStyle name="Normal 5 10 2 11 3 3" xfId="31370" xr:uid="{00000000-0005-0000-0000-00007A7A0000}"/>
    <cellStyle name="Normal 5 10 2 11 3 4" xfId="31371" xr:uid="{00000000-0005-0000-0000-00007B7A0000}"/>
    <cellStyle name="Normal 5 10 2 11 3 5" xfId="31372" xr:uid="{00000000-0005-0000-0000-00007C7A0000}"/>
    <cellStyle name="Normal 5 10 2 11 3 6" xfId="31373" xr:uid="{00000000-0005-0000-0000-00007D7A0000}"/>
    <cellStyle name="Normal 5 10 2 11 3 7" xfId="31374" xr:uid="{00000000-0005-0000-0000-00007E7A0000}"/>
    <cellStyle name="Normal 5 10 2 11 3 8" xfId="31375" xr:uid="{00000000-0005-0000-0000-00007F7A0000}"/>
    <cellStyle name="Normal 5 10 2 11 3 9" xfId="31376" xr:uid="{00000000-0005-0000-0000-0000807A0000}"/>
    <cellStyle name="Normal 5 10 2 11 4" xfId="31377" xr:uid="{00000000-0005-0000-0000-0000817A0000}"/>
    <cellStyle name="Normal 5 10 2 11 4 10" xfId="31378" xr:uid="{00000000-0005-0000-0000-0000827A0000}"/>
    <cellStyle name="Normal 5 10 2 11 4 2" xfId="31379" xr:uid="{00000000-0005-0000-0000-0000837A0000}"/>
    <cellStyle name="Normal 5 10 2 11 4 3" xfId="31380" xr:uid="{00000000-0005-0000-0000-0000847A0000}"/>
    <cellStyle name="Normal 5 10 2 11 4 4" xfId="31381" xr:uid="{00000000-0005-0000-0000-0000857A0000}"/>
    <cellStyle name="Normal 5 10 2 11 4 5" xfId="31382" xr:uid="{00000000-0005-0000-0000-0000867A0000}"/>
    <cellStyle name="Normal 5 10 2 11 4 6" xfId="31383" xr:uid="{00000000-0005-0000-0000-0000877A0000}"/>
    <cellStyle name="Normal 5 10 2 11 4 7" xfId="31384" xr:uid="{00000000-0005-0000-0000-0000887A0000}"/>
    <cellStyle name="Normal 5 10 2 11 4 8" xfId="31385" xr:uid="{00000000-0005-0000-0000-0000897A0000}"/>
    <cellStyle name="Normal 5 10 2 11 4 9" xfId="31386" xr:uid="{00000000-0005-0000-0000-00008A7A0000}"/>
    <cellStyle name="Normal 5 10 2 11 5" xfId="31387" xr:uid="{00000000-0005-0000-0000-00008B7A0000}"/>
    <cellStyle name="Normal 5 10 2 11 5 10" xfId="31388" xr:uid="{00000000-0005-0000-0000-00008C7A0000}"/>
    <cellStyle name="Normal 5 10 2 11 5 2" xfId="31389" xr:uid="{00000000-0005-0000-0000-00008D7A0000}"/>
    <cellStyle name="Normal 5 10 2 11 5 3" xfId="31390" xr:uid="{00000000-0005-0000-0000-00008E7A0000}"/>
    <cellStyle name="Normal 5 10 2 11 5 4" xfId="31391" xr:uid="{00000000-0005-0000-0000-00008F7A0000}"/>
    <cellStyle name="Normal 5 10 2 11 5 5" xfId="31392" xr:uid="{00000000-0005-0000-0000-0000907A0000}"/>
    <cellStyle name="Normal 5 10 2 11 5 6" xfId="31393" xr:uid="{00000000-0005-0000-0000-0000917A0000}"/>
    <cellStyle name="Normal 5 10 2 11 5 7" xfId="31394" xr:uid="{00000000-0005-0000-0000-0000927A0000}"/>
    <cellStyle name="Normal 5 10 2 11 5 8" xfId="31395" xr:uid="{00000000-0005-0000-0000-0000937A0000}"/>
    <cellStyle name="Normal 5 10 2 11 5 9" xfId="31396" xr:uid="{00000000-0005-0000-0000-0000947A0000}"/>
    <cellStyle name="Normal 5 10 2 11 6" xfId="31397" xr:uid="{00000000-0005-0000-0000-0000957A0000}"/>
    <cellStyle name="Normal 5 10 2 11 7" xfId="31398" xr:uid="{00000000-0005-0000-0000-0000967A0000}"/>
    <cellStyle name="Normal 5 10 2 11 8" xfId="31399" xr:uid="{00000000-0005-0000-0000-0000977A0000}"/>
    <cellStyle name="Normal 5 10 2 11 9" xfId="31400" xr:uid="{00000000-0005-0000-0000-0000987A0000}"/>
    <cellStyle name="Normal 5 10 2 12" xfId="31401" xr:uid="{00000000-0005-0000-0000-0000997A0000}"/>
    <cellStyle name="Normal 5 10 2 12 10" xfId="31402" xr:uid="{00000000-0005-0000-0000-00009A7A0000}"/>
    <cellStyle name="Normal 5 10 2 12 11" xfId="31403" xr:uid="{00000000-0005-0000-0000-00009B7A0000}"/>
    <cellStyle name="Normal 5 10 2 12 12" xfId="31404" xr:uid="{00000000-0005-0000-0000-00009C7A0000}"/>
    <cellStyle name="Normal 5 10 2 12 13" xfId="31405" xr:uid="{00000000-0005-0000-0000-00009D7A0000}"/>
    <cellStyle name="Normal 5 10 2 12 14" xfId="31406" xr:uid="{00000000-0005-0000-0000-00009E7A0000}"/>
    <cellStyle name="Normal 5 10 2 12 2" xfId="31407" xr:uid="{00000000-0005-0000-0000-00009F7A0000}"/>
    <cellStyle name="Normal 5 10 2 12 2 10" xfId="31408" xr:uid="{00000000-0005-0000-0000-0000A07A0000}"/>
    <cellStyle name="Normal 5 10 2 12 2 2" xfId="31409" xr:uid="{00000000-0005-0000-0000-0000A17A0000}"/>
    <cellStyle name="Normal 5 10 2 12 2 3" xfId="31410" xr:uid="{00000000-0005-0000-0000-0000A27A0000}"/>
    <cellStyle name="Normal 5 10 2 12 2 4" xfId="31411" xr:uid="{00000000-0005-0000-0000-0000A37A0000}"/>
    <cellStyle name="Normal 5 10 2 12 2 5" xfId="31412" xr:uid="{00000000-0005-0000-0000-0000A47A0000}"/>
    <cellStyle name="Normal 5 10 2 12 2 6" xfId="31413" xr:uid="{00000000-0005-0000-0000-0000A57A0000}"/>
    <cellStyle name="Normal 5 10 2 12 2 7" xfId="31414" xr:uid="{00000000-0005-0000-0000-0000A67A0000}"/>
    <cellStyle name="Normal 5 10 2 12 2 8" xfId="31415" xr:uid="{00000000-0005-0000-0000-0000A77A0000}"/>
    <cellStyle name="Normal 5 10 2 12 2 9" xfId="31416" xr:uid="{00000000-0005-0000-0000-0000A87A0000}"/>
    <cellStyle name="Normal 5 10 2 12 3" xfId="31417" xr:uid="{00000000-0005-0000-0000-0000A97A0000}"/>
    <cellStyle name="Normal 5 10 2 12 3 10" xfId="31418" xr:uid="{00000000-0005-0000-0000-0000AA7A0000}"/>
    <cellStyle name="Normal 5 10 2 12 3 2" xfId="31419" xr:uid="{00000000-0005-0000-0000-0000AB7A0000}"/>
    <cellStyle name="Normal 5 10 2 12 3 3" xfId="31420" xr:uid="{00000000-0005-0000-0000-0000AC7A0000}"/>
    <cellStyle name="Normal 5 10 2 12 3 4" xfId="31421" xr:uid="{00000000-0005-0000-0000-0000AD7A0000}"/>
    <cellStyle name="Normal 5 10 2 12 3 5" xfId="31422" xr:uid="{00000000-0005-0000-0000-0000AE7A0000}"/>
    <cellStyle name="Normal 5 10 2 12 3 6" xfId="31423" xr:uid="{00000000-0005-0000-0000-0000AF7A0000}"/>
    <cellStyle name="Normal 5 10 2 12 3 7" xfId="31424" xr:uid="{00000000-0005-0000-0000-0000B07A0000}"/>
    <cellStyle name="Normal 5 10 2 12 3 8" xfId="31425" xr:uid="{00000000-0005-0000-0000-0000B17A0000}"/>
    <cellStyle name="Normal 5 10 2 12 3 9" xfId="31426" xr:uid="{00000000-0005-0000-0000-0000B27A0000}"/>
    <cellStyle name="Normal 5 10 2 12 4" xfId="31427" xr:uid="{00000000-0005-0000-0000-0000B37A0000}"/>
    <cellStyle name="Normal 5 10 2 12 4 10" xfId="31428" xr:uid="{00000000-0005-0000-0000-0000B47A0000}"/>
    <cellStyle name="Normal 5 10 2 12 4 2" xfId="31429" xr:uid="{00000000-0005-0000-0000-0000B57A0000}"/>
    <cellStyle name="Normal 5 10 2 12 4 3" xfId="31430" xr:uid="{00000000-0005-0000-0000-0000B67A0000}"/>
    <cellStyle name="Normal 5 10 2 12 4 4" xfId="31431" xr:uid="{00000000-0005-0000-0000-0000B77A0000}"/>
    <cellStyle name="Normal 5 10 2 12 4 5" xfId="31432" xr:uid="{00000000-0005-0000-0000-0000B87A0000}"/>
    <cellStyle name="Normal 5 10 2 12 4 6" xfId="31433" xr:uid="{00000000-0005-0000-0000-0000B97A0000}"/>
    <cellStyle name="Normal 5 10 2 12 4 7" xfId="31434" xr:uid="{00000000-0005-0000-0000-0000BA7A0000}"/>
    <cellStyle name="Normal 5 10 2 12 4 8" xfId="31435" xr:uid="{00000000-0005-0000-0000-0000BB7A0000}"/>
    <cellStyle name="Normal 5 10 2 12 4 9" xfId="31436" xr:uid="{00000000-0005-0000-0000-0000BC7A0000}"/>
    <cellStyle name="Normal 5 10 2 12 5" xfId="31437" xr:uid="{00000000-0005-0000-0000-0000BD7A0000}"/>
    <cellStyle name="Normal 5 10 2 12 5 10" xfId="31438" xr:uid="{00000000-0005-0000-0000-0000BE7A0000}"/>
    <cellStyle name="Normal 5 10 2 12 5 2" xfId="31439" xr:uid="{00000000-0005-0000-0000-0000BF7A0000}"/>
    <cellStyle name="Normal 5 10 2 12 5 3" xfId="31440" xr:uid="{00000000-0005-0000-0000-0000C07A0000}"/>
    <cellStyle name="Normal 5 10 2 12 5 4" xfId="31441" xr:uid="{00000000-0005-0000-0000-0000C17A0000}"/>
    <cellStyle name="Normal 5 10 2 12 5 5" xfId="31442" xr:uid="{00000000-0005-0000-0000-0000C27A0000}"/>
    <cellStyle name="Normal 5 10 2 12 5 6" xfId="31443" xr:uid="{00000000-0005-0000-0000-0000C37A0000}"/>
    <cellStyle name="Normal 5 10 2 12 5 7" xfId="31444" xr:uid="{00000000-0005-0000-0000-0000C47A0000}"/>
    <cellStyle name="Normal 5 10 2 12 5 8" xfId="31445" xr:uid="{00000000-0005-0000-0000-0000C57A0000}"/>
    <cellStyle name="Normal 5 10 2 12 5 9" xfId="31446" xr:uid="{00000000-0005-0000-0000-0000C67A0000}"/>
    <cellStyle name="Normal 5 10 2 12 6" xfId="31447" xr:uid="{00000000-0005-0000-0000-0000C77A0000}"/>
    <cellStyle name="Normal 5 10 2 12 7" xfId="31448" xr:uid="{00000000-0005-0000-0000-0000C87A0000}"/>
    <cellStyle name="Normal 5 10 2 12 8" xfId="31449" xr:uid="{00000000-0005-0000-0000-0000C97A0000}"/>
    <cellStyle name="Normal 5 10 2 12 9" xfId="31450" xr:uid="{00000000-0005-0000-0000-0000CA7A0000}"/>
    <cellStyle name="Normal 5 10 2 13" xfId="31451" xr:uid="{00000000-0005-0000-0000-0000CB7A0000}"/>
    <cellStyle name="Normal 5 10 2 13 10" xfId="31452" xr:uid="{00000000-0005-0000-0000-0000CC7A0000}"/>
    <cellStyle name="Normal 5 10 2 13 11" xfId="31453" xr:uid="{00000000-0005-0000-0000-0000CD7A0000}"/>
    <cellStyle name="Normal 5 10 2 13 12" xfId="31454" xr:uid="{00000000-0005-0000-0000-0000CE7A0000}"/>
    <cellStyle name="Normal 5 10 2 13 13" xfId="31455" xr:uid="{00000000-0005-0000-0000-0000CF7A0000}"/>
    <cellStyle name="Normal 5 10 2 13 14" xfId="31456" xr:uid="{00000000-0005-0000-0000-0000D07A0000}"/>
    <cellStyle name="Normal 5 10 2 13 2" xfId="31457" xr:uid="{00000000-0005-0000-0000-0000D17A0000}"/>
    <cellStyle name="Normal 5 10 2 13 2 10" xfId="31458" xr:uid="{00000000-0005-0000-0000-0000D27A0000}"/>
    <cellStyle name="Normal 5 10 2 13 2 2" xfId="31459" xr:uid="{00000000-0005-0000-0000-0000D37A0000}"/>
    <cellStyle name="Normal 5 10 2 13 2 3" xfId="31460" xr:uid="{00000000-0005-0000-0000-0000D47A0000}"/>
    <cellStyle name="Normal 5 10 2 13 2 4" xfId="31461" xr:uid="{00000000-0005-0000-0000-0000D57A0000}"/>
    <cellStyle name="Normal 5 10 2 13 2 5" xfId="31462" xr:uid="{00000000-0005-0000-0000-0000D67A0000}"/>
    <cellStyle name="Normal 5 10 2 13 2 6" xfId="31463" xr:uid="{00000000-0005-0000-0000-0000D77A0000}"/>
    <cellStyle name="Normal 5 10 2 13 2 7" xfId="31464" xr:uid="{00000000-0005-0000-0000-0000D87A0000}"/>
    <cellStyle name="Normal 5 10 2 13 2 8" xfId="31465" xr:uid="{00000000-0005-0000-0000-0000D97A0000}"/>
    <cellStyle name="Normal 5 10 2 13 2 9" xfId="31466" xr:uid="{00000000-0005-0000-0000-0000DA7A0000}"/>
    <cellStyle name="Normal 5 10 2 13 3" xfId="31467" xr:uid="{00000000-0005-0000-0000-0000DB7A0000}"/>
    <cellStyle name="Normal 5 10 2 13 3 10" xfId="31468" xr:uid="{00000000-0005-0000-0000-0000DC7A0000}"/>
    <cellStyle name="Normal 5 10 2 13 3 2" xfId="31469" xr:uid="{00000000-0005-0000-0000-0000DD7A0000}"/>
    <cellStyle name="Normal 5 10 2 13 3 3" xfId="31470" xr:uid="{00000000-0005-0000-0000-0000DE7A0000}"/>
    <cellStyle name="Normal 5 10 2 13 3 4" xfId="31471" xr:uid="{00000000-0005-0000-0000-0000DF7A0000}"/>
    <cellStyle name="Normal 5 10 2 13 3 5" xfId="31472" xr:uid="{00000000-0005-0000-0000-0000E07A0000}"/>
    <cellStyle name="Normal 5 10 2 13 3 6" xfId="31473" xr:uid="{00000000-0005-0000-0000-0000E17A0000}"/>
    <cellStyle name="Normal 5 10 2 13 3 7" xfId="31474" xr:uid="{00000000-0005-0000-0000-0000E27A0000}"/>
    <cellStyle name="Normal 5 10 2 13 3 8" xfId="31475" xr:uid="{00000000-0005-0000-0000-0000E37A0000}"/>
    <cellStyle name="Normal 5 10 2 13 3 9" xfId="31476" xr:uid="{00000000-0005-0000-0000-0000E47A0000}"/>
    <cellStyle name="Normal 5 10 2 13 4" xfId="31477" xr:uid="{00000000-0005-0000-0000-0000E57A0000}"/>
    <cellStyle name="Normal 5 10 2 13 4 10" xfId="31478" xr:uid="{00000000-0005-0000-0000-0000E67A0000}"/>
    <cellStyle name="Normal 5 10 2 13 4 2" xfId="31479" xr:uid="{00000000-0005-0000-0000-0000E77A0000}"/>
    <cellStyle name="Normal 5 10 2 13 4 3" xfId="31480" xr:uid="{00000000-0005-0000-0000-0000E87A0000}"/>
    <cellStyle name="Normal 5 10 2 13 4 4" xfId="31481" xr:uid="{00000000-0005-0000-0000-0000E97A0000}"/>
    <cellStyle name="Normal 5 10 2 13 4 5" xfId="31482" xr:uid="{00000000-0005-0000-0000-0000EA7A0000}"/>
    <cellStyle name="Normal 5 10 2 13 4 6" xfId="31483" xr:uid="{00000000-0005-0000-0000-0000EB7A0000}"/>
    <cellStyle name="Normal 5 10 2 13 4 7" xfId="31484" xr:uid="{00000000-0005-0000-0000-0000EC7A0000}"/>
    <cellStyle name="Normal 5 10 2 13 4 8" xfId="31485" xr:uid="{00000000-0005-0000-0000-0000ED7A0000}"/>
    <cellStyle name="Normal 5 10 2 13 4 9" xfId="31486" xr:uid="{00000000-0005-0000-0000-0000EE7A0000}"/>
    <cellStyle name="Normal 5 10 2 13 5" xfId="31487" xr:uid="{00000000-0005-0000-0000-0000EF7A0000}"/>
    <cellStyle name="Normal 5 10 2 13 5 10" xfId="31488" xr:uid="{00000000-0005-0000-0000-0000F07A0000}"/>
    <cellStyle name="Normal 5 10 2 13 5 2" xfId="31489" xr:uid="{00000000-0005-0000-0000-0000F17A0000}"/>
    <cellStyle name="Normal 5 10 2 13 5 3" xfId="31490" xr:uid="{00000000-0005-0000-0000-0000F27A0000}"/>
    <cellStyle name="Normal 5 10 2 13 5 4" xfId="31491" xr:uid="{00000000-0005-0000-0000-0000F37A0000}"/>
    <cellStyle name="Normal 5 10 2 13 5 5" xfId="31492" xr:uid="{00000000-0005-0000-0000-0000F47A0000}"/>
    <cellStyle name="Normal 5 10 2 13 5 6" xfId="31493" xr:uid="{00000000-0005-0000-0000-0000F57A0000}"/>
    <cellStyle name="Normal 5 10 2 13 5 7" xfId="31494" xr:uid="{00000000-0005-0000-0000-0000F67A0000}"/>
    <cellStyle name="Normal 5 10 2 13 5 8" xfId="31495" xr:uid="{00000000-0005-0000-0000-0000F77A0000}"/>
    <cellStyle name="Normal 5 10 2 13 5 9" xfId="31496" xr:uid="{00000000-0005-0000-0000-0000F87A0000}"/>
    <cellStyle name="Normal 5 10 2 13 6" xfId="31497" xr:uid="{00000000-0005-0000-0000-0000F97A0000}"/>
    <cellStyle name="Normal 5 10 2 13 7" xfId="31498" xr:uid="{00000000-0005-0000-0000-0000FA7A0000}"/>
    <cellStyle name="Normal 5 10 2 13 8" xfId="31499" xr:uid="{00000000-0005-0000-0000-0000FB7A0000}"/>
    <cellStyle name="Normal 5 10 2 13 9" xfId="31500" xr:uid="{00000000-0005-0000-0000-0000FC7A0000}"/>
    <cellStyle name="Normal 5 10 2 14" xfId="31501" xr:uid="{00000000-0005-0000-0000-0000FD7A0000}"/>
    <cellStyle name="Normal 5 10 2 14 10" xfId="31502" xr:uid="{00000000-0005-0000-0000-0000FE7A0000}"/>
    <cellStyle name="Normal 5 10 2 14 11" xfId="31503" xr:uid="{00000000-0005-0000-0000-0000FF7A0000}"/>
    <cellStyle name="Normal 5 10 2 14 12" xfId="31504" xr:uid="{00000000-0005-0000-0000-0000007B0000}"/>
    <cellStyle name="Normal 5 10 2 14 13" xfId="31505" xr:uid="{00000000-0005-0000-0000-0000017B0000}"/>
    <cellStyle name="Normal 5 10 2 14 14" xfId="31506" xr:uid="{00000000-0005-0000-0000-0000027B0000}"/>
    <cellStyle name="Normal 5 10 2 14 2" xfId="31507" xr:uid="{00000000-0005-0000-0000-0000037B0000}"/>
    <cellStyle name="Normal 5 10 2 14 2 10" xfId="31508" xr:uid="{00000000-0005-0000-0000-0000047B0000}"/>
    <cellStyle name="Normal 5 10 2 14 2 2" xfId="31509" xr:uid="{00000000-0005-0000-0000-0000057B0000}"/>
    <cellStyle name="Normal 5 10 2 14 2 3" xfId="31510" xr:uid="{00000000-0005-0000-0000-0000067B0000}"/>
    <cellStyle name="Normal 5 10 2 14 2 4" xfId="31511" xr:uid="{00000000-0005-0000-0000-0000077B0000}"/>
    <cellStyle name="Normal 5 10 2 14 2 5" xfId="31512" xr:uid="{00000000-0005-0000-0000-0000087B0000}"/>
    <cellStyle name="Normal 5 10 2 14 2 6" xfId="31513" xr:uid="{00000000-0005-0000-0000-0000097B0000}"/>
    <cellStyle name="Normal 5 10 2 14 2 7" xfId="31514" xr:uid="{00000000-0005-0000-0000-00000A7B0000}"/>
    <cellStyle name="Normal 5 10 2 14 2 8" xfId="31515" xr:uid="{00000000-0005-0000-0000-00000B7B0000}"/>
    <cellStyle name="Normal 5 10 2 14 2 9" xfId="31516" xr:uid="{00000000-0005-0000-0000-00000C7B0000}"/>
    <cellStyle name="Normal 5 10 2 14 3" xfId="31517" xr:uid="{00000000-0005-0000-0000-00000D7B0000}"/>
    <cellStyle name="Normal 5 10 2 14 3 10" xfId="31518" xr:uid="{00000000-0005-0000-0000-00000E7B0000}"/>
    <cellStyle name="Normal 5 10 2 14 3 2" xfId="31519" xr:uid="{00000000-0005-0000-0000-00000F7B0000}"/>
    <cellStyle name="Normal 5 10 2 14 3 3" xfId="31520" xr:uid="{00000000-0005-0000-0000-0000107B0000}"/>
    <cellStyle name="Normal 5 10 2 14 3 4" xfId="31521" xr:uid="{00000000-0005-0000-0000-0000117B0000}"/>
    <cellStyle name="Normal 5 10 2 14 3 5" xfId="31522" xr:uid="{00000000-0005-0000-0000-0000127B0000}"/>
    <cellStyle name="Normal 5 10 2 14 3 6" xfId="31523" xr:uid="{00000000-0005-0000-0000-0000137B0000}"/>
    <cellStyle name="Normal 5 10 2 14 3 7" xfId="31524" xr:uid="{00000000-0005-0000-0000-0000147B0000}"/>
    <cellStyle name="Normal 5 10 2 14 3 8" xfId="31525" xr:uid="{00000000-0005-0000-0000-0000157B0000}"/>
    <cellStyle name="Normal 5 10 2 14 3 9" xfId="31526" xr:uid="{00000000-0005-0000-0000-0000167B0000}"/>
    <cellStyle name="Normal 5 10 2 14 4" xfId="31527" xr:uid="{00000000-0005-0000-0000-0000177B0000}"/>
    <cellStyle name="Normal 5 10 2 14 4 10" xfId="31528" xr:uid="{00000000-0005-0000-0000-0000187B0000}"/>
    <cellStyle name="Normal 5 10 2 14 4 2" xfId="31529" xr:uid="{00000000-0005-0000-0000-0000197B0000}"/>
    <cellStyle name="Normal 5 10 2 14 4 3" xfId="31530" xr:uid="{00000000-0005-0000-0000-00001A7B0000}"/>
    <cellStyle name="Normal 5 10 2 14 4 4" xfId="31531" xr:uid="{00000000-0005-0000-0000-00001B7B0000}"/>
    <cellStyle name="Normal 5 10 2 14 4 5" xfId="31532" xr:uid="{00000000-0005-0000-0000-00001C7B0000}"/>
    <cellStyle name="Normal 5 10 2 14 4 6" xfId="31533" xr:uid="{00000000-0005-0000-0000-00001D7B0000}"/>
    <cellStyle name="Normal 5 10 2 14 4 7" xfId="31534" xr:uid="{00000000-0005-0000-0000-00001E7B0000}"/>
    <cellStyle name="Normal 5 10 2 14 4 8" xfId="31535" xr:uid="{00000000-0005-0000-0000-00001F7B0000}"/>
    <cellStyle name="Normal 5 10 2 14 4 9" xfId="31536" xr:uid="{00000000-0005-0000-0000-0000207B0000}"/>
    <cellStyle name="Normal 5 10 2 14 5" xfId="31537" xr:uid="{00000000-0005-0000-0000-0000217B0000}"/>
    <cellStyle name="Normal 5 10 2 14 5 10" xfId="31538" xr:uid="{00000000-0005-0000-0000-0000227B0000}"/>
    <cellStyle name="Normal 5 10 2 14 5 2" xfId="31539" xr:uid="{00000000-0005-0000-0000-0000237B0000}"/>
    <cellStyle name="Normal 5 10 2 14 5 3" xfId="31540" xr:uid="{00000000-0005-0000-0000-0000247B0000}"/>
    <cellStyle name="Normal 5 10 2 14 5 4" xfId="31541" xr:uid="{00000000-0005-0000-0000-0000257B0000}"/>
    <cellStyle name="Normal 5 10 2 14 5 5" xfId="31542" xr:uid="{00000000-0005-0000-0000-0000267B0000}"/>
    <cellStyle name="Normal 5 10 2 14 5 6" xfId="31543" xr:uid="{00000000-0005-0000-0000-0000277B0000}"/>
    <cellStyle name="Normal 5 10 2 14 5 7" xfId="31544" xr:uid="{00000000-0005-0000-0000-0000287B0000}"/>
    <cellStyle name="Normal 5 10 2 14 5 8" xfId="31545" xr:uid="{00000000-0005-0000-0000-0000297B0000}"/>
    <cellStyle name="Normal 5 10 2 14 5 9" xfId="31546" xr:uid="{00000000-0005-0000-0000-00002A7B0000}"/>
    <cellStyle name="Normal 5 10 2 14 6" xfId="31547" xr:uid="{00000000-0005-0000-0000-00002B7B0000}"/>
    <cellStyle name="Normal 5 10 2 14 7" xfId="31548" xr:uid="{00000000-0005-0000-0000-00002C7B0000}"/>
    <cellStyle name="Normal 5 10 2 14 8" xfId="31549" xr:uid="{00000000-0005-0000-0000-00002D7B0000}"/>
    <cellStyle name="Normal 5 10 2 14 9" xfId="31550" xr:uid="{00000000-0005-0000-0000-00002E7B0000}"/>
    <cellStyle name="Normal 5 10 2 15" xfId="31551" xr:uid="{00000000-0005-0000-0000-00002F7B0000}"/>
    <cellStyle name="Normal 5 10 2 15 10" xfId="31552" xr:uid="{00000000-0005-0000-0000-0000307B0000}"/>
    <cellStyle name="Normal 5 10 2 15 11" xfId="31553" xr:uid="{00000000-0005-0000-0000-0000317B0000}"/>
    <cellStyle name="Normal 5 10 2 15 12" xfId="31554" xr:uid="{00000000-0005-0000-0000-0000327B0000}"/>
    <cellStyle name="Normal 5 10 2 15 13" xfId="31555" xr:uid="{00000000-0005-0000-0000-0000337B0000}"/>
    <cellStyle name="Normal 5 10 2 15 14" xfId="31556" xr:uid="{00000000-0005-0000-0000-0000347B0000}"/>
    <cellStyle name="Normal 5 10 2 15 2" xfId="31557" xr:uid="{00000000-0005-0000-0000-0000357B0000}"/>
    <cellStyle name="Normal 5 10 2 15 2 10" xfId="31558" xr:uid="{00000000-0005-0000-0000-0000367B0000}"/>
    <cellStyle name="Normal 5 10 2 15 2 2" xfId="31559" xr:uid="{00000000-0005-0000-0000-0000377B0000}"/>
    <cellStyle name="Normal 5 10 2 15 2 3" xfId="31560" xr:uid="{00000000-0005-0000-0000-0000387B0000}"/>
    <cellStyle name="Normal 5 10 2 15 2 4" xfId="31561" xr:uid="{00000000-0005-0000-0000-0000397B0000}"/>
    <cellStyle name="Normal 5 10 2 15 2 5" xfId="31562" xr:uid="{00000000-0005-0000-0000-00003A7B0000}"/>
    <cellStyle name="Normal 5 10 2 15 2 6" xfId="31563" xr:uid="{00000000-0005-0000-0000-00003B7B0000}"/>
    <cellStyle name="Normal 5 10 2 15 2 7" xfId="31564" xr:uid="{00000000-0005-0000-0000-00003C7B0000}"/>
    <cellStyle name="Normal 5 10 2 15 2 8" xfId="31565" xr:uid="{00000000-0005-0000-0000-00003D7B0000}"/>
    <cellStyle name="Normal 5 10 2 15 2 9" xfId="31566" xr:uid="{00000000-0005-0000-0000-00003E7B0000}"/>
    <cellStyle name="Normal 5 10 2 15 3" xfId="31567" xr:uid="{00000000-0005-0000-0000-00003F7B0000}"/>
    <cellStyle name="Normal 5 10 2 15 3 10" xfId="31568" xr:uid="{00000000-0005-0000-0000-0000407B0000}"/>
    <cellStyle name="Normal 5 10 2 15 3 2" xfId="31569" xr:uid="{00000000-0005-0000-0000-0000417B0000}"/>
    <cellStyle name="Normal 5 10 2 15 3 3" xfId="31570" xr:uid="{00000000-0005-0000-0000-0000427B0000}"/>
    <cellStyle name="Normal 5 10 2 15 3 4" xfId="31571" xr:uid="{00000000-0005-0000-0000-0000437B0000}"/>
    <cellStyle name="Normal 5 10 2 15 3 5" xfId="31572" xr:uid="{00000000-0005-0000-0000-0000447B0000}"/>
    <cellStyle name="Normal 5 10 2 15 3 6" xfId="31573" xr:uid="{00000000-0005-0000-0000-0000457B0000}"/>
    <cellStyle name="Normal 5 10 2 15 3 7" xfId="31574" xr:uid="{00000000-0005-0000-0000-0000467B0000}"/>
    <cellStyle name="Normal 5 10 2 15 3 8" xfId="31575" xr:uid="{00000000-0005-0000-0000-0000477B0000}"/>
    <cellStyle name="Normal 5 10 2 15 3 9" xfId="31576" xr:uid="{00000000-0005-0000-0000-0000487B0000}"/>
    <cellStyle name="Normal 5 10 2 15 4" xfId="31577" xr:uid="{00000000-0005-0000-0000-0000497B0000}"/>
    <cellStyle name="Normal 5 10 2 15 4 10" xfId="31578" xr:uid="{00000000-0005-0000-0000-00004A7B0000}"/>
    <cellStyle name="Normal 5 10 2 15 4 2" xfId="31579" xr:uid="{00000000-0005-0000-0000-00004B7B0000}"/>
    <cellStyle name="Normal 5 10 2 15 4 3" xfId="31580" xr:uid="{00000000-0005-0000-0000-00004C7B0000}"/>
    <cellStyle name="Normal 5 10 2 15 4 4" xfId="31581" xr:uid="{00000000-0005-0000-0000-00004D7B0000}"/>
    <cellStyle name="Normal 5 10 2 15 4 5" xfId="31582" xr:uid="{00000000-0005-0000-0000-00004E7B0000}"/>
    <cellStyle name="Normal 5 10 2 15 4 6" xfId="31583" xr:uid="{00000000-0005-0000-0000-00004F7B0000}"/>
    <cellStyle name="Normal 5 10 2 15 4 7" xfId="31584" xr:uid="{00000000-0005-0000-0000-0000507B0000}"/>
    <cellStyle name="Normal 5 10 2 15 4 8" xfId="31585" xr:uid="{00000000-0005-0000-0000-0000517B0000}"/>
    <cellStyle name="Normal 5 10 2 15 4 9" xfId="31586" xr:uid="{00000000-0005-0000-0000-0000527B0000}"/>
    <cellStyle name="Normal 5 10 2 15 5" xfId="31587" xr:uid="{00000000-0005-0000-0000-0000537B0000}"/>
    <cellStyle name="Normal 5 10 2 15 5 10" xfId="31588" xr:uid="{00000000-0005-0000-0000-0000547B0000}"/>
    <cellStyle name="Normal 5 10 2 15 5 2" xfId="31589" xr:uid="{00000000-0005-0000-0000-0000557B0000}"/>
    <cellStyle name="Normal 5 10 2 15 5 3" xfId="31590" xr:uid="{00000000-0005-0000-0000-0000567B0000}"/>
    <cellStyle name="Normal 5 10 2 15 5 4" xfId="31591" xr:uid="{00000000-0005-0000-0000-0000577B0000}"/>
    <cellStyle name="Normal 5 10 2 15 5 5" xfId="31592" xr:uid="{00000000-0005-0000-0000-0000587B0000}"/>
    <cellStyle name="Normal 5 10 2 15 5 6" xfId="31593" xr:uid="{00000000-0005-0000-0000-0000597B0000}"/>
    <cellStyle name="Normal 5 10 2 15 5 7" xfId="31594" xr:uid="{00000000-0005-0000-0000-00005A7B0000}"/>
    <cellStyle name="Normal 5 10 2 15 5 8" xfId="31595" xr:uid="{00000000-0005-0000-0000-00005B7B0000}"/>
    <cellStyle name="Normal 5 10 2 15 5 9" xfId="31596" xr:uid="{00000000-0005-0000-0000-00005C7B0000}"/>
    <cellStyle name="Normal 5 10 2 15 6" xfId="31597" xr:uid="{00000000-0005-0000-0000-00005D7B0000}"/>
    <cellStyle name="Normal 5 10 2 15 7" xfId="31598" xr:uid="{00000000-0005-0000-0000-00005E7B0000}"/>
    <cellStyle name="Normal 5 10 2 15 8" xfId="31599" xr:uid="{00000000-0005-0000-0000-00005F7B0000}"/>
    <cellStyle name="Normal 5 10 2 15 9" xfId="31600" xr:uid="{00000000-0005-0000-0000-0000607B0000}"/>
    <cellStyle name="Normal 5 10 2 16" xfId="31601" xr:uid="{00000000-0005-0000-0000-0000617B0000}"/>
    <cellStyle name="Normal 5 10 2 16 10" xfId="31602" xr:uid="{00000000-0005-0000-0000-0000627B0000}"/>
    <cellStyle name="Normal 5 10 2 16 11" xfId="31603" xr:uid="{00000000-0005-0000-0000-0000637B0000}"/>
    <cellStyle name="Normal 5 10 2 16 12" xfId="31604" xr:uid="{00000000-0005-0000-0000-0000647B0000}"/>
    <cellStyle name="Normal 5 10 2 16 13" xfId="31605" xr:uid="{00000000-0005-0000-0000-0000657B0000}"/>
    <cellStyle name="Normal 5 10 2 16 14" xfId="31606" xr:uid="{00000000-0005-0000-0000-0000667B0000}"/>
    <cellStyle name="Normal 5 10 2 16 2" xfId="31607" xr:uid="{00000000-0005-0000-0000-0000677B0000}"/>
    <cellStyle name="Normal 5 10 2 16 2 10" xfId="31608" xr:uid="{00000000-0005-0000-0000-0000687B0000}"/>
    <cellStyle name="Normal 5 10 2 16 2 2" xfId="31609" xr:uid="{00000000-0005-0000-0000-0000697B0000}"/>
    <cellStyle name="Normal 5 10 2 16 2 3" xfId="31610" xr:uid="{00000000-0005-0000-0000-00006A7B0000}"/>
    <cellStyle name="Normal 5 10 2 16 2 4" xfId="31611" xr:uid="{00000000-0005-0000-0000-00006B7B0000}"/>
    <cellStyle name="Normal 5 10 2 16 2 5" xfId="31612" xr:uid="{00000000-0005-0000-0000-00006C7B0000}"/>
    <cellStyle name="Normal 5 10 2 16 2 6" xfId="31613" xr:uid="{00000000-0005-0000-0000-00006D7B0000}"/>
    <cellStyle name="Normal 5 10 2 16 2 7" xfId="31614" xr:uid="{00000000-0005-0000-0000-00006E7B0000}"/>
    <cellStyle name="Normal 5 10 2 16 2 8" xfId="31615" xr:uid="{00000000-0005-0000-0000-00006F7B0000}"/>
    <cellStyle name="Normal 5 10 2 16 2 9" xfId="31616" xr:uid="{00000000-0005-0000-0000-0000707B0000}"/>
    <cellStyle name="Normal 5 10 2 16 3" xfId="31617" xr:uid="{00000000-0005-0000-0000-0000717B0000}"/>
    <cellStyle name="Normal 5 10 2 16 3 10" xfId="31618" xr:uid="{00000000-0005-0000-0000-0000727B0000}"/>
    <cellStyle name="Normal 5 10 2 16 3 2" xfId="31619" xr:uid="{00000000-0005-0000-0000-0000737B0000}"/>
    <cellStyle name="Normal 5 10 2 16 3 3" xfId="31620" xr:uid="{00000000-0005-0000-0000-0000747B0000}"/>
    <cellStyle name="Normal 5 10 2 16 3 4" xfId="31621" xr:uid="{00000000-0005-0000-0000-0000757B0000}"/>
    <cellStyle name="Normal 5 10 2 16 3 5" xfId="31622" xr:uid="{00000000-0005-0000-0000-0000767B0000}"/>
    <cellStyle name="Normal 5 10 2 16 3 6" xfId="31623" xr:uid="{00000000-0005-0000-0000-0000777B0000}"/>
    <cellStyle name="Normal 5 10 2 16 3 7" xfId="31624" xr:uid="{00000000-0005-0000-0000-0000787B0000}"/>
    <cellStyle name="Normal 5 10 2 16 3 8" xfId="31625" xr:uid="{00000000-0005-0000-0000-0000797B0000}"/>
    <cellStyle name="Normal 5 10 2 16 3 9" xfId="31626" xr:uid="{00000000-0005-0000-0000-00007A7B0000}"/>
    <cellStyle name="Normal 5 10 2 16 4" xfId="31627" xr:uid="{00000000-0005-0000-0000-00007B7B0000}"/>
    <cellStyle name="Normal 5 10 2 16 4 10" xfId="31628" xr:uid="{00000000-0005-0000-0000-00007C7B0000}"/>
    <cellStyle name="Normal 5 10 2 16 4 2" xfId="31629" xr:uid="{00000000-0005-0000-0000-00007D7B0000}"/>
    <cellStyle name="Normal 5 10 2 16 4 3" xfId="31630" xr:uid="{00000000-0005-0000-0000-00007E7B0000}"/>
    <cellStyle name="Normal 5 10 2 16 4 4" xfId="31631" xr:uid="{00000000-0005-0000-0000-00007F7B0000}"/>
    <cellStyle name="Normal 5 10 2 16 4 5" xfId="31632" xr:uid="{00000000-0005-0000-0000-0000807B0000}"/>
    <cellStyle name="Normal 5 10 2 16 4 6" xfId="31633" xr:uid="{00000000-0005-0000-0000-0000817B0000}"/>
    <cellStyle name="Normal 5 10 2 16 4 7" xfId="31634" xr:uid="{00000000-0005-0000-0000-0000827B0000}"/>
    <cellStyle name="Normal 5 10 2 16 4 8" xfId="31635" xr:uid="{00000000-0005-0000-0000-0000837B0000}"/>
    <cellStyle name="Normal 5 10 2 16 4 9" xfId="31636" xr:uid="{00000000-0005-0000-0000-0000847B0000}"/>
    <cellStyle name="Normal 5 10 2 16 5" xfId="31637" xr:uid="{00000000-0005-0000-0000-0000857B0000}"/>
    <cellStyle name="Normal 5 10 2 16 5 10" xfId="31638" xr:uid="{00000000-0005-0000-0000-0000867B0000}"/>
    <cellStyle name="Normal 5 10 2 16 5 2" xfId="31639" xr:uid="{00000000-0005-0000-0000-0000877B0000}"/>
    <cellStyle name="Normal 5 10 2 16 5 3" xfId="31640" xr:uid="{00000000-0005-0000-0000-0000887B0000}"/>
    <cellStyle name="Normal 5 10 2 16 5 4" xfId="31641" xr:uid="{00000000-0005-0000-0000-0000897B0000}"/>
    <cellStyle name="Normal 5 10 2 16 5 5" xfId="31642" xr:uid="{00000000-0005-0000-0000-00008A7B0000}"/>
    <cellStyle name="Normal 5 10 2 16 5 6" xfId="31643" xr:uid="{00000000-0005-0000-0000-00008B7B0000}"/>
    <cellStyle name="Normal 5 10 2 16 5 7" xfId="31644" xr:uid="{00000000-0005-0000-0000-00008C7B0000}"/>
    <cellStyle name="Normal 5 10 2 16 5 8" xfId="31645" xr:uid="{00000000-0005-0000-0000-00008D7B0000}"/>
    <cellStyle name="Normal 5 10 2 16 5 9" xfId="31646" xr:uid="{00000000-0005-0000-0000-00008E7B0000}"/>
    <cellStyle name="Normal 5 10 2 16 6" xfId="31647" xr:uid="{00000000-0005-0000-0000-00008F7B0000}"/>
    <cellStyle name="Normal 5 10 2 16 7" xfId="31648" xr:uid="{00000000-0005-0000-0000-0000907B0000}"/>
    <cellStyle name="Normal 5 10 2 16 8" xfId="31649" xr:uid="{00000000-0005-0000-0000-0000917B0000}"/>
    <cellStyle name="Normal 5 10 2 16 9" xfId="31650" xr:uid="{00000000-0005-0000-0000-0000927B0000}"/>
    <cellStyle name="Normal 5 10 2 17" xfId="31651" xr:uid="{00000000-0005-0000-0000-0000937B0000}"/>
    <cellStyle name="Normal 5 10 2 17 10" xfId="31652" xr:uid="{00000000-0005-0000-0000-0000947B0000}"/>
    <cellStyle name="Normal 5 10 2 17 11" xfId="31653" xr:uid="{00000000-0005-0000-0000-0000957B0000}"/>
    <cellStyle name="Normal 5 10 2 17 12" xfId="31654" xr:uid="{00000000-0005-0000-0000-0000967B0000}"/>
    <cellStyle name="Normal 5 10 2 17 13" xfId="31655" xr:uid="{00000000-0005-0000-0000-0000977B0000}"/>
    <cellStyle name="Normal 5 10 2 17 14" xfId="31656" xr:uid="{00000000-0005-0000-0000-0000987B0000}"/>
    <cellStyle name="Normal 5 10 2 17 2" xfId="31657" xr:uid="{00000000-0005-0000-0000-0000997B0000}"/>
    <cellStyle name="Normal 5 10 2 17 2 10" xfId="31658" xr:uid="{00000000-0005-0000-0000-00009A7B0000}"/>
    <cellStyle name="Normal 5 10 2 17 2 2" xfId="31659" xr:uid="{00000000-0005-0000-0000-00009B7B0000}"/>
    <cellStyle name="Normal 5 10 2 17 2 3" xfId="31660" xr:uid="{00000000-0005-0000-0000-00009C7B0000}"/>
    <cellStyle name="Normal 5 10 2 17 2 4" xfId="31661" xr:uid="{00000000-0005-0000-0000-00009D7B0000}"/>
    <cellStyle name="Normal 5 10 2 17 2 5" xfId="31662" xr:uid="{00000000-0005-0000-0000-00009E7B0000}"/>
    <cellStyle name="Normal 5 10 2 17 2 6" xfId="31663" xr:uid="{00000000-0005-0000-0000-00009F7B0000}"/>
    <cellStyle name="Normal 5 10 2 17 2 7" xfId="31664" xr:uid="{00000000-0005-0000-0000-0000A07B0000}"/>
    <cellStyle name="Normal 5 10 2 17 2 8" xfId="31665" xr:uid="{00000000-0005-0000-0000-0000A17B0000}"/>
    <cellStyle name="Normal 5 10 2 17 2 9" xfId="31666" xr:uid="{00000000-0005-0000-0000-0000A27B0000}"/>
    <cellStyle name="Normal 5 10 2 17 3" xfId="31667" xr:uid="{00000000-0005-0000-0000-0000A37B0000}"/>
    <cellStyle name="Normal 5 10 2 17 3 10" xfId="31668" xr:uid="{00000000-0005-0000-0000-0000A47B0000}"/>
    <cellStyle name="Normal 5 10 2 17 3 2" xfId="31669" xr:uid="{00000000-0005-0000-0000-0000A57B0000}"/>
    <cellStyle name="Normal 5 10 2 17 3 3" xfId="31670" xr:uid="{00000000-0005-0000-0000-0000A67B0000}"/>
    <cellStyle name="Normal 5 10 2 17 3 4" xfId="31671" xr:uid="{00000000-0005-0000-0000-0000A77B0000}"/>
    <cellStyle name="Normal 5 10 2 17 3 5" xfId="31672" xr:uid="{00000000-0005-0000-0000-0000A87B0000}"/>
    <cellStyle name="Normal 5 10 2 17 3 6" xfId="31673" xr:uid="{00000000-0005-0000-0000-0000A97B0000}"/>
    <cellStyle name="Normal 5 10 2 17 3 7" xfId="31674" xr:uid="{00000000-0005-0000-0000-0000AA7B0000}"/>
    <cellStyle name="Normal 5 10 2 17 3 8" xfId="31675" xr:uid="{00000000-0005-0000-0000-0000AB7B0000}"/>
    <cellStyle name="Normal 5 10 2 17 3 9" xfId="31676" xr:uid="{00000000-0005-0000-0000-0000AC7B0000}"/>
    <cellStyle name="Normal 5 10 2 17 4" xfId="31677" xr:uid="{00000000-0005-0000-0000-0000AD7B0000}"/>
    <cellStyle name="Normal 5 10 2 17 4 10" xfId="31678" xr:uid="{00000000-0005-0000-0000-0000AE7B0000}"/>
    <cellStyle name="Normal 5 10 2 17 4 2" xfId="31679" xr:uid="{00000000-0005-0000-0000-0000AF7B0000}"/>
    <cellStyle name="Normal 5 10 2 17 4 3" xfId="31680" xr:uid="{00000000-0005-0000-0000-0000B07B0000}"/>
    <cellStyle name="Normal 5 10 2 17 4 4" xfId="31681" xr:uid="{00000000-0005-0000-0000-0000B17B0000}"/>
    <cellStyle name="Normal 5 10 2 17 4 5" xfId="31682" xr:uid="{00000000-0005-0000-0000-0000B27B0000}"/>
    <cellStyle name="Normal 5 10 2 17 4 6" xfId="31683" xr:uid="{00000000-0005-0000-0000-0000B37B0000}"/>
    <cellStyle name="Normal 5 10 2 17 4 7" xfId="31684" xr:uid="{00000000-0005-0000-0000-0000B47B0000}"/>
    <cellStyle name="Normal 5 10 2 17 4 8" xfId="31685" xr:uid="{00000000-0005-0000-0000-0000B57B0000}"/>
    <cellStyle name="Normal 5 10 2 17 4 9" xfId="31686" xr:uid="{00000000-0005-0000-0000-0000B67B0000}"/>
    <cellStyle name="Normal 5 10 2 17 5" xfId="31687" xr:uid="{00000000-0005-0000-0000-0000B77B0000}"/>
    <cellStyle name="Normal 5 10 2 17 5 10" xfId="31688" xr:uid="{00000000-0005-0000-0000-0000B87B0000}"/>
    <cellStyle name="Normal 5 10 2 17 5 2" xfId="31689" xr:uid="{00000000-0005-0000-0000-0000B97B0000}"/>
    <cellStyle name="Normal 5 10 2 17 5 3" xfId="31690" xr:uid="{00000000-0005-0000-0000-0000BA7B0000}"/>
    <cellStyle name="Normal 5 10 2 17 5 4" xfId="31691" xr:uid="{00000000-0005-0000-0000-0000BB7B0000}"/>
    <cellStyle name="Normal 5 10 2 17 5 5" xfId="31692" xr:uid="{00000000-0005-0000-0000-0000BC7B0000}"/>
    <cellStyle name="Normal 5 10 2 17 5 6" xfId="31693" xr:uid="{00000000-0005-0000-0000-0000BD7B0000}"/>
    <cellStyle name="Normal 5 10 2 17 5 7" xfId="31694" xr:uid="{00000000-0005-0000-0000-0000BE7B0000}"/>
    <cellStyle name="Normal 5 10 2 17 5 8" xfId="31695" xr:uid="{00000000-0005-0000-0000-0000BF7B0000}"/>
    <cellStyle name="Normal 5 10 2 17 5 9" xfId="31696" xr:uid="{00000000-0005-0000-0000-0000C07B0000}"/>
    <cellStyle name="Normal 5 10 2 17 6" xfId="31697" xr:uid="{00000000-0005-0000-0000-0000C17B0000}"/>
    <cellStyle name="Normal 5 10 2 17 7" xfId="31698" xr:uid="{00000000-0005-0000-0000-0000C27B0000}"/>
    <cellStyle name="Normal 5 10 2 17 8" xfId="31699" xr:uid="{00000000-0005-0000-0000-0000C37B0000}"/>
    <cellStyle name="Normal 5 10 2 17 9" xfId="31700" xr:uid="{00000000-0005-0000-0000-0000C47B0000}"/>
    <cellStyle name="Normal 5 10 2 18" xfId="31701" xr:uid="{00000000-0005-0000-0000-0000C57B0000}"/>
    <cellStyle name="Normal 5 10 2 18 10" xfId="31702" xr:uid="{00000000-0005-0000-0000-0000C67B0000}"/>
    <cellStyle name="Normal 5 10 2 18 11" xfId="31703" xr:uid="{00000000-0005-0000-0000-0000C77B0000}"/>
    <cellStyle name="Normal 5 10 2 18 12" xfId="31704" xr:uid="{00000000-0005-0000-0000-0000C87B0000}"/>
    <cellStyle name="Normal 5 10 2 18 13" xfId="31705" xr:uid="{00000000-0005-0000-0000-0000C97B0000}"/>
    <cellStyle name="Normal 5 10 2 18 14" xfId="31706" xr:uid="{00000000-0005-0000-0000-0000CA7B0000}"/>
    <cellStyle name="Normal 5 10 2 18 2" xfId="31707" xr:uid="{00000000-0005-0000-0000-0000CB7B0000}"/>
    <cellStyle name="Normal 5 10 2 18 2 10" xfId="31708" xr:uid="{00000000-0005-0000-0000-0000CC7B0000}"/>
    <cellStyle name="Normal 5 10 2 18 2 2" xfId="31709" xr:uid="{00000000-0005-0000-0000-0000CD7B0000}"/>
    <cellStyle name="Normal 5 10 2 18 2 3" xfId="31710" xr:uid="{00000000-0005-0000-0000-0000CE7B0000}"/>
    <cellStyle name="Normal 5 10 2 18 2 4" xfId="31711" xr:uid="{00000000-0005-0000-0000-0000CF7B0000}"/>
    <cellStyle name="Normal 5 10 2 18 2 5" xfId="31712" xr:uid="{00000000-0005-0000-0000-0000D07B0000}"/>
    <cellStyle name="Normal 5 10 2 18 2 6" xfId="31713" xr:uid="{00000000-0005-0000-0000-0000D17B0000}"/>
    <cellStyle name="Normal 5 10 2 18 2 7" xfId="31714" xr:uid="{00000000-0005-0000-0000-0000D27B0000}"/>
    <cellStyle name="Normal 5 10 2 18 2 8" xfId="31715" xr:uid="{00000000-0005-0000-0000-0000D37B0000}"/>
    <cellStyle name="Normal 5 10 2 18 2 9" xfId="31716" xr:uid="{00000000-0005-0000-0000-0000D47B0000}"/>
    <cellStyle name="Normal 5 10 2 18 3" xfId="31717" xr:uid="{00000000-0005-0000-0000-0000D57B0000}"/>
    <cellStyle name="Normal 5 10 2 18 3 10" xfId="31718" xr:uid="{00000000-0005-0000-0000-0000D67B0000}"/>
    <cellStyle name="Normal 5 10 2 18 3 2" xfId="31719" xr:uid="{00000000-0005-0000-0000-0000D77B0000}"/>
    <cellStyle name="Normal 5 10 2 18 3 3" xfId="31720" xr:uid="{00000000-0005-0000-0000-0000D87B0000}"/>
    <cellStyle name="Normal 5 10 2 18 3 4" xfId="31721" xr:uid="{00000000-0005-0000-0000-0000D97B0000}"/>
    <cellStyle name="Normal 5 10 2 18 3 5" xfId="31722" xr:uid="{00000000-0005-0000-0000-0000DA7B0000}"/>
    <cellStyle name="Normal 5 10 2 18 3 6" xfId="31723" xr:uid="{00000000-0005-0000-0000-0000DB7B0000}"/>
    <cellStyle name="Normal 5 10 2 18 3 7" xfId="31724" xr:uid="{00000000-0005-0000-0000-0000DC7B0000}"/>
    <cellStyle name="Normal 5 10 2 18 3 8" xfId="31725" xr:uid="{00000000-0005-0000-0000-0000DD7B0000}"/>
    <cellStyle name="Normal 5 10 2 18 3 9" xfId="31726" xr:uid="{00000000-0005-0000-0000-0000DE7B0000}"/>
    <cellStyle name="Normal 5 10 2 18 4" xfId="31727" xr:uid="{00000000-0005-0000-0000-0000DF7B0000}"/>
    <cellStyle name="Normal 5 10 2 18 4 10" xfId="31728" xr:uid="{00000000-0005-0000-0000-0000E07B0000}"/>
    <cellStyle name="Normal 5 10 2 18 4 2" xfId="31729" xr:uid="{00000000-0005-0000-0000-0000E17B0000}"/>
    <cellStyle name="Normal 5 10 2 18 4 3" xfId="31730" xr:uid="{00000000-0005-0000-0000-0000E27B0000}"/>
    <cellStyle name="Normal 5 10 2 18 4 4" xfId="31731" xr:uid="{00000000-0005-0000-0000-0000E37B0000}"/>
    <cellStyle name="Normal 5 10 2 18 4 5" xfId="31732" xr:uid="{00000000-0005-0000-0000-0000E47B0000}"/>
    <cellStyle name="Normal 5 10 2 18 4 6" xfId="31733" xr:uid="{00000000-0005-0000-0000-0000E57B0000}"/>
    <cellStyle name="Normal 5 10 2 18 4 7" xfId="31734" xr:uid="{00000000-0005-0000-0000-0000E67B0000}"/>
    <cellStyle name="Normal 5 10 2 18 4 8" xfId="31735" xr:uid="{00000000-0005-0000-0000-0000E77B0000}"/>
    <cellStyle name="Normal 5 10 2 18 4 9" xfId="31736" xr:uid="{00000000-0005-0000-0000-0000E87B0000}"/>
    <cellStyle name="Normal 5 10 2 18 5" xfId="31737" xr:uid="{00000000-0005-0000-0000-0000E97B0000}"/>
    <cellStyle name="Normal 5 10 2 18 5 10" xfId="31738" xr:uid="{00000000-0005-0000-0000-0000EA7B0000}"/>
    <cellStyle name="Normal 5 10 2 18 5 2" xfId="31739" xr:uid="{00000000-0005-0000-0000-0000EB7B0000}"/>
    <cellStyle name="Normal 5 10 2 18 5 3" xfId="31740" xr:uid="{00000000-0005-0000-0000-0000EC7B0000}"/>
    <cellStyle name="Normal 5 10 2 18 5 4" xfId="31741" xr:uid="{00000000-0005-0000-0000-0000ED7B0000}"/>
    <cellStyle name="Normal 5 10 2 18 5 5" xfId="31742" xr:uid="{00000000-0005-0000-0000-0000EE7B0000}"/>
    <cellStyle name="Normal 5 10 2 18 5 6" xfId="31743" xr:uid="{00000000-0005-0000-0000-0000EF7B0000}"/>
    <cellStyle name="Normal 5 10 2 18 5 7" xfId="31744" xr:uid="{00000000-0005-0000-0000-0000F07B0000}"/>
    <cellStyle name="Normal 5 10 2 18 5 8" xfId="31745" xr:uid="{00000000-0005-0000-0000-0000F17B0000}"/>
    <cellStyle name="Normal 5 10 2 18 5 9" xfId="31746" xr:uid="{00000000-0005-0000-0000-0000F27B0000}"/>
    <cellStyle name="Normal 5 10 2 18 6" xfId="31747" xr:uid="{00000000-0005-0000-0000-0000F37B0000}"/>
    <cellStyle name="Normal 5 10 2 18 7" xfId="31748" xr:uid="{00000000-0005-0000-0000-0000F47B0000}"/>
    <cellStyle name="Normal 5 10 2 18 8" xfId="31749" xr:uid="{00000000-0005-0000-0000-0000F57B0000}"/>
    <cellStyle name="Normal 5 10 2 18 9" xfId="31750" xr:uid="{00000000-0005-0000-0000-0000F67B0000}"/>
    <cellStyle name="Normal 5 10 2 19" xfId="31751" xr:uid="{00000000-0005-0000-0000-0000F77B0000}"/>
    <cellStyle name="Normal 5 10 2 19 10" xfId="31752" xr:uid="{00000000-0005-0000-0000-0000F87B0000}"/>
    <cellStyle name="Normal 5 10 2 19 11" xfId="31753" xr:uid="{00000000-0005-0000-0000-0000F97B0000}"/>
    <cellStyle name="Normal 5 10 2 19 12" xfId="31754" xr:uid="{00000000-0005-0000-0000-0000FA7B0000}"/>
    <cellStyle name="Normal 5 10 2 19 13" xfId="31755" xr:uid="{00000000-0005-0000-0000-0000FB7B0000}"/>
    <cellStyle name="Normal 5 10 2 19 14" xfId="31756" xr:uid="{00000000-0005-0000-0000-0000FC7B0000}"/>
    <cellStyle name="Normal 5 10 2 19 2" xfId="31757" xr:uid="{00000000-0005-0000-0000-0000FD7B0000}"/>
    <cellStyle name="Normal 5 10 2 19 2 10" xfId="31758" xr:uid="{00000000-0005-0000-0000-0000FE7B0000}"/>
    <cellStyle name="Normal 5 10 2 19 2 2" xfId="31759" xr:uid="{00000000-0005-0000-0000-0000FF7B0000}"/>
    <cellStyle name="Normal 5 10 2 19 2 3" xfId="31760" xr:uid="{00000000-0005-0000-0000-0000007C0000}"/>
    <cellStyle name="Normal 5 10 2 19 2 4" xfId="31761" xr:uid="{00000000-0005-0000-0000-0000017C0000}"/>
    <cellStyle name="Normal 5 10 2 19 2 5" xfId="31762" xr:uid="{00000000-0005-0000-0000-0000027C0000}"/>
    <cellStyle name="Normal 5 10 2 19 2 6" xfId="31763" xr:uid="{00000000-0005-0000-0000-0000037C0000}"/>
    <cellStyle name="Normal 5 10 2 19 2 7" xfId="31764" xr:uid="{00000000-0005-0000-0000-0000047C0000}"/>
    <cellStyle name="Normal 5 10 2 19 2 8" xfId="31765" xr:uid="{00000000-0005-0000-0000-0000057C0000}"/>
    <cellStyle name="Normal 5 10 2 19 2 9" xfId="31766" xr:uid="{00000000-0005-0000-0000-0000067C0000}"/>
    <cellStyle name="Normal 5 10 2 19 3" xfId="31767" xr:uid="{00000000-0005-0000-0000-0000077C0000}"/>
    <cellStyle name="Normal 5 10 2 19 3 10" xfId="31768" xr:uid="{00000000-0005-0000-0000-0000087C0000}"/>
    <cellStyle name="Normal 5 10 2 19 3 2" xfId="31769" xr:uid="{00000000-0005-0000-0000-0000097C0000}"/>
    <cellStyle name="Normal 5 10 2 19 3 3" xfId="31770" xr:uid="{00000000-0005-0000-0000-00000A7C0000}"/>
    <cellStyle name="Normal 5 10 2 19 3 4" xfId="31771" xr:uid="{00000000-0005-0000-0000-00000B7C0000}"/>
    <cellStyle name="Normal 5 10 2 19 3 5" xfId="31772" xr:uid="{00000000-0005-0000-0000-00000C7C0000}"/>
    <cellStyle name="Normal 5 10 2 19 3 6" xfId="31773" xr:uid="{00000000-0005-0000-0000-00000D7C0000}"/>
    <cellStyle name="Normal 5 10 2 19 3 7" xfId="31774" xr:uid="{00000000-0005-0000-0000-00000E7C0000}"/>
    <cellStyle name="Normal 5 10 2 19 3 8" xfId="31775" xr:uid="{00000000-0005-0000-0000-00000F7C0000}"/>
    <cellStyle name="Normal 5 10 2 19 3 9" xfId="31776" xr:uid="{00000000-0005-0000-0000-0000107C0000}"/>
    <cellStyle name="Normal 5 10 2 19 4" xfId="31777" xr:uid="{00000000-0005-0000-0000-0000117C0000}"/>
    <cellStyle name="Normal 5 10 2 19 4 10" xfId="31778" xr:uid="{00000000-0005-0000-0000-0000127C0000}"/>
    <cellStyle name="Normal 5 10 2 19 4 2" xfId="31779" xr:uid="{00000000-0005-0000-0000-0000137C0000}"/>
    <cellStyle name="Normal 5 10 2 19 4 3" xfId="31780" xr:uid="{00000000-0005-0000-0000-0000147C0000}"/>
    <cellStyle name="Normal 5 10 2 19 4 4" xfId="31781" xr:uid="{00000000-0005-0000-0000-0000157C0000}"/>
    <cellStyle name="Normal 5 10 2 19 4 5" xfId="31782" xr:uid="{00000000-0005-0000-0000-0000167C0000}"/>
    <cellStyle name="Normal 5 10 2 19 4 6" xfId="31783" xr:uid="{00000000-0005-0000-0000-0000177C0000}"/>
    <cellStyle name="Normal 5 10 2 19 4 7" xfId="31784" xr:uid="{00000000-0005-0000-0000-0000187C0000}"/>
    <cellStyle name="Normal 5 10 2 19 4 8" xfId="31785" xr:uid="{00000000-0005-0000-0000-0000197C0000}"/>
    <cellStyle name="Normal 5 10 2 19 4 9" xfId="31786" xr:uid="{00000000-0005-0000-0000-00001A7C0000}"/>
    <cellStyle name="Normal 5 10 2 19 5" xfId="31787" xr:uid="{00000000-0005-0000-0000-00001B7C0000}"/>
    <cellStyle name="Normal 5 10 2 19 5 10" xfId="31788" xr:uid="{00000000-0005-0000-0000-00001C7C0000}"/>
    <cellStyle name="Normal 5 10 2 19 5 2" xfId="31789" xr:uid="{00000000-0005-0000-0000-00001D7C0000}"/>
    <cellStyle name="Normal 5 10 2 19 5 3" xfId="31790" xr:uid="{00000000-0005-0000-0000-00001E7C0000}"/>
    <cellStyle name="Normal 5 10 2 19 5 4" xfId="31791" xr:uid="{00000000-0005-0000-0000-00001F7C0000}"/>
    <cellStyle name="Normal 5 10 2 19 5 5" xfId="31792" xr:uid="{00000000-0005-0000-0000-0000207C0000}"/>
    <cellStyle name="Normal 5 10 2 19 5 6" xfId="31793" xr:uid="{00000000-0005-0000-0000-0000217C0000}"/>
    <cellStyle name="Normal 5 10 2 19 5 7" xfId="31794" xr:uid="{00000000-0005-0000-0000-0000227C0000}"/>
    <cellStyle name="Normal 5 10 2 19 5 8" xfId="31795" xr:uid="{00000000-0005-0000-0000-0000237C0000}"/>
    <cellStyle name="Normal 5 10 2 19 5 9" xfId="31796" xr:uid="{00000000-0005-0000-0000-0000247C0000}"/>
    <cellStyle name="Normal 5 10 2 19 6" xfId="31797" xr:uid="{00000000-0005-0000-0000-0000257C0000}"/>
    <cellStyle name="Normal 5 10 2 19 7" xfId="31798" xr:uid="{00000000-0005-0000-0000-0000267C0000}"/>
    <cellStyle name="Normal 5 10 2 19 8" xfId="31799" xr:uid="{00000000-0005-0000-0000-0000277C0000}"/>
    <cellStyle name="Normal 5 10 2 19 9" xfId="31800" xr:uid="{00000000-0005-0000-0000-0000287C0000}"/>
    <cellStyle name="Normal 5 10 2 2" xfId="31801" xr:uid="{00000000-0005-0000-0000-0000297C0000}"/>
    <cellStyle name="Normal 5 10 2 2 10" xfId="31802" xr:uid="{00000000-0005-0000-0000-00002A7C0000}"/>
    <cellStyle name="Normal 5 10 2 2 11" xfId="31803" xr:uid="{00000000-0005-0000-0000-00002B7C0000}"/>
    <cellStyle name="Normal 5 10 2 2 12" xfId="31804" xr:uid="{00000000-0005-0000-0000-00002C7C0000}"/>
    <cellStyle name="Normal 5 10 2 2 13" xfId="31805" xr:uid="{00000000-0005-0000-0000-00002D7C0000}"/>
    <cellStyle name="Normal 5 10 2 2 14" xfId="31806" xr:uid="{00000000-0005-0000-0000-00002E7C0000}"/>
    <cellStyle name="Normal 5 10 2 2 15" xfId="31807" xr:uid="{00000000-0005-0000-0000-00002F7C0000}"/>
    <cellStyle name="Normal 5 10 2 2 16" xfId="31808" xr:uid="{00000000-0005-0000-0000-0000307C0000}"/>
    <cellStyle name="Normal 5 10 2 2 2" xfId="31809" xr:uid="{00000000-0005-0000-0000-0000317C0000}"/>
    <cellStyle name="Normal 5 10 2 2 2 10" xfId="31810" xr:uid="{00000000-0005-0000-0000-0000327C0000}"/>
    <cellStyle name="Normal 5 10 2 2 2 2" xfId="31811" xr:uid="{00000000-0005-0000-0000-0000337C0000}"/>
    <cellStyle name="Normal 5 10 2 2 2 3" xfId="31812" xr:uid="{00000000-0005-0000-0000-0000347C0000}"/>
    <cellStyle name="Normal 5 10 2 2 2 4" xfId="31813" xr:uid="{00000000-0005-0000-0000-0000357C0000}"/>
    <cellStyle name="Normal 5 10 2 2 2 5" xfId="31814" xr:uid="{00000000-0005-0000-0000-0000367C0000}"/>
    <cellStyle name="Normal 5 10 2 2 2 6" xfId="31815" xr:uid="{00000000-0005-0000-0000-0000377C0000}"/>
    <cellStyle name="Normal 5 10 2 2 2 7" xfId="31816" xr:uid="{00000000-0005-0000-0000-0000387C0000}"/>
    <cellStyle name="Normal 5 10 2 2 2 8" xfId="31817" xr:uid="{00000000-0005-0000-0000-0000397C0000}"/>
    <cellStyle name="Normal 5 10 2 2 2 9" xfId="31818" xr:uid="{00000000-0005-0000-0000-00003A7C0000}"/>
    <cellStyle name="Normal 5 10 2 2 3" xfId="31819" xr:uid="{00000000-0005-0000-0000-00003B7C0000}"/>
    <cellStyle name="Normal 5 10 2 2 3 10" xfId="31820" xr:uid="{00000000-0005-0000-0000-00003C7C0000}"/>
    <cellStyle name="Normal 5 10 2 2 3 2" xfId="31821" xr:uid="{00000000-0005-0000-0000-00003D7C0000}"/>
    <cellStyle name="Normal 5 10 2 2 3 3" xfId="31822" xr:uid="{00000000-0005-0000-0000-00003E7C0000}"/>
    <cellStyle name="Normal 5 10 2 2 3 4" xfId="31823" xr:uid="{00000000-0005-0000-0000-00003F7C0000}"/>
    <cellStyle name="Normal 5 10 2 2 3 5" xfId="31824" xr:uid="{00000000-0005-0000-0000-0000407C0000}"/>
    <cellStyle name="Normal 5 10 2 2 3 6" xfId="31825" xr:uid="{00000000-0005-0000-0000-0000417C0000}"/>
    <cellStyle name="Normal 5 10 2 2 3 7" xfId="31826" xr:uid="{00000000-0005-0000-0000-0000427C0000}"/>
    <cellStyle name="Normal 5 10 2 2 3 8" xfId="31827" xr:uid="{00000000-0005-0000-0000-0000437C0000}"/>
    <cellStyle name="Normal 5 10 2 2 3 9" xfId="31828" xr:uid="{00000000-0005-0000-0000-0000447C0000}"/>
    <cellStyle name="Normal 5 10 2 2 4" xfId="31829" xr:uid="{00000000-0005-0000-0000-0000457C0000}"/>
    <cellStyle name="Normal 5 10 2 2 4 10" xfId="31830" xr:uid="{00000000-0005-0000-0000-0000467C0000}"/>
    <cellStyle name="Normal 5 10 2 2 4 2" xfId="31831" xr:uid="{00000000-0005-0000-0000-0000477C0000}"/>
    <cellStyle name="Normal 5 10 2 2 4 3" xfId="31832" xr:uid="{00000000-0005-0000-0000-0000487C0000}"/>
    <cellStyle name="Normal 5 10 2 2 4 4" xfId="31833" xr:uid="{00000000-0005-0000-0000-0000497C0000}"/>
    <cellStyle name="Normal 5 10 2 2 4 5" xfId="31834" xr:uid="{00000000-0005-0000-0000-00004A7C0000}"/>
    <cellStyle name="Normal 5 10 2 2 4 6" xfId="31835" xr:uid="{00000000-0005-0000-0000-00004B7C0000}"/>
    <cellStyle name="Normal 5 10 2 2 4 7" xfId="31836" xr:uid="{00000000-0005-0000-0000-00004C7C0000}"/>
    <cellStyle name="Normal 5 10 2 2 4 8" xfId="31837" xr:uid="{00000000-0005-0000-0000-00004D7C0000}"/>
    <cellStyle name="Normal 5 10 2 2 4 9" xfId="31838" xr:uid="{00000000-0005-0000-0000-00004E7C0000}"/>
    <cellStyle name="Normal 5 10 2 2 5" xfId="31839" xr:uid="{00000000-0005-0000-0000-00004F7C0000}"/>
    <cellStyle name="Normal 5 10 2 2 5 10" xfId="31840" xr:uid="{00000000-0005-0000-0000-0000507C0000}"/>
    <cellStyle name="Normal 5 10 2 2 5 2" xfId="31841" xr:uid="{00000000-0005-0000-0000-0000517C0000}"/>
    <cellStyle name="Normal 5 10 2 2 5 3" xfId="31842" xr:uid="{00000000-0005-0000-0000-0000527C0000}"/>
    <cellStyle name="Normal 5 10 2 2 5 4" xfId="31843" xr:uid="{00000000-0005-0000-0000-0000537C0000}"/>
    <cellStyle name="Normal 5 10 2 2 5 5" xfId="31844" xr:uid="{00000000-0005-0000-0000-0000547C0000}"/>
    <cellStyle name="Normal 5 10 2 2 5 6" xfId="31845" xr:uid="{00000000-0005-0000-0000-0000557C0000}"/>
    <cellStyle name="Normal 5 10 2 2 5 7" xfId="31846" xr:uid="{00000000-0005-0000-0000-0000567C0000}"/>
    <cellStyle name="Normal 5 10 2 2 5 8" xfId="31847" xr:uid="{00000000-0005-0000-0000-0000577C0000}"/>
    <cellStyle name="Normal 5 10 2 2 5 9" xfId="31848" xr:uid="{00000000-0005-0000-0000-0000587C0000}"/>
    <cellStyle name="Normal 5 10 2 2 6" xfId="31849" xr:uid="{00000000-0005-0000-0000-0000597C0000}"/>
    <cellStyle name="Normal 5 10 2 2 7" xfId="31850" xr:uid="{00000000-0005-0000-0000-00005A7C0000}"/>
    <cellStyle name="Normal 5 10 2 2 8" xfId="31851" xr:uid="{00000000-0005-0000-0000-00005B7C0000}"/>
    <cellStyle name="Normal 5 10 2 2 9" xfId="31852" xr:uid="{00000000-0005-0000-0000-00005C7C0000}"/>
    <cellStyle name="Normal 5 10 2 20" xfId="31853" xr:uid="{00000000-0005-0000-0000-00005D7C0000}"/>
    <cellStyle name="Normal 5 10 2 20 10" xfId="31854" xr:uid="{00000000-0005-0000-0000-00005E7C0000}"/>
    <cellStyle name="Normal 5 10 2 20 11" xfId="31855" xr:uid="{00000000-0005-0000-0000-00005F7C0000}"/>
    <cellStyle name="Normal 5 10 2 20 12" xfId="31856" xr:uid="{00000000-0005-0000-0000-0000607C0000}"/>
    <cellStyle name="Normal 5 10 2 20 13" xfId="31857" xr:uid="{00000000-0005-0000-0000-0000617C0000}"/>
    <cellStyle name="Normal 5 10 2 20 14" xfId="31858" xr:uid="{00000000-0005-0000-0000-0000627C0000}"/>
    <cellStyle name="Normal 5 10 2 20 2" xfId="31859" xr:uid="{00000000-0005-0000-0000-0000637C0000}"/>
    <cellStyle name="Normal 5 10 2 20 2 10" xfId="31860" xr:uid="{00000000-0005-0000-0000-0000647C0000}"/>
    <cellStyle name="Normal 5 10 2 20 2 2" xfId="31861" xr:uid="{00000000-0005-0000-0000-0000657C0000}"/>
    <cellStyle name="Normal 5 10 2 20 2 3" xfId="31862" xr:uid="{00000000-0005-0000-0000-0000667C0000}"/>
    <cellStyle name="Normal 5 10 2 20 2 4" xfId="31863" xr:uid="{00000000-0005-0000-0000-0000677C0000}"/>
    <cellStyle name="Normal 5 10 2 20 2 5" xfId="31864" xr:uid="{00000000-0005-0000-0000-0000687C0000}"/>
    <cellStyle name="Normal 5 10 2 20 2 6" xfId="31865" xr:uid="{00000000-0005-0000-0000-0000697C0000}"/>
    <cellStyle name="Normal 5 10 2 20 2 7" xfId="31866" xr:uid="{00000000-0005-0000-0000-00006A7C0000}"/>
    <cellStyle name="Normal 5 10 2 20 2 8" xfId="31867" xr:uid="{00000000-0005-0000-0000-00006B7C0000}"/>
    <cellStyle name="Normal 5 10 2 20 2 9" xfId="31868" xr:uid="{00000000-0005-0000-0000-00006C7C0000}"/>
    <cellStyle name="Normal 5 10 2 20 3" xfId="31869" xr:uid="{00000000-0005-0000-0000-00006D7C0000}"/>
    <cellStyle name="Normal 5 10 2 20 3 10" xfId="31870" xr:uid="{00000000-0005-0000-0000-00006E7C0000}"/>
    <cellStyle name="Normal 5 10 2 20 3 2" xfId="31871" xr:uid="{00000000-0005-0000-0000-00006F7C0000}"/>
    <cellStyle name="Normal 5 10 2 20 3 3" xfId="31872" xr:uid="{00000000-0005-0000-0000-0000707C0000}"/>
    <cellStyle name="Normal 5 10 2 20 3 4" xfId="31873" xr:uid="{00000000-0005-0000-0000-0000717C0000}"/>
    <cellStyle name="Normal 5 10 2 20 3 5" xfId="31874" xr:uid="{00000000-0005-0000-0000-0000727C0000}"/>
    <cellStyle name="Normal 5 10 2 20 3 6" xfId="31875" xr:uid="{00000000-0005-0000-0000-0000737C0000}"/>
    <cellStyle name="Normal 5 10 2 20 3 7" xfId="31876" xr:uid="{00000000-0005-0000-0000-0000747C0000}"/>
    <cellStyle name="Normal 5 10 2 20 3 8" xfId="31877" xr:uid="{00000000-0005-0000-0000-0000757C0000}"/>
    <cellStyle name="Normal 5 10 2 20 3 9" xfId="31878" xr:uid="{00000000-0005-0000-0000-0000767C0000}"/>
    <cellStyle name="Normal 5 10 2 20 4" xfId="31879" xr:uid="{00000000-0005-0000-0000-0000777C0000}"/>
    <cellStyle name="Normal 5 10 2 20 4 10" xfId="31880" xr:uid="{00000000-0005-0000-0000-0000787C0000}"/>
    <cellStyle name="Normal 5 10 2 20 4 2" xfId="31881" xr:uid="{00000000-0005-0000-0000-0000797C0000}"/>
    <cellStyle name="Normal 5 10 2 20 4 3" xfId="31882" xr:uid="{00000000-0005-0000-0000-00007A7C0000}"/>
    <cellStyle name="Normal 5 10 2 20 4 4" xfId="31883" xr:uid="{00000000-0005-0000-0000-00007B7C0000}"/>
    <cellStyle name="Normal 5 10 2 20 4 5" xfId="31884" xr:uid="{00000000-0005-0000-0000-00007C7C0000}"/>
    <cellStyle name="Normal 5 10 2 20 4 6" xfId="31885" xr:uid="{00000000-0005-0000-0000-00007D7C0000}"/>
    <cellStyle name="Normal 5 10 2 20 4 7" xfId="31886" xr:uid="{00000000-0005-0000-0000-00007E7C0000}"/>
    <cellStyle name="Normal 5 10 2 20 4 8" xfId="31887" xr:uid="{00000000-0005-0000-0000-00007F7C0000}"/>
    <cellStyle name="Normal 5 10 2 20 4 9" xfId="31888" xr:uid="{00000000-0005-0000-0000-0000807C0000}"/>
    <cellStyle name="Normal 5 10 2 20 5" xfId="31889" xr:uid="{00000000-0005-0000-0000-0000817C0000}"/>
    <cellStyle name="Normal 5 10 2 20 5 10" xfId="31890" xr:uid="{00000000-0005-0000-0000-0000827C0000}"/>
    <cellStyle name="Normal 5 10 2 20 5 2" xfId="31891" xr:uid="{00000000-0005-0000-0000-0000837C0000}"/>
    <cellStyle name="Normal 5 10 2 20 5 3" xfId="31892" xr:uid="{00000000-0005-0000-0000-0000847C0000}"/>
    <cellStyle name="Normal 5 10 2 20 5 4" xfId="31893" xr:uid="{00000000-0005-0000-0000-0000857C0000}"/>
    <cellStyle name="Normal 5 10 2 20 5 5" xfId="31894" xr:uid="{00000000-0005-0000-0000-0000867C0000}"/>
    <cellStyle name="Normal 5 10 2 20 5 6" xfId="31895" xr:uid="{00000000-0005-0000-0000-0000877C0000}"/>
    <cellStyle name="Normal 5 10 2 20 5 7" xfId="31896" xr:uid="{00000000-0005-0000-0000-0000887C0000}"/>
    <cellStyle name="Normal 5 10 2 20 5 8" xfId="31897" xr:uid="{00000000-0005-0000-0000-0000897C0000}"/>
    <cellStyle name="Normal 5 10 2 20 5 9" xfId="31898" xr:uid="{00000000-0005-0000-0000-00008A7C0000}"/>
    <cellStyle name="Normal 5 10 2 20 6" xfId="31899" xr:uid="{00000000-0005-0000-0000-00008B7C0000}"/>
    <cellStyle name="Normal 5 10 2 20 7" xfId="31900" xr:uid="{00000000-0005-0000-0000-00008C7C0000}"/>
    <cellStyle name="Normal 5 10 2 20 8" xfId="31901" xr:uid="{00000000-0005-0000-0000-00008D7C0000}"/>
    <cellStyle name="Normal 5 10 2 20 9" xfId="31902" xr:uid="{00000000-0005-0000-0000-00008E7C0000}"/>
    <cellStyle name="Normal 5 10 2 21" xfId="31903" xr:uid="{00000000-0005-0000-0000-00008F7C0000}"/>
    <cellStyle name="Normal 5 10 2 21 10" xfId="31904" xr:uid="{00000000-0005-0000-0000-0000907C0000}"/>
    <cellStyle name="Normal 5 10 2 21 11" xfId="31905" xr:uid="{00000000-0005-0000-0000-0000917C0000}"/>
    <cellStyle name="Normal 5 10 2 21 12" xfId="31906" xr:uid="{00000000-0005-0000-0000-0000927C0000}"/>
    <cellStyle name="Normal 5 10 2 21 13" xfId="31907" xr:uid="{00000000-0005-0000-0000-0000937C0000}"/>
    <cellStyle name="Normal 5 10 2 21 14" xfId="31908" xr:uid="{00000000-0005-0000-0000-0000947C0000}"/>
    <cellStyle name="Normal 5 10 2 21 2" xfId="31909" xr:uid="{00000000-0005-0000-0000-0000957C0000}"/>
    <cellStyle name="Normal 5 10 2 21 2 10" xfId="31910" xr:uid="{00000000-0005-0000-0000-0000967C0000}"/>
    <cellStyle name="Normal 5 10 2 21 2 2" xfId="31911" xr:uid="{00000000-0005-0000-0000-0000977C0000}"/>
    <cellStyle name="Normal 5 10 2 21 2 3" xfId="31912" xr:uid="{00000000-0005-0000-0000-0000987C0000}"/>
    <cellStyle name="Normal 5 10 2 21 2 4" xfId="31913" xr:uid="{00000000-0005-0000-0000-0000997C0000}"/>
    <cellStyle name="Normal 5 10 2 21 2 5" xfId="31914" xr:uid="{00000000-0005-0000-0000-00009A7C0000}"/>
    <cellStyle name="Normal 5 10 2 21 2 6" xfId="31915" xr:uid="{00000000-0005-0000-0000-00009B7C0000}"/>
    <cellStyle name="Normal 5 10 2 21 2 7" xfId="31916" xr:uid="{00000000-0005-0000-0000-00009C7C0000}"/>
    <cellStyle name="Normal 5 10 2 21 2 8" xfId="31917" xr:uid="{00000000-0005-0000-0000-00009D7C0000}"/>
    <cellStyle name="Normal 5 10 2 21 2 9" xfId="31918" xr:uid="{00000000-0005-0000-0000-00009E7C0000}"/>
    <cellStyle name="Normal 5 10 2 21 3" xfId="31919" xr:uid="{00000000-0005-0000-0000-00009F7C0000}"/>
    <cellStyle name="Normal 5 10 2 21 3 10" xfId="31920" xr:uid="{00000000-0005-0000-0000-0000A07C0000}"/>
    <cellStyle name="Normal 5 10 2 21 3 2" xfId="31921" xr:uid="{00000000-0005-0000-0000-0000A17C0000}"/>
    <cellStyle name="Normal 5 10 2 21 3 3" xfId="31922" xr:uid="{00000000-0005-0000-0000-0000A27C0000}"/>
    <cellStyle name="Normal 5 10 2 21 3 4" xfId="31923" xr:uid="{00000000-0005-0000-0000-0000A37C0000}"/>
    <cellStyle name="Normal 5 10 2 21 3 5" xfId="31924" xr:uid="{00000000-0005-0000-0000-0000A47C0000}"/>
    <cellStyle name="Normal 5 10 2 21 3 6" xfId="31925" xr:uid="{00000000-0005-0000-0000-0000A57C0000}"/>
    <cellStyle name="Normal 5 10 2 21 3 7" xfId="31926" xr:uid="{00000000-0005-0000-0000-0000A67C0000}"/>
    <cellStyle name="Normal 5 10 2 21 3 8" xfId="31927" xr:uid="{00000000-0005-0000-0000-0000A77C0000}"/>
    <cellStyle name="Normal 5 10 2 21 3 9" xfId="31928" xr:uid="{00000000-0005-0000-0000-0000A87C0000}"/>
    <cellStyle name="Normal 5 10 2 21 4" xfId="31929" xr:uid="{00000000-0005-0000-0000-0000A97C0000}"/>
    <cellStyle name="Normal 5 10 2 21 4 10" xfId="31930" xr:uid="{00000000-0005-0000-0000-0000AA7C0000}"/>
    <cellStyle name="Normal 5 10 2 21 4 2" xfId="31931" xr:uid="{00000000-0005-0000-0000-0000AB7C0000}"/>
    <cellStyle name="Normal 5 10 2 21 4 3" xfId="31932" xr:uid="{00000000-0005-0000-0000-0000AC7C0000}"/>
    <cellStyle name="Normal 5 10 2 21 4 4" xfId="31933" xr:uid="{00000000-0005-0000-0000-0000AD7C0000}"/>
    <cellStyle name="Normal 5 10 2 21 4 5" xfId="31934" xr:uid="{00000000-0005-0000-0000-0000AE7C0000}"/>
    <cellStyle name="Normal 5 10 2 21 4 6" xfId="31935" xr:uid="{00000000-0005-0000-0000-0000AF7C0000}"/>
    <cellStyle name="Normal 5 10 2 21 4 7" xfId="31936" xr:uid="{00000000-0005-0000-0000-0000B07C0000}"/>
    <cellStyle name="Normal 5 10 2 21 4 8" xfId="31937" xr:uid="{00000000-0005-0000-0000-0000B17C0000}"/>
    <cellStyle name="Normal 5 10 2 21 4 9" xfId="31938" xr:uid="{00000000-0005-0000-0000-0000B27C0000}"/>
    <cellStyle name="Normal 5 10 2 21 5" xfId="31939" xr:uid="{00000000-0005-0000-0000-0000B37C0000}"/>
    <cellStyle name="Normal 5 10 2 21 5 10" xfId="31940" xr:uid="{00000000-0005-0000-0000-0000B47C0000}"/>
    <cellStyle name="Normal 5 10 2 21 5 2" xfId="31941" xr:uid="{00000000-0005-0000-0000-0000B57C0000}"/>
    <cellStyle name="Normal 5 10 2 21 5 3" xfId="31942" xr:uid="{00000000-0005-0000-0000-0000B67C0000}"/>
    <cellStyle name="Normal 5 10 2 21 5 4" xfId="31943" xr:uid="{00000000-0005-0000-0000-0000B77C0000}"/>
    <cellStyle name="Normal 5 10 2 21 5 5" xfId="31944" xr:uid="{00000000-0005-0000-0000-0000B87C0000}"/>
    <cellStyle name="Normal 5 10 2 21 5 6" xfId="31945" xr:uid="{00000000-0005-0000-0000-0000B97C0000}"/>
    <cellStyle name="Normal 5 10 2 21 5 7" xfId="31946" xr:uid="{00000000-0005-0000-0000-0000BA7C0000}"/>
    <cellStyle name="Normal 5 10 2 21 5 8" xfId="31947" xr:uid="{00000000-0005-0000-0000-0000BB7C0000}"/>
    <cellStyle name="Normal 5 10 2 21 5 9" xfId="31948" xr:uid="{00000000-0005-0000-0000-0000BC7C0000}"/>
    <cellStyle name="Normal 5 10 2 21 6" xfId="31949" xr:uid="{00000000-0005-0000-0000-0000BD7C0000}"/>
    <cellStyle name="Normal 5 10 2 21 7" xfId="31950" xr:uid="{00000000-0005-0000-0000-0000BE7C0000}"/>
    <cellStyle name="Normal 5 10 2 21 8" xfId="31951" xr:uid="{00000000-0005-0000-0000-0000BF7C0000}"/>
    <cellStyle name="Normal 5 10 2 21 9" xfId="31952" xr:uid="{00000000-0005-0000-0000-0000C07C0000}"/>
    <cellStyle name="Normal 5 10 2 22" xfId="31953" xr:uid="{00000000-0005-0000-0000-0000C17C0000}"/>
    <cellStyle name="Normal 5 10 2 22 10" xfId="31954" xr:uid="{00000000-0005-0000-0000-0000C27C0000}"/>
    <cellStyle name="Normal 5 10 2 22 11" xfId="31955" xr:uid="{00000000-0005-0000-0000-0000C37C0000}"/>
    <cellStyle name="Normal 5 10 2 22 12" xfId="31956" xr:uid="{00000000-0005-0000-0000-0000C47C0000}"/>
    <cellStyle name="Normal 5 10 2 22 13" xfId="31957" xr:uid="{00000000-0005-0000-0000-0000C57C0000}"/>
    <cellStyle name="Normal 5 10 2 22 14" xfId="31958" xr:uid="{00000000-0005-0000-0000-0000C67C0000}"/>
    <cellStyle name="Normal 5 10 2 22 2" xfId="31959" xr:uid="{00000000-0005-0000-0000-0000C77C0000}"/>
    <cellStyle name="Normal 5 10 2 22 2 10" xfId="31960" xr:uid="{00000000-0005-0000-0000-0000C87C0000}"/>
    <cellStyle name="Normal 5 10 2 22 2 2" xfId="31961" xr:uid="{00000000-0005-0000-0000-0000C97C0000}"/>
    <cellStyle name="Normal 5 10 2 22 2 3" xfId="31962" xr:uid="{00000000-0005-0000-0000-0000CA7C0000}"/>
    <cellStyle name="Normal 5 10 2 22 2 4" xfId="31963" xr:uid="{00000000-0005-0000-0000-0000CB7C0000}"/>
    <cellStyle name="Normal 5 10 2 22 2 5" xfId="31964" xr:uid="{00000000-0005-0000-0000-0000CC7C0000}"/>
    <cellStyle name="Normal 5 10 2 22 2 6" xfId="31965" xr:uid="{00000000-0005-0000-0000-0000CD7C0000}"/>
    <cellStyle name="Normal 5 10 2 22 2 7" xfId="31966" xr:uid="{00000000-0005-0000-0000-0000CE7C0000}"/>
    <cellStyle name="Normal 5 10 2 22 2 8" xfId="31967" xr:uid="{00000000-0005-0000-0000-0000CF7C0000}"/>
    <cellStyle name="Normal 5 10 2 22 2 9" xfId="31968" xr:uid="{00000000-0005-0000-0000-0000D07C0000}"/>
    <cellStyle name="Normal 5 10 2 22 3" xfId="31969" xr:uid="{00000000-0005-0000-0000-0000D17C0000}"/>
    <cellStyle name="Normal 5 10 2 22 3 10" xfId="31970" xr:uid="{00000000-0005-0000-0000-0000D27C0000}"/>
    <cellStyle name="Normal 5 10 2 22 3 2" xfId="31971" xr:uid="{00000000-0005-0000-0000-0000D37C0000}"/>
    <cellStyle name="Normal 5 10 2 22 3 3" xfId="31972" xr:uid="{00000000-0005-0000-0000-0000D47C0000}"/>
    <cellStyle name="Normal 5 10 2 22 3 4" xfId="31973" xr:uid="{00000000-0005-0000-0000-0000D57C0000}"/>
    <cellStyle name="Normal 5 10 2 22 3 5" xfId="31974" xr:uid="{00000000-0005-0000-0000-0000D67C0000}"/>
    <cellStyle name="Normal 5 10 2 22 3 6" xfId="31975" xr:uid="{00000000-0005-0000-0000-0000D77C0000}"/>
    <cellStyle name="Normal 5 10 2 22 3 7" xfId="31976" xr:uid="{00000000-0005-0000-0000-0000D87C0000}"/>
    <cellStyle name="Normal 5 10 2 22 3 8" xfId="31977" xr:uid="{00000000-0005-0000-0000-0000D97C0000}"/>
    <cellStyle name="Normal 5 10 2 22 3 9" xfId="31978" xr:uid="{00000000-0005-0000-0000-0000DA7C0000}"/>
    <cellStyle name="Normal 5 10 2 22 4" xfId="31979" xr:uid="{00000000-0005-0000-0000-0000DB7C0000}"/>
    <cellStyle name="Normal 5 10 2 22 4 10" xfId="31980" xr:uid="{00000000-0005-0000-0000-0000DC7C0000}"/>
    <cellStyle name="Normal 5 10 2 22 4 2" xfId="31981" xr:uid="{00000000-0005-0000-0000-0000DD7C0000}"/>
    <cellStyle name="Normal 5 10 2 22 4 3" xfId="31982" xr:uid="{00000000-0005-0000-0000-0000DE7C0000}"/>
    <cellStyle name="Normal 5 10 2 22 4 4" xfId="31983" xr:uid="{00000000-0005-0000-0000-0000DF7C0000}"/>
    <cellStyle name="Normal 5 10 2 22 4 5" xfId="31984" xr:uid="{00000000-0005-0000-0000-0000E07C0000}"/>
    <cellStyle name="Normal 5 10 2 22 4 6" xfId="31985" xr:uid="{00000000-0005-0000-0000-0000E17C0000}"/>
    <cellStyle name="Normal 5 10 2 22 4 7" xfId="31986" xr:uid="{00000000-0005-0000-0000-0000E27C0000}"/>
    <cellStyle name="Normal 5 10 2 22 4 8" xfId="31987" xr:uid="{00000000-0005-0000-0000-0000E37C0000}"/>
    <cellStyle name="Normal 5 10 2 22 4 9" xfId="31988" xr:uid="{00000000-0005-0000-0000-0000E47C0000}"/>
    <cellStyle name="Normal 5 10 2 22 5" xfId="31989" xr:uid="{00000000-0005-0000-0000-0000E57C0000}"/>
    <cellStyle name="Normal 5 10 2 22 5 10" xfId="31990" xr:uid="{00000000-0005-0000-0000-0000E67C0000}"/>
    <cellStyle name="Normal 5 10 2 22 5 2" xfId="31991" xr:uid="{00000000-0005-0000-0000-0000E77C0000}"/>
    <cellStyle name="Normal 5 10 2 22 5 3" xfId="31992" xr:uid="{00000000-0005-0000-0000-0000E87C0000}"/>
    <cellStyle name="Normal 5 10 2 22 5 4" xfId="31993" xr:uid="{00000000-0005-0000-0000-0000E97C0000}"/>
    <cellStyle name="Normal 5 10 2 22 5 5" xfId="31994" xr:uid="{00000000-0005-0000-0000-0000EA7C0000}"/>
    <cellStyle name="Normal 5 10 2 22 5 6" xfId="31995" xr:uid="{00000000-0005-0000-0000-0000EB7C0000}"/>
    <cellStyle name="Normal 5 10 2 22 5 7" xfId="31996" xr:uid="{00000000-0005-0000-0000-0000EC7C0000}"/>
    <cellStyle name="Normal 5 10 2 22 5 8" xfId="31997" xr:uid="{00000000-0005-0000-0000-0000ED7C0000}"/>
    <cellStyle name="Normal 5 10 2 22 5 9" xfId="31998" xr:uid="{00000000-0005-0000-0000-0000EE7C0000}"/>
    <cellStyle name="Normal 5 10 2 22 6" xfId="31999" xr:uid="{00000000-0005-0000-0000-0000EF7C0000}"/>
    <cellStyle name="Normal 5 10 2 22 7" xfId="32000" xr:uid="{00000000-0005-0000-0000-0000F07C0000}"/>
    <cellStyle name="Normal 5 10 2 22 8" xfId="32001" xr:uid="{00000000-0005-0000-0000-0000F17C0000}"/>
    <cellStyle name="Normal 5 10 2 22 9" xfId="32002" xr:uid="{00000000-0005-0000-0000-0000F27C0000}"/>
    <cellStyle name="Normal 5 10 2 23" xfId="32003" xr:uid="{00000000-0005-0000-0000-0000F37C0000}"/>
    <cellStyle name="Normal 5 10 2 23 10" xfId="32004" xr:uid="{00000000-0005-0000-0000-0000F47C0000}"/>
    <cellStyle name="Normal 5 10 2 23 11" xfId="32005" xr:uid="{00000000-0005-0000-0000-0000F57C0000}"/>
    <cellStyle name="Normal 5 10 2 23 12" xfId="32006" xr:uid="{00000000-0005-0000-0000-0000F67C0000}"/>
    <cellStyle name="Normal 5 10 2 23 13" xfId="32007" xr:uid="{00000000-0005-0000-0000-0000F77C0000}"/>
    <cellStyle name="Normal 5 10 2 23 14" xfId="32008" xr:uid="{00000000-0005-0000-0000-0000F87C0000}"/>
    <cellStyle name="Normal 5 10 2 23 2" xfId="32009" xr:uid="{00000000-0005-0000-0000-0000F97C0000}"/>
    <cellStyle name="Normal 5 10 2 23 2 10" xfId="32010" xr:uid="{00000000-0005-0000-0000-0000FA7C0000}"/>
    <cellStyle name="Normal 5 10 2 23 2 2" xfId="32011" xr:uid="{00000000-0005-0000-0000-0000FB7C0000}"/>
    <cellStyle name="Normal 5 10 2 23 2 3" xfId="32012" xr:uid="{00000000-0005-0000-0000-0000FC7C0000}"/>
    <cellStyle name="Normal 5 10 2 23 2 4" xfId="32013" xr:uid="{00000000-0005-0000-0000-0000FD7C0000}"/>
    <cellStyle name="Normal 5 10 2 23 2 5" xfId="32014" xr:uid="{00000000-0005-0000-0000-0000FE7C0000}"/>
    <cellStyle name="Normal 5 10 2 23 2 6" xfId="32015" xr:uid="{00000000-0005-0000-0000-0000FF7C0000}"/>
    <cellStyle name="Normal 5 10 2 23 2 7" xfId="32016" xr:uid="{00000000-0005-0000-0000-0000007D0000}"/>
    <cellStyle name="Normal 5 10 2 23 2 8" xfId="32017" xr:uid="{00000000-0005-0000-0000-0000017D0000}"/>
    <cellStyle name="Normal 5 10 2 23 2 9" xfId="32018" xr:uid="{00000000-0005-0000-0000-0000027D0000}"/>
    <cellStyle name="Normal 5 10 2 23 3" xfId="32019" xr:uid="{00000000-0005-0000-0000-0000037D0000}"/>
    <cellStyle name="Normal 5 10 2 23 3 10" xfId="32020" xr:uid="{00000000-0005-0000-0000-0000047D0000}"/>
    <cellStyle name="Normal 5 10 2 23 3 2" xfId="32021" xr:uid="{00000000-0005-0000-0000-0000057D0000}"/>
    <cellStyle name="Normal 5 10 2 23 3 3" xfId="32022" xr:uid="{00000000-0005-0000-0000-0000067D0000}"/>
    <cellStyle name="Normal 5 10 2 23 3 4" xfId="32023" xr:uid="{00000000-0005-0000-0000-0000077D0000}"/>
    <cellStyle name="Normal 5 10 2 23 3 5" xfId="32024" xr:uid="{00000000-0005-0000-0000-0000087D0000}"/>
    <cellStyle name="Normal 5 10 2 23 3 6" xfId="32025" xr:uid="{00000000-0005-0000-0000-0000097D0000}"/>
    <cellStyle name="Normal 5 10 2 23 3 7" xfId="32026" xr:uid="{00000000-0005-0000-0000-00000A7D0000}"/>
    <cellStyle name="Normal 5 10 2 23 3 8" xfId="32027" xr:uid="{00000000-0005-0000-0000-00000B7D0000}"/>
    <cellStyle name="Normal 5 10 2 23 3 9" xfId="32028" xr:uid="{00000000-0005-0000-0000-00000C7D0000}"/>
    <cellStyle name="Normal 5 10 2 23 4" xfId="32029" xr:uid="{00000000-0005-0000-0000-00000D7D0000}"/>
    <cellStyle name="Normal 5 10 2 23 4 10" xfId="32030" xr:uid="{00000000-0005-0000-0000-00000E7D0000}"/>
    <cellStyle name="Normal 5 10 2 23 4 2" xfId="32031" xr:uid="{00000000-0005-0000-0000-00000F7D0000}"/>
    <cellStyle name="Normal 5 10 2 23 4 3" xfId="32032" xr:uid="{00000000-0005-0000-0000-0000107D0000}"/>
    <cellStyle name="Normal 5 10 2 23 4 4" xfId="32033" xr:uid="{00000000-0005-0000-0000-0000117D0000}"/>
    <cellStyle name="Normal 5 10 2 23 4 5" xfId="32034" xr:uid="{00000000-0005-0000-0000-0000127D0000}"/>
    <cellStyle name="Normal 5 10 2 23 4 6" xfId="32035" xr:uid="{00000000-0005-0000-0000-0000137D0000}"/>
    <cellStyle name="Normal 5 10 2 23 4 7" xfId="32036" xr:uid="{00000000-0005-0000-0000-0000147D0000}"/>
    <cellStyle name="Normal 5 10 2 23 4 8" xfId="32037" xr:uid="{00000000-0005-0000-0000-0000157D0000}"/>
    <cellStyle name="Normal 5 10 2 23 4 9" xfId="32038" xr:uid="{00000000-0005-0000-0000-0000167D0000}"/>
    <cellStyle name="Normal 5 10 2 23 5" xfId="32039" xr:uid="{00000000-0005-0000-0000-0000177D0000}"/>
    <cellStyle name="Normal 5 10 2 23 5 10" xfId="32040" xr:uid="{00000000-0005-0000-0000-0000187D0000}"/>
    <cellStyle name="Normal 5 10 2 23 5 2" xfId="32041" xr:uid="{00000000-0005-0000-0000-0000197D0000}"/>
    <cellStyle name="Normal 5 10 2 23 5 3" xfId="32042" xr:uid="{00000000-0005-0000-0000-00001A7D0000}"/>
    <cellStyle name="Normal 5 10 2 23 5 4" xfId="32043" xr:uid="{00000000-0005-0000-0000-00001B7D0000}"/>
    <cellStyle name="Normal 5 10 2 23 5 5" xfId="32044" xr:uid="{00000000-0005-0000-0000-00001C7D0000}"/>
    <cellStyle name="Normal 5 10 2 23 5 6" xfId="32045" xr:uid="{00000000-0005-0000-0000-00001D7D0000}"/>
    <cellStyle name="Normal 5 10 2 23 5 7" xfId="32046" xr:uid="{00000000-0005-0000-0000-00001E7D0000}"/>
    <cellStyle name="Normal 5 10 2 23 5 8" xfId="32047" xr:uid="{00000000-0005-0000-0000-00001F7D0000}"/>
    <cellStyle name="Normal 5 10 2 23 5 9" xfId="32048" xr:uid="{00000000-0005-0000-0000-0000207D0000}"/>
    <cellStyle name="Normal 5 10 2 23 6" xfId="32049" xr:uid="{00000000-0005-0000-0000-0000217D0000}"/>
    <cellStyle name="Normal 5 10 2 23 7" xfId="32050" xr:uid="{00000000-0005-0000-0000-0000227D0000}"/>
    <cellStyle name="Normal 5 10 2 23 8" xfId="32051" xr:uid="{00000000-0005-0000-0000-0000237D0000}"/>
    <cellStyle name="Normal 5 10 2 23 9" xfId="32052" xr:uid="{00000000-0005-0000-0000-0000247D0000}"/>
    <cellStyle name="Normal 5 10 2 24" xfId="32053" xr:uid="{00000000-0005-0000-0000-0000257D0000}"/>
    <cellStyle name="Normal 5 10 2 24 10" xfId="32054" xr:uid="{00000000-0005-0000-0000-0000267D0000}"/>
    <cellStyle name="Normal 5 10 2 24 11" xfId="32055" xr:uid="{00000000-0005-0000-0000-0000277D0000}"/>
    <cellStyle name="Normal 5 10 2 24 12" xfId="32056" xr:uid="{00000000-0005-0000-0000-0000287D0000}"/>
    <cellStyle name="Normal 5 10 2 24 13" xfId="32057" xr:uid="{00000000-0005-0000-0000-0000297D0000}"/>
    <cellStyle name="Normal 5 10 2 24 14" xfId="32058" xr:uid="{00000000-0005-0000-0000-00002A7D0000}"/>
    <cellStyle name="Normal 5 10 2 24 2" xfId="32059" xr:uid="{00000000-0005-0000-0000-00002B7D0000}"/>
    <cellStyle name="Normal 5 10 2 24 2 10" xfId="32060" xr:uid="{00000000-0005-0000-0000-00002C7D0000}"/>
    <cellStyle name="Normal 5 10 2 24 2 2" xfId="32061" xr:uid="{00000000-0005-0000-0000-00002D7D0000}"/>
    <cellStyle name="Normal 5 10 2 24 2 3" xfId="32062" xr:uid="{00000000-0005-0000-0000-00002E7D0000}"/>
    <cellStyle name="Normal 5 10 2 24 2 4" xfId="32063" xr:uid="{00000000-0005-0000-0000-00002F7D0000}"/>
    <cellStyle name="Normal 5 10 2 24 2 5" xfId="32064" xr:uid="{00000000-0005-0000-0000-0000307D0000}"/>
    <cellStyle name="Normal 5 10 2 24 2 6" xfId="32065" xr:uid="{00000000-0005-0000-0000-0000317D0000}"/>
    <cellStyle name="Normal 5 10 2 24 2 7" xfId="32066" xr:uid="{00000000-0005-0000-0000-0000327D0000}"/>
    <cellStyle name="Normal 5 10 2 24 2 8" xfId="32067" xr:uid="{00000000-0005-0000-0000-0000337D0000}"/>
    <cellStyle name="Normal 5 10 2 24 2 9" xfId="32068" xr:uid="{00000000-0005-0000-0000-0000347D0000}"/>
    <cellStyle name="Normal 5 10 2 24 3" xfId="32069" xr:uid="{00000000-0005-0000-0000-0000357D0000}"/>
    <cellStyle name="Normal 5 10 2 24 3 10" xfId="32070" xr:uid="{00000000-0005-0000-0000-0000367D0000}"/>
    <cellStyle name="Normal 5 10 2 24 3 2" xfId="32071" xr:uid="{00000000-0005-0000-0000-0000377D0000}"/>
    <cellStyle name="Normal 5 10 2 24 3 3" xfId="32072" xr:uid="{00000000-0005-0000-0000-0000387D0000}"/>
    <cellStyle name="Normal 5 10 2 24 3 4" xfId="32073" xr:uid="{00000000-0005-0000-0000-0000397D0000}"/>
    <cellStyle name="Normal 5 10 2 24 3 5" xfId="32074" xr:uid="{00000000-0005-0000-0000-00003A7D0000}"/>
    <cellStyle name="Normal 5 10 2 24 3 6" xfId="32075" xr:uid="{00000000-0005-0000-0000-00003B7D0000}"/>
    <cellStyle name="Normal 5 10 2 24 3 7" xfId="32076" xr:uid="{00000000-0005-0000-0000-00003C7D0000}"/>
    <cellStyle name="Normal 5 10 2 24 3 8" xfId="32077" xr:uid="{00000000-0005-0000-0000-00003D7D0000}"/>
    <cellStyle name="Normal 5 10 2 24 3 9" xfId="32078" xr:uid="{00000000-0005-0000-0000-00003E7D0000}"/>
    <cellStyle name="Normal 5 10 2 24 4" xfId="32079" xr:uid="{00000000-0005-0000-0000-00003F7D0000}"/>
    <cellStyle name="Normal 5 10 2 24 4 10" xfId="32080" xr:uid="{00000000-0005-0000-0000-0000407D0000}"/>
    <cellStyle name="Normal 5 10 2 24 4 2" xfId="32081" xr:uid="{00000000-0005-0000-0000-0000417D0000}"/>
    <cellStyle name="Normal 5 10 2 24 4 3" xfId="32082" xr:uid="{00000000-0005-0000-0000-0000427D0000}"/>
    <cellStyle name="Normal 5 10 2 24 4 4" xfId="32083" xr:uid="{00000000-0005-0000-0000-0000437D0000}"/>
    <cellStyle name="Normal 5 10 2 24 4 5" xfId="32084" xr:uid="{00000000-0005-0000-0000-0000447D0000}"/>
    <cellStyle name="Normal 5 10 2 24 4 6" xfId="32085" xr:uid="{00000000-0005-0000-0000-0000457D0000}"/>
    <cellStyle name="Normal 5 10 2 24 4 7" xfId="32086" xr:uid="{00000000-0005-0000-0000-0000467D0000}"/>
    <cellStyle name="Normal 5 10 2 24 4 8" xfId="32087" xr:uid="{00000000-0005-0000-0000-0000477D0000}"/>
    <cellStyle name="Normal 5 10 2 24 4 9" xfId="32088" xr:uid="{00000000-0005-0000-0000-0000487D0000}"/>
    <cellStyle name="Normal 5 10 2 24 5" xfId="32089" xr:uid="{00000000-0005-0000-0000-0000497D0000}"/>
    <cellStyle name="Normal 5 10 2 24 5 10" xfId="32090" xr:uid="{00000000-0005-0000-0000-00004A7D0000}"/>
    <cellStyle name="Normal 5 10 2 24 5 2" xfId="32091" xr:uid="{00000000-0005-0000-0000-00004B7D0000}"/>
    <cellStyle name="Normal 5 10 2 24 5 3" xfId="32092" xr:uid="{00000000-0005-0000-0000-00004C7D0000}"/>
    <cellStyle name="Normal 5 10 2 24 5 4" xfId="32093" xr:uid="{00000000-0005-0000-0000-00004D7D0000}"/>
    <cellStyle name="Normal 5 10 2 24 5 5" xfId="32094" xr:uid="{00000000-0005-0000-0000-00004E7D0000}"/>
    <cellStyle name="Normal 5 10 2 24 5 6" xfId="32095" xr:uid="{00000000-0005-0000-0000-00004F7D0000}"/>
    <cellStyle name="Normal 5 10 2 24 5 7" xfId="32096" xr:uid="{00000000-0005-0000-0000-0000507D0000}"/>
    <cellStyle name="Normal 5 10 2 24 5 8" xfId="32097" xr:uid="{00000000-0005-0000-0000-0000517D0000}"/>
    <cellStyle name="Normal 5 10 2 24 5 9" xfId="32098" xr:uid="{00000000-0005-0000-0000-0000527D0000}"/>
    <cellStyle name="Normal 5 10 2 24 6" xfId="32099" xr:uid="{00000000-0005-0000-0000-0000537D0000}"/>
    <cellStyle name="Normal 5 10 2 24 7" xfId="32100" xr:uid="{00000000-0005-0000-0000-0000547D0000}"/>
    <cellStyle name="Normal 5 10 2 24 8" xfId="32101" xr:uid="{00000000-0005-0000-0000-0000557D0000}"/>
    <cellStyle name="Normal 5 10 2 24 9" xfId="32102" xr:uid="{00000000-0005-0000-0000-0000567D0000}"/>
    <cellStyle name="Normal 5 10 2 25" xfId="32103" xr:uid="{00000000-0005-0000-0000-0000577D0000}"/>
    <cellStyle name="Normal 5 10 2 25 10" xfId="32104" xr:uid="{00000000-0005-0000-0000-0000587D0000}"/>
    <cellStyle name="Normal 5 10 2 25 11" xfId="32105" xr:uid="{00000000-0005-0000-0000-0000597D0000}"/>
    <cellStyle name="Normal 5 10 2 25 12" xfId="32106" xr:uid="{00000000-0005-0000-0000-00005A7D0000}"/>
    <cellStyle name="Normal 5 10 2 25 13" xfId="32107" xr:uid="{00000000-0005-0000-0000-00005B7D0000}"/>
    <cellStyle name="Normal 5 10 2 25 14" xfId="32108" xr:uid="{00000000-0005-0000-0000-00005C7D0000}"/>
    <cellStyle name="Normal 5 10 2 25 2" xfId="32109" xr:uid="{00000000-0005-0000-0000-00005D7D0000}"/>
    <cellStyle name="Normal 5 10 2 25 2 10" xfId="32110" xr:uid="{00000000-0005-0000-0000-00005E7D0000}"/>
    <cellStyle name="Normal 5 10 2 25 2 2" xfId="32111" xr:uid="{00000000-0005-0000-0000-00005F7D0000}"/>
    <cellStyle name="Normal 5 10 2 25 2 3" xfId="32112" xr:uid="{00000000-0005-0000-0000-0000607D0000}"/>
    <cellStyle name="Normal 5 10 2 25 2 4" xfId="32113" xr:uid="{00000000-0005-0000-0000-0000617D0000}"/>
    <cellStyle name="Normal 5 10 2 25 2 5" xfId="32114" xr:uid="{00000000-0005-0000-0000-0000627D0000}"/>
    <cellStyle name="Normal 5 10 2 25 2 6" xfId="32115" xr:uid="{00000000-0005-0000-0000-0000637D0000}"/>
    <cellStyle name="Normal 5 10 2 25 2 7" xfId="32116" xr:uid="{00000000-0005-0000-0000-0000647D0000}"/>
    <cellStyle name="Normal 5 10 2 25 2 8" xfId="32117" xr:uid="{00000000-0005-0000-0000-0000657D0000}"/>
    <cellStyle name="Normal 5 10 2 25 2 9" xfId="32118" xr:uid="{00000000-0005-0000-0000-0000667D0000}"/>
    <cellStyle name="Normal 5 10 2 25 3" xfId="32119" xr:uid="{00000000-0005-0000-0000-0000677D0000}"/>
    <cellStyle name="Normal 5 10 2 25 3 10" xfId="32120" xr:uid="{00000000-0005-0000-0000-0000687D0000}"/>
    <cellStyle name="Normal 5 10 2 25 3 2" xfId="32121" xr:uid="{00000000-0005-0000-0000-0000697D0000}"/>
    <cellStyle name="Normal 5 10 2 25 3 3" xfId="32122" xr:uid="{00000000-0005-0000-0000-00006A7D0000}"/>
    <cellStyle name="Normal 5 10 2 25 3 4" xfId="32123" xr:uid="{00000000-0005-0000-0000-00006B7D0000}"/>
    <cellStyle name="Normal 5 10 2 25 3 5" xfId="32124" xr:uid="{00000000-0005-0000-0000-00006C7D0000}"/>
    <cellStyle name="Normal 5 10 2 25 3 6" xfId="32125" xr:uid="{00000000-0005-0000-0000-00006D7D0000}"/>
    <cellStyle name="Normal 5 10 2 25 3 7" xfId="32126" xr:uid="{00000000-0005-0000-0000-00006E7D0000}"/>
    <cellStyle name="Normal 5 10 2 25 3 8" xfId="32127" xr:uid="{00000000-0005-0000-0000-00006F7D0000}"/>
    <cellStyle name="Normal 5 10 2 25 3 9" xfId="32128" xr:uid="{00000000-0005-0000-0000-0000707D0000}"/>
    <cellStyle name="Normal 5 10 2 25 4" xfId="32129" xr:uid="{00000000-0005-0000-0000-0000717D0000}"/>
    <cellStyle name="Normal 5 10 2 25 4 10" xfId="32130" xr:uid="{00000000-0005-0000-0000-0000727D0000}"/>
    <cellStyle name="Normal 5 10 2 25 4 2" xfId="32131" xr:uid="{00000000-0005-0000-0000-0000737D0000}"/>
    <cellStyle name="Normal 5 10 2 25 4 3" xfId="32132" xr:uid="{00000000-0005-0000-0000-0000747D0000}"/>
    <cellStyle name="Normal 5 10 2 25 4 4" xfId="32133" xr:uid="{00000000-0005-0000-0000-0000757D0000}"/>
    <cellStyle name="Normal 5 10 2 25 4 5" xfId="32134" xr:uid="{00000000-0005-0000-0000-0000767D0000}"/>
    <cellStyle name="Normal 5 10 2 25 4 6" xfId="32135" xr:uid="{00000000-0005-0000-0000-0000777D0000}"/>
    <cellStyle name="Normal 5 10 2 25 4 7" xfId="32136" xr:uid="{00000000-0005-0000-0000-0000787D0000}"/>
    <cellStyle name="Normal 5 10 2 25 4 8" xfId="32137" xr:uid="{00000000-0005-0000-0000-0000797D0000}"/>
    <cellStyle name="Normal 5 10 2 25 4 9" xfId="32138" xr:uid="{00000000-0005-0000-0000-00007A7D0000}"/>
    <cellStyle name="Normal 5 10 2 25 5" xfId="32139" xr:uid="{00000000-0005-0000-0000-00007B7D0000}"/>
    <cellStyle name="Normal 5 10 2 25 5 10" xfId="32140" xr:uid="{00000000-0005-0000-0000-00007C7D0000}"/>
    <cellStyle name="Normal 5 10 2 25 5 2" xfId="32141" xr:uid="{00000000-0005-0000-0000-00007D7D0000}"/>
    <cellStyle name="Normal 5 10 2 25 5 3" xfId="32142" xr:uid="{00000000-0005-0000-0000-00007E7D0000}"/>
    <cellStyle name="Normal 5 10 2 25 5 4" xfId="32143" xr:uid="{00000000-0005-0000-0000-00007F7D0000}"/>
    <cellStyle name="Normal 5 10 2 25 5 5" xfId="32144" xr:uid="{00000000-0005-0000-0000-0000807D0000}"/>
    <cellStyle name="Normal 5 10 2 25 5 6" xfId="32145" xr:uid="{00000000-0005-0000-0000-0000817D0000}"/>
    <cellStyle name="Normal 5 10 2 25 5 7" xfId="32146" xr:uid="{00000000-0005-0000-0000-0000827D0000}"/>
    <cellStyle name="Normal 5 10 2 25 5 8" xfId="32147" xr:uid="{00000000-0005-0000-0000-0000837D0000}"/>
    <cellStyle name="Normal 5 10 2 25 5 9" xfId="32148" xr:uid="{00000000-0005-0000-0000-0000847D0000}"/>
    <cellStyle name="Normal 5 10 2 25 6" xfId="32149" xr:uid="{00000000-0005-0000-0000-0000857D0000}"/>
    <cellStyle name="Normal 5 10 2 25 7" xfId="32150" xr:uid="{00000000-0005-0000-0000-0000867D0000}"/>
    <cellStyle name="Normal 5 10 2 25 8" xfId="32151" xr:uid="{00000000-0005-0000-0000-0000877D0000}"/>
    <cellStyle name="Normal 5 10 2 25 9" xfId="32152" xr:uid="{00000000-0005-0000-0000-0000887D0000}"/>
    <cellStyle name="Normal 5 10 2 26" xfId="32153" xr:uid="{00000000-0005-0000-0000-0000897D0000}"/>
    <cellStyle name="Normal 5 10 2 26 10" xfId="32154" xr:uid="{00000000-0005-0000-0000-00008A7D0000}"/>
    <cellStyle name="Normal 5 10 2 26 11" xfId="32155" xr:uid="{00000000-0005-0000-0000-00008B7D0000}"/>
    <cellStyle name="Normal 5 10 2 26 12" xfId="32156" xr:uid="{00000000-0005-0000-0000-00008C7D0000}"/>
    <cellStyle name="Normal 5 10 2 26 13" xfId="32157" xr:uid="{00000000-0005-0000-0000-00008D7D0000}"/>
    <cellStyle name="Normal 5 10 2 26 14" xfId="32158" xr:uid="{00000000-0005-0000-0000-00008E7D0000}"/>
    <cellStyle name="Normal 5 10 2 26 2" xfId="32159" xr:uid="{00000000-0005-0000-0000-00008F7D0000}"/>
    <cellStyle name="Normal 5 10 2 26 2 10" xfId="32160" xr:uid="{00000000-0005-0000-0000-0000907D0000}"/>
    <cellStyle name="Normal 5 10 2 26 2 2" xfId="32161" xr:uid="{00000000-0005-0000-0000-0000917D0000}"/>
    <cellStyle name="Normal 5 10 2 26 2 3" xfId="32162" xr:uid="{00000000-0005-0000-0000-0000927D0000}"/>
    <cellStyle name="Normal 5 10 2 26 2 4" xfId="32163" xr:uid="{00000000-0005-0000-0000-0000937D0000}"/>
    <cellStyle name="Normal 5 10 2 26 2 5" xfId="32164" xr:uid="{00000000-0005-0000-0000-0000947D0000}"/>
    <cellStyle name="Normal 5 10 2 26 2 6" xfId="32165" xr:uid="{00000000-0005-0000-0000-0000957D0000}"/>
    <cellStyle name="Normal 5 10 2 26 2 7" xfId="32166" xr:uid="{00000000-0005-0000-0000-0000967D0000}"/>
    <cellStyle name="Normal 5 10 2 26 2 8" xfId="32167" xr:uid="{00000000-0005-0000-0000-0000977D0000}"/>
    <cellStyle name="Normal 5 10 2 26 2 9" xfId="32168" xr:uid="{00000000-0005-0000-0000-0000987D0000}"/>
    <cellStyle name="Normal 5 10 2 26 3" xfId="32169" xr:uid="{00000000-0005-0000-0000-0000997D0000}"/>
    <cellStyle name="Normal 5 10 2 26 3 10" xfId="32170" xr:uid="{00000000-0005-0000-0000-00009A7D0000}"/>
    <cellStyle name="Normal 5 10 2 26 3 2" xfId="32171" xr:uid="{00000000-0005-0000-0000-00009B7D0000}"/>
    <cellStyle name="Normal 5 10 2 26 3 3" xfId="32172" xr:uid="{00000000-0005-0000-0000-00009C7D0000}"/>
    <cellStyle name="Normal 5 10 2 26 3 4" xfId="32173" xr:uid="{00000000-0005-0000-0000-00009D7D0000}"/>
    <cellStyle name="Normal 5 10 2 26 3 5" xfId="32174" xr:uid="{00000000-0005-0000-0000-00009E7D0000}"/>
    <cellStyle name="Normal 5 10 2 26 3 6" xfId="32175" xr:uid="{00000000-0005-0000-0000-00009F7D0000}"/>
    <cellStyle name="Normal 5 10 2 26 3 7" xfId="32176" xr:uid="{00000000-0005-0000-0000-0000A07D0000}"/>
    <cellStyle name="Normal 5 10 2 26 3 8" xfId="32177" xr:uid="{00000000-0005-0000-0000-0000A17D0000}"/>
    <cellStyle name="Normal 5 10 2 26 3 9" xfId="32178" xr:uid="{00000000-0005-0000-0000-0000A27D0000}"/>
    <cellStyle name="Normal 5 10 2 26 4" xfId="32179" xr:uid="{00000000-0005-0000-0000-0000A37D0000}"/>
    <cellStyle name="Normal 5 10 2 26 4 10" xfId="32180" xr:uid="{00000000-0005-0000-0000-0000A47D0000}"/>
    <cellStyle name="Normal 5 10 2 26 4 2" xfId="32181" xr:uid="{00000000-0005-0000-0000-0000A57D0000}"/>
    <cellStyle name="Normal 5 10 2 26 4 3" xfId="32182" xr:uid="{00000000-0005-0000-0000-0000A67D0000}"/>
    <cellStyle name="Normal 5 10 2 26 4 4" xfId="32183" xr:uid="{00000000-0005-0000-0000-0000A77D0000}"/>
    <cellStyle name="Normal 5 10 2 26 4 5" xfId="32184" xr:uid="{00000000-0005-0000-0000-0000A87D0000}"/>
    <cellStyle name="Normal 5 10 2 26 4 6" xfId="32185" xr:uid="{00000000-0005-0000-0000-0000A97D0000}"/>
    <cellStyle name="Normal 5 10 2 26 4 7" xfId="32186" xr:uid="{00000000-0005-0000-0000-0000AA7D0000}"/>
    <cellStyle name="Normal 5 10 2 26 4 8" xfId="32187" xr:uid="{00000000-0005-0000-0000-0000AB7D0000}"/>
    <cellStyle name="Normal 5 10 2 26 4 9" xfId="32188" xr:uid="{00000000-0005-0000-0000-0000AC7D0000}"/>
    <cellStyle name="Normal 5 10 2 26 5" xfId="32189" xr:uid="{00000000-0005-0000-0000-0000AD7D0000}"/>
    <cellStyle name="Normal 5 10 2 26 5 10" xfId="32190" xr:uid="{00000000-0005-0000-0000-0000AE7D0000}"/>
    <cellStyle name="Normal 5 10 2 26 5 2" xfId="32191" xr:uid="{00000000-0005-0000-0000-0000AF7D0000}"/>
    <cellStyle name="Normal 5 10 2 26 5 3" xfId="32192" xr:uid="{00000000-0005-0000-0000-0000B07D0000}"/>
    <cellStyle name="Normal 5 10 2 26 5 4" xfId="32193" xr:uid="{00000000-0005-0000-0000-0000B17D0000}"/>
    <cellStyle name="Normal 5 10 2 26 5 5" xfId="32194" xr:uid="{00000000-0005-0000-0000-0000B27D0000}"/>
    <cellStyle name="Normal 5 10 2 26 5 6" xfId="32195" xr:uid="{00000000-0005-0000-0000-0000B37D0000}"/>
    <cellStyle name="Normal 5 10 2 26 5 7" xfId="32196" xr:uid="{00000000-0005-0000-0000-0000B47D0000}"/>
    <cellStyle name="Normal 5 10 2 26 5 8" xfId="32197" xr:uid="{00000000-0005-0000-0000-0000B57D0000}"/>
    <cellStyle name="Normal 5 10 2 26 5 9" xfId="32198" xr:uid="{00000000-0005-0000-0000-0000B67D0000}"/>
    <cellStyle name="Normal 5 10 2 26 6" xfId="32199" xr:uid="{00000000-0005-0000-0000-0000B77D0000}"/>
    <cellStyle name="Normal 5 10 2 26 7" xfId="32200" xr:uid="{00000000-0005-0000-0000-0000B87D0000}"/>
    <cellStyle name="Normal 5 10 2 26 8" xfId="32201" xr:uid="{00000000-0005-0000-0000-0000B97D0000}"/>
    <cellStyle name="Normal 5 10 2 26 9" xfId="32202" xr:uid="{00000000-0005-0000-0000-0000BA7D0000}"/>
    <cellStyle name="Normal 5 10 2 27" xfId="32203" xr:uid="{00000000-0005-0000-0000-0000BB7D0000}"/>
    <cellStyle name="Normal 5 10 2 27 10" xfId="32204" xr:uid="{00000000-0005-0000-0000-0000BC7D0000}"/>
    <cellStyle name="Normal 5 10 2 27 11" xfId="32205" xr:uid="{00000000-0005-0000-0000-0000BD7D0000}"/>
    <cellStyle name="Normal 5 10 2 27 12" xfId="32206" xr:uid="{00000000-0005-0000-0000-0000BE7D0000}"/>
    <cellStyle name="Normal 5 10 2 27 13" xfId="32207" xr:uid="{00000000-0005-0000-0000-0000BF7D0000}"/>
    <cellStyle name="Normal 5 10 2 27 14" xfId="32208" xr:uid="{00000000-0005-0000-0000-0000C07D0000}"/>
    <cellStyle name="Normal 5 10 2 27 2" xfId="32209" xr:uid="{00000000-0005-0000-0000-0000C17D0000}"/>
    <cellStyle name="Normal 5 10 2 27 2 10" xfId="32210" xr:uid="{00000000-0005-0000-0000-0000C27D0000}"/>
    <cellStyle name="Normal 5 10 2 27 2 2" xfId="32211" xr:uid="{00000000-0005-0000-0000-0000C37D0000}"/>
    <cellStyle name="Normal 5 10 2 27 2 3" xfId="32212" xr:uid="{00000000-0005-0000-0000-0000C47D0000}"/>
    <cellStyle name="Normal 5 10 2 27 2 4" xfId="32213" xr:uid="{00000000-0005-0000-0000-0000C57D0000}"/>
    <cellStyle name="Normal 5 10 2 27 2 5" xfId="32214" xr:uid="{00000000-0005-0000-0000-0000C67D0000}"/>
    <cellStyle name="Normal 5 10 2 27 2 6" xfId="32215" xr:uid="{00000000-0005-0000-0000-0000C77D0000}"/>
    <cellStyle name="Normal 5 10 2 27 2 7" xfId="32216" xr:uid="{00000000-0005-0000-0000-0000C87D0000}"/>
    <cellStyle name="Normal 5 10 2 27 2 8" xfId="32217" xr:uid="{00000000-0005-0000-0000-0000C97D0000}"/>
    <cellStyle name="Normal 5 10 2 27 2 9" xfId="32218" xr:uid="{00000000-0005-0000-0000-0000CA7D0000}"/>
    <cellStyle name="Normal 5 10 2 27 3" xfId="32219" xr:uid="{00000000-0005-0000-0000-0000CB7D0000}"/>
    <cellStyle name="Normal 5 10 2 27 3 10" xfId="32220" xr:uid="{00000000-0005-0000-0000-0000CC7D0000}"/>
    <cellStyle name="Normal 5 10 2 27 3 2" xfId="32221" xr:uid="{00000000-0005-0000-0000-0000CD7D0000}"/>
    <cellStyle name="Normal 5 10 2 27 3 3" xfId="32222" xr:uid="{00000000-0005-0000-0000-0000CE7D0000}"/>
    <cellStyle name="Normal 5 10 2 27 3 4" xfId="32223" xr:uid="{00000000-0005-0000-0000-0000CF7D0000}"/>
    <cellStyle name="Normal 5 10 2 27 3 5" xfId="32224" xr:uid="{00000000-0005-0000-0000-0000D07D0000}"/>
    <cellStyle name="Normal 5 10 2 27 3 6" xfId="32225" xr:uid="{00000000-0005-0000-0000-0000D17D0000}"/>
    <cellStyle name="Normal 5 10 2 27 3 7" xfId="32226" xr:uid="{00000000-0005-0000-0000-0000D27D0000}"/>
    <cellStyle name="Normal 5 10 2 27 3 8" xfId="32227" xr:uid="{00000000-0005-0000-0000-0000D37D0000}"/>
    <cellStyle name="Normal 5 10 2 27 3 9" xfId="32228" xr:uid="{00000000-0005-0000-0000-0000D47D0000}"/>
    <cellStyle name="Normal 5 10 2 27 4" xfId="32229" xr:uid="{00000000-0005-0000-0000-0000D57D0000}"/>
    <cellStyle name="Normal 5 10 2 27 4 10" xfId="32230" xr:uid="{00000000-0005-0000-0000-0000D67D0000}"/>
    <cellStyle name="Normal 5 10 2 27 4 2" xfId="32231" xr:uid="{00000000-0005-0000-0000-0000D77D0000}"/>
    <cellStyle name="Normal 5 10 2 27 4 3" xfId="32232" xr:uid="{00000000-0005-0000-0000-0000D87D0000}"/>
    <cellStyle name="Normal 5 10 2 27 4 4" xfId="32233" xr:uid="{00000000-0005-0000-0000-0000D97D0000}"/>
    <cellStyle name="Normal 5 10 2 27 4 5" xfId="32234" xr:uid="{00000000-0005-0000-0000-0000DA7D0000}"/>
    <cellStyle name="Normal 5 10 2 27 4 6" xfId="32235" xr:uid="{00000000-0005-0000-0000-0000DB7D0000}"/>
    <cellStyle name="Normal 5 10 2 27 4 7" xfId="32236" xr:uid="{00000000-0005-0000-0000-0000DC7D0000}"/>
    <cellStyle name="Normal 5 10 2 27 4 8" xfId="32237" xr:uid="{00000000-0005-0000-0000-0000DD7D0000}"/>
    <cellStyle name="Normal 5 10 2 27 4 9" xfId="32238" xr:uid="{00000000-0005-0000-0000-0000DE7D0000}"/>
    <cellStyle name="Normal 5 10 2 27 5" xfId="32239" xr:uid="{00000000-0005-0000-0000-0000DF7D0000}"/>
    <cellStyle name="Normal 5 10 2 27 5 10" xfId="32240" xr:uid="{00000000-0005-0000-0000-0000E07D0000}"/>
    <cellStyle name="Normal 5 10 2 27 5 2" xfId="32241" xr:uid="{00000000-0005-0000-0000-0000E17D0000}"/>
    <cellStyle name="Normal 5 10 2 27 5 3" xfId="32242" xr:uid="{00000000-0005-0000-0000-0000E27D0000}"/>
    <cellStyle name="Normal 5 10 2 27 5 4" xfId="32243" xr:uid="{00000000-0005-0000-0000-0000E37D0000}"/>
    <cellStyle name="Normal 5 10 2 27 5 5" xfId="32244" xr:uid="{00000000-0005-0000-0000-0000E47D0000}"/>
    <cellStyle name="Normal 5 10 2 27 5 6" xfId="32245" xr:uid="{00000000-0005-0000-0000-0000E57D0000}"/>
    <cellStyle name="Normal 5 10 2 27 5 7" xfId="32246" xr:uid="{00000000-0005-0000-0000-0000E67D0000}"/>
    <cellStyle name="Normal 5 10 2 27 5 8" xfId="32247" xr:uid="{00000000-0005-0000-0000-0000E77D0000}"/>
    <cellStyle name="Normal 5 10 2 27 5 9" xfId="32248" xr:uid="{00000000-0005-0000-0000-0000E87D0000}"/>
    <cellStyle name="Normal 5 10 2 27 6" xfId="32249" xr:uid="{00000000-0005-0000-0000-0000E97D0000}"/>
    <cellStyle name="Normal 5 10 2 27 7" xfId="32250" xr:uid="{00000000-0005-0000-0000-0000EA7D0000}"/>
    <cellStyle name="Normal 5 10 2 27 8" xfId="32251" xr:uid="{00000000-0005-0000-0000-0000EB7D0000}"/>
    <cellStyle name="Normal 5 10 2 27 9" xfId="32252" xr:uid="{00000000-0005-0000-0000-0000EC7D0000}"/>
    <cellStyle name="Normal 5 10 2 28" xfId="32253" xr:uid="{00000000-0005-0000-0000-0000ED7D0000}"/>
    <cellStyle name="Normal 5 10 2 28 10" xfId="32254" xr:uid="{00000000-0005-0000-0000-0000EE7D0000}"/>
    <cellStyle name="Normal 5 10 2 28 11" xfId="32255" xr:uid="{00000000-0005-0000-0000-0000EF7D0000}"/>
    <cellStyle name="Normal 5 10 2 28 12" xfId="32256" xr:uid="{00000000-0005-0000-0000-0000F07D0000}"/>
    <cellStyle name="Normal 5 10 2 28 13" xfId="32257" xr:uid="{00000000-0005-0000-0000-0000F17D0000}"/>
    <cellStyle name="Normal 5 10 2 28 14" xfId="32258" xr:uid="{00000000-0005-0000-0000-0000F27D0000}"/>
    <cellStyle name="Normal 5 10 2 28 2" xfId="32259" xr:uid="{00000000-0005-0000-0000-0000F37D0000}"/>
    <cellStyle name="Normal 5 10 2 28 2 10" xfId="32260" xr:uid="{00000000-0005-0000-0000-0000F47D0000}"/>
    <cellStyle name="Normal 5 10 2 28 2 2" xfId="32261" xr:uid="{00000000-0005-0000-0000-0000F57D0000}"/>
    <cellStyle name="Normal 5 10 2 28 2 3" xfId="32262" xr:uid="{00000000-0005-0000-0000-0000F67D0000}"/>
    <cellStyle name="Normal 5 10 2 28 2 4" xfId="32263" xr:uid="{00000000-0005-0000-0000-0000F77D0000}"/>
    <cellStyle name="Normal 5 10 2 28 2 5" xfId="32264" xr:uid="{00000000-0005-0000-0000-0000F87D0000}"/>
    <cellStyle name="Normal 5 10 2 28 2 6" xfId="32265" xr:uid="{00000000-0005-0000-0000-0000F97D0000}"/>
    <cellStyle name="Normal 5 10 2 28 2 7" xfId="32266" xr:uid="{00000000-0005-0000-0000-0000FA7D0000}"/>
    <cellStyle name="Normal 5 10 2 28 2 8" xfId="32267" xr:uid="{00000000-0005-0000-0000-0000FB7D0000}"/>
    <cellStyle name="Normal 5 10 2 28 2 9" xfId="32268" xr:uid="{00000000-0005-0000-0000-0000FC7D0000}"/>
    <cellStyle name="Normal 5 10 2 28 3" xfId="32269" xr:uid="{00000000-0005-0000-0000-0000FD7D0000}"/>
    <cellStyle name="Normal 5 10 2 28 3 10" xfId="32270" xr:uid="{00000000-0005-0000-0000-0000FE7D0000}"/>
    <cellStyle name="Normal 5 10 2 28 3 2" xfId="32271" xr:uid="{00000000-0005-0000-0000-0000FF7D0000}"/>
    <cellStyle name="Normal 5 10 2 28 3 3" xfId="32272" xr:uid="{00000000-0005-0000-0000-0000007E0000}"/>
    <cellStyle name="Normal 5 10 2 28 3 4" xfId="32273" xr:uid="{00000000-0005-0000-0000-0000017E0000}"/>
    <cellStyle name="Normal 5 10 2 28 3 5" xfId="32274" xr:uid="{00000000-0005-0000-0000-0000027E0000}"/>
    <cellStyle name="Normal 5 10 2 28 3 6" xfId="32275" xr:uid="{00000000-0005-0000-0000-0000037E0000}"/>
    <cellStyle name="Normal 5 10 2 28 3 7" xfId="32276" xr:uid="{00000000-0005-0000-0000-0000047E0000}"/>
    <cellStyle name="Normal 5 10 2 28 3 8" xfId="32277" xr:uid="{00000000-0005-0000-0000-0000057E0000}"/>
    <cellStyle name="Normal 5 10 2 28 3 9" xfId="32278" xr:uid="{00000000-0005-0000-0000-0000067E0000}"/>
    <cellStyle name="Normal 5 10 2 28 4" xfId="32279" xr:uid="{00000000-0005-0000-0000-0000077E0000}"/>
    <cellStyle name="Normal 5 10 2 28 4 10" xfId="32280" xr:uid="{00000000-0005-0000-0000-0000087E0000}"/>
    <cellStyle name="Normal 5 10 2 28 4 2" xfId="32281" xr:uid="{00000000-0005-0000-0000-0000097E0000}"/>
    <cellStyle name="Normal 5 10 2 28 4 3" xfId="32282" xr:uid="{00000000-0005-0000-0000-00000A7E0000}"/>
    <cellStyle name="Normal 5 10 2 28 4 4" xfId="32283" xr:uid="{00000000-0005-0000-0000-00000B7E0000}"/>
    <cellStyle name="Normal 5 10 2 28 4 5" xfId="32284" xr:uid="{00000000-0005-0000-0000-00000C7E0000}"/>
    <cellStyle name="Normal 5 10 2 28 4 6" xfId="32285" xr:uid="{00000000-0005-0000-0000-00000D7E0000}"/>
    <cellStyle name="Normal 5 10 2 28 4 7" xfId="32286" xr:uid="{00000000-0005-0000-0000-00000E7E0000}"/>
    <cellStyle name="Normal 5 10 2 28 4 8" xfId="32287" xr:uid="{00000000-0005-0000-0000-00000F7E0000}"/>
    <cellStyle name="Normal 5 10 2 28 4 9" xfId="32288" xr:uid="{00000000-0005-0000-0000-0000107E0000}"/>
    <cellStyle name="Normal 5 10 2 28 5" xfId="32289" xr:uid="{00000000-0005-0000-0000-0000117E0000}"/>
    <cellStyle name="Normal 5 10 2 28 5 10" xfId="32290" xr:uid="{00000000-0005-0000-0000-0000127E0000}"/>
    <cellStyle name="Normal 5 10 2 28 5 2" xfId="32291" xr:uid="{00000000-0005-0000-0000-0000137E0000}"/>
    <cellStyle name="Normal 5 10 2 28 5 3" xfId="32292" xr:uid="{00000000-0005-0000-0000-0000147E0000}"/>
    <cellStyle name="Normal 5 10 2 28 5 4" xfId="32293" xr:uid="{00000000-0005-0000-0000-0000157E0000}"/>
    <cellStyle name="Normal 5 10 2 28 5 5" xfId="32294" xr:uid="{00000000-0005-0000-0000-0000167E0000}"/>
    <cellStyle name="Normal 5 10 2 28 5 6" xfId="32295" xr:uid="{00000000-0005-0000-0000-0000177E0000}"/>
    <cellStyle name="Normal 5 10 2 28 5 7" xfId="32296" xr:uid="{00000000-0005-0000-0000-0000187E0000}"/>
    <cellStyle name="Normal 5 10 2 28 5 8" xfId="32297" xr:uid="{00000000-0005-0000-0000-0000197E0000}"/>
    <cellStyle name="Normal 5 10 2 28 5 9" xfId="32298" xr:uid="{00000000-0005-0000-0000-00001A7E0000}"/>
    <cellStyle name="Normal 5 10 2 28 6" xfId="32299" xr:uid="{00000000-0005-0000-0000-00001B7E0000}"/>
    <cellStyle name="Normal 5 10 2 28 7" xfId="32300" xr:uid="{00000000-0005-0000-0000-00001C7E0000}"/>
    <cellStyle name="Normal 5 10 2 28 8" xfId="32301" xr:uid="{00000000-0005-0000-0000-00001D7E0000}"/>
    <cellStyle name="Normal 5 10 2 28 9" xfId="32302" xr:uid="{00000000-0005-0000-0000-00001E7E0000}"/>
    <cellStyle name="Normal 5 10 2 29" xfId="32303" xr:uid="{00000000-0005-0000-0000-00001F7E0000}"/>
    <cellStyle name="Normal 5 10 2 29 10" xfId="32304" xr:uid="{00000000-0005-0000-0000-0000207E0000}"/>
    <cellStyle name="Normal 5 10 2 29 11" xfId="32305" xr:uid="{00000000-0005-0000-0000-0000217E0000}"/>
    <cellStyle name="Normal 5 10 2 29 12" xfId="32306" xr:uid="{00000000-0005-0000-0000-0000227E0000}"/>
    <cellStyle name="Normal 5 10 2 29 13" xfId="32307" xr:uid="{00000000-0005-0000-0000-0000237E0000}"/>
    <cellStyle name="Normal 5 10 2 29 14" xfId="32308" xr:uid="{00000000-0005-0000-0000-0000247E0000}"/>
    <cellStyle name="Normal 5 10 2 29 2" xfId="32309" xr:uid="{00000000-0005-0000-0000-0000257E0000}"/>
    <cellStyle name="Normal 5 10 2 29 2 10" xfId="32310" xr:uid="{00000000-0005-0000-0000-0000267E0000}"/>
    <cellStyle name="Normal 5 10 2 29 2 2" xfId="32311" xr:uid="{00000000-0005-0000-0000-0000277E0000}"/>
    <cellStyle name="Normal 5 10 2 29 2 3" xfId="32312" xr:uid="{00000000-0005-0000-0000-0000287E0000}"/>
    <cellStyle name="Normal 5 10 2 29 2 4" xfId="32313" xr:uid="{00000000-0005-0000-0000-0000297E0000}"/>
    <cellStyle name="Normal 5 10 2 29 2 5" xfId="32314" xr:uid="{00000000-0005-0000-0000-00002A7E0000}"/>
    <cellStyle name="Normal 5 10 2 29 2 6" xfId="32315" xr:uid="{00000000-0005-0000-0000-00002B7E0000}"/>
    <cellStyle name="Normal 5 10 2 29 2 7" xfId="32316" xr:uid="{00000000-0005-0000-0000-00002C7E0000}"/>
    <cellStyle name="Normal 5 10 2 29 2 8" xfId="32317" xr:uid="{00000000-0005-0000-0000-00002D7E0000}"/>
    <cellStyle name="Normal 5 10 2 29 2 9" xfId="32318" xr:uid="{00000000-0005-0000-0000-00002E7E0000}"/>
    <cellStyle name="Normal 5 10 2 29 3" xfId="32319" xr:uid="{00000000-0005-0000-0000-00002F7E0000}"/>
    <cellStyle name="Normal 5 10 2 29 3 10" xfId="32320" xr:uid="{00000000-0005-0000-0000-0000307E0000}"/>
    <cellStyle name="Normal 5 10 2 29 3 2" xfId="32321" xr:uid="{00000000-0005-0000-0000-0000317E0000}"/>
    <cellStyle name="Normal 5 10 2 29 3 3" xfId="32322" xr:uid="{00000000-0005-0000-0000-0000327E0000}"/>
    <cellStyle name="Normal 5 10 2 29 3 4" xfId="32323" xr:uid="{00000000-0005-0000-0000-0000337E0000}"/>
    <cellStyle name="Normal 5 10 2 29 3 5" xfId="32324" xr:uid="{00000000-0005-0000-0000-0000347E0000}"/>
    <cellStyle name="Normal 5 10 2 29 3 6" xfId="32325" xr:uid="{00000000-0005-0000-0000-0000357E0000}"/>
    <cellStyle name="Normal 5 10 2 29 3 7" xfId="32326" xr:uid="{00000000-0005-0000-0000-0000367E0000}"/>
    <cellStyle name="Normal 5 10 2 29 3 8" xfId="32327" xr:uid="{00000000-0005-0000-0000-0000377E0000}"/>
    <cellStyle name="Normal 5 10 2 29 3 9" xfId="32328" xr:uid="{00000000-0005-0000-0000-0000387E0000}"/>
    <cellStyle name="Normal 5 10 2 29 4" xfId="32329" xr:uid="{00000000-0005-0000-0000-0000397E0000}"/>
    <cellStyle name="Normal 5 10 2 29 4 10" xfId="32330" xr:uid="{00000000-0005-0000-0000-00003A7E0000}"/>
    <cellStyle name="Normal 5 10 2 29 4 2" xfId="32331" xr:uid="{00000000-0005-0000-0000-00003B7E0000}"/>
    <cellStyle name="Normal 5 10 2 29 4 3" xfId="32332" xr:uid="{00000000-0005-0000-0000-00003C7E0000}"/>
    <cellStyle name="Normal 5 10 2 29 4 4" xfId="32333" xr:uid="{00000000-0005-0000-0000-00003D7E0000}"/>
    <cellStyle name="Normal 5 10 2 29 4 5" xfId="32334" xr:uid="{00000000-0005-0000-0000-00003E7E0000}"/>
    <cellStyle name="Normal 5 10 2 29 4 6" xfId="32335" xr:uid="{00000000-0005-0000-0000-00003F7E0000}"/>
    <cellStyle name="Normal 5 10 2 29 4 7" xfId="32336" xr:uid="{00000000-0005-0000-0000-0000407E0000}"/>
    <cellStyle name="Normal 5 10 2 29 4 8" xfId="32337" xr:uid="{00000000-0005-0000-0000-0000417E0000}"/>
    <cellStyle name="Normal 5 10 2 29 4 9" xfId="32338" xr:uid="{00000000-0005-0000-0000-0000427E0000}"/>
    <cellStyle name="Normal 5 10 2 29 5" xfId="32339" xr:uid="{00000000-0005-0000-0000-0000437E0000}"/>
    <cellStyle name="Normal 5 10 2 29 5 10" xfId="32340" xr:uid="{00000000-0005-0000-0000-0000447E0000}"/>
    <cellStyle name="Normal 5 10 2 29 5 2" xfId="32341" xr:uid="{00000000-0005-0000-0000-0000457E0000}"/>
    <cellStyle name="Normal 5 10 2 29 5 3" xfId="32342" xr:uid="{00000000-0005-0000-0000-0000467E0000}"/>
    <cellStyle name="Normal 5 10 2 29 5 4" xfId="32343" xr:uid="{00000000-0005-0000-0000-0000477E0000}"/>
    <cellStyle name="Normal 5 10 2 29 5 5" xfId="32344" xr:uid="{00000000-0005-0000-0000-0000487E0000}"/>
    <cellStyle name="Normal 5 10 2 29 5 6" xfId="32345" xr:uid="{00000000-0005-0000-0000-0000497E0000}"/>
    <cellStyle name="Normal 5 10 2 29 5 7" xfId="32346" xr:uid="{00000000-0005-0000-0000-00004A7E0000}"/>
    <cellStyle name="Normal 5 10 2 29 5 8" xfId="32347" xr:uid="{00000000-0005-0000-0000-00004B7E0000}"/>
    <cellStyle name="Normal 5 10 2 29 5 9" xfId="32348" xr:uid="{00000000-0005-0000-0000-00004C7E0000}"/>
    <cellStyle name="Normal 5 10 2 29 6" xfId="32349" xr:uid="{00000000-0005-0000-0000-00004D7E0000}"/>
    <cellStyle name="Normal 5 10 2 29 7" xfId="32350" xr:uid="{00000000-0005-0000-0000-00004E7E0000}"/>
    <cellStyle name="Normal 5 10 2 29 8" xfId="32351" xr:uid="{00000000-0005-0000-0000-00004F7E0000}"/>
    <cellStyle name="Normal 5 10 2 29 9" xfId="32352" xr:uid="{00000000-0005-0000-0000-0000507E0000}"/>
    <cellStyle name="Normal 5 10 2 3" xfId="32353" xr:uid="{00000000-0005-0000-0000-0000517E0000}"/>
    <cellStyle name="Normal 5 10 2 3 10" xfId="32354" xr:uid="{00000000-0005-0000-0000-0000527E0000}"/>
    <cellStyle name="Normal 5 10 2 3 11" xfId="32355" xr:uid="{00000000-0005-0000-0000-0000537E0000}"/>
    <cellStyle name="Normal 5 10 2 3 12" xfId="32356" xr:uid="{00000000-0005-0000-0000-0000547E0000}"/>
    <cellStyle name="Normal 5 10 2 3 13" xfId="32357" xr:uid="{00000000-0005-0000-0000-0000557E0000}"/>
    <cellStyle name="Normal 5 10 2 3 14" xfId="32358" xr:uid="{00000000-0005-0000-0000-0000567E0000}"/>
    <cellStyle name="Normal 5 10 2 3 2" xfId="32359" xr:uid="{00000000-0005-0000-0000-0000577E0000}"/>
    <cellStyle name="Normal 5 10 2 3 2 10" xfId="32360" xr:uid="{00000000-0005-0000-0000-0000587E0000}"/>
    <cellStyle name="Normal 5 10 2 3 2 2" xfId="32361" xr:uid="{00000000-0005-0000-0000-0000597E0000}"/>
    <cellStyle name="Normal 5 10 2 3 2 3" xfId="32362" xr:uid="{00000000-0005-0000-0000-00005A7E0000}"/>
    <cellStyle name="Normal 5 10 2 3 2 4" xfId="32363" xr:uid="{00000000-0005-0000-0000-00005B7E0000}"/>
    <cellStyle name="Normal 5 10 2 3 2 5" xfId="32364" xr:uid="{00000000-0005-0000-0000-00005C7E0000}"/>
    <cellStyle name="Normal 5 10 2 3 2 6" xfId="32365" xr:uid="{00000000-0005-0000-0000-00005D7E0000}"/>
    <cellStyle name="Normal 5 10 2 3 2 7" xfId="32366" xr:uid="{00000000-0005-0000-0000-00005E7E0000}"/>
    <cellStyle name="Normal 5 10 2 3 2 8" xfId="32367" xr:uid="{00000000-0005-0000-0000-00005F7E0000}"/>
    <cellStyle name="Normal 5 10 2 3 2 9" xfId="32368" xr:uid="{00000000-0005-0000-0000-0000607E0000}"/>
    <cellStyle name="Normal 5 10 2 3 3" xfId="32369" xr:uid="{00000000-0005-0000-0000-0000617E0000}"/>
    <cellStyle name="Normal 5 10 2 3 3 10" xfId="32370" xr:uid="{00000000-0005-0000-0000-0000627E0000}"/>
    <cellStyle name="Normal 5 10 2 3 3 2" xfId="32371" xr:uid="{00000000-0005-0000-0000-0000637E0000}"/>
    <cellStyle name="Normal 5 10 2 3 3 3" xfId="32372" xr:uid="{00000000-0005-0000-0000-0000647E0000}"/>
    <cellStyle name="Normal 5 10 2 3 3 4" xfId="32373" xr:uid="{00000000-0005-0000-0000-0000657E0000}"/>
    <cellStyle name="Normal 5 10 2 3 3 5" xfId="32374" xr:uid="{00000000-0005-0000-0000-0000667E0000}"/>
    <cellStyle name="Normal 5 10 2 3 3 6" xfId="32375" xr:uid="{00000000-0005-0000-0000-0000677E0000}"/>
    <cellStyle name="Normal 5 10 2 3 3 7" xfId="32376" xr:uid="{00000000-0005-0000-0000-0000687E0000}"/>
    <cellStyle name="Normal 5 10 2 3 3 8" xfId="32377" xr:uid="{00000000-0005-0000-0000-0000697E0000}"/>
    <cellStyle name="Normal 5 10 2 3 3 9" xfId="32378" xr:uid="{00000000-0005-0000-0000-00006A7E0000}"/>
    <cellStyle name="Normal 5 10 2 3 4" xfId="32379" xr:uid="{00000000-0005-0000-0000-00006B7E0000}"/>
    <cellStyle name="Normal 5 10 2 3 4 10" xfId="32380" xr:uid="{00000000-0005-0000-0000-00006C7E0000}"/>
    <cellStyle name="Normal 5 10 2 3 4 2" xfId="32381" xr:uid="{00000000-0005-0000-0000-00006D7E0000}"/>
    <cellStyle name="Normal 5 10 2 3 4 3" xfId="32382" xr:uid="{00000000-0005-0000-0000-00006E7E0000}"/>
    <cellStyle name="Normal 5 10 2 3 4 4" xfId="32383" xr:uid="{00000000-0005-0000-0000-00006F7E0000}"/>
    <cellStyle name="Normal 5 10 2 3 4 5" xfId="32384" xr:uid="{00000000-0005-0000-0000-0000707E0000}"/>
    <cellStyle name="Normal 5 10 2 3 4 6" xfId="32385" xr:uid="{00000000-0005-0000-0000-0000717E0000}"/>
    <cellStyle name="Normal 5 10 2 3 4 7" xfId="32386" xr:uid="{00000000-0005-0000-0000-0000727E0000}"/>
    <cellStyle name="Normal 5 10 2 3 4 8" xfId="32387" xr:uid="{00000000-0005-0000-0000-0000737E0000}"/>
    <cellStyle name="Normal 5 10 2 3 4 9" xfId="32388" xr:uid="{00000000-0005-0000-0000-0000747E0000}"/>
    <cellStyle name="Normal 5 10 2 3 5" xfId="32389" xr:uid="{00000000-0005-0000-0000-0000757E0000}"/>
    <cellStyle name="Normal 5 10 2 3 5 10" xfId="32390" xr:uid="{00000000-0005-0000-0000-0000767E0000}"/>
    <cellStyle name="Normal 5 10 2 3 5 2" xfId="32391" xr:uid="{00000000-0005-0000-0000-0000777E0000}"/>
    <cellStyle name="Normal 5 10 2 3 5 3" xfId="32392" xr:uid="{00000000-0005-0000-0000-0000787E0000}"/>
    <cellStyle name="Normal 5 10 2 3 5 4" xfId="32393" xr:uid="{00000000-0005-0000-0000-0000797E0000}"/>
    <cellStyle name="Normal 5 10 2 3 5 5" xfId="32394" xr:uid="{00000000-0005-0000-0000-00007A7E0000}"/>
    <cellStyle name="Normal 5 10 2 3 5 6" xfId="32395" xr:uid="{00000000-0005-0000-0000-00007B7E0000}"/>
    <cellStyle name="Normal 5 10 2 3 5 7" xfId="32396" xr:uid="{00000000-0005-0000-0000-00007C7E0000}"/>
    <cellStyle name="Normal 5 10 2 3 5 8" xfId="32397" xr:uid="{00000000-0005-0000-0000-00007D7E0000}"/>
    <cellStyle name="Normal 5 10 2 3 5 9" xfId="32398" xr:uid="{00000000-0005-0000-0000-00007E7E0000}"/>
    <cellStyle name="Normal 5 10 2 3 6" xfId="32399" xr:uid="{00000000-0005-0000-0000-00007F7E0000}"/>
    <cellStyle name="Normal 5 10 2 3 7" xfId="32400" xr:uid="{00000000-0005-0000-0000-0000807E0000}"/>
    <cellStyle name="Normal 5 10 2 3 8" xfId="32401" xr:uid="{00000000-0005-0000-0000-0000817E0000}"/>
    <cellStyle name="Normal 5 10 2 3 9" xfId="32402" xr:uid="{00000000-0005-0000-0000-0000827E0000}"/>
    <cellStyle name="Normal 5 10 2 30" xfId="32403" xr:uid="{00000000-0005-0000-0000-0000837E0000}"/>
    <cellStyle name="Normal 5 10 2 30 10" xfId="32404" xr:uid="{00000000-0005-0000-0000-0000847E0000}"/>
    <cellStyle name="Normal 5 10 2 30 11" xfId="32405" xr:uid="{00000000-0005-0000-0000-0000857E0000}"/>
    <cellStyle name="Normal 5 10 2 30 12" xfId="32406" xr:uid="{00000000-0005-0000-0000-0000867E0000}"/>
    <cellStyle name="Normal 5 10 2 30 13" xfId="32407" xr:uid="{00000000-0005-0000-0000-0000877E0000}"/>
    <cellStyle name="Normal 5 10 2 30 14" xfId="32408" xr:uid="{00000000-0005-0000-0000-0000887E0000}"/>
    <cellStyle name="Normal 5 10 2 30 2" xfId="32409" xr:uid="{00000000-0005-0000-0000-0000897E0000}"/>
    <cellStyle name="Normal 5 10 2 30 2 10" xfId="32410" xr:uid="{00000000-0005-0000-0000-00008A7E0000}"/>
    <cellStyle name="Normal 5 10 2 30 2 2" xfId="32411" xr:uid="{00000000-0005-0000-0000-00008B7E0000}"/>
    <cellStyle name="Normal 5 10 2 30 2 3" xfId="32412" xr:uid="{00000000-0005-0000-0000-00008C7E0000}"/>
    <cellStyle name="Normal 5 10 2 30 2 4" xfId="32413" xr:uid="{00000000-0005-0000-0000-00008D7E0000}"/>
    <cellStyle name="Normal 5 10 2 30 2 5" xfId="32414" xr:uid="{00000000-0005-0000-0000-00008E7E0000}"/>
    <cellStyle name="Normal 5 10 2 30 2 6" xfId="32415" xr:uid="{00000000-0005-0000-0000-00008F7E0000}"/>
    <cellStyle name="Normal 5 10 2 30 2 7" xfId="32416" xr:uid="{00000000-0005-0000-0000-0000907E0000}"/>
    <cellStyle name="Normal 5 10 2 30 2 8" xfId="32417" xr:uid="{00000000-0005-0000-0000-0000917E0000}"/>
    <cellStyle name="Normal 5 10 2 30 2 9" xfId="32418" xr:uid="{00000000-0005-0000-0000-0000927E0000}"/>
    <cellStyle name="Normal 5 10 2 30 3" xfId="32419" xr:uid="{00000000-0005-0000-0000-0000937E0000}"/>
    <cellStyle name="Normal 5 10 2 30 3 10" xfId="32420" xr:uid="{00000000-0005-0000-0000-0000947E0000}"/>
    <cellStyle name="Normal 5 10 2 30 3 2" xfId="32421" xr:uid="{00000000-0005-0000-0000-0000957E0000}"/>
    <cellStyle name="Normal 5 10 2 30 3 3" xfId="32422" xr:uid="{00000000-0005-0000-0000-0000967E0000}"/>
    <cellStyle name="Normal 5 10 2 30 3 4" xfId="32423" xr:uid="{00000000-0005-0000-0000-0000977E0000}"/>
    <cellStyle name="Normal 5 10 2 30 3 5" xfId="32424" xr:uid="{00000000-0005-0000-0000-0000987E0000}"/>
    <cellStyle name="Normal 5 10 2 30 3 6" xfId="32425" xr:uid="{00000000-0005-0000-0000-0000997E0000}"/>
    <cellStyle name="Normal 5 10 2 30 3 7" xfId="32426" xr:uid="{00000000-0005-0000-0000-00009A7E0000}"/>
    <cellStyle name="Normal 5 10 2 30 3 8" xfId="32427" xr:uid="{00000000-0005-0000-0000-00009B7E0000}"/>
    <cellStyle name="Normal 5 10 2 30 3 9" xfId="32428" xr:uid="{00000000-0005-0000-0000-00009C7E0000}"/>
    <cellStyle name="Normal 5 10 2 30 4" xfId="32429" xr:uid="{00000000-0005-0000-0000-00009D7E0000}"/>
    <cellStyle name="Normal 5 10 2 30 4 10" xfId="32430" xr:uid="{00000000-0005-0000-0000-00009E7E0000}"/>
    <cellStyle name="Normal 5 10 2 30 4 2" xfId="32431" xr:uid="{00000000-0005-0000-0000-00009F7E0000}"/>
    <cellStyle name="Normal 5 10 2 30 4 3" xfId="32432" xr:uid="{00000000-0005-0000-0000-0000A07E0000}"/>
    <cellStyle name="Normal 5 10 2 30 4 4" xfId="32433" xr:uid="{00000000-0005-0000-0000-0000A17E0000}"/>
    <cellStyle name="Normal 5 10 2 30 4 5" xfId="32434" xr:uid="{00000000-0005-0000-0000-0000A27E0000}"/>
    <cellStyle name="Normal 5 10 2 30 4 6" xfId="32435" xr:uid="{00000000-0005-0000-0000-0000A37E0000}"/>
    <cellStyle name="Normal 5 10 2 30 4 7" xfId="32436" xr:uid="{00000000-0005-0000-0000-0000A47E0000}"/>
    <cellStyle name="Normal 5 10 2 30 4 8" xfId="32437" xr:uid="{00000000-0005-0000-0000-0000A57E0000}"/>
    <cellStyle name="Normal 5 10 2 30 4 9" xfId="32438" xr:uid="{00000000-0005-0000-0000-0000A67E0000}"/>
    <cellStyle name="Normal 5 10 2 30 5" xfId="32439" xr:uid="{00000000-0005-0000-0000-0000A77E0000}"/>
    <cellStyle name="Normal 5 10 2 30 5 10" xfId="32440" xr:uid="{00000000-0005-0000-0000-0000A87E0000}"/>
    <cellStyle name="Normal 5 10 2 30 5 2" xfId="32441" xr:uid="{00000000-0005-0000-0000-0000A97E0000}"/>
    <cellStyle name="Normal 5 10 2 30 5 3" xfId="32442" xr:uid="{00000000-0005-0000-0000-0000AA7E0000}"/>
    <cellStyle name="Normal 5 10 2 30 5 4" xfId="32443" xr:uid="{00000000-0005-0000-0000-0000AB7E0000}"/>
    <cellStyle name="Normal 5 10 2 30 5 5" xfId="32444" xr:uid="{00000000-0005-0000-0000-0000AC7E0000}"/>
    <cellStyle name="Normal 5 10 2 30 5 6" xfId="32445" xr:uid="{00000000-0005-0000-0000-0000AD7E0000}"/>
    <cellStyle name="Normal 5 10 2 30 5 7" xfId="32446" xr:uid="{00000000-0005-0000-0000-0000AE7E0000}"/>
    <cellStyle name="Normal 5 10 2 30 5 8" xfId="32447" xr:uid="{00000000-0005-0000-0000-0000AF7E0000}"/>
    <cellStyle name="Normal 5 10 2 30 5 9" xfId="32448" xr:uid="{00000000-0005-0000-0000-0000B07E0000}"/>
    <cellStyle name="Normal 5 10 2 30 6" xfId="32449" xr:uid="{00000000-0005-0000-0000-0000B17E0000}"/>
    <cellStyle name="Normal 5 10 2 30 7" xfId="32450" xr:uid="{00000000-0005-0000-0000-0000B27E0000}"/>
    <cellStyle name="Normal 5 10 2 30 8" xfId="32451" xr:uid="{00000000-0005-0000-0000-0000B37E0000}"/>
    <cellStyle name="Normal 5 10 2 30 9" xfId="32452" xr:uid="{00000000-0005-0000-0000-0000B47E0000}"/>
    <cellStyle name="Normal 5 10 2 31" xfId="32453" xr:uid="{00000000-0005-0000-0000-0000B57E0000}"/>
    <cellStyle name="Normal 5 10 2 31 10" xfId="32454" xr:uid="{00000000-0005-0000-0000-0000B67E0000}"/>
    <cellStyle name="Normal 5 10 2 31 11" xfId="32455" xr:uid="{00000000-0005-0000-0000-0000B77E0000}"/>
    <cellStyle name="Normal 5 10 2 31 12" xfId="32456" xr:uid="{00000000-0005-0000-0000-0000B87E0000}"/>
    <cellStyle name="Normal 5 10 2 31 13" xfId="32457" xr:uid="{00000000-0005-0000-0000-0000B97E0000}"/>
    <cellStyle name="Normal 5 10 2 31 14" xfId="32458" xr:uid="{00000000-0005-0000-0000-0000BA7E0000}"/>
    <cellStyle name="Normal 5 10 2 31 2" xfId="32459" xr:uid="{00000000-0005-0000-0000-0000BB7E0000}"/>
    <cellStyle name="Normal 5 10 2 31 2 10" xfId="32460" xr:uid="{00000000-0005-0000-0000-0000BC7E0000}"/>
    <cellStyle name="Normal 5 10 2 31 2 2" xfId="32461" xr:uid="{00000000-0005-0000-0000-0000BD7E0000}"/>
    <cellStyle name="Normal 5 10 2 31 2 3" xfId="32462" xr:uid="{00000000-0005-0000-0000-0000BE7E0000}"/>
    <cellStyle name="Normal 5 10 2 31 2 4" xfId="32463" xr:uid="{00000000-0005-0000-0000-0000BF7E0000}"/>
    <cellStyle name="Normal 5 10 2 31 2 5" xfId="32464" xr:uid="{00000000-0005-0000-0000-0000C07E0000}"/>
    <cellStyle name="Normal 5 10 2 31 2 6" xfId="32465" xr:uid="{00000000-0005-0000-0000-0000C17E0000}"/>
    <cellStyle name="Normal 5 10 2 31 2 7" xfId="32466" xr:uid="{00000000-0005-0000-0000-0000C27E0000}"/>
    <cellStyle name="Normal 5 10 2 31 2 8" xfId="32467" xr:uid="{00000000-0005-0000-0000-0000C37E0000}"/>
    <cellStyle name="Normal 5 10 2 31 2 9" xfId="32468" xr:uid="{00000000-0005-0000-0000-0000C47E0000}"/>
    <cellStyle name="Normal 5 10 2 31 3" xfId="32469" xr:uid="{00000000-0005-0000-0000-0000C57E0000}"/>
    <cellStyle name="Normal 5 10 2 31 3 10" xfId="32470" xr:uid="{00000000-0005-0000-0000-0000C67E0000}"/>
    <cellStyle name="Normal 5 10 2 31 3 2" xfId="32471" xr:uid="{00000000-0005-0000-0000-0000C77E0000}"/>
    <cellStyle name="Normal 5 10 2 31 3 3" xfId="32472" xr:uid="{00000000-0005-0000-0000-0000C87E0000}"/>
    <cellStyle name="Normal 5 10 2 31 3 4" xfId="32473" xr:uid="{00000000-0005-0000-0000-0000C97E0000}"/>
    <cellStyle name="Normal 5 10 2 31 3 5" xfId="32474" xr:uid="{00000000-0005-0000-0000-0000CA7E0000}"/>
    <cellStyle name="Normal 5 10 2 31 3 6" xfId="32475" xr:uid="{00000000-0005-0000-0000-0000CB7E0000}"/>
    <cellStyle name="Normal 5 10 2 31 3 7" xfId="32476" xr:uid="{00000000-0005-0000-0000-0000CC7E0000}"/>
    <cellStyle name="Normal 5 10 2 31 3 8" xfId="32477" xr:uid="{00000000-0005-0000-0000-0000CD7E0000}"/>
    <cellStyle name="Normal 5 10 2 31 3 9" xfId="32478" xr:uid="{00000000-0005-0000-0000-0000CE7E0000}"/>
    <cellStyle name="Normal 5 10 2 31 4" xfId="32479" xr:uid="{00000000-0005-0000-0000-0000CF7E0000}"/>
    <cellStyle name="Normal 5 10 2 31 4 10" xfId="32480" xr:uid="{00000000-0005-0000-0000-0000D07E0000}"/>
    <cellStyle name="Normal 5 10 2 31 4 2" xfId="32481" xr:uid="{00000000-0005-0000-0000-0000D17E0000}"/>
    <cellStyle name="Normal 5 10 2 31 4 3" xfId="32482" xr:uid="{00000000-0005-0000-0000-0000D27E0000}"/>
    <cellStyle name="Normal 5 10 2 31 4 4" xfId="32483" xr:uid="{00000000-0005-0000-0000-0000D37E0000}"/>
    <cellStyle name="Normal 5 10 2 31 4 5" xfId="32484" xr:uid="{00000000-0005-0000-0000-0000D47E0000}"/>
    <cellStyle name="Normal 5 10 2 31 4 6" xfId="32485" xr:uid="{00000000-0005-0000-0000-0000D57E0000}"/>
    <cellStyle name="Normal 5 10 2 31 4 7" xfId="32486" xr:uid="{00000000-0005-0000-0000-0000D67E0000}"/>
    <cellStyle name="Normal 5 10 2 31 4 8" xfId="32487" xr:uid="{00000000-0005-0000-0000-0000D77E0000}"/>
    <cellStyle name="Normal 5 10 2 31 4 9" xfId="32488" xr:uid="{00000000-0005-0000-0000-0000D87E0000}"/>
    <cellStyle name="Normal 5 10 2 31 5" xfId="32489" xr:uid="{00000000-0005-0000-0000-0000D97E0000}"/>
    <cellStyle name="Normal 5 10 2 31 5 10" xfId="32490" xr:uid="{00000000-0005-0000-0000-0000DA7E0000}"/>
    <cellStyle name="Normal 5 10 2 31 5 2" xfId="32491" xr:uid="{00000000-0005-0000-0000-0000DB7E0000}"/>
    <cellStyle name="Normal 5 10 2 31 5 3" xfId="32492" xr:uid="{00000000-0005-0000-0000-0000DC7E0000}"/>
    <cellStyle name="Normal 5 10 2 31 5 4" xfId="32493" xr:uid="{00000000-0005-0000-0000-0000DD7E0000}"/>
    <cellStyle name="Normal 5 10 2 31 5 5" xfId="32494" xr:uid="{00000000-0005-0000-0000-0000DE7E0000}"/>
    <cellStyle name="Normal 5 10 2 31 5 6" xfId="32495" xr:uid="{00000000-0005-0000-0000-0000DF7E0000}"/>
    <cellStyle name="Normal 5 10 2 31 5 7" xfId="32496" xr:uid="{00000000-0005-0000-0000-0000E07E0000}"/>
    <cellStyle name="Normal 5 10 2 31 5 8" xfId="32497" xr:uid="{00000000-0005-0000-0000-0000E17E0000}"/>
    <cellStyle name="Normal 5 10 2 31 5 9" xfId="32498" xr:uid="{00000000-0005-0000-0000-0000E27E0000}"/>
    <cellStyle name="Normal 5 10 2 31 6" xfId="32499" xr:uid="{00000000-0005-0000-0000-0000E37E0000}"/>
    <cellStyle name="Normal 5 10 2 31 7" xfId="32500" xr:uid="{00000000-0005-0000-0000-0000E47E0000}"/>
    <cellStyle name="Normal 5 10 2 31 8" xfId="32501" xr:uid="{00000000-0005-0000-0000-0000E57E0000}"/>
    <cellStyle name="Normal 5 10 2 31 9" xfId="32502" xr:uid="{00000000-0005-0000-0000-0000E67E0000}"/>
    <cellStyle name="Normal 5 10 2 32" xfId="32503" xr:uid="{00000000-0005-0000-0000-0000E77E0000}"/>
    <cellStyle name="Normal 5 10 2 32 10" xfId="32504" xr:uid="{00000000-0005-0000-0000-0000E87E0000}"/>
    <cellStyle name="Normal 5 10 2 32 11" xfId="32505" xr:uid="{00000000-0005-0000-0000-0000E97E0000}"/>
    <cellStyle name="Normal 5 10 2 32 12" xfId="32506" xr:uid="{00000000-0005-0000-0000-0000EA7E0000}"/>
    <cellStyle name="Normal 5 10 2 32 13" xfId="32507" xr:uid="{00000000-0005-0000-0000-0000EB7E0000}"/>
    <cellStyle name="Normal 5 10 2 32 14" xfId="32508" xr:uid="{00000000-0005-0000-0000-0000EC7E0000}"/>
    <cellStyle name="Normal 5 10 2 32 2" xfId="32509" xr:uid="{00000000-0005-0000-0000-0000ED7E0000}"/>
    <cellStyle name="Normal 5 10 2 32 2 10" xfId="32510" xr:uid="{00000000-0005-0000-0000-0000EE7E0000}"/>
    <cellStyle name="Normal 5 10 2 32 2 2" xfId="32511" xr:uid="{00000000-0005-0000-0000-0000EF7E0000}"/>
    <cellStyle name="Normal 5 10 2 32 2 3" xfId="32512" xr:uid="{00000000-0005-0000-0000-0000F07E0000}"/>
    <cellStyle name="Normal 5 10 2 32 2 4" xfId="32513" xr:uid="{00000000-0005-0000-0000-0000F17E0000}"/>
    <cellStyle name="Normal 5 10 2 32 2 5" xfId="32514" xr:uid="{00000000-0005-0000-0000-0000F27E0000}"/>
    <cellStyle name="Normal 5 10 2 32 2 6" xfId="32515" xr:uid="{00000000-0005-0000-0000-0000F37E0000}"/>
    <cellStyle name="Normal 5 10 2 32 2 7" xfId="32516" xr:uid="{00000000-0005-0000-0000-0000F47E0000}"/>
    <cellStyle name="Normal 5 10 2 32 2 8" xfId="32517" xr:uid="{00000000-0005-0000-0000-0000F57E0000}"/>
    <cellStyle name="Normal 5 10 2 32 2 9" xfId="32518" xr:uid="{00000000-0005-0000-0000-0000F67E0000}"/>
    <cellStyle name="Normal 5 10 2 32 3" xfId="32519" xr:uid="{00000000-0005-0000-0000-0000F77E0000}"/>
    <cellStyle name="Normal 5 10 2 32 3 10" xfId="32520" xr:uid="{00000000-0005-0000-0000-0000F87E0000}"/>
    <cellStyle name="Normal 5 10 2 32 3 2" xfId="32521" xr:uid="{00000000-0005-0000-0000-0000F97E0000}"/>
    <cellStyle name="Normal 5 10 2 32 3 3" xfId="32522" xr:uid="{00000000-0005-0000-0000-0000FA7E0000}"/>
    <cellStyle name="Normal 5 10 2 32 3 4" xfId="32523" xr:uid="{00000000-0005-0000-0000-0000FB7E0000}"/>
    <cellStyle name="Normal 5 10 2 32 3 5" xfId="32524" xr:uid="{00000000-0005-0000-0000-0000FC7E0000}"/>
    <cellStyle name="Normal 5 10 2 32 3 6" xfId="32525" xr:uid="{00000000-0005-0000-0000-0000FD7E0000}"/>
    <cellStyle name="Normal 5 10 2 32 3 7" xfId="32526" xr:uid="{00000000-0005-0000-0000-0000FE7E0000}"/>
    <cellStyle name="Normal 5 10 2 32 3 8" xfId="32527" xr:uid="{00000000-0005-0000-0000-0000FF7E0000}"/>
    <cellStyle name="Normal 5 10 2 32 3 9" xfId="32528" xr:uid="{00000000-0005-0000-0000-0000007F0000}"/>
    <cellStyle name="Normal 5 10 2 32 4" xfId="32529" xr:uid="{00000000-0005-0000-0000-0000017F0000}"/>
    <cellStyle name="Normal 5 10 2 32 4 10" xfId="32530" xr:uid="{00000000-0005-0000-0000-0000027F0000}"/>
    <cellStyle name="Normal 5 10 2 32 4 2" xfId="32531" xr:uid="{00000000-0005-0000-0000-0000037F0000}"/>
    <cellStyle name="Normal 5 10 2 32 4 3" xfId="32532" xr:uid="{00000000-0005-0000-0000-0000047F0000}"/>
    <cellStyle name="Normal 5 10 2 32 4 4" xfId="32533" xr:uid="{00000000-0005-0000-0000-0000057F0000}"/>
    <cellStyle name="Normal 5 10 2 32 4 5" xfId="32534" xr:uid="{00000000-0005-0000-0000-0000067F0000}"/>
    <cellStyle name="Normal 5 10 2 32 4 6" xfId="32535" xr:uid="{00000000-0005-0000-0000-0000077F0000}"/>
    <cellStyle name="Normal 5 10 2 32 4 7" xfId="32536" xr:uid="{00000000-0005-0000-0000-0000087F0000}"/>
    <cellStyle name="Normal 5 10 2 32 4 8" xfId="32537" xr:uid="{00000000-0005-0000-0000-0000097F0000}"/>
    <cellStyle name="Normal 5 10 2 32 4 9" xfId="32538" xr:uid="{00000000-0005-0000-0000-00000A7F0000}"/>
    <cellStyle name="Normal 5 10 2 32 5" xfId="32539" xr:uid="{00000000-0005-0000-0000-00000B7F0000}"/>
    <cellStyle name="Normal 5 10 2 32 5 10" xfId="32540" xr:uid="{00000000-0005-0000-0000-00000C7F0000}"/>
    <cellStyle name="Normal 5 10 2 32 5 2" xfId="32541" xr:uid="{00000000-0005-0000-0000-00000D7F0000}"/>
    <cellStyle name="Normal 5 10 2 32 5 3" xfId="32542" xr:uid="{00000000-0005-0000-0000-00000E7F0000}"/>
    <cellStyle name="Normal 5 10 2 32 5 4" xfId="32543" xr:uid="{00000000-0005-0000-0000-00000F7F0000}"/>
    <cellStyle name="Normal 5 10 2 32 5 5" xfId="32544" xr:uid="{00000000-0005-0000-0000-0000107F0000}"/>
    <cellStyle name="Normal 5 10 2 32 5 6" xfId="32545" xr:uid="{00000000-0005-0000-0000-0000117F0000}"/>
    <cellStyle name="Normal 5 10 2 32 5 7" xfId="32546" xr:uid="{00000000-0005-0000-0000-0000127F0000}"/>
    <cellStyle name="Normal 5 10 2 32 5 8" xfId="32547" xr:uid="{00000000-0005-0000-0000-0000137F0000}"/>
    <cellStyle name="Normal 5 10 2 32 5 9" xfId="32548" xr:uid="{00000000-0005-0000-0000-0000147F0000}"/>
    <cellStyle name="Normal 5 10 2 32 6" xfId="32549" xr:uid="{00000000-0005-0000-0000-0000157F0000}"/>
    <cellStyle name="Normal 5 10 2 32 7" xfId="32550" xr:uid="{00000000-0005-0000-0000-0000167F0000}"/>
    <cellStyle name="Normal 5 10 2 32 8" xfId="32551" xr:uid="{00000000-0005-0000-0000-0000177F0000}"/>
    <cellStyle name="Normal 5 10 2 32 9" xfId="32552" xr:uid="{00000000-0005-0000-0000-0000187F0000}"/>
    <cellStyle name="Normal 5 10 2 33" xfId="32553" xr:uid="{00000000-0005-0000-0000-0000197F0000}"/>
    <cellStyle name="Normal 5 10 2 33 10" xfId="32554" xr:uid="{00000000-0005-0000-0000-00001A7F0000}"/>
    <cellStyle name="Normal 5 10 2 33 11" xfId="32555" xr:uid="{00000000-0005-0000-0000-00001B7F0000}"/>
    <cellStyle name="Normal 5 10 2 33 12" xfId="32556" xr:uid="{00000000-0005-0000-0000-00001C7F0000}"/>
    <cellStyle name="Normal 5 10 2 33 13" xfId="32557" xr:uid="{00000000-0005-0000-0000-00001D7F0000}"/>
    <cellStyle name="Normal 5 10 2 33 14" xfId="32558" xr:uid="{00000000-0005-0000-0000-00001E7F0000}"/>
    <cellStyle name="Normal 5 10 2 33 2" xfId="32559" xr:uid="{00000000-0005-0000-0000-00001F7F0000}"/>
    <cellStyle name="Normal 5 10 2 33 2 10" xfId="32560" xr:uid="{00000000-0005-0000-0000-0000207F0000}"/>
    <cellStyle name="Normal 5 10 2 33 2 2" xfId="32561" xr:uid="{00000000-0005-0000-0000-0000217F0000}"/>
    <cellStyle name="Normal 5 10 2 33 2 3" xfId="32562" xr:uid="{00000000-0005-0000-0000-0000227F0000}"/>
    <cellStyle name="Normal 5 10 2 33 2 4" xfId="32563" xr:uid="{00000000-0005-0000-0000-0000237F0000}"/>
    <cellStyle name="Normal 5 10 2 33 2 5" xfId="32564" xr:uid="{00000000-0005-0000-0000-0000247F0000}"/>
    <cellStyle name="Normal 5 10 2 33 2 6" xfId="32565" xr:uid="{00000000-0005-0000-0000-0000257F0000}"/>
    <cellStyle name="Normal 5 10 2 33 2 7" xfId="32566" xr:uid="{00000000-0005-0000-0000-0000267F0000}"/>
    <cellStyle name="Normal 5 10 2 33 2 8" xfId="32567" xr:uid="{00000000-0005-0000-0000-0000277F0000}"/>
    <cellStyle name="Normal 5 10 2 33 2 9" xfId="32568" xr:uid="{00000000-0005-0000-0000-0000287F0000}"/>
    <cellStyle name="Normal 5 10 2 33 3" xfId="32569" xr:uid="{00000000-0005-0000-0000-0000297F0000}"/>
    <cellStyle name="Normal 5 10 2 33 3 10" xfId="32570" xr:uid="{00000000-0005-0000-0000-00002A7F0000}"/>
    <cellStyle name="Normal 5 10 2 33 3 2" xfId="32571" xr:uid="{00000000-0005-0000-0000-00002B7F0000}"/>
    <cellStyle name="Normal 5 10 2 33 3 3" xfId="32572" xr:uid="{00000000-0005-0000-0000-00002C7F0000}"/>
    <cellStyle name="Normal 5 10 2 33 3 4" xfId="32573" xr:uid="{00000000-0005-0000-0000-00002D7F0000}"/>
    <cellStyle name="Normal 5 10 2 33 3 5" xfId="32574" xr:uid="{00000000-0005-0000-0000-00002E7F0000}"/>
    <cellStyle name="Normal 5 10 2 33 3 6" xfId="32575" xr:uid="{00000000-0005-0000-0000-00002F7F0000}"/>
    <cellStyle name="Normal 5 10 2 33 3 7" xfId="32576" xr:uid="{00000000-0005-0000-0000-0000307F0000}"/>
    <cellStyle name="Normal 5 10 2 33 3 8" xfId="32577" xr:uid="{00000000-0005-0000-0000-0000317F0000}"/>
    <cellStyle name="Normal 5 10 2 33 3 9" xfId="32578" xr:uid="{00000000-0005-0000-0000-0000327F0000}"/>
    <cellStyle name="Normal 5 10 2 33 4" xfId="32579" xr:uid="{00000000-0005-0000-0000-0000337F0000}"/>
    <cellStyle name="Normal 5 10 2 33 4 10" xfId="32580" xr:uid="{00000000-0005-0000-0000-0000347F0000}"/>
    <cellStyle name="Normal 5 10 2 33 4 2" xfId="32581" xr:uid="{00000000-0005-0000-0000-0000357F0000}"/>
    <cellStyle name="Normal 5 10 2 33 4 3" xfId="32582" xr:uid="{00000000-0005-0000-0000-0000367F0000}"/>
    <cellStyle name="Normal 5 10 2 33 4 4" xfId="32583" xr:uid="{00000000-0005-0000-0000-0000377F0000}"/>
    <cellStyle name="Normal 5 10 2 33 4 5" xfId="32584" xr:uid="{00000000-0005-0000-0000-0000387F0000}"/>
    <cellStyle name="Normal 5 10 2 33 4 6" xfId="32585" xr:uid="{00000000-0005-0000-0000-0000397F0000}"/>
    <cellStyle name="Normal 5 10 2 33 4 7" xfId="32586" xr:uid="{00000000-0005-0000-0000-00003A7F0000}"/>
    <cellStyle name="Normal 5 10 2 33 4 8" xfId="32587" xr:uid="{00000000-0005-0000-0000-00003B7F0000}"/>
    <cellStyle name="Normal 5 10 2 33 4 9" xfId="32588" xr:uid="{00000000-0005-0000-0000-00003C7F0000}"/>
    <cellStyle name="Normal 5 10 2 33 5" xfId="32589" xr:uid="{00000000-0005-0000-0000-00003D7F0000}"/>
    <cellStyle name="Normal 5 10 2 33 5 10" xfId="32590" xr:uid="{00000000-0005-0000-0000-00003E7F0000}"/>
    <cellStyle name="Normal 5 10 2 33 5 2" xfId="32591" xr:uid="{00000000-0005-0000-0000-00003F7F0000}"/>
    <cellStyle name="Normal 5 10 2 33 5 3" xfId="32592" xr:uid="{00000000-0005-0000-0000-0000407F0000}"/>
    <cellStyle name="Normal 5 10 2 33 5 4" xfId="32593" xr:uid="{00000000-0005-0000-0000-0000417F0000}"/>
    <cellStyle name="Normal 5 10 2 33 5 5" xfId="32594" xr:uid="{00000000-0005-0000-0000-0000427F0000}"/>
    <cellStyle name="Normal 5 10 2 33 5 6" xfId="32595" xr:uid="{00000000-0005-0000-0000-0000437F0000}"/>
    <cellStyle name="Normal 5 10 2 33 5 7" xfId="32596" xr:uid="{00000000-0005-0000-0000-0000447F0000}"/>
    <cellStyle name="Normal 5 10 2 33 5 8" xfId="32597" xr:uid="{00000000-0005-0000-0000-0000457F0000}"/>
    <cellStyle name="Normal 5 10 2 33 5 9" xfId="32598" xr:uid="{00000000-0005-0000-0000-0000467F0000}"/>
    <cellStyle name="Normal 5 10 2 33 6" xfId="32599" xr:uid="{00000000-0005-0000-0000-0000477F0000}"/>
    <cellStyle name="Normal 5 10 2 33 7" xfId="32600" xr:uid="{00000000-0005-0000-0000-0000487F0000}"/>
    <cellStyle name="Normal 5 10 2 33 8" xfId="32601" xr:uid="{00000000-0005-0000-0000-0000497F0000}"/>
    <cellStyle name="Normal 5 10 2 33 9" xfId="32602" xr:uid="{00000000-0005-0000-0000-00004A7F0000}"/>
    <cellStyle name="Normal 5 10 2 34" xfId="32603" xr:uid="{00000000-0005-0000-0000-00004B7F0000}"/>
    <cellStyle name="Normal 5 10 2 34 10" xfId="32604" xr:uid="{00000000-0005-0000-0000-00004C7F0000}"/>
    <cellStyle name="Normal 5 10 2 34 2" xfId="32605" xr:uid="{00000000-0005-0000-0000-00004D7F0000}"/>
    <cellStyle name="Normal 5 10 2 34 3" xfId="32606" xr:uid="{00000000-0005-0000-0000-00004E7F0000}"/>
    <cellStyle name="Normal 5 10 2 34 4" xfId="32607" xr:uid="{00000000-0005-0000-0000-00004F7F0000}"/>
    <cellStyle name="Normal 5 10 2 34 5" xfId="32608" xr:uid="{00000000-0005-0000-0000-0000507F0000}"/>
    <cellStyle name="Normal 5 10 2 34 6" xfId="32609" xr:uid="{00000000-0005-0000-0000-0000517F0000}"/>
    <cellStyle name="Normal 5 10 2 34 7" xfId="32610" xr:uid="{00000000-0005-0000-0000-0000527F0000}"/>
    <cellStyle name="Normal 5 10 2 34 8" xfId="32611" xr:uid="{00000000-0005-0000-0000-0000537F0000}"/>
    <cellStyle name="Normal 5 10 2 34 9" xfId="32612" xr:uid="{00000000-0005-0000-0000-0000547F0000}"/>
    <cellStyle name="Normal 5 10 2 35" xfId="32613" xr:uid="{00000000-0005-0000-0000-0000557F0000}"/>
    <cellStyle name="Normal 5 10 2 35 10" xfId="32614" xr:uid="{00000000-0005-0000-0000-0000567F0000}"/>
    <cellStyle name="Normal 5 10 2 35 2" xfId="32615" xr:uid="{00000000-0005-0000-0000-0000577F0000}"/>
    <cellStyle name="Normal 5 10 2 35 3" xfId="32616" xr:uid="{00000000-0005-0000-0000-0000587F0000}"/>
    <cellStyle name="Normal 5 10 2 35 4" xfId="32617" xr:uid="{00000000-0005-0000-0000-0000597F0000}"/>
    <cellStyle name="Normal 5 10 2 35 5" xfId="32618" xr:uid="{00000000-0005-0000-0000-00005A7F0000}"/>
    <cellStyle name="Normal 5 10 2 35 6" xfId="32619" xr:uid="{00000000-0005-0000-0000-00005B7F0000}"/>
    <cellStyle name="Normal 5 10 2 35 7" xfId="32620" xr:uid="{00000000-0005-0000-0000-00005C7F0000}"/>
    <cellStyle name="Normal 5 10 2 35 8" xfId="32621" xr:uid="{00000000-0005-0000-0000-00005D7F0000}"/>
    <cellStyle name="Normal 5 10 2 35 9" xfId="32622" xr:uid="{00000000-0005-0000-0000-00005E7F0000}"/>
    <cellStyle name="Normal 5 10 2 36" xfId="32623" xr:uid="{00000000-0005-0000-0000-00005F7F0000}"/>
    <cellStyle name="Normal 5 10 2 36 10" xfId="32624" xr:uid="{00000000-0005-0000-0000-0000607F0000}"/>
    <cellStyle name="Normal 5 10 2 36 2" xfId="32625" xr:uid="{00000000-0005-0000-0000-0000617F0000}"/>
    <cellStyle name="Normal 5 10 2 36 3" xfId="32626" xr:uid="{00000000-0005-0000-0000-0000627F0000}"/>
    <cellStyle name="Normal 5 10 2 36 4" xfId="32627" xr:uid="{00000000-0005-0000-0000-0000637F0000}"/>
    <cellStyle name="Normal 5 10 2 36 5" xfId="32628" xr:uid="{00000000-0005-0000-0000-0000647F0000}"/>
    <cellStyle name="Normal 5 10 2 36 6" xfId="32629" xr:uid="{00000000-0005-0000-0000-0000657F0000}"/>
    <cellStyle name="Normal 5 10 2 36 7" xfId="32630" xr:uid="{00000000-0005-0000-0000-0000667F0000}"/>
    <cellStyle name="Normal 5 10 2 36 8" xfId="32631" xr:uid="{00000000-0005-0000-0000-0000677F0000}"/>
    <cellStyle name="Normal 5 10 2 36 9" xfId="32632" xr:uid="{00000000-0005-0000-0000-0000687F0000}"/>
    <cellStyle name="Normal 5 10 2 37" xfId="32633" xr:uid="{00000000-0005-0000-0000-0000697F0000}"/>
    <cellStyle name="Normal 5 10 2 37 10" xfId="32634" xr:uid="{00000000-0005-0000-0000-00006A7F0000}"/>
    <cellStyle name="Normal 5 10 2 37 2" xfId="32635" xr:uid="{00000000-0005-0000-0000-00006B7F0000}"/>
    <cellStyle name="Normal 5 10 2 37 3" xfId="32636" xr:uid="{00000000-0005-0000-0000-00006C7F0000}"/>
    <cellStyle name="Normal 5 10 2 37 4" xfId="32637" xr:uid="{00000000-0005-0000-0000-00006D7F0000}"/>
    <cellStyle name="Normal 5 10 2 37 5" xfId="32638" xr:uid="{00000000-0005-0000-0000-00006E7F0000}"/>
    <cellStyle name="Normal 5 10 2 37 6" xfId="32639" xr:uid="{00000000-0005-0000-0000-00006F7F0000}"/>
    <cellStyle name="Normal 5 10 2 37 7" xfId="32640" xr:uid="{00000000-0005-0000-0000-0000707F0000}"/>
    <cellStyle name="Normal 5 10 2 37 8" xfId="32641" xr:uid="{00000000-0005-0000-0000-0000717F0000}"/>
    <cellStyle name="Normal 5 10 2 37 9" xfId="32642" xr:uid="{00000000-0005-0000-0000-0000727F0000}"/>
    <cellStyle name="Normal 5 10 2 38" xfId="32643" xr:uid="{00000000-0005-0000-0000-0000737F0000}"/>
    <cellStyle name="Normal 5 10 2 39" xfId="32644" xr:uid="{00000000-0005-0000-0000-0000747F0000}"/>
    <cellStyle name="Normal 5 10 2 4" xfId="32645" xr:uid="{00000000-0005-0000-0000-0000757F0000}"/>
    <cellStyle name="Normal 5 10 2 4 10" xfId="32646" xr:uid="{00000000-0005-0000-0000-0000767F0000}"/>
    <cellStyle name="Normal 5 10 2 4 11" xfId="32647" xr:uid="{00000000-0005-0000-0000-0000777F0000}"/>
    <cellStyle name="Normal 5 10 2 4 12" xfId="32648" xr:uid="{00000000-0005-0000-0000-0000787F0000}"/>
    <cellStyle name="Normal 5 10 2 4 13" xfId="32649" xr:uid="{00000000-0005-0000-0000-0000797F0000}"/>
    <cellStyle name="Normal 5 10 2 4 14" xfId="32650" xr:uid="{00000000-0005-0000-0000-00007A7F0000}"/>
    <cellStyle name="Normal 5 10 2 4 2" xfId="32651" xr:uid="{00000000-0005-0000-0000-00007B7F0000}"/>
    <cellStyle name="Normal 5 10 2 4 2 10" xfId="32652" xr:uid="{00000000-0005-0000-0000-00007C7F0000}"/>
    <cellStyle name="Normal 5 10 2 4 2 2" xfId="32653" xr:uid="{00000000-0005-0000-0000-00007D7F0000}"/>
    <cellStyle name="Normal 5 10 2 4 2 3" xfId="32654" xr:uid="{00000000-0005-0000-0000-00007E7F0000}"/>
    <cellStyle name="Normal 5 10 2 4 2 4" xfId="32655" xr:uid="{00000000-0005-0000-0000-00007F7F0000}"/>
    <cellStyle name="Normal 5 10 2 4 2 5" xfId="32656" xr:uid="{00000000-0005-0000-0000-0000807F0000}"/>
    <cellStyle name="Normal 5 10 2 4 2 6" xfId="32657" xr:uid="{00000000-0005-0000-0000-0000817F0000}"/>
    <cellStyle name="Normal 5 10 2 4 2 7" xfId="32658" xr:uid="{00000000-0005-0000-0000-0000827F0000}"/>
    <cellStyle name="Normal 5 10 2 4 2 8" xfId="32659" xr:uid="{00000000-0005-0000-0000-0000837F0000}"/>
    <cellStyle name="Normal 5 10 2 4 2 9" xfId="32660" xr:uid="{00000000-0005-0000-0000-0000847F0000}"/>
    <cellStyle name="Normal 5 10 2 4 3" xfId="32661" xr:uid="{00000000-0005-0000-0000-0000857F0000}"/>
    <cellStyle name="Normal 5 10 2 4 3 10" xfId="32662" xr:uid="{00000000-0005-0000-0000-0000867F0000}"/>
    <cellStyle name="Normal 5 10 2 4 3 2" xfId="32663" xr:uid="{00000000-0005-0000-0000-0000877F0000}"/>
    <cellStyle name="Normal 5 10 2 4 3 3" xfId="32664" xr:uid="{00000000-0005-0000-0000-0000887F0000}"/>
    <cellStyle name="Normal 5 10 2 4 3 4" xfId="32665" xr:uid="{00000000-0005-0000-0000-0000897F0000}"/>
    <cellStyle name="Normal 5 10 2 4 3 5" xfId="32666" xr:uid="{00000000-0005-0000-0000-00008A7F0000}"/>
    <cellStyle name="Normal 5 10 2 4 3 6" xfId="32667" xr:uid="{00000000-0005-0000-0000-00008B7F0000}"/>
    <cellStyle name="Normal 5 10 2 4 3 7" xfId="32668" xr:uid="{00000000-0005-0000-0000-00008C7F0000}"/>
    <cellStyle name="Normal 5 10 2 4 3 8" xfId="32669" xr:uid="{00000000-0005-0000-0000-00008D7F0000}"/>
    <cellStyle name="Normal 5 10 2 4 3 9" xfId="32670" xr:uid="{00000000-0005-0000-0000-00008E7F0000}"/>
    <cellStyle name="Normal 5 10 2 4 4" xfId="32671" xr:uid="{00000000-0005-0000-0000-00008F7F0000}"/>
    <cellStyle name="Normal 5 10 2 4 4 10" xfId="32672" xr:uid="{00000000-0005-0000-0000-0000907F0000}"/>
    <cellStyle name="Normal 5 10 2 4 4 2" xfId="32673" xr:uid="{00000000-0005-0000-0000-0000917F0000}"/>
    <cellStyle name="Normal 5 10 2 4 4 3" xfId="32674" xr:uid="{00000000-0005-0000-0000-0000927F0000}"/>
    <cellStyle name="Normal 5 10 2 4 4 4" xfId="32675" xr:uid="{00000000-0005-0000-0000-0000937F0000}"/>
    <cellStyle name="Normal 5 10 2 4 4 5" xfId="32676" xr:uid="{00000000-0005-0000-0000-0000947F0000}"/>
    <cellStyle name="Normal 5 10 2 4 4 6" xfId="32677" xr:uid="{00000000-0005-0000-0000-0000957F0000}"/>
    <cellStyle name="Normal 5 10 2 4 4 7" xfId="32678" xr:uid="{00000000-0005-0000-0000-0000967F0000}"/>
    <cellStyle name="Normal 5 10 2 4 4 8" xfId="32679" xr:uid="{00000000-0005-0000-0000-0000977F0000}"/>
    <cellStyle name="Normal 5 10 2 4 4 9" xfId="32680" xr:uid="{00000000-0005-0000-0000-0000987F0000}"/>
    <cellStyle name="Normal 5 10 2 4 5" xfId="32681" xr:uid="{00000000-0005-0000-0000-0000997F0000}"/>
    <cellStyle name="Normal 5 10 2 4 5 10" xfId="32682" xr:uid="{00000000-0005-0000-0000-00009A7F0000}"/>
    <cellStyle name="Normal 5 10 2 4 5 2" xfId="32683" xr:uid="{00000000-0005-0000-0000-00009B7F0000}"/>
    <cellStyle name="Normal 5 10 2 4 5 3" xfId="32684" xr:uid="{00000000-0005-0000-0000-00009C7F0000}"/>
    <cellStyle name="Normal 5 10 2 4 5 4" xfId="32685" xr:uid="{00000000-0005-0000-0000-00009D7F0000}"/>
    <cellStyle name="Normal 5 10 2 4 5 5" xfId="32686" xr:uid="{00000000-0005-0000-0000-00009E7F0000}"/>
    <cellStyle name="Normal 5 10 2 4 5 6" xfId="32687" xr:uid="{00000000-0005-0000-0000-00009F7F0000}"/>
    <cellStyle name="Normal 5 10 2 4 5 7" xfId="32688" xr:uid="{00000000-0005-0000-0000-0000A07F0000}"/>
    <cellStyle name="Normal 5 10 2 4 5 8" xfId="32689" xr:uid="{00000000-0005-0000-0000-0000A17F0000}"/>
    <cellStyle name="Normal 5 10 2 4 5 9" xfId="32690" xr:uid="{00000000-0005-0000-0000-0000A27F0000}"/>
    <cellStyle name="Normal 5 10 2 4 6" xfId="32691" xr:uid="{00000000-0005-0000-0000-0000A37F0000}"/>
    <cellStyle name="Normal 5 10 2 4 7" xfId="32692" xr:uid="{00000000-0005-0000-0000-0000A47F0000}"/>
    <cellStyle name="Normal 5 10 2 4 8" xfId="32693" xr:uid="{00000000-0005-0000-0000-0000A57F0000}"/>
    <cellStyle name="Normal 5 10 2 4 9" xfId="32694" xr:uid="{00000000-0005-0000-0000-0000A67F0000}"/>
    <cellStyle name="Normal 5 10 2 40" xfId="32695" xr:uid="{00000000-0005-0000-0000-0000A77F0000}"/>
    <cellStyle name="Normal 5 10 2 41" xfId="32696" xr:uid="{00000000-0005-0000-0000-0000A87F0000}"/>
    <cellStyle name="Normal 5 10 2 42" xfId="32697" xr:uid="{00000000-0005-0000-0000-0000A97F0000}"/>
    <cellStyle name="Normal 5 10 2 43" xfId="32698" xr:uid="{00000000-0005-0000-0000-0000AA7F0000}"/>
    <cellStyle name="Normal 5 10 2 44" xfId="32699" xr:uid="{00000000-0005-0000-0000-0000AB7F0000}"/>
    <cellStyle name="Normal 5 10 2 45" xfId="32700" xr:uid="{00000000-0005-0000-0000-0000AC7F0000}"/>
    <cellStyle name="Normal 5 10 2 46" xfId="32701" xr:uid="{00000000-0005-0000-0000-0000AD7F0000}"/>
    <cellStyle name="Normal 5 10 2 47" xfId="32702" xr:uid="{00000000-0005-0000-0000-0000AE7F0000}"/>
    <cellStyle name="Normal 5 10 2 48" xfId="32703" xr:uid="{00000000-0005-0000-0000-0000AF7F0000}"/>
    <cellStyle name="Normal 5 10 2 49" xfId="31300" xr:uid="{00000000-0005-0000-0000-0000B07F0000}"/>
    <cellStyle name="Normal 5 10 2 5" xfId="32704" xr:uid="{00000000-0005-0000-0000-0000B17F0000}"/>
    <cellStyle name="Normal 5 10 2 5 10" xfId="32705" xr:uid="{00000000-0005-0000-0000-0000B27F0000}"/>
    <cellStyle name="Normal 5 10 2 5 11" xfId="32706" xr:uid="{00000000-0005-0000-0000-0000B37F0000}"/>
    <cellStyle name="Normal 5 10 2 5 12" xfId="32707" xr:uid="{00000000-0005-0000-0000-0000B47F0000}"/>
    <cellStyle name="Normal 5 10 2 5 13" xfId="32708" xr:uid="{00000000-0005-0000-0000-0000B57F0000}"/>
    <cellStyle name="Normal 5 10 2 5 14" xfId="32709" xr:uid="{00000000-0005-0000-0000-0000B67F0000}"/>
    <cellStyle name="Normal 5 10 2 5 2" xfId="32710" xr:uid="{00000000-0005-0000-0000-0000B77F0000}"/>
    <cellStyle name="Normal 5 10 2 5 2 10" xfId="32711" xr:uid="{00000000-0005-0000-0000-0000B87F0000}"/>
    <cellStyle name="Normal 5 10 2 5 2 2" xfId="32712" xr:uid="{00000000-0005-0000-0000-0000B97F0000}"/>
    <cellStyle name="Normal 5 10 2 5 2 3" xfId="32713" xr:uid="{00000000-0005-0000-0000-0000BA7F0000}"/>
    <cellStyle name="Normal 5 10 2 5 2 4" xfId="32714" xr:uid="{00000000-0005-0000-0000-0000BB7F0000}"/>
    <cellStyle name="Normal 5 10 2 5 2 5" xfId="32715" xr:uid="{00000000-0005-0000-0000-0000BC7F0000}"/>
    <cellStyle name="Normal 5 10 2 5 2 6" xfId="32716" xr:uid="{00000000-0005-0000-0000-0000BD7F0000}"/>
    <cellStyle name="Normal 5 10 2 5 2 7" xfId="32717" xr:uid="{00000000-0005-0000-0000-0000BE7F0000}"/>
    <cellStyle name="Normal 5 10 2 5 2 8" xfId="32718" xr:uid="{00000000-0005-0000-0000-0000BF7F0000}"/>
    <cellStyle name="Normal 5 10 2 5 2 9" xfId="32719" xr:uid="{00000000-0005-0000-0000-0000C07F0000}"/>
    <cellStyle name="Normal 5 10 2 5 3" xfId="32720" xr:uid="{00000000-0005-0000-0000-0000C17F0000}"/>
    <cellStyle name="Normal 5 10 2 5 3 10" xfId="32721" xr:uid="{00000000-0005-0000-0000-0000C27F0000}"/>
    <cellStyle name="Normal 5 10 2 5 3 2" xfId="32722" xr:uid="{00000000-0005-0000-0000-0000C37F0000}"/>
    <cellStyle name="Normal 5 10 2 5 3 3" xfId="32723" xr:uid="{00000000-0005-0000-0000-0000C47F0000}"/>
    <cellStyle name="Normal 5 10 2 5 3 4" xfId="32724" xr:uid="{00000000-0005-0000-0000-0000C57F0000}"/>
    <cellStyle name="Normal 5 10 2 5 3 5" xfId="32725" xr:uid="{00000000-0005-0000-0000-0000C67F0000}"/>
    <cellStyle name="Normal 5 10 2 5 3 6" xfId="32726" xr:uid="{00000000-0005-0000-0000-0000C77F0000}"/>
    <cellStyle name="Normal 5 10 2 5 3 7" xfId="32727" xr:uid="{00000000-0005-0000-0000-0000C87F0000}"/>
    <cellStyle name="Normal 5 10 2 5 3 8" xfId="32728" xr:uid="{00000000-0005-0000-0000-0000C97F0000}"/>
    <cellStyle name="Normal 5 10 2 5 3 9" xfId="32729" xr:uid="{00000000-0005-0000-0000-0000CA7F0000}"/>
    <cellStyle name="Normal 5 10 2 5 4" xfId="32730" xr:uid="{00000000-0005-0000-0000-0000CB7F0000}"/>
    <cellStyle name="Normal 5 10 2 5 4 10" xfId="32731" xr:uid="{00000000-0005-0000-0000-0000CC7F0000}"/>
    <cellStyle name="Normal 5 10 2 5 4 2" xfId="32732" xr:uid="{00000000-0005-0000-0000-0000CD7F0000}"/>
    <cellStyle name="Normal 5 10 2 5 4 3" xfId="32733" xr:uid="{00000000-0005-0000-0000-0000CE7F0000}"/>
    <cellStyle name="Normal 5 10 2 5 4 4" xfId="32734" xr:uid="{00000000-0005-0000-0000-0000CF7F0000}"/>
    <cellStyle name="Normal 5 10 2 5 4 5" xfId="32735" xr:uid="{00000000-0005-0000-0000-0000D07F0000}"/>
    <cellStyle name="Normal 5 10 2 5 4 6" xfId="32736" xr:uid="{00000000-0005-0000-0000-0000D17F0000}"/>
    <cellStyle name="Normal 5 10 2 5 4 7" xfId="32737" xr:uid="{00000000-0005-0000-0000-0000D27F0000}"/>
    <cellStyle name="Normal 5 10 2 5 4 8" xfId="32738" xr:uid="{00000000-0005-0000-0000-0000D37F0000}"/>
    <cellStyle name="Normal 5 10 2 5 4 9" xfId="32739" xr:uid="{00000000-0005-0000-0000-0000D47F0000}"/>
    <cellStyle name="Normal 5 10 2 5 5" xfId="32740" xr:uid="{00000000-0005-0000-0000-0000D57F0000}"/>
    <cellStyle name="Normal 5 10 2 5 5 10" xfId="32741" xr:uid="{00000000-0005-0000-0000-0000D67F0000}"/>
    <cellStyle name="Normal 5 10 2 5 5 2" xfId="32742" xr:uid="{00000000-0005-0000-0000-0000D77F0000}"/>
    <cellStyle name="Normal 5 10 2 5 5 3" xfId="32743" xr:uid="{00000000-0005-0000-0000-0000D87F0000}"/>
    <cellStyle name="Normal 5 10 2 5 5 4" xfId="32744" xr:uid="{00000000-0005-0000-0000-0000D97F0000}"/>
    <cellStyle name="Normal 5 10 2 5 5 5" xfId="32745" xr:uid="{00000000-0005-0000-0000-0000DA7F0000}"/>
    <cellStyle name="Normal 5 10 2 5 5 6" xfId="32746" xr:uid="{00000000-0005-0000-0000-0000DB7F0000}"/>
    <cellStyle name="Normal 5 10 2 5 5 7" xfId="32747" xr:uid="{00000000-0005-0000-0000-0000DC7F0000}"/>
    <cellStyle name="Normal 5 10 2 5 5 8" xfId="32748" xr:uid="{00000000-0005-0000-0000-0000DD7F0000}"/>
    <cellStyle name="Normal 5 10 2 5 5 9" xfId="32749" xr:uid="{00000000-0005-0000-0000-0000DE7F0000}"/>
    <cellStyle name="Normal 5 10 2 5 6" xfId="32750" xr:uid="{00000000-0005-0000-0000-0000DF7F0000}"/>
    <cellStyle name="Normal 5 10 2 5 7" xfId="32751" xr:uid="{00000000-0005-0000-0000-0000E07F0000}"/>
    <cellStyle name="Normal 5 10 2 5 8" xfId="32752" xr:uid="{00000000-0005-0000-0000-0000E17F0000}"/>
    <cellStyle name="Normal 5 10 2 5 9" xfId="32753" xr:uid="{00000000-0005-0000-0000-0000E27F0000}"/>
    <cellStyle name="Normal 5 10 2 6" xfId="32754" xr:uid="{00000000-0005-0000-0000-0000E37F0000}"/>
    <cellStyle name="Normal 5 10 2 6 10" xfId="32755" xr:uid="{00000000-0005-0000-0000-0000E47F0000}"/>
    <cellStyle name="Normal 5 10 2 6 11" xfId="32756" xr:uid="{00000000-0005-0000-0000-0000E57F0000}"/>
    <cellStyle name="Normal 5 10 2 6 12" xfId="32757" xr:uid="{00000000-0005-0000-0000-0000E67F0000}"/>
    <cellStyle name="Normal 5 10 2 6 13" xfId="32758" xr:uid="{00000000-0005-0000-0000-0000E77F0000}"/>
    <cellStyle name="Normal 5 10 2 6 14" xfId="32759" xr:uid="{00000000-0005-0000-0000-0000E87F0000}"/>
    <cellStyle name="Normal 5 10 2 6 2" xfId="32760" xr:uid="{00000000-0005-0000-0000-0000E97F0000}"/>
    <cellStyle name="Normal 5 10 2 6 2 10" xfId="32761" xr:uid="{00000000-0005-0000-0000-0000EA7F0000}"/>
    <cellStyle name="Normal 5 10 2 6 2 2" xfId="32762" xr:uid="{00000000-0005-0000-0000-0000EB7F0000}"/>
    <cellStyle name="Normal 5 10 2 6 2 3" xfId="32763" xr:uid="{00000000-0005-0000-0000-0000EC7F0000}"/>
    <cellStyle name="Normal 5 10 2 6 2 4" xfId="32764" xr:uid="{00000000-0005-0000-0000-0000ED7F0000}"/>
    <cellStyle name="Normal 5 10 2 6 2 5" xfId="32765" xr:uid="{00000000-0005-0000-0000-0000EE7F0000}"/>
    <cellStyle name="Normal 5 10 2 6 2 6" xfId="32766" xr:uid="{00000000-0005-0000-0000-0000EF7F0000}"/>
    <cellStyle name="Normal 5 10 2 6 2 7" xfId="32767" xr:uid="{00000000-0005-0000-0000-0000F07F0000}"/>
    <cellStyle name="Normal 5 10 2 6 2 8" xfId="32768" xr:uid="{00000000-0005-0000-0000-0000F17F0000}"/>
    <cellStyle name="Normal 5 10 2 6 2 9" xfId="32769" xr:uid="{00000000-0005-0000-0000-0000F27F0000}"/>
    <cellStyle name="Normal 5 10 2 6 3" xfId="32770" xr:uid="{00000000-0005-0000-0000-0000F37F0000}"/>
    <cellStyle name="Normal 5 10 2 6 3 10" xfId="32771" xr:uid="{00000000-0005-0000-0000-0000F47F0000}"/>
    <cellStyle name="Normal 5 10 2 6 3 2" xfId="32772" xr:uid="{00000000-0005-0000-0000-0000F57F0000}"/>
    <cellStyle name="Normal 5 10 2 6 3 3" xfId="32773" xr:uid="{00000000-0005-0000-0000-0000F67F0000}"/>
    <cellStyle name="Normal 5 10 2 6 3 4" xfId="32774" xr:uid="{00000000-0005-0000-0000-0000F77F0000}"/>
    <cellStyle name="Normal 5 10 2 6 3 5" xfId="32775" xr:uid="{00000000-0005-0000-0000-0000F87F0000}"/>
    <cellStyle name="Normal 5 10 2 6 3 6" xfId="32776" xr:uid="{00000000-0005-0000-0000-0000F97F0000}"/>
    <cellStyle name="Normal 5 10 2 6 3 7" xfId="32777" xr:uid="{00000000-0005-0000-0000-0000FA7F0000}"/>
    <cellStyle name="Normal 5 10 2 6 3 8" xfId="32778" xr:uid="{00000000-0005-0000-0000-0000FB7F0000}"/>
    <cellStyle name="Normal 5 10 2 6 3 9" xfId="32779" xr:uid="{00000000-0005-0000-0000-0000FC7F0000}"/>
    <cellStyle name="Normal 5 10 2 6 4" xfId="32780" xr:uid="{00000000-0005-0000-0000-0000FD7F0000}"/>
    <cellStyle name="Normal 5 10 2 6 4 10" xfId="32781" xr:uid="{00000000-0005-0000-0000-0000FE7F0000}"/>
    <cellStyle name="Normal 5 10 2 6 4 2" xfId="32782" xr:uid="{00000000-0005-0000-0000-0000FF7F0000}"/>
    <cellStyle name="Normal 5 10 2 6 4 3" xfId="32783" xr:uid="{00000000-0005-0000-0000-000000800000}"/>
    <cellStyle name="Normal 5 10 2 6 4 4" xfId="32784" xr:uid="{00000000-0005-0000-0000-000001800000}"/>
    <cellStyle name="Normal 5 10 2 6 4 5" xfId="32785" xr:uid="{00000000-0005-0000-0000-000002800000}"/>
    <cellStyle name="Normal 5 10 2 6 4 6" xfId="32786" xr:uid="{00000000-0005-0000-0000-000003800000}"/>
    <cellStyle name="Normal 5 10 2 6 4 7" xfId="32787" xr:uid="{00000000-0005-0000-0000-000004800000}"/>
    <cellStyle name="Normal 5 10 2 6 4 8" xfId="32788" xr:uid="{00000000-0005-0000-0000-000005800000}"/>
    <cellStyle name="Normal 5 10 2 6 4 9" xfId="32789" xr:uid="{00000000-0005-0000-0000-000006800000}"/>
    <cellStyle name="Normal 5 10 2 6 5" xfId="32790" xr:uid="{00000000-0005-0000-0000-000007800000}"/>
    <cellStyle name="Normal 5 10 2 6 5 10" xfId="32791" xr:uid="{00000000-0005-0000-0000-000008800000}"/>
    <cellStyle name="Normal 5 10 2 6 5 2" xfId="32792" xr:uid="{00000000-0005-0000-0000-000009800000}"/>
    <cellStyle name="Normal 5 10 2 6 5 3" xfId="32793" xr:uid="{00000000-0005-0000-0000-00000A800000}"/>
    <cellStyle name="Normal 5 10 2 6 5 4" xfId="32794" xr:uid="{00000000-0005-0000-0000-00000B800000}"/>
    <cellStyle name="Normal 5 10 2 6 5 5" xfId="32795" xr:uid="{00000000-0005-0000-0000-00000C800000}"/>
    <cellStyle name="Normal 5 10 2 6 5 6" xfId="32796" xr:uid="{00000000-0005-0000-0000-00000D800000}"/>
    <cellStyle name="Normal 5 10 2 6 5 7" xfId="32797" xr:uid="{00000000-0005-0000-0000-00000E800000}"/>
    <cellStyle name="Normal 5 10 2 6 5 8" xfId="32798" xr:uid="{00000000-0005-0000-0000-00000F800000}"/>
    <cellStyle name="Normal 5 10 2 6 5 9" xfId="32799" xr:uid="{00000000-0005-0000-0000-000010800000}"/>
    <cellStyle name="Normal 5 10 2 6 6" xfId="32800" xr:uid="{00000000-0005-0000-0000-000011800000}"/>
    <cellStyle name="Normal 5 10 2 6 7" xfId="32801" xr:uid="{00000000-0005-0000-0000-000012800000}"/>
    <cellStyle name="Normal 5 10 2 6 8" xfId="32802" xr:uid="{00000000-0005-0000-0000-000013800000}"/>
    <cellStyle name="Normal 5 10 2 6 9" xfId="32803" xr:uid="{00000000-0005-0000-0000-000014800000}"/>
    <cellStyle name="Normal 5 10 2 7" xfId="32804" xr:uid="{00000000-0005-0000-0000-000015800000}"/>
    <cellStyle name="Normal 5 10 2 7 10" xfId="32805" xr:uid="{00000000-0005-0000-0000-000016800000}"/>
    <cellStyle name="Normal 5 10 2 7 11" xfId="32806" xr:uid="{00000000-0005-0000-0000-000017800000}"/>
    <cellStyle name="Normal 5 10 2 7 12" xfId="32807" xr:uid="{00000000-0005-0000-0000-000018800000}"/>
    <cellStyle name="Normal 5 10 2 7 13" xfId="32808" xr:uid="{00000000-0005-0000-0000-000019800000}"/>
    <cellStyle name="Normal 5 10 2 7 14" xfId="32809" xr:uid="{00000000-0005-0000-0000-00001A800000}"/>
    <cellStyle name="Normal 5 10 2 7 2" xfId="32810" xr:uid="{00000000-0005-0000-0000-00001B800000}"/>
    <cellStyle name="Normal 5 10 2 7 2 10" xfId="32811" xr:uid="{00000000-0005-0000-0000-00001C800000}"/>
    <cellStyle name="Normal 5 10 2 7 2 2" xfId="32812" xr:uid="{00000000-0005-0000-0000-00001D800000}"/>
    <cellStyle name="Normal 5 10 2 7 2 3" xfId="32813" xr:uid="{00000000-0005-0000-0000-00001E800000}"/>
    <cellStyle name="Normal 5 10 2 7 2 4" xfId="32814" xr:uid="{00000000-0005-0000-0000-00001F800000}"/>
    <cellStyle name="Normal 5 10 2 7 2 5" xfId="32815" xr:uid="{00000000-0005-0000-0000-000020800000}"/>
    <cellStyle name="Normal 5 10 2 7 2 6" xfId="32816" xr:uid="{00000000-0005-0000-0000-000021800000}"/>
    <cellStyle name="Normal 5 10 2 7 2 7" xfId="32817" xr:uid="{00000000-0005-0000-0000-000022800000}"/>
    <cellStyle name="Normal 5 10 2 7 2 8" xfId="32818" xr:uid="{00000000-0005-0000-0000-000023800000}"/>
    <cellStyle name="Normal 5 10 2 7 2 9" xfId="32819" xr:uid="{00000000-0005-0000-0000-000024800000}"/>
    <cellStyle name="Normal 5 10 2 7 3" xfId="32820" xr:uid="{00000000-0005-0000-0000-000025800000}"/>
    <cellStyle name="Normal 5 10 2 7 3 10" xfId="32821" xr:uid="{00000000-0005-0000-0000-000026800000}"/>
    <cellStyle name="Normal 5 10 2 7 3 2" xfId="32822" xr:uid="{00000000-0005-0000-0000-000027800000}"/>
    <cellStyle name="Normal 5 10 2 7 3 3" xfId="32823" xr:uid="{00000000-0005-0000-0000-000028800000}"/>
    <cellStyle name="Normal 5 10 2 7 3 4" xfId="32824" xr:uid="{00000000-0005-0000-0000-000029800000}"/>
    <cellStyle name="Normal 5 10 2 7 3 5" xfId="32825" xr:uid="{00000000-0005-0000-0000-00002A800000}"/>
    <cellStyle name="Normal 5 10 2 7 3 6" xfId="32826" xr:uid="{00000000-0005-0000-0000-00002B800000}"/>
    <cellStyle name="Normal 5 10 2 7 3 7" xfId="32827" xr:uid="{00000000-0005-0000-0000-00002C800000}"/>
    <cellStyle name="Normal 5 10 2 7 3 8" xfId="32828" xr:uid="{00000000-0005-0000-0000-00002D800000}"/>
    <cellStyle name="Normal 5 10 2 7 3 9" xfId="32829" xr:uid="{00000000-0005-0000-0000-00002E800000}"/>
    <cellStyle name="Normal 5 10 2 7 4" xfId="32830" xr:uid="{00000000-0005-0000-0000-00002F800000}"/>
    <cellStyle name="Normal 5 10 2 7 4 10" xfId="32831" xr:uid="{00000000-0005-0000-0000-000030800000}"/>
    <cellStyle name="Normal 5 10 2 7 4 2" xfId="32832" xr:uid="{00000000-0005-0000-0000-000031800000}"/>
    <cellStyle name="Normal 5 10 2 7 4 3" xfId="32833" xr:uid="{00000000-0005-0000-0000-000032800000}"/>
    <cellStyle name="Normal 5 10 2 7 4 4" xfId="32834" xr:uid="{00000000-0005-0000-0000-000033800000}"/>
    <cellStyle name="Normal 5 10 2 7 4 5" xfId="32835" xr:uid="{00000000-0005-0000-0000-000034800000}"/>
    <cellStyle name="Normal 5 10 2 7 4 6" xfId="32836" xr:uid="{00000000-0005-0000-0000-000035800000}"/>
    <cellStyle name="Normal 5 10 2 7 4 7" xfId="32837" xr:uid="{00000000-0005-0000-0000-000036800000}"/>
    <cellStyle name="Normal 5 10 2 7 4 8" xfId="32838" xr:uid="{00000000-0005-0000-0000-000037800000}"/>
    <cellStyle name="Normal 5 10 2 7 4 9" xfId="32839" xr:uid="{00000000-0005-0000-0000-000038800000}"/>
    <cellStyle name="Normal 5 10 2 7 5" xfId="32840" xr:uid="{00000000-0005-0000-0000-000039800000}"/>
    <cellStyle name="Normal 5 10 2 7 5 10" xfId="32841" xr:uid="{00000000-0005-0000-0000-00003A800000}"/>
    <cellStyle name="Normal 5 10 2 7 5 2" xfId="32842" xr:uid="{00000000-0005-0000-0000-00003B800000}"/>
    <cellStyle name="Normal 5 10 2 7 5 3" xfId="32843" xr:uid="{00000000-0005-0000-0000-00003C800000}"/>
    <cellStyle name="Normal 5 10 2 7 5 4" xfId="32844" xr:uid="{00000000-0005-0000-0000-00003D800000}"/>
    <cellStyle name="Normal 5 10 2 7 5 5" xfId="32845" xr:uid="{00000000-0005-0000-0000-00003E800000}"/>
    <cellStyle name="Normal 5 10 2 7 5 6" xfId="32846" xr:uid="{00000000-0005-0000-0000-00003F800000}"/>
    <cellStyle name="Normal 5 10 2 7 5 7" xfId="32847" xr:uid="{00000000-0005-0000-0000-000040800000}"/>
    <cellStyle name="Normal 5 10 2 7 5 8" xfId="32848" xr:uid="{00000000-0005-0000-0000-000041800000}"/>
    <cellStyle name="Normal 5 10 2 7 5 9" xfId="32849" xr:uid="{00000000-0005-0000-0000-000042800000}"/>
    <cellStyle name="Normal 5 10 2 7 6" xfId="32850" xr:uid="{00000000-0005-0000-0000-000043800000}"/>
    <cellStyle name="Normal 5 10 2 7 7" xfId="32851" xr:uid="{00000000-0005-0000-0000-000044800000}"/>
    <cellStyle name="Normal 5 10 2 7 8" xfId="32852" xr:uid="{00000000-0005-0000-0000-000045800000}"/>
    <cellStyle name="Normal 5 10 2 7 9" xfId="32853" xr:uid="{00000000-0005-0000-0000-000046800000}"/>
    <cellStyle name="Normal 5 10 2 8" xfId="32854" xr:uid="{00000000-0005-0000-0000-000047800000}"/>
    <cellStyle name="Normal 5 10 2 8 10" xfId="32855" xr:uid="{00000000-0005-0000-0000-000048800000}"/>
    <cellStyle name="Normal 5 10 2 8 11" xfId="32856" xr:uid="{00000000-0005-0000-0000-000049800000}"/>
    <cellStyle name="Normal 5 10 2 8 12" xfId="32857" xr:uid="{00000000-0005-0000-0000-00004A800000}"/>
    <cellStyle name="Normal 5 10 2 8 13" xfId="32858" xr:uid="{00000000-0005-0000-0000-00004B800000}"/>
    <cellStyle name="Normal 5 10 2 8 14" xfId="32859" xr:uid="{00000000-0005-0000-0000-00004C800000}"/>
    <cellStyle name="Normal 5 10 2 8 2" xfId="32860" xr:uid="{00000000-0005-0000-0000-00004D800000}"/>
    <cellStyle name="Normal 5 10 2 8 2 10" xfId="32861" xr:uid="{00000000-0005-0000-0000-00004E800000}"/>
    <cellStyle name="Normal 5 10 2 8 2 2" xfId="32862" xr:uid="{00000000-0005-0000-0000-00004F800000}"/>
    <cellStyle name="Normal 5 10 2 8 2 3" xfId="32863" xr:uid="{00000000-0005-0000-0000-000050800000}"/>
    <cellStyle name="Normal 5 10 2 8 2 4" xfId="32864" xr:uid="{00000000-0005-0000-0000-000051800000}"/>
    <cellStyle name="Normal 5 10 2 8 2 5" xfId="32865" xr:uid="{00000000-0005-0000-0000-000052800000}"/>
    <cellStyle name="Normal 5 10 2 8 2 6" xfId="32866" xr:uid="{00000000-0005-0000-0000-000053800000}"/>
    <cellStyle name="Normal 5 10 2 8 2 7" xfId="32867" xr:uid="{00000000-0005-0000-0000-000054800000}"/>
    <cellStyle name="Normal 5 10 2 8 2 8" xfId="32868" xr:uid="{00000000-0005-0000-0000-000055800000}"/>
    <cellStyle name="Normal 5 10 2 8 2 9" xfId="32869" xr:uid="{00000000-0005-0000-0000-000056800000}"/>
    <cellStyle name="Normal 5 10 2 8 3" xfId="32870" xr:uid="{00000000-0005-0000-0000-000057800000}"/>
    <cellStyle name="Normal 5 10 2 8 3 10" xfId="32871" xr:uid="{00000000-0005-0000-0000-000058800000}"/>
    <cellStyle name="Normal 5 10 2 8 3 2" xfId="32872" xr:uid="{00000000-0005-0000-0000-000059800000}"/>
    <cellStyle name="Normal 5 10 2 8 3 3" xfId="32873" xr:uid="{00000000-0005-0000-0000-00005A800000}"/>
    <cellStyle name="Normal 5 10 2 8 3 4" xfId="32874" xr:uid="{00000000-0005-0000-0000-00005B800000}"/>
    <cellStyle name="Normal 5 10 2 8 3 5" xfId="32875" xr:uid="{00000000-0005-0000-0000-00005C800000}"/>
    <cellStyle name="Normal 5 10 2 8 3 6" xfId="32876" xr:uid="{00000000-0005-0000-0000-00005D800000}"/>
    <cellStyle name="Normal 5 10 2 8 3 7" xfId="32877" xr:uid="{00000000-0005-0000-0000-00005E800000}"/>
    <cellStyle name="Normal 5 10 2 8 3 8" xfId="32878" xr:uid="{00000000-0005-0000-0000-00005F800000}"/>
    <cellStyle name="Normal 5 10 2 8 3 9" xfId="32879" xr:uid="{00000000-0005-0000-0000-000060800000}"/>
    <cellStyle name="Normal 5 10 2 8 4" xfId="32880" xr:uid="{00000000-0005-0000-0000-000061800000}"/>
    <cellStyle name="Normal 5 10 2 8 4 10" xfId="32881" xr:uid="{00000000-0005-0000-0000-000062800000}"/>
    <cellStyle name="Normal 5 10 2 8 4 2" xfId="32882" xr:uid="{00000000-0005-0000-0000-000063800000}"/>
    <cellStyle name="Normal 5 10 2 8 4 3" xfId="32883" xr:uid="{00000000-0005-0000-0000-000064800000}"/>
    <cellStyle name="Normal 5 10 2 8 4 4" xfId="32884" xr:uid="{00000000-0005-0000-0000-000065800000}"/>
    <cellStyle name="Normal 5 10 2 8 4 5" xfId="32885" xr:uid="{00000000-0005-0000-0000-000066800000}"/>
    <cellStyle name="Normal 5 10 2 8 4 6" xfId="32886" xr:uid="{00000000-0005-0000-0000-000067800000}"/>
    <cellStyle name="Normal 5 10 2 8 4 7" xfId="32887" xr:uid="{00000000-0005-0000-0000-000068800000}"/>
    <cellStyle name="Normal 5 10 2 8 4 8" xfId="32888" xr:uid="{00000000-0005-0000-0000-000069800000}"/>
    <cellStyle name="Normal 5 10 2 8 4 9" xfId="32889" xr:uid="{00000000-0005-0000-0000-00006A800000}"/>
    <cellStyle name="Normal 5 10 2 8 5" xfId="32890" xr:uid="{00000000-0005-0000-0000-00006B800000}"/>
    <cellStyle name="Normal 5 10 2 8 5 10" xfId="32891" xr:uid="{00000000-0005-0000-0000-00006C800000}"/>
    <cellStyle name="Normal 5 10 2 8 5 2" xfId="32892" xr:uid="{00000000-0005-0000-0000-00006D800000}"/>
    <cellStyle name="Normal 5 10 2 8 5 3" xfId="32893" xr:uid="{00000000-0005-0000-0000-00006E800000}"/>
    <cellStyle name="Normal 5 10 2 8 5 4" xfId="32894" xr:uid="{00000000-0005-0000-0000-00006F800000}"/>
    <cellStyle name="Normal 5 10 2 8 5 5" xfId="32895" xr:uid="{00000000-0005-0000-0000-000070800000}"/>
    <cellStyle name="Normal 5 10 2 8 5 6" xfId="32896" xr:uid="{00000000-0005-0000-0000-000071800000}"/>
    <cellStyle name="Normal 5 10 2 8 5 7" xfId="32897" xr:uid="{00000000-0005-0000-0000-000072800000}"/>
    <cellStyle name="Normal 5 10 2 8 5 8" xfId="32898" xr:uid="{00000000-0005-0000-0000-000073800000}"/>
    <cellStyle name="Normal 5 10 2 8 5 9" xfId="32899" xr:uid="{00000000-0005-0000-0000-000074800000}"/>
    <cellStyle name="Normal 5 10 2 8 6" xfId="32900" xr:uid="{00000000-0005-0000-0000-000075800000}"/>
    <cellStyle name="Normal 5 10 2 8 7" xfId="32901" xr:uid="{00000000-0005-0000-0000-000076800000}"/>
    <cellStyle name="Normal 5 10 2 8 8" xfId="32902" xr:uid="{00000000-0005-0000-0000-000077800000}"/>
    <cellStyle name="Normal 5 10 2 8 9" xfId="32903" xr:uid="{00000000-0005-0000-0000-000078800000}"/>
    <cellStyle name="Normal 5 10 2 9" xfId="32904" xr:uid="{00000000-0005-0000-0000-000079800000}"/>
    <cellStyle name="Normal 5 10 2 9 10" xfId="32905" xr:uid="{00000000-0005-0000-0000-00007A800000}"/>
    <cellStyle name="Normal 5 10 2 9 11" xfId="32906" xr:uid="{00000000-0005-0000-0000-00007B800000}"/>
    <cellStyle name="Normal 5 10 2 9 12" xfId="32907" xr:uid="{00000000-0005-0000-0000-00007C800000}"/>
    <cellStyle name="Normal 5 10 2 9 13" xfId="32908" xr:uid="{00000000-0005-0000-0000-00007D800000}"/>
    <cellStyle name="Normal 5 10 2 9 14" xfId="32909" xr:uid="{00000000-0005-0000-0000-00007E800000}"/>
    <cellStyle name="Normal 5 10 2 9 2" xfId="32910" xr:uid="{00000000-0005-0000-0000-00007F800000}"/>
    <cellStyle name="Normal 5 10 2 9 2 10" xfId="32911" xr:uid="{00000000-0005-0000-0000-000080800000}"/>
    <cellStyle name="Normal 5 10 2 9 2 2" xfId="32912" xr:uid="{00000000-0005-0000-0000-000081800000}"/>
    <cellStyle name="Normal 5 10 2 9 2 3" xfId="32913" xr:uid="{00000000-0005-0000-0000-000082800000}"/>
    <cellStyle name="Normal 5 10 2 9 2 4" xfId="32914" xr:uid="{00000000-0005-0000-0000-000083800000}"/>
    <cellStyle name="Normal 5 10 2 9 2 5" xfId="32915" xr:uid="{00000000-0005-0000-0000-000084800000}"/>
    <cellStyle name="Normal 5 10 2 9 2 6" xfId="32916" xr:uid="{00000000-0005-0000-0000-000085800000}"/>
    <cellStyle name="Normal 5 10 2 9 2 7" xfId="32917" xr:uid="{00000000-0005-0000-0000-000086800000}"/>
    <cellStyle name="Normal 5 10 2 9 2 8" xfId="32918" xr:uid="{00000000-0005-0000-0000-000087800000}"/>
    <cellStyle name="Normal 5 10 2 9 2 9" xfId="32919" xr:uid="{00000000-0005-0000-0000-000088800000}"/>
    <cellStyle name="Normal 5 10 2 9 3" xfId="32920" xr:uid="{00000000-0005-0000-0000-000089800000}"/>
    <cellStyle name="Normal 5 10 2 9 3 10" xfId="32921" xr:uid="{00000000-0005-0000-0000-00008A800000}"/>
    <cellStyle name="Normal 5 10 2 9 3 2" xfId="32922" xr:uid="{00000000-0005-0000-0000-00008B800000}"/>
    <cellStyle name="Normal 5 10 2 9 3 3" xfId="32923" xr:uid="{00000000-0005-0000-0000-00008C800000}"/>
    <cellStyle name="Normal 5 10 2 9 3 4" xfId="32924" xr:uid="{00000000-0005-0000-0000-00008D800000}"/>
    <cellStyle name="Normal 5 10 2 9 3 5" xfId="32925" xr:uid="{00000000-0005-0000-0000-00008E800000}"/>
    <cellStyle name="Normal 5 10 2 9 3 6" xfId="32926" xr:uid="{00000000-0005-0000-0000-00008F800000}"/>
    <cellStyle name="Normal 5 10 2 9 3 7" xfId="32927" xr:uid="{00000000-0005-0000-0000-000090800000}"/>
    <cellStyle name="Normal 5 10 2 9 3 8" xfId="32928" xr:uid="{00000000-0005-0000-0000-000091800000}"/>
    <cellStyle name="Normal 5 10 2 9 3 9" xfId="32929" xr:uid="{00000000-0005-0000-0000-000092800000}"/>
    <cellStyle name="Normal 5 10 2 9 4" xfId="32930" xr:uid="{00000000-0005-0000-0000-000093800000}"/>
    <cellStyle name="Normal 5 10 2 9 4 10" xfId="32931" xr:uid="{00000000-0005-0000-0000-000094800000}"/>
    <cellStyle name="Normal 5 10 2 9 4 2" xfId="32932" xr:uid="{00000000-0005-0000-0000-000095800000}"/>
    <cellStyle name="Normal 5 10 2 9 4 3" xfId="32933" xr:uid="{00000000-0005-0000-0000-000096800000}"/>
    <cellStyle name="Normal 5 10 2 9 4 4" xfId="32934" xr:uid="{00000000-0005-0000-0000-000097800000}"/>
    <cellStyle name="Normal 5 10 2 9 4 5" xfId="32935" xr:uid="{00000000-0005-0000-0000-000098800000}"/>
    <cellStyle name="Normal 5 10 2 9 4 6" xfId="32936" xr:uid="{00000000-0005-0000-0000-000099800000}"/>
    <cellStyle name="Normal 5 10 2 9 4 7" xfId="32937" xr:uid="{00000000-0005-0000-0000-00009A800000}"/>
    <cellStyle name="Normal 5 10 2 9 4 8" xfId="32938" xr:uid="{00000000-0005-0000-0000-00009B800000}"/>
    <cellStyle name="Normal 5 10 2 9 4 9" xfId="32939" xr:uid="{00000000-0005-0000-0000-00009C800000}"/>
    <cellStyle name="Normal 5 10 2 9 5" xfId="32940" xr:uid="{00000000-0005-0000-0000-00009D800000}"/>
    <cellStyle name="Normal 5 10 2 9 5 10" xfId="32941" xr:uid="{00000000-0005-0000-0000-00009E800000}"/>
    <cellStyle name="Normal 5 10 2 9 5 2" xfId="32942" xr:uid="{00000000-0005-0000-0000-00009F800000}"/>
    <cellStyle name="Normal 5 10 2 9 5 3" xfId="32943" xr:uid="{00000000-0005-0000-0000-0000A0800000}"/>
    <cellStyle name="Normal 5 10 2 9 5 4" xfId="32944" xr:uid="{00000000-0005-0000-0000-0000A1800000}"/>
    <cellStyle name="Normal 5 10 2 9 5 5" xfId="32945" xr:uid="{00000000-0005-0000-0000-0000A2800000}"/>
    <cellStyle name="Normal 5 10 2 9 5 6" xfId="32946" xr:uid="{00000000-0005-0000-0000-0000A3800000}"/>
    <cellStyle name="Normal 5 10 2 9 5 7" xfId="32947" xr:uid="{00000000-0005-0000-0000-0000A4800000}"/>
    <cellStyle name="Normal 5 10 2 9 5 8" xfId="32948" xr:uid="{00000000-0005-0000-0000-0000A5800000}"/>
    <cellStyle name="Normal 5 10 2 9 5 9" xfId="32949" xr:uid="{00000000-0005-0000-0000-0000A6800000}"/>
    <cellStyle name="Normal 5 10 2 9 6" xfId="32950" xr:uid="{00000000-0005-0000-0000-0000A7800000}"/>
    <cellStyle name="Normal 5 10 2 9 7" xfId="32951" xr:uid="{00000000-0005-0000-0000-0000A8800000}"/>
    <cellStyle name="Normal 5 10 2 9 8" xfId="32952" xr:uid="{00000000-0005-0000-0000-0000A9800000}"/>
    <cellStyle name="Normal 5 10 2 9 9" xfId="32953" xr:uid="{00000000-0005-0000-0000-0000AA800000}"/>
    <cellStyle name="Normal 5 10 20" xfId="32954" xr:uid="{00000000-0005-0000-0000-0000AB800000}"/>
    <cellStyle name="Normal 5 10 20 10" xfId="32955" xr:uid="{00000000-0005-0000-0000-0000AC800000}"/>
    <cellStyle name="Normal 5 10 20 11" xfId="32956" xr:uid="{00000000-0005-0000-0000-0000AD800000}"/>
    <cellStyle name="Normal 5 10 20 12" xfId="32957" xr:uid="{00000000-0005-0000-0000-0000AE800000}"/>
    <cellStyle name="Normal 5 10 20 13" xfId="32958" xr:uid="{00000000-0005-0000-0000-0000AF800000}"/>
    <cellStyle name="Normal 5 10 20 14" xfId="32959" xr:uid="{00000000-0005-0000-0000-0000B0800000}"/>
    <cellStyle name="Normal 5 10 20 2" xfId="32960" xr:uid="{00000000-0005-0000-0000-0000B1800000}"/>
    <cellStyle name="Normal 5 10 20 2 10" xfId="32961" xr:uid="{00000000-0005-0000-0000-0000B2800000}"/>
    <cellStyle name="Normal 5 10 20 2 2" xfId="32962" xr:uid="{00000000-0005-0000-0000-0000B3800000}"/>
    <cellStyle name="Normal 5 10 20 2 3" xfId="32963" xr:uid="{00000000-0005-0000-0000-0000B4800000}"/>
    <cellStyle name="Normal 5 10 20 2 4" xfId="32964" xr:uid="{00000000-0005-0000-0000-0000B5800000}"/>
    <cellStyle name="Normal 5 10 20 2 5" xfId="32965" xr:uid="{00000000-0005-0000-0000-0000B6800000}"/>
    <cellStyle name="Normal 5 10 20 2 6" xfId="32966" xr:uid="{00000000-0005-0000-0000-0000B7800000}"/>
    <cellStyle name="Normal 5 10 20 2 7" xfId="32967" xr:uid="{00000000-0005-0000-0000-0000B8800000}"/>
    <cellStyle name="Normal 5 10 20 2 8" xfId="32968" xr:uid="{00000000-0005-0000-0000-0000B9800000}"/>
    <cellStyle name="Normal 5 10 20 2 9" xfId="32969" xr:uid="{00000000-0005-0000-0000-0000BA800000}"/>
    <cellStyle name="Normal 5 10 20 3" xfId="32970" xr:uid="{00000000-0005-0000-0000-0000BB800000}"/>
    <cellStyle name="Normal 5 10 20 3 10" xfId="32971" xr:uid="{00000000-0005-0000-0000-0000BC800000}"/>
    <cellStyle name="Normal 5 10 20 3 2" xfId="32972" xr:uid="{00000000-0005-0000-0000-0000BD800000}"/>
    <cellStyle name="Normal 5 10 20 3 3" xfId="32973" xr:uid="{00000000-0005-0000-0000-0000BE800000}"/>
    <cellStyle name="Normal 5 10 20 3 4" xfId="32974" xr:uid="{00000000-0005-0000-0000-0000BF800000}"/>
    <cellStyle name="Normal 5 10 20 3 5" xfId="32975" xr:uid="{00000000-0005-0000-0000-0000C0800000}"/>
    <cellStyle name="Normal 5 10 20 3 6" xfId="32976" xr:uid="{00000000-0005-0000-0000-0000C1800000}"/>
    <cellStyle name="Normal 5 10 20 3 7" xfId="32977" xr:uid="{00000000-0005-0000-0000-0000C2800000}"/>
    <cellStyle name="Normal 5 10 20 3 8" xfId="32978" xr:uid="{00000000-0005-0000-0000-0000C3800000}"/>
    <cellStyle name="Normal 5 10 20 3 9" xfId="32979" xr:uid="{00000000-0005-0000-0000-0000C4800000}"/>
    <cellStyle name="Normal 5 10 20 4" xfId="32980" xr:uid="{00000000-0005-0000-0000-0000C5800000}"/>
    <cellStyle name="Normal 5 10 20 4 10" xfId="32981" xr:uid="{00000000-0005-0000-0000-0000C6800000}"/>
    <cellStyle name="Normal 5 10 20 4 2" xfId="32982" xr:uid="{00000000-0005-0000-0000-0000C7800000}"/>
    <cellStyle name="Normal 5 10 20 4 3" xfId="32983" xr:uid="{00000000-0005-0000-0000-0000C8800000}"/>
    <cellStyle name="Normal 5 10 20 4 4" xfId="32984" xr:uid="{00000000-0005-0000-0000-0000C9800000}"/>
    <cellStyle name="Normal 5 10 20 4 5" xfId="32985" xr:uid="{00000000-0005-0000-0000-0000CA800000}"/>
    <cellStyle name="Normal 5 10 20 4 6" xfId="32986" xr:uid="{00000000-0005-0000-0000-0000CB800000}"/>
    <cellStyle name="Normal 5 10 20 4 7" xfId="32987" xr:uid="{00000000-0005-0000-0000-0000CC800000}"/>
    <cellStyle name="Normal 5 10 20 4 8" xfId="32988" xr:uid="{00000000-0005-0000-0000-0000CD800000}"/>
    <cellStyle name="Normal 5 10 20 4 9" xfId="32989" xr:uid="{00000000-0005-0000-0000-0000CE800000}"/>
    <cellStyle name="Normal 5 10 20 5" xfId="32990" xr:uid="{00000000-0005-0000-0000-0000CF800000}"/>
    <cellStyle name="Normal 5 10 20 5 10" xfId="32991" xr:uid="{00000000-0005-0000-0000-0000D0800000}"/>
    <cellStyle name="Normal 5 10 20 5 2" xfId="32992" xr:uid="{00000000-0005-0000-0000-0000D1800000}"/>
    <cellStyle name="Normal 5 10 20 5 3" xfId="32993" xr:uid="{00000000-0005-0000-0000-0000D2800000}"/>
    <cellStyle name="Normal 5 10 20 5 4" xfId="32994" xr:uid="{00000000-0005-0000-0000-0000D3800000}"/>
    <cellStyle name="Normal 5 10 20 5 5" xfId="32995" xr:uid="{00000000-0005-0000-0000-0000D4800000}"/>
    <cellStyle name="Normal 5 10 20 5 6" xfId="32996" xr:uid="{00000000-0005-0000-0000-0000D5800000}"/>
    <cellStyle name="Normal 5 10 20 5 7" xfId="32997" xr:uid="{00000000-0005-0000-0000-0000D6800000}"/>
    <cellStyle name="Normal 5 10 20 5 8" xfId="32998" xr:uid="{00000000-0005-0000-0000-0000D7800000}"/>
    <cellStyle name="Normal 5 10 20 5 9" xfId="32999" xr:uid="{00000000-0005-0000-0000-0000D8800000}"/>
    <cellStyle name="Normal 5 10 20 6" xfId="33000" xr:uid="{00000000-0005-0000-0000-0000D9800000}"/>
    <cellStyle name="Normal 5 10 20 7" xfId="33001" xr:uid="{00000000-0005-0000-0000-0000DA800000}"/>
    <cellStyle name="Normal 5 10 20 8" xfId="33002" xr:uid="{00000000-0005-0000-0000-0000DB800000}"/>
    <cellStyle name="Normal 5 10 20 9" xfId="33003" xr:uid="{00000000-0005-0000-0000-0000DC800000}"/>
    <cellStyle name="Normal 5 10 21" xfId="33004" xr:uid="{00000000-0005-0000-0000-0000DD800000}"/>
    <cellStyle name="Normal 5 10 21 10" xfId="33005" xr:uid="{00000000-0005-0000-0000-0000DE800000}"/>
    <cellStyle name="Normal 5 10 21 11" xfId="33006" xr:uid="{00000000-0005-0000-0000-0000DF800000}"/>
    <cellStyle name="Normal 5 10 21 12" xfId="33007" xr:uid="{00000000-0005-0000-0000-0000E0800000}"/>
    <cellStyle name="Normal 5 10 21 13" xfId="33008" xr:uid="{00000000-0005-0000-0000-0000E1800000}"/>
    <cellStyle name="Normal 5 10 21 14" xfId="33009" xr:uid="{00000000-0005-0000-0000-0000E2800000}"/>
    <cellStyle name="Normal 5 10 21 2" xfId="33010" xr:uid="{00000000-0005-0000-0000-0000E3800000}"/>
    <cellStyle name="Normal 5 10 21 2 10" xfId="33011" xr:uid="{00000000-0005-0000-0000-0000E4800000}"/>
    <cellStyle name="Normal 5 10 21 2 2" xfId="33012" xr:uid="{00000000-0005-0000-0000-0000E5800000}"/>
    <cellStyle name="Normal 5 10 21 2 3" xfId="33013" xr:uid="{00000000-0005-0000-0000-0000E6800000}"/>
    <cellStyle name="Normal 5 10 21 2 4" xfId="33014" xr:uid="{00000000-0005-0000-0000-0000E7800000}"/>
    <cellStyle name="Normal 5 10 21 2 5" xfId="33015" xr:uid="{00000000-0005-0000-0000-0000E8800000}"/>
    <cellStyle name="Normal 5 10 21 2 6" xfId="33016" xr:uid="{00000000-0005-0000-0000-0000E9800000}"/>
    <cellStyle name="Normal 5 10 21 2 7" xfId="33017" xr:uid="{00000000-0005-0000-0000-0000EA800000}"/>
    <cellStyle name="Normal 5 10 21 2 8" xfId="33018" xr:uid="{00000000-0005-0000-0000-0000EB800000}"/>
    <cellStyle name="Normal 5 10 21 2 9" xfId="33019" xr:uid="{00000000-0005-0000-0000-0000EC800000}"/>
    <cellStyle name="Normal 5 10 21 3" xfId="33020" xr:uid="{00000000-0005-0000-0000-0000ED800000}"/>
    <cellStyle name="Normal 5 10 21 3 10" xfId="33021" xr:uid="{00000000-0005-0000-0000-0000EE800000}"/>
    <cellStyle name="Normal 5 10 21 3 2" xfId="33022" xr:uid="{00000000-0005-0000-0000-0000EF800000}"/>
    <cellStyle name="Normal 5 10 21 3 3" xfId="33023" xr:uid="{00000000-0005-0000-0000-0000F0800000}"/>
    <cellStyle name="Normal 5 10 21 3 4" xfId="33024" xr:uid="{00000000-0005-0000-0000-0000F1800000}"/>
    <cellStyle name="Normal 5 10 21 3 5" xfId="33025" xr:uid="{00000000-0005-0000-0000-0000F2800000}"/>
    <cellStyle name="Normal 5 10 21 3 6" xfId="33026" xr:uid="{00000000-0005-0000-0000-0000F3800000}"/>
    <cellStyle name="Normal 5 10 21 3 7" xfId="33027" xr:uid="{00000000-0005-0000-0000-0000F4800000}"/>
    <cellStyle name="Normal 5 10 21 3 8" xfId="33028" xr:uid="{00000000-0005-0000-0000-0000F5800000}"/>
    <cellStyle name="Normal 5 10 21 3 9" xfId="33029" xr:uid="{00000000-0005-0000-0000-0000F6800000}"/>
    <cellStyle name="Normal 5 10 21 4" xfId="33030" xr:uid="{00000000-0005-0000-0000-0000F7800000}"/>
    <cellStyle name="Normal 5 10 21 4 10" xfId="33031" xr:uid="{00000000-0005-0000-0000-0000F8800000}"/>
    <cellStyle name="Normal 5 10 21 4 2" xfId="33032" xr:uid="{00000000-0005-0000-0000-0000F9800000}"/>
    <cellStyle name="Normal 5 10 21 4 3" xfId="33033" xr:uid="{00000000-0005-0000-0000-0000FA800000}"/>
    <cellStyle name="Normal 5 10 21 4 4" xfId="33034" xr:uid="{00000000-0005-0000-0000-0000FB800000}"/>
    <cellStyle name="Normal 5 10 21 4 5" xfId="33035" xr:uid="{00000000-0005-0000-0000-0000FC800000}"/>
    <cellStyle name="Normal 5 10 21 4 6" xfId="33036" xr:uid="{00000000-0005-0000-0000-0000FD800000}"/>
    <cellStyle name="Normal 5 10 21 4 7" xfId="33037" xr:uid="{00000000-0005-0000-0000-0000FE800000}"/>
    <cellStyle name="Normal 5 10 21 4 8" xfId="33038" xr:uid="{00000000-0005-0000-0000-0000FF800000}"/>
    <cellStyle name="Normal 5 10 21 4 9" xfId="33039" xr:uid="{00000000-0005-0000-0000-000000810000}"/>
    <cellStyle name="Normal 5 10 21 5" xfId="33040" xr:uid="{00000000-0005-0000-0000-000001810000}"/>
    <cellStyle name="Normal 5 10 21 5 10" xfId="33041" xr:uid="{00000000-0005-0000-0000-000002810000}"/>
    <cellStyle name="Normal 5 10 21 5 2" xfId="33042" xr:uid="{00000000-0005-0000-0000-000003810000}"/>
    <cellStyle name="Normal 5 10 21 5 3" xfId="33043" xr:uid="{00000000-0005-0000-0000-000004810000}"/>
    <cellStyle name="Normal 5 10 21 5 4" xfId="33044" xr:uid="{00000000-0005-0000-0000-000005810000}"/>
    <cellStyle name="Normal 5 10 21 5 5" xfId="33045" xr:uid="{00000000-0005-0000-0000-000006810000}"/>
    <cellStyle name="Normal 5 10 21 5 6" xfId="33046" xr:uid="{00000000-0005-0000-0000-000007810000}"/>
    <cellStyle name="Normal 5 10 21 5 7" xfId="33047" xr:uid="{00000000-0005-0000-0000-000008810000}"/>
    <cellStyle name="Normal 5 10 21 5 8" xfId="33048" xr:uid="{00000000-0005-0000-0000-000009810000}"/>
    <cellStyle name="Normal 5 10 21 5 9" xfId="33049" xr:uid="{00000000-0005-0000-0000-00000A810000}"/>
    <cellStyle name="Normal 5 10 21 6" xfId="33050" xr:uid="{00000000-0005-0000-0000-00000B810000}"/>
    <cellStyle name="Normal 5 10 21 7" xfId="33051" xr:uid="{00000000-0005-0000-0000-00000C810000}"/>
    <cellStyle name="Normal 5 10 21 8" xfId="33052" xr:uid="{00000000-0005-0000-0000-00000D810000}"/>
    <cellStyle name="Normal 5 10 21 9" xfId="33053" xr:uid="{00000000-0005-0000-0000-00000E810000}"/>
    <cellStyle name="Normal 5 10 22" xfId="33054" xr:uid="{00000000-0005-0000-0000-00000F810000}"/>
    <cellStyle name="Normal 5 10 22 10" xfId="33055" xr:uid="{00000000-0005-0000-0000-000010810000}"/>
    <cellStyle name="Normal 5 10 22 11" xfId="33056" xr:uid="{00000000-0005-0000-0000-000011810000}"/>
    <cellStyle name="Normal 5 10 22 12" xfId="33057" xr:uid="{00000000-0005-0000-0000-000012810000}"/>
    <cellStyle name="Normal 5 10 22 13" xfId="33058" xr:uid="{00000000-0005-0000-0000-000013810000}"/>
    <cellStyle name="Normal 5 10 22 14" xfId="33059" xr:uid="{00000000-0005-0000-0000-000014810000}"/>
    <cellStyle name="Normal 5 10 22 2" xfId="33060" xr:uid="{00000000-0005-0000-0000-000015810000}"/>
    <cellStyle name="Normal 5 10 22 2 10" xfId="33061" xr:uid="{00000000-0005-0000-0000-000016810000}"/>
    <cellStyle name="Normal 5 10 22 2 2" xfId="33062" xr:uid="{00000000-0005-0000-0000-000017810000}"/>
    <cellStyle name="Normal 5 10 22 2 3" xfId="33063" xr:uid="{00000000-0005-0000-0000-000018810000}"/>
    <cellStyle name="Normal 5 10 22 2 4" xfId="33064" xr:uid="{00000000-0005-0000-0000-000019810000}"/>
    <cellStyle name="Normal 5 10 22 2 5" xfId="33065" xr:uid="{00000000-0005-0000-0000-00001A810000}"/>
    <cellStyle name="Normal 5 10 22 2 6" xfId="33066" xr:uid="{00000000-0005-0000-0000-00001B810000}"/>
    <cellStyle name="Normal 5 10 22 2 7" xfId="33067" xr:uid="{00000000-0005-0000-0000-00001C810000}"/>
    <cellStyle name="Normal 5 10 22 2 8" xfId="33068" xr:uid="{00000000-0005-0000-0000-00001D810000}"/>
    <cellStyle name="Normal 5 10 22 2 9" xfId="33069" xr:uid="{00000000-0005-0000-0000-00001E810000}"/>
    <cellStyle name="Normal 5 10 22 3" xfId="33070" xr:uid="{00000000-0005-0000-0000-00001F810000}"/>
    <cellStyle name="Normal 5 10 22 3 10" xfId="33071" xr:uid="{00000000-0005-0000-0000-000020810000}"/>
    <cellStyle name="Normal 5 10 22 3 2" xfId="33072" xr:uid="{00000000-0005-0000-0000-000021810000}"/>
    <cellStyle name="Normal 5 10 22 3 3" xfId="33073" xr:uid="{00000000-0005-0000-0000-000022810000}"/>
    <cellStyle name="Normal 5 10 22 3 4" xfId="33074" xr:uid="{00000000-0005-0000-0000-000023810000}"/>
    <cellStyle name="Normal 5 10 22 3 5" xfId="33075" xr:uid="{00000000-0005-0000-0000-000024810000}"/>
    <cellStyle name="Normal 5 10 22 3 6" xfId="33076" xr:uid="{00000000-0005-0000-0000-000025810000}"/>
    <cellStyle name="Normal 5 10 22 3 7" xfId="33077" xr:uid="{00000000-0005-0000-0000-000026810000}"/>
    <cellStyle name="Normal 5 10 22 3 8" xfId="33078" xr:uid="{00000000-0005-0000-0000-000027810000}"/>
    <cellStyle name="Normal 5 10 22 3 9" xfId="33079" xr:uid="{00000000-0005-0000-0000-000028810000}"/>
    <cellStyle name="Normal 5 10 22 4" xfId="33080" xr:uid="{00000000-0005-0000-0000-000029810000}"/>
    <cellStyle name="Normal 5 10 22 4 10" xfId="33081" xr:uid="{00000000-0005-0000-0000-00002A810000}"/>
    <cellStyle name="Normal 5 10 22 4 2" xfId="33082" xr:uid="{00000000-0005-0000-0000-00002B810000}"/>
    <cellStyle name="Normal 5 10 22 4 3" xfId="33083" xr:uid="{00000000-0005-0000-0000-00002C810000}"/>
    <cellStyle name="Normal 5 10 22 4 4" xfId="33084" xr:uid="{00000000-0005-0000-0000-00002D810000}"/>
    <cellStyle name="Normal 5 10 22 4 5" xfId="33085" xr:uid="{00000000-0005-0000-0000-00002E810000}"/>
    <cellStyle name="Normal 5 10 22 4 6" xfId="33086" xr:uid="{00000000-0005-0000-0000-00002F810000}"/>
    <cellStyle name="Normal 5 10 22 4 7" xfId="33087" xr:uid="{00000000-0005-0000-0000-000030810000}"/>
    <cellStyle name="Normal 5 10 22 4 8" xfId="33088" xr:uid="{00000000-0005-0000-0000-000031810000}"/>
    <cellStyle name="Normal 5 10 22 4 9" xfId="33089" xr:uid="{00000000-0005-0000-0000-000032810000}"/>
    <cellStyle name="Normal 5 10 22 5" xfId="33090" xr:uid="{00000000-0005-0000-0000-000033810000}"/>
    <cellStyle name="Normal 5 10 22 5 10" xfId="33091" xr:uid="{00000000-0005-0000-0000-000034810000}"/>
    <cellStyle name="Normal 5 10 22 5 2" xfId="33092" xr:uid="{00000000-0005-0000-0000-000035810000}"/>
    <cellStyle name="Normal 5 10 22 5 3" xfId="33093" xr:uid="{00000000-0005-0000-0000-000036810000}"/>
    <cellStyle name="Normal 5 10 22 5 4" xfId="33094" xr:uid="{00000000-0005-0000-0000-000037810000}"/>
    <cellStyle name="Normal 5 10 22 5 5" xfId="33095" xr:uid="{00000000-0005-0000-0000-000038810000}"/>
    <cellStyle name="Normal 5 10 22 5 6" xfId="33096" xr:uid="{00000000-0005-0000-0000-000039810000}"/>
    <cellStyle name="Normal 5 10 22 5 7" xfId="33097" xr:uid="{00000000-0005-0000-0000-00003A810000}"/>
    <cellStyle name="Normal 5 10 22 5 8" xfId="33098" xr:uid="{00000000-0005-0000-0000-00003B810000}"/>
    <cellStyle name="Normal 5 10 22 5 9" xfId="33099" xr:uid="{00000000-0005-0000-0000-00003C810000}"/>
    <cellStyle name="Normal 5 10 22 6" xfId="33100" xr:uid="{00000000-0005-0000-0000-00003D810000}"/>
    <cellStyle name="Normal 5 10 22 7" xfId="33101" xr:uid="{00000000-0005-0000-0000-00003E810000}"/>
    <cellStyle name="Normal 5 10 22 8" xfId="33102" xr:uid="{00000000-0005-0000-0000-00003F810000}"/>
    <cellStyle name="Normal 5 10 22 9" xfId="33103" xr:uid="{00000000-0005-0000-0000-000040810000}"/>
    <cellStyle name="Normal 5 10 23" xfId="33104" xr:uid="{00000000-0005-0000-0000-000041810000}"/>
    <cellStyle name="Normal 5 10 23 10" xfId="33105" xr:uid="{00000000-0005-0000-0000-000042810000}"/>
    <cellStyle name="Normal 5 10 23 11" xfId="33106" xr:uid="{00000000-0005-0000-0000-000043810000}"/>
    <cellStyle name="Normal 5 10 23 12" xfId="33107" xr:uid="{00000000-0005-0000-0000-000044810000}"/>
    <cellStyle name="Normal 5 10 23 13" xfId="33108" xr:uid="{00000000-0005-0000-0000-000045810000}"/>
    <cellStyle name="Normal 5 10 23 14" xfId="33109" xr:uid="{00000000-0005-0000-0000-000046810000}"/>
    <cellStyle name="Normal 5 10 23 2" xfId="33110" xr:uid="{00000000-0005-0000-0000-000047810000}"/>
    <cellStyle name="Normal 5 10 23 2 10" xfId="33111" xr:uid="{00000000-0005-0000-0000-000048810000}"/>
    <cellStyle name="Normal 5 10 23 2 2" xfId="33112" xr:uid="{00000000-0005-0000-0000-000049810000}"/>
    <cellStyle name="Normal 5 10 23 2 3" xfId="33113" xr:uid="{00000000-0005-0000-0000-00004A810000}"/>
    <cellStyle name="Normal 5 10 23 2 4" xfId="33114" xr:uid="{00000000-0005-0000-0000-00004B810000}"/>
    <cellStyle name="Normal 5 10 23 2 5" xfId="33115" xr:uid="{00000000-0005-0000-0000-00004C810000}"/>
    <cellStyle name="Normal 5 10 23 2 6" xfId="33116" xr:uid="{00000000-0005-0000-0000-00004D810000}"/>
    <cellStyle name="Normal 5 10 23 2 7" xfId="33117" xr:uid="{00000000-0005-0000-0000-00004E810000}"/>
    <cellStyle name="Normal 5 10 23 2 8" xfId="33118" xr:uid="{00000000-0005-0000-0000-00004F810000}"/>
    <cellStyle name="Normal 5 10 23 2 9" xfId="33119" xr:uid="{00000000-0005-0000-0000-000050810000}"/>
    <cellStyle name="Normal 5 10 23 3" xfId="33120" xr:uid="{00000000-0005-0000-0000-000051810000}"/>
    <cellStyle name="Normal 5 10 23 3 10" xfId="33121" xr:uid="{00000000-0005-0000-0000-000052810000}"/>
    <cellStyle name="Normal 5 10 23 3 2" xfId="33122" xr:uid="{00000000-0005-0000-0000-000053810000}"/>
    <cellStyle name="Normal 5 10 23 3 3" xfId="33123" xr:uid="{00000000-0005-0000-0000-000054810000}"/>
    <cellStyle name="Normal 5 10 23 3 4" xfId="33124" xr:uid="{00000000-0005-0000-0000-000055810000}"/>
    <cellStyle name="Normal 5 10 23 3 5" xfId="33125" xr:uid="{00000000-0005-0000-0000-000056810000}"/>
    <cellStyle name="Normal 5 10 23 3 6" xfId="33126" xr:uid="{00000000-0005-0000-0000-000057810000}"/>
    <cellStyle name="Normal 5 10 23 3 7" xfId="33127" xr:uid="{00000000-0005-0000-0000-000058810000}"/>
    <cellStyle name="Normal 5 10 23 3 8" xfId="33128" xr:uid="{00000000-0005-0000-0000-000059810000}"/>
    <cellStyle name="Normal 5 10 23 3 9" xfId="33129" xr:uid="{00000000-0005-0000-0000-00005A810000}"/>
    <cellStyle name="Normal 5 10 23 4" xfId="33130" xr:uid="{00000000-0005-0000-0000-00005B810000}"/>
    <cellStyle name="Normal 5 10 23 4 10" xfId="33131" xr:uid="{00000000-0005-0000-0000-00005C810000}"/>
    <cellStyle name="Normal 5 10 23 4 2" xfId="33132" xr:uid="{00000000-0005-0000-0000-00005D810000}"/>
    <cellStyle name="Normal 5 10 23 4 3" xfId="33133" xr:uid="{00000000-0005-0000-0000-00005E810000}"/>
    <cellStyle name="Normal 5 10 23 4 4" xfId="33134" xr:uid="{00000000-0005-0000-0000-00005F810000}"/>
    <cellStyle name="Normal 5 10 23 4 5" xfId="33135" xr:uid="{00000000-0005-0000-0000-000060810000}"/>
    <cellStyle name="Normal 5 10 23 4 6" xfId="33136" xr:uid="{00000000-0005-0000-0000-000061810000}"/>
    <cellStyle name="Normal 5 10 23 4 7" xfId="33137" xr:uid="{00000000-0005-0000-0000-000062810000}"/>
    <cellStyle name="Normal 5 10 23 4 8" xfId="33138" xr:uid="{00000000-0005-0000-0000-000063810000}"/>
    <cellStyle name="Normal 5 10 23 4 9" xfId="33139" xr:uid="{00000000-0005-0000-0000-000064810000}"/>
    <cellStyle name="Normal 5 10 23 5" xfId="33140" xr:uid="{00000000-0005-0000-0000-000065810000}"/>
    <cellStyle name="Normal 5 10 23 5 10" xfId="33141" xr:uid="{00000000-0005-0000-0000-000066810000}"/>
    <cellStyle name="Normal 5 10 23 5 2" xfId="33142" xr:uid="{00000000-0005-0000-0000-000067810000}"/>
    <cellStyle name="Normal 5 10 23 5 3" xfId="33143" xr:uid="{00000000-0005-0000-0000-000068810000}"/>
    <cellStyle name="Normal 5 10 23 5 4" xfId="33144" xr:uid="{00000000-0005-0000-0000-000069810000}"/>
    <cellStyle name="Normal 5 10 23 5 5" xfId="33145" xr:uid="{00000000-0005-0000-0000-00006A810000}"/>
    <cellStyle name="Normal 5 10 23 5 6" xfId="33146" xr:uid="{00000000-0005-0000-0000-00006B810000}"/>
    <cellStyle name="Normal 5 10 23 5 7" xfId="33147" xr:uid="{00000000-0005-0000-0000-00006C810000}"/>
    <cellStyle name="Normal 5 10 23 5 8" xfId="33148" xr:uid="{00000000-0005-0000-0000-00006D810000}"/>
    <cellStyle name="Normal 5 10 23 5 9" xfId="33149" xr:uid="{00000000-0005-0000-0000-00006E810000}"/>
    <cellStyle name="Normal 5 10 23 6" xfId="33150" xr:uid="{00000000-0005-0000-0000-00006F810000}"/>
    <cellStyle name="Normal 5 10 23 7" xfId="33151" xr:uid="{00000000-0005-0000-0000-000070810000}"/>
    <cellStyle name="Normal 5 10 23 8" xfId="33152" xr:uid="{00000000-0005-0000-0000-000071810000}"/>
    <cellStyle name="Normal 5 10 23 9" xfId="33153" xr:uid="{00000000-0005-0000-0000-000072810000}"/>
    <cellStyle name="Normal 5 10 24" xfId="33154" xr:uid="{00000000-0005-0000-0000-000073810000}"/>
    <cellStyle name="Normal 5 10 24 10" xfId="33155" xr:uid="{00000000-0005-0000-0000-000074810000}"/>
    <cellStyle name="Normal 5 10 24 11" xfId="33156" xr:uid="{00000000-0005-0000-0000-000075810000}"/>
    <cellStyle name="Normal 5 10 24 12" xfId="33157" xr:uid="{00000000-0005-0000-0000-000076810000}"/>
    <cellStyle name="Normal 5 10 24 13" xfId="33158" xr:uid="{00000000-0005-0000-0000-000077810000}"/>
    <cellStyle name="Normal 5 10 24 14" xfId="33159" xr:uid="{00000000-0005-0000-0000-000078810000}"/>
    <cellStyle name="Normal 5 10 24 2" xfId="33160" xr:uid="{00000000-0005-0000-0000-000079810000}"/>
    <cellStyle name="Normal 5 10 24 2 10" xfId="33161" xr:uid="{00000000-0005-0000-0000-00007A810000}"/>
    <cellStyle name="Normal 5 10 24 2 2" xfId="33162" xr:uid="{00000000-0005-0000-0000-00007B810000}"/>
    <cellStyle name="Normal 5 10 24 2 3" xfId="33163" xr:uid="{00000000-0005-0000-0000-00007C810000}"/>
    <cellStyle name="Normal 5 10 24 2 4" xfId="33164" xr:uid="{00000000-0005-0000-0000-00007D810000}"/>
    <cellStyle name="Normal 5 10 24 2 5" xfId="33165" xr:uid="{00000000-0005-0000-0000-00007E810000}"/>
    <cellStyle name="Normal 5 10 24 2 6" xfId="33166" xr:uid="{00000000-0005-0000-0000-00007F810000}"/>
    <cellStyle name="Normal 5 10 24 2 7" xfId="33167" xr:uid="{00000000-0005-0000-0000-000080810000}"/>
    <cellStyle name="Normal 5 10 24 2 8" xfId="33168" xr:uid="{00000000-0005-0000-0000-000081810000}"/>
    <cellStyle name="Normal 5 10 24 2 9" xfId="33169" xr:uid="{00000000-0005-0000-0000-000082810000}"/>
    <cellStyle name="Normal 5 10 24 3" xfId="33170" xr:uid="{00000000-0005-0000-0000-000083810000}"/>
    <cellStyle name="Normal 5 10 24 3 10" xfId="33171" xr:uid="{00000000-0005-0000-0000-000084810000}"/>
    <cellStyle name="Normal 5 10 24 3 2" xfId="33172" xr:uid="{00000000-0005-0000-0000-000085810000}"/>
    <cellStyle name="Normal 5 10 24 3 3" xfId="33173" xr:uid="{00000000-0005-0000-0000-000086810000}"/>
    <cellStyle name="Normal 5 10 24 3 4" xfId="33174" xr:uid="{00000000-0005-0000-0000-000087810000}"/>
    <cellStyle name="Normal 5 10 24 3 5" xfId="33175" xr:uid="{00000000-0005-0000-0000-000088810000}"/>
    <cellStyle name="Normal 5 10 24 3 6" xfId="33176" xr:uid="{00000000-0005-0000-0000-000089810000}"/>
    <cellStyle name="Normal 5 10 24 3 7" xfId="33177" xr:uid="{00000000-0005-0000-0000-00008A810000}"/>
    <cellStyle name="Normal 5 10 24 3 8" xfId="33178" xr:uid="{00000000-0005-0000-0000-00008B810000}"/>
    <cellStyle name="Normal 5 10 24 3 9" xfId="33179" xr:uid="{00000000-0005-0000-0000-00008C810000}"/>
    <cellStyle name="Normal 5 10 24 4" xfId="33180" xr:uid="{00000000-0005-0000-0000-00008D810000}"/>
    <cellStyle name="Normal 5 10 24 4 10" xfId="33181" xr:uid="{00000000-0005-0000-0000-00008E810000}"/>
    <cellStyle name="Normal 5 10 24 4 2" xfId="33182" xr:uid="{00000000-0005-0000-0000-00008F810000}"/>
    <cellStyle name="Normal 5 10 24 4 3" xfId="33183" xr:uid="{00000000-0005-0000-0000-000090810000}"/>
    <cellStyle name="Normal 5 10 24 4 4" xfId="33184" xr:uid="{00000000-0005-0000-0000-000091810000}"/>
    <cellStyle name="Normal 5 10 24 4 5" xfId="33185" xr:uid="{00000000-0005-0000-0000-000092810000}"/>
    <cellStyle name="Normal 5 10 24 4 6" xfId="33186" xr:uid="{00000000-0005-0000-0000-000093810000}"/>
    <cellStyle name="Normal 5 10 24 4 7" xfId="33187" xr:uid="{00000000-0005-0000-0000-000094810000}"/>
    <cellStyle name="Normal 5 10 24 4 8" xfId="33188" xr:uid="{00000000-0005-0000-0000-000095810000}"/>
    <cellStyle name="Normal 5 10 24 4 9" xfId="33189" xr:uid="{00000000-0005-0000-0000-000096810000}"/>
    <cellStyle name="Normal 5 10 24 5" xfId="33190" xr:uid="{00000000-0005-0000-0000-000097810000}"/>
    <cellStyle name="Normal 5 10 24 5 10" xfId="33191" xr:uid="{00000000-0005-0000-0000-000098810000}"/>
    <cellStyle name="Normal 5 10 24 5 2" xfId="33192" xr:uid="{00000000-0005-0000-0000-000099810000}"/>
    <cellStyle name="Normal 5 10 24 5 3" xfId="33193" xr:uid="{00000000-0005-0000-0000-00009A810000}"/>
    <cellStyle name="Normal 5 10 24 5 4" xfId="33194" xr:uid="{00000000-0005-0000-0000-00009B810000}"/>
    <cellStyle name="Normal 5 10 24 5 5" xfId="33195" xr:uid="{00000000-0005-0000-0000-00009C810000}"/>
    <cellStyle name="Normal 5 10 24 5 6" xfId="33196" xr:uid="{00000000-0005-0000-0000-00009D810000}"/>
    <cellStyle name="Normal 5 10 24 5 7" xfId="33197" xr:uid="{00000000-0005-0000-0000-00009E810000}"/>
    <cellStyle name="Normal 5 10 24 5 8" xfId="33198" xr:uid="{00000000-0005-0000-0000-00009F810000}"/>
    <cellStyle name="Normal 5 10 24 5 9" xfId="33199" xr:uid="{00000000-0005-0000-0000-0000A0810000}"/>
    <cellStyle name="Normal 5 10 24 6" xfId="33200" xr:uid="{00000000-0005-0000-0000-0000A1810000}"/>
    <cellStyle name="Normal 5 10 24 7" xfId="33201" xr:uid="{00000000-0005-0000-0000-0000A2810000}"/>
    <cellStyle name="Normal 5 10 24 8" xfId="33202" xr:uid="{00000000-0005-0000-0000-0000A3810000}"/>
    <cellStyle name="Normal 5 10 24 9" xfId="33203" xr:uid="{00000000-0005-0000-0000-0000A4810000}"/>
    <cellStyle name="Normal 5 10 25" xfId="33204" xr:uid="{00000000-0005-0000-0000-0000A5810000}"/>
    <cellStyle name="Normal 5 10 25 10" xfId="33205" xr:uid="{00000000-0005-0000-0000-0000A6810000}"/>
    <cellStyle name="Normal 5 10 25 11" xfId="33206" xr:uid="{00000000-0005-0000-0000-0000A7810000}"/>
    <cellStyle name="Normal 5 10 25 12" xfId="33207" xr:uid="{00000000-0005-0000-0000-0000A8810000}"/>
    <cellStyle name="Normal 5 10 25 13" xfId="33208" xr:uid="{00000000-0005-0000-0000-0000A9810000}"/>
    <cellStyle name="Normal 5 10 25 14" xfId="33209" xr:uid="{00000000-0005-0000-0000-0000AA810000}"/>
    <cellStyle name="Normal 5 10 25 2" xfId="33210" xr:uid="{00000000-0005-0000-0000-0000AB810000}"/>
    <cellStyle name="Normal 5 10 25 2 10" xfId="33211" xr:uid="{00000000-0005-0000-0000-0000AC810000}"/>
    <cellStyle name="Normal 5 10 25 2 2" xfId="33212" xr:uid="{00000000-0005-0000-0000-0000AD810000}"/>
    <cellStyle name="Normal 5 10 25 2 3" xfId="33213" xr:uid="{00000000-0005-0000-0000-0000AE810000}"/>
    <cellStyle name="Normal 5 10 25 2 4" xfId="33214" xr:uid="{00000000-0005-0000-0000-0000AF810000}"/>
    <cellStyle name="Normal 5 10 25 2 5" xfId="33215" xr:uid="{00000000-0005-0000-0000-0000B0810000}"/>
    <cellStyle name="Normal 5 10 25 2 6" xfId="33216" xr:uid="{00000000-0005-0000-0000-0000B1810000}"/>
    <cellStyle name="Normal 5 10 25 2 7" xfId="33217" xr:uid="{00000000-0005-0000-0000-0000B2810000}"/>
    <cellStyle name="Normal 5 10 25 2 8" xfId="33218" xr:uid="{00000000-0005-0000-0000-0000B3810000}"/>
    <cellStyle name="Normal 5 10 25 2 9" xfId="33219" xr:uid="{00000000-0005-0000-0000-0000B4810000}"/>
    <cellStyle name="Normal 5 10 25 3" xfId="33220" xr:uid="{00000000-0005-0000-0000-0000B5810000}"/>
    <cellStyle name="Normal 5 10 25 3 10" xfId="33221" xr:uid="{00000000-0005-0000-0000-0000B6810000}"/>
    <cellStyle name="Normal 5 10 25 3 2" xfId="33222" xr:uid="{00000000-0005-0000-0000-0000B7810000}"/>
    <cellStyle name="Normal 5 10 25 3 3" xfId="33223" xr:uid="{00000000-0005-0000-0000-0000B8810000}"/>
    <cellStyle name="Normal 5 10 25 3 4" xfId="33224" xr:uid="{00000000-0005-0000-0000-0000B9810000}"/>
    <cellStyle name="Normal 5 10 25 3 5" xfId="33225" xr:uid="{00000000-0005-0000-0000-0000BA810000}"/>
    <cellStyle name="Normal 5 10 25 3 6" xfId="33226" xr:uid="{00000000-0005-0000-0000-0000BB810000}"/>
    <cellStyle name="Normal 5 10 25 3 7" xfId="33227" xr:uid="{00000000-0005-0000-0000-0000BC810000}"/>
    <cellStyle name="Normal 5 10 25 3 8" xfId="33228" xr:uid="{00000000-0005-0000-0000-0000BD810000}"/>
    <cellStyle name="Normal 5 10 25 3 9" xfId="33229" xr:uid="{00000000-0005-0000-0000-0000BE810000}"/>
    <cellStyle name="Normal 5 10 25 4" xfId="33230" xr:uid="{00000000-0005-0000-0000-0000BF810000}"/>
    <cellStyle name="Normal 5 10 25 4 10" xfId="33231" xr:uid="{00000000-0005-0000-0000-0000C0810000}"/>
    <cellStyle name="Normal 5 10 25 4 2" xfId="33232" xr:uid="{00000000-0005-0000-0000-0000C1810000}"/>
    <cellStyle name="Normal 5 10 25 4 3" xfId="33233" xr:uid="{00000000-0005-0000-0000-0000C2810000}"/>
    <cellStyle name="Normal 5 10 25 4 4" xfId="33234" xr:uid="{00000000-0005-0000-0000-0000C3810000}"/>
    <cellStyle name="Normal 5 10 25 4 5" xfId="33235" xr:uid="{00000000-0005-0000-0000-0000C4810000}"/>
    <cellStyle name="Normal 5 10 25 4 6" xfId="33236" xr:uid="{00000000-0005-0000-0000-0000C5810000}"/>
    <cellStyle name="Normal 5 10 25 4 7" xfId="33237" xr:uid="{00000000-0005-0000-0000-0000C6810000}"/>
    <cellStyle name="Normal 5 10 25 4 8" xfId="33238" xr:uid="{00000000-0005-0000-0000-0000C7810000}"/>
    <cellStyle name="Normal 5 10 25 4 9" xfId="33239" xr:uid="{00000000-0005-0000-0000-0000C8810000}"/>
    <cellStyle name="Normal 5 10 25 5" xfId="33240" xr:uid="{00000000-0005-0000-0000-0000C9810000}"/>
    <cellStyle name="Normal 5 10 25 5 10" xfId="33241" xr:uid="{00000000-0005-0000-0000-0000CA810000}"/>
    <cellStyle name="Normal 5 10 25 5 2" xfId="33242" xr:uid="{00000000-0005-0000-0000-0000CB810000}"/>
    <cellStyle name="Normal 5 10 25 5 3" xfId="33243" xr:uid="{00000000-0005-0000-0000-0000CC810000}"/>
    <cellStyle name="Normal 5 10 25 5 4" xfId="33244" xr:uid="{00000000-0005-0000-0000-0000CD810000}"/>
    <cellStyle name="Normal 5 10 25 5 5" xfId="33245" xr:uid="{00000000-0005-0000-0000-0000CE810000}"/>
    <cellStyle name="Normal 5 10 25 5 6" xfId="33246" xr:uid="{00000000-0005-0000-0000-0000CF810000}"/>
    <cellStyle name="Normal 5 10 25 5 7" xfId="33247" xr:uid="{00000000-0005-0000-0000-0000D0810000}"/>
    <cellStyle name="Normal 5 10 25 5 8" xfId="33248" xr:uid="{00000000-0005-0000-0000-0000D1810000}"/>
    <cellStyle name="Normal 5 10 25 5 9" xfId="33249" xr:uid="{00000000-0005-0000-0000-0000D2810000}"/>
    <cellStyle name="Normal 5 10 25 6" xfId="33250" xr:uid="{00000000-0005-0000-0000-0000D3810000}"/>
    <cellStyle name="Normal 5 10 25 7" xfId="33251" xr:uid="{00000000-0005-0000-0000-0000D4810000}"/>
    <cellStyle name="Normal 5 10 25 8" xfId="33252" xr:uid="{00000000-0005-0000-0000-0000D5810000}"/>
    <cellStyle name="Normal 5 10 25 9" xfId="33253" xr:uid="{00000000-0005-0000-0000-0000D6810000}"/>
    <cellStyle name="Normal 5 10 26" xfId="33254" xr:uid="{00000000-0005-0000-0000-0000D7810000}"/>
    <cellStyle name="Normal 5 10 26 10" xfId="33255" xr:uid="{00000000-0005-0000-0000-0000D8810000}"/>
    <cellStyle name="Normal 5 10 26 11" xfId="33256" xr:uid="{00000000-0005-0000-0000-0000D9810000}"/>
    <cellStyle name="Normal 5 10 26 12" xfId="33257" xr:uid="{00000000-0005-0000-0000-0000DA810000}"/>
    <cellStyle name="Normal 5 10 26 13" xfId="33258" xr:uid="{00000000-0005-0000-0000-0000DB810000}"/>
    <cellStyle name="Normal 5 10 26 14" xfId="33259" xr:uid="{00000000-0005-0000-0000-0000DC810000}"/>
    <cellStyle name="Normal 5 10 26 2" xfId="33260" xr:uid="{00000000-0005-0000-0000-0000DD810000}"/>
    <cellStyle name="Normal 5 10 26 2 10" xfId="33261" xr:uid="{00000000-0005-0000-0000-0000DE810000}"/>
    <cellStyle name="Normal 5 10 26 2 2" xfId="33262" xr:uid="{00000000-0005-0000-0000-0000DF810000}"/>
    <cellStyle name="Normal 5 10 26 2 3" xfId="33263" xr:uid="{00000000-0005-0000-0000-0000E0810000}"/>
    <cellStyle name="Normal 5 10 26 2 4" xfId="33264" xr:uid="{00000000-0005-0000-0000-0000E1810000}"/>
    <cellStyle name="Normal 5 10 26 2 5" xfId="33265" xr:uid="{00000000-0005-0000-0000-0000E2810000}"/>
    <cellStyle name="Normal 5 10 26 2 6" xfId="33266" xr:uid="{00000000-0005-0000-0000-0000E3810000}"/>
    <cellStyle name="Normal 5 10 26 2 7" xfId="33267" xr:uid="{00000000-0005-0000-0000-0000E4810000}"/>
    <cellStyle name="Normal 5 10 26 2 8" xfId="33268" xr:uid="{00000000-0005-0000-0000-0000E5810000}"/>
    <cellStyle name="Normal 5 10 26 2 9" xfId="33269" xr:uid="{00000000-0005-0000-0000-0000E6810000}"/>
    <cellStyle name="Normal 5 10 26 3" xfId="33270" xr:uid="{00000000-0005-0000-0000-0000E7810000}"/>
    <cellStyle name="Normal 5 10 26 3 10" xfId="33271" xr:uid="{00000000-0005-0000-0000-0000E8810000}"/>
    <cellStyle name="Normal 5 10 26 3 2" xfId="33272" xr:uid="{00000000-0005-0000-0000-0000E9810000}"/>
    <cellStyle name="Normal 5 10 26 3 3" xfId="33273" xr:uid="{00000000-0005-0000-0000-0000EA810000}"/>
    <cellStyle name="Normal 5 10 26 3 4" xfId="33274" xr:uid="{00000000-0005-0000-0000-0000EB810000}"/>
    <cellStyle name="Normal 5 10 26 3 5" xfId="33275" xr:uid="{00000000-0005-0000-0000-0000EC810000}"/>
    <cellStyle name="Normal 5 10 26 3 6" xfId="33276" xr:uid="{00000000-0005-0000-0000-0000ED810000}"/>
    <cellStyle name="Normal 5 10 26 3 7" xfId="33277" xr:uid="{00000000-0005-0000-0000-0000EE810000}"/>
    <cellStyle name="Normal 5 10 26 3 8" xfId="33278" xr:uid="{00000000-0005-0000-0000-0000EF810000}"/>
    <cellStyle name="Normal 5 10 26 3 9" xfId="33279" xr:uid="{00000000-0005-0000-0000-0000F0810000}"/>
    <cellStyle name="Normal 5 10 26 4" xfId="33280" xr:uid="{00000000-0005-0000-0000-0000F1810000}"/>
    <cellStyle name="Normal 5 10 26 4 10" xfId="33281" xr:uid="{00000000-0005-0000-0000-0000F2810000}"/>
    <cellStyle name="Normal 5 10 26 4 2" xfId="33282" xr:uid="{00000000-0005-0000-0000-0000F3810000}"/>
    <cellStyle name="Normal 5 10 26 4 3" xfId="33283" xr:uid="{00000000-0005-0000-0000-0000F4810000}"/>
    <cellStyle name="Normal 5 10 26 4 4" xfId="33284" xr:uid="{00000000-0005-0000-0000-0000F5810000}"/>
    <cellStyle name="Normal 5 10 26 4 5" xfId="33285" xr:uid="{00000000-0005-0000-0000-0000F6810000}"/>
    <cellStyle name="Normal 5 10 26 4 6" xfId="33286" xr:uid="{00000000-0005-0000-0000-0000F7810000}"/>
    <cellStyle name="Normal 5 10 26 4 7" xfId="33287" xr:uid="{00000000-0005-0000-0000-0000F8810000}"/>
    <cellStyle name="Normal 5 10 26 4 8" xfId="33288" xr:uid="{00000000-0005-0000-0000-0000F9810000}"/>
    <cellStyle name="Normal 5 10 26 4 9" xfId="33289" xr:uid="{00000000-0005-0000-0000-0000FA810000}"/>
    <cellStyle name="Normal 5 10 26 5" xfId="33290" xr:uid="{00000000-0005-0000-0000-0000FB810000}"/>
    <cellStyle name="Normal 5 10 26 5 10" xfId="33291" xr:uid="{00000000-0005-0000-0000-0000FC810000}"/>
    <cellStyle name="Normal 5 10 26 5 2" xfId="33292" xr:uid="{00000000-0005-0000-0000-0000FD810000}"/>
    <cellStyle name="Normal 5 10 26 5 3" xfId="33293" xr:uid="{00000000-0005-0000-0000-0000FE810000}"/>
    <cellStyle name="Normal 5 10 26 5 4" xfId="33294" xr:uid="{00000000-0005-0000-0000-0000FF810000}"/>
    <cellStyle name="Normal 5 10 26 5 5" xfId="33295" xr:uid="{00000000-0005-0000-0000-000000820000}"/>
    <cellStyle name="Normal 5 10 26 5 6" xfId="33296" xr:uid="{00000000-0005-0000-0000-000001820000}"/>
    <cellStyle name="Normal 5 10 26 5 7" xfId="33297" xr:uid="{00000000-0005-0000-0000-000002820000}"/>
    <cellStyle name="Normal 5 10 26 5 8" xfId="33298" xr:uid="{00000000-0005-0000-0000-000003820000}"/>
    <cellStyle name="Normal 5 10 26 5 9" xfId="33299" xr:uid="{00000000-0005-0000-0000-000004820000}"/>
    <cellStyle name="Normal 5 10 26 6" xfId="33300" xr:uid="{00000000-0005-0000-0000-000005820000}"/>
    <cellStyle name="Normal 5 10 26 7" xfId="33301" xr:uid="{00000000-0005-0000-0000-000006820000}"/>
    <cellStyle name="Normal 5 10 26 8" xfId="33302" xr:uid="{00000000-0005-0000-0000-000007820000}"/>
    <cellStyle name="Normal 5 10 26 9" xfId="33303" xr:uid="{00000000-0005-0000-0000-000008820000}"/>
    <cellStyle name="Normal 5 10 27" xfId="33304" xr:uid="{00000000-0005-0000-0000-000009820000}"/>
    <cellStyle name="Normal 5 10 27 10" xfId="33305" xr:uid="{00000000-0005-0000-0000-00000A820000}"/>
    <cellStyle name="Normal 5 10 27 11" xfId="33306" xr:uid="{00000000-0005-0000-0000-00000B820000}"/>
    <cellStyle name="Normal 5 10 27 12" xfId="33307" xr:uid="{00000000-0005-0000-0000-00000C820000}"/>
    <cellStyle name="Normal 5 10 27 13" xfId="33308" xr:uid="{00000000-0005-0000-0000-00000D820000}"/>
    <cellStyle name="Normal 5 10 27 14" xfId="33309" xr:uid="{00000000-0005-0000-0000-00000E820000}"/>
    <cellStyle name="Normal 5 10 27 2" xfId="33310" xr:uid="{00000000-0005-0000-0000-00000F820000}"/>
    <cellStyle name="Normal 5 10 27 2 10" xfId="33311" xr:uid="{00000000-0005-0000-0000-000010820000}"/>
    <cellStyle name="Normal 5 10 27 2 2" xfId="33312" xr:uid="{00000000-0005-0000-0000-000011820000}"/>
    <cellStyle name="Normal 5 10 27 2 3" xfId="33313" xr:uid="{00000000-0005-0000-0000-000012820000}"/>
    <cellStyle name="Normal 5 10 27 2 4" xfId="33314" xr:uid="{00000000-0005-0000-0000-000013820000}"/>
    <cellStyle name="Normal 5 10 27 2 5" xfId="33315" xr:uid="{00000000-0005-0000-0000-000014820000}"/>
    <cellStyle name="Normal 5 10 27 2 6" xfId="33316" xr:uid="{00000000-0005-0000-0000-000015820000}"/>
    <cellStyle name="Normal 5 10 27 2 7" xfId="33317" xr:uid="{00000000-0005-0000-0000-000016820000}"/>
    <cellStyle name="Normal 5 10 27 2 8" xfId="33318" xr:uid="{00000000-0005-0000-0000-000017820000}"/>
    <cellStyle name="Normal 5 10 27 2 9" xfId="33319" xr:uid="{00000000-0005-0000-0000-000018820000}"/>
    <cellStyle name="Normal 5 10 27 3" xfId="33320" xr:uid="{00000000-0005-0000-0000-000019820000}"/>
    <cellStyle name="Normal 5 10 27 3 10" xfId="33321" xr:uid="{00000000-0005-0000-0000-00001A820000}"/>
    <cellStyle name="Normal 5 10 27 3 2" xfId="33322" xr:uid="{00000000-0005-0000-0000-00001B820000}"/>
    <cellStyle name="Normal 5 10 27 3 3" xfId="33323" xr:uid="{00000000-0005-0000-0000-00001C820000}"/>
    <cellStyle name="Normal 5 10 27 3 4" xfId="33324" xr:uid="{00000000-0005-0000-0000-00001D820000}"/>
    <cellStyle name="Normal 5 10 27 3 5" xfId="33325" xr:uid="{00000000-0005-0000-0000-00001E820000}"/>
    <cellStyle name="Normal 5 10 27 3 6" xfId="33326" xr:uid="{00000000-0005-0000-0000-00001F820000}"/>
    <cellStyle name="Normal 5 10 27 3 7" xfId="33327" xr:uid="{00000000-0005-0000-0000-000020820000}"/>
    <cellStyle name="Normal 5 10 27 3 8" xfId="33328" xr:uid="{00000000-0005-0000-0000-000021820000}"/>
    <cellStyle name="Normal 5 10 27 3 9" xfId="33329" xr:uid="{00000000-0005-0000-0000-000022820000}"/>
    <cellStyle name="Normal 5 10 27 4" xfId="33330" xr:uid="{00000000-0005-0000-0000-000023820000}"/>
    <cellStyle name="Normal 5 10 27 4 10" xfId="33331" xr:uid="{00000000-0005-0000-0000-000024820000}"/>
    <cellStyle name="Normal 5 10 27 4 2" xfId="33332" xr:uid="{00000000-0005-0000-0000-000025820000}"/>
    <cellStyle name="Normal 5 10 27 4 3" xfId="33333" xr:uid="{00000000-0005-0000-0000-000026820000}"/>
    <cellStyle name="Normal 5 10 27 4 4" xfId="33334" xr:uid="{00000000-0005-0000-0000-000027820000}"/>
    <cellStyle name="Normal 5 10 27 4 5" xfId="33335" xr:uid="{00000000-0005-0000-0000-000028820000}"/>
    <cellStyle name="Normal 5 10 27 4 6" xfId="33336" xr:uid="{00000000-0005-0000-0000-000029820000}"/>
    <cellStyle name="Normal 5 10 27 4 7" xfId="33337" xr:uid="{00000000-0005-0000-0000-00002A820000}"/>
    <cellStyle name="Normal 5 10 27 4 8" xfId="33338" xr:uid="{00000000-0005-0000-0000-00002B820000}"/>
    <cellStyle name="Normal 5 10 27 4 9" xfId="33339" xr:uid="{00000000-0005-0000-0000-00002C820000}"/>
    <cellStyle name="Normal 5 10 27 5" xfId="33340" xr:uid="{00000000-0005-0000-0000-00002D820000}"/>
    <cellStyle name="Normal 5 10 27 5 10" xfId="33341" xr:uid="{00000000-0005-0000-0000-00002E820000}"/>
    <cellStyle name="Normal 5 10 27 5 2" xfId="33342" xr:uid="{00000000-0005-0000-0000-00002F820000}"/>
    <cellStyle name="Normal 5 10 27 5 3" xfId="33343" xr:uid="{00000000-0005-0000-0000-000030820000}"/>
    <cellStyle name="Normal 5 10 27 5 4" xfId="33344" xr:uid="{00000000-0005-0000-0000-000031820000}"/>
    <cellStyle name="Normal 5 10 27 5 5" xfId="33345" xr:uid="{00000000-0005-0000-0000-000032820000}"/>
    <cellStyle name="Normal 5 10 27 5 6" xfId="33346" xr:uid="{00000000-0005-0000-0000-000033820000}"/>
    <cellStyle name="Normal 5 10 27 5 7" xfId="33347" xr:uid="{00000000-0005-0000-0000-000034820000}"/>
    <cellStyle name="Normal 5 10 27 5 8" xfId="33348" xr:uid="{00000000-0005-0000-0000-000035820000}"/>
    <cellStyle name="Normal 5 10 27 5 9" xfId="33349" xr:uid="{00000000-0005-0000-0000-000036820000}"/>
    <cellStyle name="Normal 5 10 27 6" xfId="33350" xr:uid="{00000000-0005-0000-0000-000037820000}"/>
    <cellStyle name="Normal 5 10 27 7" xfId="33351" xr:uid="{00000000-0005-0000-0000-000038820000}"/>
    <cellStyle name="Normal 5 10 27 8" xfId="33352" xr:uid="{00000000-0005-0000-0000-000039820000}"/>
    <cellStyle name="Normal 5 10 27 9" xfId="33353" xr:uid="{00000000-0005-0000-0000-00003A820000}"/>
    <cellStyle name="Normal 5 10 28" xfId="33354" xr:uid="{00000000-0005-0000-0000-00003B820000}"/>
    <cellStyle name="Normal 5 10 28 10" xfId="33355" xr:uid="{00000000-0005-0000-0000-00003C820000}"/>
    <cellStyle name="Normal 5 10 28 11" xfId="33356" xr:uid="{00000000-0005-0000-0000-00003D820000}"/>
    <cellStyle name="Normal 5 10 28 12" xfId="33357" xr:uid="{00000000-0005-0000-0000-00003E820000}"/>
    <cellStyle name="Normal 5 10 28 13" xfId="33358" xr:uid="{00000000-0005-0000-0000-00003F820000}"/>
    <cellStyle name="Normal 5 10 28 14" xfId="33359" xr:uid="{00000000-0005-0000-0000-000040820000}"/>
    <cellStyle name="Normal 5 10 28 2" xfId="33360" xr:uid="{00000000-0005-0000-0000-000041820000}"/>
    <cellStyle name="Normal 5 10 28 2 10" xfId="33361" xr:uid="{00000000-0005-0000-0000-000042820000}"/>
    <cellStyle name="Normal 5 10 28 2 2" xfId="33362" xr:uid="{00000000-0005-0000-0000-000043820000}"/>
    <cellStyle name="Normal 5 10 28 2 3" xfId="33363" xr:uid="{00000000-0005-0000-0000-000044820000}"/>
    <cellStyle name="Normal 5 10 28 2 4" xfId="33364" xr:uid="{00000000-0005-0000-0000-000045820000}"/>
    <cellStyle name="Normal 5 10 28 2 5" xfId="33365" xr:uid="{00000000-0005-0000-0000-000046820000}"/>
    <cellStyle name="Normal 5 10 28 2 6" xfId="33366" xr:uid="{00000000-0005-0000-0000-000047820000}"/>
    <cellStyle name="Normal 5 10 28 2 7" xfId="33367" xr:uid="{00000000-0005-0000-0000-000048820000}"/>
    <cellStyle name="Normal 5 10 28 2 8" xfId="33368" xr:uid="{00000000-0005-0000-0000-000049820000}"/>
    <cellStyle name="Normal 5 10 28 2 9" xfId="33369" xr:uid="{00000000-0005-0000-0000-00004A820000}"/>
    <cellStyle name="Normal 5 10 28 3" xfId="33370" xr:uid="{00000000-0005-0000-0000-00004B820000}"/>
    <cellStyle name="Normal 5 10 28 3 10" xfId="33371" xr:uid="{00000000-0005-0000-0000-00004C820000}"/>
    <cellStyle name="Normal 5 10 28 3 2" xfId="33372" xr:uid="{00000000-0005-0000-0000-00004D820000}"/>
    <cellStyle name="Normal 5 10 28 3 3" xfId="33373" xr:uid="{00000000-0005-0000-0000-00004E820000}"/>
    <cellStyle name="Normal 5 10 28 3 4" xfId="33374" xr:uid="{00000000-0005-0000-0000-00004F820000}"/>
    <cellStyle name="Normal 5 10 28 3 5" xfId="33375" xr:uid="{00000000-0005-0000-0000-000050820000}"/>
    <cellStyle name="Normal 5 10 28 3 6" xfId="33376" xr:uid="{00000000-0005-0000-0000-000051820000}"/>
    <cellStyle name="Normal 5 10 28 3 7" xfId="33377" xr:uid="{00000000-0005-0000-0000-000052820000}"/>
    <cellStyle name="Normal 5 10 28 3 8" xfId="33378" xr:uid="{00000000-0005-0000-0000-000053820000}"/>
    <cellStyle name="Normal 5 10 28 3 9" xfId="33379" xr:uid="{00000000-0005-0000-0000-000054820000}"/>
    <cellStyle name="Normal 5 10 28 4" xfId="33380" xr:uid="{00000000-0005-0000-0000-000055820000}"/>
    <cellStyle name="Normal 5 10 28 4 10" xfId="33381" xr:uid="{00000000-0005-0000-0000-000056820000}"/>
    <cellStyle name="Normal 5 10 28 4 2" xfId="33382" xr:uid="{00000000-0005-0000-0000-000057820000}"/>
    <cellStyle name="Normal 5 10 28 4 3" xfId="33383" xr:uid="{00000000-0005-0000-0000-000058820000}"/>
    <cellStyle name="Normal 5 10 28 4 4" xfId="33384" xr:uid="{00000000-0005-0000-0000-000059820000}"/>
    <cellStyle name="Normal 5 10 28 4 5" xfId="33385" xr:uid="{00000000-0005-0000-0000-00005A820000}"/>
    <cellStyle name="Normal 5 10 28 4 6" xfId="33386" xr:uid="{00000000-0005-0000-0000-00005B820000}"/>
    <cellStyle name="Normal 5 10 28 4 7" xfId="33387" xr:uid="{00000000-0005-0000-0000-00005C820000}"/>
    <cellStyle name="Normal 5 10 28 4 8" xfId="33388" xr:uid="{00000000-0005-0000-0000-00005D820000}"/>
    <cellStyle name="Normal 5 10 28 4 9" xfId="33389" xr:uid="{00000000-0005-0000-0000-00005E820000}"/>
    <cellStyle name="Normal 5 10 28 5" xfId="33390" xr:uid="{00000000-0005-0000-0000-00005F820000}"/>
    <cellStyle name="Normal 5 10 28 5 10" xfId="33391" xr:uid="{00000000-0005-0000-0000-000060820000}"/>
    <cellStyle name="Normal 5 10 28 5 2" xfId="33392" xr:uid="{00000000-0005-0000-0000-000061820000}"/>
    <cellStyle name="Normal 5 10 28 5 3" xfId="33393" xr:uid="{00000000-0005-0000-0000-000062820000}"/>
    <cellStyle name="Normal 5 10 28 5 4" xfId="33394" xr:uid="{00000000-0005-0000-0000-000063820000}"/>
    <cellStyle name="Normal 5 10 28 5 5" xfId="33395" xr:uid="{00000000-0005-0000-0000-000064820000}"/>
    <cellStyle name="Normal 5 10 28 5 6" xfId="33396" xr:uid="{00000000-0005-0000-0000-000065820000}"/>
    <cellStyle name="Normal 5 10 28 5 7" xfId="33397" xr:uid="{00000000-0005-0000-0000-000066820000}"/>
    <cellStyle name="Normal 5 10 28 5 8" xfId="33398" xr:uid="{00000000-0005-0000-0000-000067820000}"/>
    <cellStyle name="Normal 5 10 28 5 9" xfId="33399" xr:uid="{00000000-0005-0000-0000-000068820000}"/>
    <cellStyle name="Normal 5 10 28 6" xfId="33400" xr:uid="{00000000-0005-0000-0000-000069820000}"/>
    <cellStyle name="Normal 5 10 28 7" xfId="33401" xr:uid="{00000000-0005-0000-0000-00006A820000}"/>
    <cellStyle name="Normal 5 10 28 8" xfId="33402" xr:uid="{00000000-0005-0000-0000-00006B820000}"/>
    <cellStyle name="Normal 5 10 28 9" xfId="33403" xr:uid="{00000000-0005-0000-0000-00006C820000}"/>
    <cellStyle name="Normal 5 10 29" xfId="33404" xr:uid="{00000000-0005-0000-0000-00006D820000}"/>
    <cellStyle name="Normal 5 10 29 10" xfId="33405" xr:uid="{00000000-0005-0000-0000-00006E820000}"/>
    <cellStyle name="Normal 5 10 29 11" xfId="33406" xr:uid="{00000000-0005-0000-0000-00006F820000}"/>
    <cellStyle name="Normal 5 10 29 12" xfId="33407" xr:uid="{00000000-0005-0000-0000-000070820000}"/>
    <cellStyle name="Normal 5 10 29 13" xfId="33408" xr:uid="{00000000-0005-0000-0000-000071820000}"/>
    <cellStyle name="Normal 5 10 29 14" xfId="33409" xr:uid="{00000000-0005-0000-0000-000072820000}"/>
    <cellStyle name="Normal 5 10 29 2" xfId="33410" xr:uid="{00000000-0005-0000-0000-000073820000}"/>
    <cellStyle name="Normal 5 10 29 2 10" xfId="33411" xr:uid="{00000000-0005-0000-0000-000074820000}"/>
    <cellStyle name="Normal 5 10 29 2 2" xfId="33412" xr:uid="{00000000-0005-0000-0000-000075820000}"/>
    <cellStyle name="Normal 5 10 29 2 3" xfId="33413" xr:uid="{00000000-0005-0000-0000-000076820000}"/>
    <cellStyle name="Normal 5 10 29 2 4" xfId="33414" xr:uid="{00000000-0005-0000-0000-000077820000}"/>
    <cellStyle name="Normal 5 10 29 2 5" xfId="33415" xr:uid="{00000000-0005-0000-0000-000078820000}"/>
    <cellStyle name="Normal 5 10 29 2 6" xfId="33416" xr:uid="{00000000-0005-0000-0000-000079820000}"/>
    <cellStyle name="Normal 5 10 29 2 7" xfId="33417" xr:uid="{00000000-0005-0000-0000-00007A820000}"/>
    <cellStyle name="Normal 5 10 29 2 8" xfId="33418" xr:uid="{00000000-0005-0000-0000-00007B820000}"/>
    <cellStyle name="Normal 5 10 29 2 9" xfId="33419" xr:uid="{00000000-0005-0000-0000-00007C820000}"/>
    <cellStyle name="Normal 5 10 29 3" xfId="33420" xr:uid="{00000000-0005-0000-0000-00007D820000}"/>
    <cellStyle name="Normal 5 10 29 3 10" xfId="33421" xr:uid="{00000000-0005-0000-0000-00007E820000}"/>
    <cellStyle name="Normal 5 10 29 3 2" xfId="33422" xr:uid="{00000000-0005-0000-0000-00007F820000}"/>
    <cellStyle name="Normal 5 10 29 3 3" xfId="33423" xr:uid="{00000000-0005-0000-0000-000080820000}"/>
    <cellStyle name="Normal 5 10 29 3 4" xfId="33424" xr:uid="{00000000-0005-0000-0000-000081820000}"/>
    <cellStyle name="Normal 5 10 29 3 5" xfId="33425" xr:uid="{00000000-0005-0000-0000-000082820000}"/>
    <cellStyle name="Normal 5 10 29 3 6" xfId="33426" xr:uid="{00000000-0005-0000-0000-000083820000}"/>
    <cellStyle name="Normal 5 10 29 3 7" xfId="33427" xr:uid="{00000000-0005-0000-0000-000084820000}"/>
    <cellStyle name="Normal 5 10 29 3 8" xfId="33428" xr:uid="{00000000-0005-0000-0000-000085820000}"/>
    <cellStyle name="Normal 5 10 29 3 9" xfId="33429" xr:uid="{00000000-0005-0000-0000-000086820000}"/>
    <cellStyle name="Normal 5 10 29 4" xfId="33430" xr:uid="{00000000-0005-0000-0000-000087820000}"/>
    <cellStyle name="Normal 5 10 29 4 10" xfId="33431" xr:uid="{00000000-0005-0000-0000-000088820000}"/>
    <cellStyle name="Normal 5 10 29 4 2" xfId="33432" xr:uid="{00000000-0005-0000-0000-000089820000}"/>
    <cellStyle name="Normal 5 10 29 4 3" xfId="33433" xr:uid="{00000000-0005-0000-0000-00008A820000}"/>
    <cellStyle name="Normal 5 10 29 4 4" xfId="33434" xr:uid="{00000000-0005-0000-0000-00008B820000}"/>
    <cellStyle name="Normal 5 10 29 4 5" xfId="33435" xr:uid="{00000000-0005-0000-0000-00008C820000}"/>
    <cellStyle name="Normal 5 10 29 4 6" xfId="33436" xr:uid="{00000000-0005-0000-0000-00008D820000}"/>
    <cellStyle name="Normal 5 10 29 4 7" xfId="33437" xr:uid="{00000000-0005-0000-0000-00008E820000}"/>
    <cellStyle name="Normal 5 10 29 4 8" xfId="33438" xr:uid="{00000000-0005-0000-0000-00008F820000}"/>
    <cellStyle name="Normal 5 10 29 4 9" xfId="33439" xr:uid="{00000000-0005-0000-0000-000090820000}"/>
    <cellStyle name="Normal 5 10 29 5" xfId="33440" xr:uid="{00000000-0005-0000-0000-000091820000}"/>
    <cellStyle name="Normal 5 10 29 5 10" xfId="33441" xr:uid="{00000000-0005-0000-0000-000092820000}"/>
    <cellStyle name="Normal 5 10 29 5 2" xfId="33442" xr:uid="{00000000-0005-0000-0000-000093820000}"/>
    <cellStyle name="Normal 5 10 29 5 3" xfId="33443" xr:uid="{00000000-0005-0000-0000-000094820000}"/>
    <cellStyle name="Normal 5 10 29 5 4" xfId="33444" xr:uid="{00000000-0005-0000-0000-000095820000}"/>
    <cellStyle name="Normal 5 10 29 5 5" xfId="33445" xr:uid="{00000000-0005-0000-0000-000096820000}"/>
    <cellStyle name="Normal 5 10 29 5 6" xfId="33446" xr:uid="{00000000-0005-0000-0000-000097820000}"/>
    <cellStyle name="Normal 5 10 29 5 7" xfId="33447" xr:uid="{00000000-0005-0000-0000-000098820000}"/>
    <cellStyle name="Normal 5 10 29 5 8" xfId="33448" xr:uid="{00000000-0005-0000-0000-000099820000}"/>
    <cellStyle name="Normal 5 10 29 5 9" xfId="33449" xr:uid="{00000000-0005-0000-0000-00009A820000}"/>
    <cellStyle name="Normal 5 10 29 6" xfId="33450" xr:uid="{00000000-0005-0000-0000-00009B820000}"/>
    <cellStyle name="Normal 5 10 29 7" xfId="33451" xr:uid="{00000000-0005-0000-0000-00009C820000}"/>
    <cellStyle name="Normal 5 10 29 8" xfId="33452" xr:uid="{00000000-0005-0000-0000-00009D820000}"/>
    <cellStyle name="Normal 5 10 29 9" xfId="33453" xr:uid="{00000000-0005-0000-0000-00009E820000}"/>
    <cellStyle name="Normal 5 10 3" xfId="33454" xr:uid="{00000000-0005-0000-0000-00009F820000}"/>
    <cellStyle name="Normal 5 10 3 10" xfId="33455" xr:uid="{00000000-0005-0000-0000-0000A0820000}"/>
    <cellStyle name="Normal 5 10 3 11" xfId="33456" xr:uid="{00000000-0005-0000-0000-0000A1820000}"/>
    <cellStyle name="Normal 5 10 3 12" xfId="33457" xr:uid="{00000000-0005-0000-0000-0000A2820000}"/>
    <cellStyle name="Normal 5 10 3 13" xfId="33458" xr:uid="{00000000-0005-0000-0000-0000A3820000}"/>
    <cellStyle name="Normal 5 10 3 14" xfId="33459" xr:uid="{00000000-0005-0000-0000-0000A4820000}"/>
    <cellStyle name="Normal 5 10 3 2" xfId="33460" xr:uid="{00000000-0005-0000-0000-0000A5820000}"/>
    <cellStyle name="Normal 5 10 3 2 10" xfId="33461" xr:uid="{00000000-0005-0000-0000-0000A6820000}"/>
    <cellStyle name="Normal 5 10 3 2 2" xfId="33462" xr:uid="{00000000-0005-0000-0000-0000A7820000}"/>
    <cellStyle name="Normal 5 10 3 2 3" xfId="33463" xr:uid="{00000000-0005-0000-0000-0000A8820000}"/>
    <cellStyle name="Normal 5 10 3 2 4" xfId="33464" xr:uid="{00000000-0005-0000-0000-0000A9820000}"/>
    <cellStyle name="Normal 5 10 3 2 5" xfId="33465" xr:uid="{00000000-0005-0000-0000-0000AA820000}"/>
    <cellStyle name="Normal 5 10 3 2 6" xfId="33466" xr:uid="{00000000-0005-0000-0000-0000AB820000}"/>
    <cellStyle name="Normal 5 10 3 2 7" xfId="33467" xr:uid="{00000000-0005-0000-0000-0000AC820000}"/>
    <cellStyle name="Normal 5 10 3 2 8" xfId="33468" xr:uid="{00000000-0005-0000-0000-0000AD820000}"/>
    <cellStyle name="Normal 5 10 3 2 9" xfId="33469" xr:uid="{00000000-0005-0000-0000-0000AE820000}"/>
    <cellStyle name="Normal 5 10 3 3" xfId="33470" xr:uid="{00000000-0005-0000-0000-0000AF820000}"/>
    <cellStyle name="Normal 5 10 3 3 10" xfId="33471" xr:uid="{00000000-0005-0000-0000-0000B0820000}"/>
    <cellStyle name="Normal 5 10 3 3 2" xfId="33472" xr:uid="{00000000-0005-0000-0000-0000B1820000}"/>
    <cellStyle name="Normal 5 10 3 3 3" xfId="33473" xr:uid="{00000000-0005-0000-0000-0000B2820000}"/>
    <cellStyle name="Normal 5 10 3 3 4" xfId="33474" xr:uid="{00000000-0005-0000-0000-0000B3820000}"/>
    <cellStyle name="Normal 5 10 3 3 5" xfId="33475" xr:uid="{00000000-0005-0000-0000-0000B4820000}"/>
    <cellStyle name="Normal 5 10 3 3 6" xfId="33476" xr:uid="{00000000-0005-0000-0000-0000B5820000}"/>
    <cellStyle name="Normal 5 10 3 3 7" xfId="33477" xr:uid="{00000000-0005-0000-0000-0000B6820000}"/>
    <cellStyle name="Normal 5 10 3 3 8" xfId="33478" xr:uid="{00000000-0005-0000-0000-0000B7820000}"/>
    <cellStyle name="Normal 5 10 3 3 9" xfId="33479" xr:uid="{00000000-0005-0000-0000-0000B8820000}"/>
    <cellStyle name="Normal 5 10 3 4" xfId="33480" xr:uid="{00000000-0005-0000-0000-0000B9820000}"/>
    <cellStyle name="Normal 5 10 3 4 10" xfId="33481" xr:uid="{00000000-0005-0000-0000-0000BA820000}"/>
    <cellStyle name="Normal 5 10 3 4 2" xfId="33482" xr:uid="{00000000-0005-0000-0000-0000BB820000}"/>
    <cellStyle name="Normal 5 10 3 4 3" xfId="33483" xr:uid="{00000000-0005-0000-0000-0000BC820000}"/>
    <cellStyle name="Normal 5 10 3 4 4" xfId="33484" xr:uid="{00000000-0005-0000-0000-0000BD820000}"/>
    <cellStyle name="Normal 5 10 3 4 5" xfId="33485" xr:uid="{00000000-0005-0000-0000-0000BE820000}"/>
    <cellStyle name="Normal 5 10 3 4 6" xfId="33486" xr:uid="{00000000-0005-0000-0000-0000BF820000}"/>
    <cellStyle name="Normal 5 10 3 4 7" xfId="33487" xr:uid="{00000000-0005-0000-0000-0000C0820000}"/>
    <cellStyle name="Normal 5 10 3 4 8" xfId="33488" xr:uid="{00000000-0005-0000-0000-0000C1820000}"/>
    <cellStyle name="Normal 5 10 3 4 9" xfId="33489" xr:uid="{00000000-0005-0000-0000-0000C2820000}"/>
    <cellStyle name="Normal 5 10 3 5" xfId="33490" xr:uid="{00000000-0005-0000-0000-0000C3820000}"/>
    <cellStyle name="Normal 5 10 3 5 10" xfId="33491" xr:uid="{00000000-0005-0000-0000-0000C4820000}"/>
    <cellStyle name="Normal 5 10 3 5 2" xfId="33492" xr:uid="{00000000-0005-0000-0000-0000C5820000}"/>
    <cellStyle name="Normal 5 10 3 5 3" xfId="33493" xr:uid="{00000000-0005-0000-0000-0000C6820000}"/>
    <cellStyle name="Normal 5 10 3 5 4" xfId="33494" xr:uid="{00000000-0005-0000-0000-0000C7820000}"/>
    <cellStyle name="Normal 5 10 3 5 5" xfId="33495" xr:uid="{00000000-0005-0000-0000-0000C8820000}"/>
    <cellStyle name="Normal 5 10 3 5 6" xfId="33496" xr:uid="{00000000-0005-0000-0000-0000C9820000}"/>
    <cellStyle name="Normal 5 10 3 5 7" xfId="33497" xr:uid="{00000000-0005-0000-0000-0000CA820000}"/>
    <cellStyle name="Normal 5 10 3 5 8" xfId="33498" xr:uid="{00000000-0005-0000-0000-0000CB820000}"/>
    <cellStyle name="Normal 5 10 3 5 9" xfId="33499" xr:uid="{00000000-0005-0000-0000-0000CC820000}"/>
    <cellStyle name="Normal 5 10 3 6" xfId="33500" xr:uid="{00000000-0005-0000-0000-0000CD820000}"/>
    <cellStyle name="Normal 5 10 3 7" xfId="33501" xr:uid="{00000000-0005-0000-0000-0000CE820000}"/>
    <cellStyle name="Normal 5 10 3 8" xfId="33502" xr:uid="{00000000-0005-0000-0000-0000CF820000}"/>
    <cellStyle name="Normal 5 10 3 9" xfId="33503" xr:uid="{00000000-0005-0000-0000-0000D0820000}"/>
    <cellStyle name="Normal 5 10 30" xfId="33504" xr:uid="{00000000-0005-0000-0000-0000D1820000}"/>
    <cellStyle name="Normal 5 10 30 10" xfId="33505" xr:uid="{00000000-0005-0000-0000-0000D2820000}"/>
    <cellStyle name="Normal 5 10 30 11" xfId="33506" xr:uid="{00000000-0005-0000-0000-0000D3820000}"/>
    <cellStyle name="Normal 5 10 30 12" xfId="33507" xr:uid="{00000000-0005-0000-0000-0000D4820000}"/>
    <cellStyle name="Normal 5 10 30 13" xfId="33508" xr:uid="{00000000-0005-0000-0000-0000D5820000}"/>
    <cellStyle name="Normal 5 10 30 14" xfId="33509" xr:uid="{00000000-0005-0000-0000-0000D6820000}"/>
    <cellStyle name="Normal 5 10 30 2" xfId="33510" xr:uid="{00000000-0005-0000-0000-0000D7820000}"/>
    <cellStyle name="Normal 5 10 30 2 10" xfId="33511" xr:uid="{00000000-0005-0000-0000-0000D8820000}"/>
    <cellStyle name="Normal 5 10 30 2 2" xfId="33512" xr:uid="{00000000-0005-0000-0000-0000D9820000}"/>
    <cellStyle name="Normal 5 10 30 2 3" xfId="33513" xr:uid="{00000000-0005-0000-0000-0000DA820000}"/>
    <cellStyle name="Normal 5 10 30 2 4" xfId="33514" xr:uid="{00000000-0005-0000-0000-0000DB820000}"/>
    <cellStyle name="Normal 5 10 30 2 5" xfId="33515" xr:uid="{00000000-0005-0000-0000-0000DC820000}"/>
    <cellStyle name="Normal 5 10 30 2 6" xfId="33516" xr:uid="{00000000-0005-0000-0000-0000DD820000}"/>
    <cellStyle name="Normal 5 10 30 2 7" xfId="33517" xr:uid="{00000000-0005-0000-0000-0000DE820000}"/>
    <cellStyle name="Normal 5 10 30 2 8" xfId="33518" xr:uid="{00000000-0005-0000-0000-0000DF820000}"/>
    <cellStyle name="Normal 5 10 30 2 9" xfId="33519" xr:uid="{00000000-0005-0000-0000-0000E0820000}"/>
    <cellStyle name="Normal 5 10 30 3" xfId="33520" xr:uid="{00000000-0005-0000-0000-0000E1820000}"/>
    <cellStyle name="Normal 5 10 30 3 10" xfId="33521" xr:uid="{00000000-0005-0000-0000-0000E2820000}"/>
    <cellStyle name="Normal 5 10 30 3 2" xfId="33522" xr:uid="{00000000-0005-0000-0000-0000E3820000}"/>
    <cellStyle name="Normal 5 10 30 3 3" xfId="33523" xr:uid="{00000000-0005-0000-0000-0000E4820000}"/>
    <cellStyle name="Normal 5 10 30 3 4" xfId="33524" xr:uid="{00000000-0005-0000-0000-0000E5820000}"/>
    <cellStyle name="Normal 5 10 30 3 5" xfId="33525" xr:uid="{00000000-0005-0000-0000-0000E6820000}"/>
    <cellStyle name="Normal 5 10 30 3 6" xfId="33526" xr:uid="{00000000-0005-0000-0000-0000E7820000}"/>
    <cellStyle name="Normal 5 10 30 3 7" xfId="33527" xr:uid="{00000000-0005-0000-0000-0000E8820000}"/>
    <cellStyle name="Normal 5 10 30 3 8" xfId="33528" xr:uid="{00000000-0005-0000-0000-0000E9820000}"/>
    <cellStyle name="Normal 5 10 30 3 9" xfId="33529" xr:uid="{00000000-0005-0000-0000-0000EA820000}"/>
    <cellStyle name="Normal 5 10 30 4" xfId="33530" xr:uid="{00000000-0005-0000-0000-0000EB820000}"/>
    <cellStyle name="Normal 5 10 30 4 10" xfId="33531" xr:uid="{00000000-0005-0000-0000-0000EC820000}"/>
    <cellStyle name="Normal 5 10 30 4 2" xfId="33532" xr:uid="{00000000-0005-0000-0000-0000ED820000}"/>
    <cellStyle name="Normal 5 10 30 4 3" xfId="33533" xr:uid="{00000000-0005-0000-0000-0000EE820000}"/>
    <cellStyle name="Normal 5 10 30 4 4" xfId="33534" xr:uid="{00000000-0005-0000-0000-0000EF820000}"/>
    <cellStyle name="Normal 5 10 30 4 5" xfId="33535" xr:uid="{00000000-0005-0000-0000-0000F0820000}"/>
    <cellStyle name="Normal 5 10 30 4 6" xfId="33536" xr:uid="{00000000-0005-0000-0000-0000F1820000}"/>
    <cellStyle name="Normal 5 10 30 4 7" xfId="33537" xr:uid="{00000000-0005-0000-0000-0000F2820000}"/>
    <cellStyle name="Normal 5 10 30 4 8" xfId="33538" xr:uid="{00000000-0005-0000-0000-0000F3820000}"/>
    <cellStyle name="Normal 5 10 30 4 9" xfId="33539" xr:uid="{00000000-0005-0000-0000-0000F4820000}"/>
    <cellStyle name="Normal 5 10 30 5" xfId="33540" xr:uid="{00000000-0005-0000-0000-0000F5820000}"/>
    <cellStyle name="Normal 5 10 30 5 10" xfId="33541" xr:uid="{00000000-0005-0000-0000-0000F6820000}"/>
    <cellStyle name="Normal 5 10 30 5 2" xfId="33542" xr:uid="{00000000-0005-0000-0000-0000F7820000}"/>
    <cellStyle name="Normal 5 10 30 5 3" xfId="33543" xr:uid="{00000000-0005-0000-0000-0000F8820000}"/>
    <cellStyle name="Normal 5 10 30 5 4" xfId="33544" xr:uid="{00000000-0005-0000-0000-0000F9820000}"/>
    <cellStyle name="Normal 5 10 30 5 5" xfId="33545" xr:uid="{00000000-0005-0000-0000-0000FA820000}"/>
    <cellStyle name="Normal 5 10 30 5 6" xfId="33546" xr:uid="{00000000-0005-0000-0000-0000FB820000}"/>
    <cellStyle name="Normal 5 10 30 5 7" xfId="33547" xr:uid="{00000000-0005-0000-0000-0000FC820000}"/>
    <cellStyle name="Normal 5 10 30 5 8" xfId="33548" xr:uid="{00000000-0005-0000-0000-0000FD820000}"/>
    <cellStyle name="Normal 5 10 30 5 9" xfId="33549" xr:uid="{00000000-0005-0000-0000-0000FE820000}"/>
    <cellStyle name="Normal 5 10 30 6" xfId="33550" xr:uid="{00000000-0005-0000-0000-0000FF820000}"/>
    <cellStyle name="Normal 5 10 30 7" xfId="33551" xr:uid="{00000000-0005-0000-0000-000000830000}"/>
    <cellStyle name="Normal 5 10 30 8" xfId="33552" xr:uid="{00000000-0005-0000-0000-000001830000}"/>
    <cellStyle name="Normal 5 10 30 9" xfId="33553" xr:uid="{00000000-0005-0000-0000-000002830000}"/>
    <cellStyle name="Normal 5 10 31" xfId="33554" xr:uid="{00000000-0005-0000-0000-000003830000}"/>
    <cellStyle name="Normal 5 10 31 10" xfId="33555" xr:uid="{00000000-0005-0000-0000-000004830000}"/>
    <cellStyle name="Normal 5 10 31 11" xfId="33556" xr:uid="{00000000-0005-0000-0000-000005830000}"/>
    <cellStyle name="Normal 5 10 31 12" xfId="33557" xr:uid="{00000000-0005-0000-0000-000006830000}"/>
    <cellStyle name="Normal 5 10 31 13" xfId="33558" xr:uid="{00000000-0005-0000-0000-000007830000}"/>
    <cellStyle name="Normal 5 10 31 14" xfId="33559" xr:uid="{00000000-0005-0000-0000-000008830000}"/>
    <cellStyle name="Normal 5 10 31 2" xfId="33560" xr:uid="{00000000-0005-0000-0000-000009830000}"/>
    <cellStyle name="Normal 5 10 31 2 10" xfId="33561" xr:uid="{00000000-0005-0000-0000-00000A830000}"/>
    <cellStyle name="Normal 5 10 31 2 2" xfId="33562" xr:uid="{00000000-0005-0000-0000-00000B830000}"/>
    <cellStyle name="Normal 5 10 31 2 3" xfId="33563" xr:uid="{00000000-0005-0000-0000-00000C830000}"/>
    <cellStyle name="Normal 5 10 31 2 4" xfId="33564" xr:uid="{00000000-0005-0000-0000-00000D830000}"/>
    <cellStyle name="Normal 5 10 31 2 5" xfId="33565" xr:uid="{00000000-0005-0000-0000-00000E830000}"/>
    <cellStyle name="Normal 5 10 31 2 6" xfId="33566" xr:uid="{00000000-0005-0000-0000-00000F830000}"/>
    <cellStyle name="Normal 5 10 31 2 7" xfId="33567" xr:uid="{00000000-0005-0000-0000-000010830000}"/>
    <cellStyle name="Normal 5 10 31 2 8" xfId="33568" xr:uid="{00000000-0005-0000-0000-000011830000}"/>
    <cellStyle name="Normal 5 10 31 2 9" xfId="33569" xr:uid="{00000000-0005-0000-0000-000012830000}"/>
    <cellStyle name="Normal 5 10 31 3" xfId="33570" xr:uid="{00000000-0005-0000-0000-000013830000}"/>
    <cellStyle name="Normal 5 10 31 3 10" xfId="33571" xr:uid="{00000000-0005-0000-0000-000014830000}"/>
    <cellStyle name="Normal 5 10 31 3 2" xfId="33572" xr:uid="{00000000-0005-0000-0000-000015830000}"/>
    <cellStyle name="Normal 5 10 31 3 3" xfId="33573" xr:uid="{00000000-0005-0000-0000-000016830000}"/>
    <cellStyle name="Normal 5 10 31 3 4" xfId="33574" xr:uid="{00000000-0005-0000-0000-000017830000}"/>
    <cellStyle name="Normal 5 10 31 3 5" xfId="33575" xr:uid="{00000000-0005-0000-0000-000018830000}"/>
    <cellStyle name="Normal 5 10 31 3 6" xfId="33576" xr:uid="{00000000-0005-0000-0000-000019830000}"/>
    <cellStyle name="Normal 5 10 31 3 7" xfId="33577" xr:uid="{00000000-0005-0000-0000-00001A830000}"/>
    <cellStyle name="Normal 5 10 31 3 8" xfId="33578" xr:uid="{00000000-0005-0000-0000-00001B830000}"/>
    <cellStyle name="Normal 5 10 31 3 9" xfId="33579" xr:uid="{00000000-0005-0000-0000-00001C830000}"/>
    <cellStyle name="Normal 5 10 31 4" xfId="33580" xr:uid="{00000000-0005-0000-0000-00001D830000}"/>
    <cellStyle name="Normal 5 10 31 4 10" xfId="33581" xr:uid="{00000000-0005-0000-0000-00001E830000}"/>
    <cellStyle name="Normal 5 10 31 4 2" xfId="33582" xr:uid="{00000000-0005-0000-0000-00001F830000}"/>
    <cellStyle name="Normal 5 10 31 4 3" xfId="33583" xr:uid="{00000000-0005-0000-0000-000020830000}"/>
    <cellStyle name="Normal 5 10 31 4 4" xfId="33584" xr:uid="{00000000-0005-0000-0000-000021830000}"/>
    <cellStyle name="Normal 5 10 31 4 5" xfId="33585" xr:uid="{00000000-0005-0000-0000-000022830000}"/>
    <cellStyle name="Normal 5 10 31 4 6" xfId="33586" xr:uid="{00000000-0005-0000-0000-000023830000}"/>
    <cellStyle name="Normal 5 10 31 4 7" xfId="33587" xr:uid="{00000000-0005-0000-0000-000024830000}"/>
    <cellStyle name="Normal 5 10 31 4 8" xfId="33588" xr:uid="{00000000-0005-0000-0000-000025830000}"/>
    <cellStyle name="Normal 5 10 31 4 9" xfId="33589" xr:uid="{00000000-0005-0000-0000-000026830000}"/>
    <cellStyle name="Normal 5 10 31 5" xfId="33590" xr:uid="{00000000-0005-0000-0000-000027830000}"/>
    <cellStyle name="Normal 5 10 31 5 10" xfId="33591" xr:uid="{00000000-0005-0000-0000-000028830000}"/>
    <cellStyle name="Normal 5 10 31 5 2" xfId="33592" xr:uid="{00000000-0005-0000-0000-000029830000}"/>
    <cellStyle name="Normal 5 10 31 5 3" xfId="33593" xr:uid="{00000000-0005-0000-0000-00002A830000}"/>
    <cellStyle name="Normal 5 10 31 5 4" xfId="33594" xr:uid="{00000000-0005-0000-0000-00002B830000}"/>
    <cellStyle name="Normal 5 10 31 5 5" xfId="33595" xr:uid="{00000000-0005-0000-0000-00002C830000}"/>
    <cellStyle name="Normal 5 10 31 5 6" xfId="33596" xr:uid="{00000000-0005-0000-0000-00002D830000}"/>
    <cellStyle name="Normal 5 10 31 5 7" xfId="33597" xr:uid="{00000000-0005-0000-0000-00002E830000}"/>
    <cellStyle name="Normal 5 10 31 5 8" xfId="33598" xr:uid="{00000000-0005-0000-0000-00002F830000}"/>
    <cellStyle name="Normal 5 10 31 5 9" xfId="33599" xr:uid="{00000000-0005-0000-0000-000030830000}"/>
    <cellStyle name="Normal 5 10 31 6" xfId="33600" xr:uid="{00000000-0005-0000-0000-000031830000}"/>
    <cellStyle name="Normal 5 10 31 7" xfId="33601" xr:uid="{00000000-0005-0000-0000-000032830000}"/>
    <cellStyle name="Normal 5 10 31 8" xfId="33602" xr:uid="{00000000-0005-0000-0000-000033830000}"/>
    <cellStyle name="Normal 5 10 31 9" xfId="33603" xr:uid="{00000000-0005-0000-0000-000034830000}"/>
    <cellStyle name="Normal 5 10 32" xfId="33604" xr:uid="{00000000-0005-0000-0000-000035830000}"/>
    <cellStyle name="Normal 5 10 32 10" xfId="33605" xr:uid="{00000000-0005-0000-0000-000036830000}"/>
    <cellStyle name="Normal 5 10 32 11" xfId="33606" xr:uid="{00000000-0005-0000-0000-000037830000}"/>
    <cellStyle name="Normal 5 10 32 12" xfId="33607" xr:uid="{00000000-0005-0000-0000-000038830000}"/>
    <cellStyle name="Normal 5 10 32 13" xfId="33608" xr:uid="{00000000-0005-0000-0000-000039830000}"/>
    <cellStyle name="Normal 5 10 32 14" xfId="33609" xr:uid="{00000000-0005-0000-0000-00003A830000}"/>
    <cellStyle name="Normal 5 10 32 2" xfId="33610" xr:uid="{00000000-0005-0000-0000-00003B830000}"/>
    <cellStyle name="Normal 5 10 32 2 10" xfId="33611" xr:uid="{00000000-0005-0000-0000-00003C830000}"/>
    <cellStyle name="Normal 5 10 32 2 2" xfId="33612" xr:uid="{00000000-0005-0000-0000-00003D830000}"/>
    <cellStyle name="Normal 5 10 32 2 3" xfId="33613" xr:uid="{00000000-0005-0000-0000-00003E830000}"/>
    <cellStyle name="Normal 5 10 32 2 4" xfId="33614" xr:uid="{00000000-0005-0000-0000-00003F830000}"/>
    <cellStyle name="Normal 5 10 32 2 5" xfId="33615" xr:uid="{00000000-0005-0000-0000-000040830000}"/>
    <cellStyle name="Normal 5 10 32 2 6" xfId="33616" xr:uid="{00000000-0005-0000-0000-000041830000}"/>
    <cellStyle name="Normal 5 10 32 2 7" xfId="33617" xr:uid="{00000000-0005-0000-0000-000042830000}"/>
    <cellStyle name="Normal 5 10 32 2 8" xfId="33618" xr:uid="{00000000-0005-0000-0000-000043830000}"/>
    <cellStyle name="Normal 5 10 32 2 9" xfId="33619" xr:uid="{00000000-0005-0000-0000-000044830000}"/>
    <cellStyle name="Normal 5 10 32 3" xfId="33620" xr:uid="{00000000-0005-0000-0000-000045830000}"/>
    <cellStyle name="Normal 5 10 32 3 10" xfId="33621" xr:uid="{00000000-0005-0000-0000-000046830000}"/>
    <cellStyle name="Normal 5 10 32 3 2" xfId="33622" xr:uid="{00000000-0005-0000-0000-000047830000}"/>
    <cellStyle name="Normal 5 10 32 3 3" xfId="33623" xr:uid="{00000000-0005-0000-0000-000048830000}"/>
    <cellStyle name="Normal 5 10 32 3 4" xfId="33624" xr:uid="{00000000-0005-0000-0000-000049830000}"/>
    <cellStyle name="Normal 5 10 32 3 5" xfId="33625" xr:uid="{00000000-0005-0000-0000-00004A830000}"/>
    <cellStyle name="Normal 5 10 32 3 6" xfId="33626" xr:uid="{00000000-0005-0000-0000-00004B830000}"/>
    <cellStyle name="Normal 5 10 32 3 7" xfId="33627" xr:uid="{00000000-0005-0000-0000-00004C830000}"/>
    <cellStyle name="Normal 5 10 32 3 8" xfId="33628" xr:uid="{00000000-0005-0000-0000-00004D830000}"/>
    <cellStyle name="Normal 5 10 32 3 9" xfId="33629" xr:uid="{00000000-0005-0000-0000-00004E830000}"/>
    <cellStyle name="Normal 5 10 32 4" xfId="33630" xr:uid="{00000000-0005-0000-0000-00004F830000}"/>
    <cellStyle name="Normal 5 10 32 4 10" xfId="33631" xr:uid="{00000000-0005-0000-0000-000050830000}"/>
    <cellStyle name="Normal 5 10 32 4 2" xfId="33632" xr:uid="{00000000-0005-0000-0000-000051830000}"/>
    <cellStyle name="Normal 5 10 32 4 3" xfId="33633" xr:uid="{00000000-0005-0000-0000-000052830000}"/>
    <cellStyle name="Normal 5 10 32 4 4" xfId="33634" xr:uid="{00000000-0005-0000-0000-000053830000}"/>
    <cellStyle name="Normal 5 10 32 4 5" xfId="33635" xr:uid="{00000000-0005-0000-0000-000054830000}"/>
    <cellStyle name="Normal 5 10 32 4 6" xfId="33636" xr:uid="{00000000-0005-0000-0000-000055830000}"/>
    <cellStyle name="Normal 5 10 32 4 7" xfId="33637" xr:uid="{00000000-0005-0000-0000-000056830000}"/>
    <cellStyle name="Normal 5 10 32 4 8" xfId="33638" xr:uid="{00000000-0005-0000-0000-000057830000}"/>
    <cellStyle name="Normal 5 10 32 4 9" xfId="33639" xr:uid="{00000000-0005-0000-0000-000058830000}"/>
    <cellStyle name="Normal 5 10 32 5" xfId="33640" xr:uid="{00000000-0005-0000-0000-000059830000}"/>
    <cellStyle name="Normal 5 10 32 5 10" xfId="33641" xr:uid="{00000000-0005-0000-0000-00005A830000}"/>
    <cellStyle name="Normal 5 10 32 5 2" xfId="33642" xr:uid="{00000000-0005-0000-0000-00005B830000}"/>
    <cellStyle name="Normal 5 10 32 5 3" xfId="33643" xr:uid="{00000000-0005-0000-0000-00005C830000}"/>
    <cellStyle name="Normal 5 10 32 5 4" xfId="33644" xr:uid="{00000000-0005-0000-0000-00005D830000}"/>
    <cellStyle name="Normal 5 10 32 5 5" xfId="33645" xr:uid="{00000000-0005-0000-0000-00005E830000}"/>
    <cellStyle name="Normal 5 10 32 5 6" xfId="33646" xr:uid="{00000000-0005-0000-0000-00005F830000}"/>
    <cellStyle name="Normal 5 10 32 5 7" xfId="33647" xr:uid="{00000000-0005-0000-0000-000060830000}"/>
    <cellStyle name="Normal 5 10 32 5 8" xfId="33648" xr:uid="{00000000-0005-0000-0000-000061830000}"/>
    <cellStyle name="Normal 5 10 32 5 9" xfId="33649" xr:uid="{00000000-0005-0000-0000-000062830000}"/>
    <cellStyle name="Normal 5 10 32 6" xfId="33650" xr:uid="{00000000-0005-0000-0000-000063830000}"/>
    <cellStyle name="Normal 5 10 32 7" xfId="33651" xr:uid="{00000000-0005-0000-0000-000064830000}"/>
    <cellStyle name="Normal 5 10 32 8" xfId="33652" xr:uid="{00000000-0005-0000-0000-000065830000}"/>
    <cellStyle name="Normal 5 10 32 9" xfId="33653" xr:uid="{00000000-0005-0000-0000-000066830000}"/>
    <cellStyle name="Normal 5 10 33" xfId="33654" xr:uid="{00000000-0005-0000-0000-000067830000}"/>
    <cellStyle name="Normal 5 10 33 10" xfId="33655" xr:uid="{00000000-0005-0000-0000-000068830000}"/>
    <cellStyle name="Normal 5 10 33 11" xfId="33656" xr:uid="{00000000-0005-0000-0000-000069830000}"/>
    <cellStyle name="Normal 5 10 33 12" xfId="33657" xr:uid="{00000000-0005-0000-0000-00006A830000}"/>
    <cellStyle name="Normal 5 10 33 13" xfId="33658" xr:uid="{00000000-0005-0000-0000-00006B830000}"/>
    <cellStyle name="Normal 5 10 33 14" xfId="33659" xr:uid="{00000000-0005-0000-0000-00006C830000}"/>
    <cellStyle name="Normal 5 10 33 2" xfId="33660" xr:uid="{00000000-0005-0000-0000-00006D830000}"/>
    <cellStyle name="Normal 5 10 33 2 10" xfId="33661" xr:uid="{00000000-0005-0000-0000-00006E830000}"/>
    <cellStyle name="Normal 5 10 33 2 2" xfId="33662" xr:uid="{00000000-0005-0000-0000-00006F830000}"/>
    <cellStyle name="Normal 5 10 33 2 3" xfId="33663" xr:uid="{00000000-0005-0000-0000-000070830000}"/>
    <cellStyle name="Normal 5 10 33 2 4" xfId="33664" xr:uid="{00000000-0005-0000-0000-000071830000}"/>
    <cellStyle name="Normal 5 10 33 2 5" xfId="33665" xr:uid="{00000000-0005-0000-0000-000072830000}"/>
    <cellStyle name="Normal 5 10 33 2 6" xfId="33666" xr:uid="{00000000-0005-0000-0000-000073830000}"/>
    <cellStyle name="Normal 5 10 33 2 7" xfId="33667" xr:uid="{00000000-0005-0000-0000-000074830000}"/>
    <cellStyle name="Normal 5 10 33 2 8" xfId="33668" xr:uid="{00000000-0005-0000-0000-000075830000}"/>
    <cellStyle name="Normal 5 10 33 2 9" xfId="33669" xr:uid="{00000000-0005-0000-0000-000076830000}"/>
    <cellStyle name="Normal 5 10 33 3" xfId="33670" xr:uid="{00000000-0005-0000-0000-000077830000}"/>
    <cellStyle name="Normal 5 10 33 3 10" xfId="33671" xr:uid="{00000000-0005-0000-0000-000078830000}"/>
    <cellStyle name="Normal 5 10 33 3 2" xfId="33672" xr:uid="{00000000-0005-0000-0000-000079830000}"/>
    <cellStyle name="Normal 5 10 33 3 3" xfId="33673" xr:uid="{00000000-0005-0000-0000-00007A830000}"/>
    <cellStyle name="Normal 5 10 33 3 4" xfId="33674" xr:uid="{00000000-0005-0000-0000-00007B830000}"/>
    <cellStyle name="Normal 5 10 33 3 5" xfId="33675" xr:uid="{00000000-0005-0000-0000-00007C830000}"/>
    <cellStyle name="Normal 5 10 33 3 6" xfId="33676" xr:uid="{00000000-0005-0000-0000-00007D830000}"/>
    <cellStyle name="Normal 5 10 33 3 7" xfId="33677" xr:uid="{00000000-0005-0000-0000-00007E830000}"/>
    <cellStyle name="Normal 5 10 33 3 8" xfId="33678" xr:uid="{00000000-0005-0000-0000-00007F830000}"/>
    <cellStyle name="Normal 5 10 33 3 9" xfId="33679" xr:uid="{00000000-0005-0000-0000-000080830000}"/>
    <cellStyle name="Normal 5 10 33 4" xfId="33680" xr:uid="{00000000-0005-0000-0000-000081830000}"/>
    <cellStyle name="Normal 5 10 33 4 10" xfId="33681" xr:uid="{00000000-0005-0000-0000-000082830000}"/>
    <cellStyle name="Normal 5 10 33 4 2" xfId="33682" xr:uid="{00000000-0005-0000-0000-000083830000}"/>
    <cellStyle name="Normal 5 10 33 4 3" xfId="33683" xr:uid="{00000000-0005-0000-0000-000084830000}"/>
    <cellStyle name="Normal 5 10 33 4 4" xfId="33684" xr:uid="{00000000-0005-0000-0000-000085830000}"/>
    <cellStyle name="Normal 5 10 33 4 5" xfId="33685" xr:uid="{00000000-0005-0000-0000-000086830000}"/>
    <cellStyle name="Normal 5 10 33 4 6" xfId="33686" xr:uid="{00000000-0005-0000-0000-000087830000}"/>
    <cellStyle name="Normal 5 10 33 4 7" xfId="33687" xr:uid="{00000000-0005-0000-0000-000088830000}"/>
    <cellStyle name="Normal 5 10 33 4 8" xfId="33688" xr:uid="{00000000-0005-0000-0000-000089830000}"/>
    <cellStyle name="Normal 5 10 33 4 9" xfId="33689" xr:uid="{00000000-0005-0000-0000-00008A830000}"/>
    <cellStyle name="Normal 5 10 33 5" xfId="33690" xr:uid="{00000000-0005-0000-0000-00008B830000}"/>
    <cellStyle name="Normal 5 10 33 5 10" xfId="33691" xr:uid="{00000000-0005-0000-0000-00008C830000}"/>
    <cellStyle name="Normal 5 10 33 5 2" xfId="33692" xr:uid="{00000000-0005-0000-0000-00008D830000}"/>
    <cellStyle name="Normal 5 10 33 5 3" xfId="33693" xr:uid="{00000000-0005-0000-0000-00008E830000}"/>
    <cellStyle name="Normal 5 10 33 5 4" xfId="33694" xr:uid="{00000000-0005-0000-0000-00008F830000}"/>
    <cellStyle name="Normal 5 10 33 5 5" xfId="33695" xr:uid="{00000000-0005-0000-0000-000090830000}"/>
    <cellStyle name="Normal 5 10 33 5 6" xfId="33696" xr:uid="{00000000-0005-0000-0000-000091830000}"/>
    <cellStyle name="Normal 5 10 33 5 7" xfId="33697" xr:uid="{00000000-0005-0000-0000-000092830000}"/>
    <cellStyle name="Normal 5 10 33 5 8" xfId="33698" xr:uid="{00000000-0005-0000-0000-000093830000}"/>
    <cellStyle name="Normal 5 10 33 5 9" xfId="33699" xr:uid="{00000000-0005-0000-0000-000094830000}"/>
    <cellStyle name="Normal 5 10 33 6" xfId="33700" xr:uid="{00000000-0005-0000-0000-000095830000}"/>
    <cellStyle name="Normal 5 10 33 7" xfId="33701" xr:uid="{00000000-0005-0000-0000-000096830000}"/>
    <cellStyle name="Normal 5 10 33 8" xfId="33702" xr:uid="{00000000-0005-0000-0000-000097830000}"/>
    <cellStyle name="Normal 5 10 33 9" xfId="33703" xr:uid="{00000000-0005-0000-0000-000098830000}"/>
    <cellStyle name="Normal 5 10 34" xfId="33704" xr:uid="{00000000-0005-0000-0000-000099830000}"/>
    <cellStyle name="Normal 5 10 34 10" xfId="33705" xr:uid="{00000000-0005-0000-0000-00009A830000}"/>
    <cellStyle name="Normal 5 10 34 11" xfId="33706" xr:uid="{00000000-0005-0000-0000-00009B830000}"/>
    <cellStyle name="Normal 5 10 34 12" xfId="33707" xr:uid="{00000000-0005-0000-0000-00009C830000}"/>
    <cellStyle name="Normal 5 10 34 13" xfId="33708" xr:uid="{00000000-0005-0000-0000-00009D830000}"/>
    <cellStyle name="Normal 5 10 34 14" xfId="33709" xr:uid="{00000000-0005-0000-0000-00009E830000}"/>
    <cellStyle name="Normal 5 10 34 2" xfId="33710" xr:uid="{00000000-0005-0000-0000-00009F830000}"/>
    <cellStyle name="Normal 5 10 34 2 10" xfId="33711" xr:uid="{00000000-0005-0000-0000-0000A0830000}"/>
    <cellStyle name="Normal 5 10 34 2 2" xfId="33712" xr:uid="{00000000-0005-0000-0000-0000A1830000}"/>
    <cellStyle name="Normal 5 10 34 2 3" xfId="33713" xr:uid="{00000000-0005-0000-0000-0000A2830000}"/>
    <cellStyle name="Normal 5 10 34 2 4" xfId="33714" xr:uid="{00000000-0005-0000-0000-0000A3830000}"/>
    <cellStyle name="Normal 5 10 34 2 5" xfId="33715" xr:uid="{00000000-0005-0000-0000-0000A4830000}"/>
    <cellStyle name="Normal 5 10 34 2 6" xfId="33716" xr:uid="{00000000-0005-0000-0000-0000A5830000}"/>
    <cellStyle name="Normal 5 10 34 2 7" xfId="33717" xr:uid="{00000000-0005-0000-0000-0000A6830000}"/>
    <cellStyle name="Normal 5 10 34 2 8" xfId="33718" xr:uid="{00000000-0005-0000-0000-0000A7830000}"/>
    <cellStyle name="Normal 5 10 34 2 9" xfId="33719" xr:uid="{00000000-0005-0000-0000-0000A8830000}"/>
    <cellStyle name="Normal 5 10 34 3" xfId="33720" xr:uid="{00000000-0005-0000-0000-0000A9830000}"/>
    <cellStyle name="Normal 5 10 34 3 10" xfId="33721" xr:uid="{00000000-0005-0000-0000-0000AA830000}"/>
    <cellStyle name="Normal 5 10 34 3 2" xfId="33722" xr:uid="{00000000-0005-0000-0000-0000AB830000}"/>
    <cellStyle name="Normal 5 10 34 3 3" xfId="33723" xr:uid="{00000000-0005-0000-0000-0000AC830000}"/>
    <cellStyle name="Normal 5 10 34 3 4" xfId="33724" xr:uid="{00000000-0005-0000-0000-0000AD830000}"/>
    <cellStyle name="Normal 5 10 34 3 5" xfId="33725" xr:uid="{00000000-0005-0000-0000-0000AE830000}"/>
    <cellStyle name="Normal 5 10 34 3 6" xfId="33726" xr:uid="{00000000-0005-0000-0000-0000AF830000}"/>
    <cellStyle name="Normal 5 10 34 3 7" xfId="33727" xr:uid="{00000000-0005-0000-0000-0000B0830000}"/>
    <cellStyle name="Normal 5 10 34 3 8" xfId="33728" xr:uid="{00000000-0005-0000-0000-0000B1830000}"/>
    <cellStyle name="Normal 5 10 34 3 9" xfId="33729" xr:uid="{00000000-0005-0000-0000-0000B2830000}"/>
    <cellStyle name="Normal 5 10 34 4" xfId="33730" xr:uid="{00000000-0005-0000-0000-0000B3830000}"/>
    <cellStyle name="Normal 5 10 34 4 10" xfId="33731" xr:uid="{00000000-0005-0000-0000-0000B4830000}"/>
    <cellStyle name="Normal 5 10 34 4 2" xfId="33732" xr:uid="{00000000-0005-0000-0000-0000B5830000}"/>
    <cellStyle name="Normal 5 10 34 4 3" xfId="33733" xr:uid="{00000000-0005-0000-0000-0000B6830000}"/>
    <cellStyle name="Normal 5 10 34 4 4" xfId="33734" xr:uid="{00000000-0005-0000-0000-0000B7830000}"/>
    <cellStyle name="Normal 5 10 34 4 5" xfId="33735" xr:uid="{00000000-0005-0000-0000-0000B8830000}"/>
    <cellStyle name="Normal 5 10 34 4 6" xfId="33736" xr:uid="{00000000-0005-0000-0000-0000B9830000}"/>
    <cellStyle name="Normal 5 10 34 4 7" xfId="33737" xr:uid="{00000000-0005-0000-0000-0000BA830000}"/>
    <cellStyle name="Normal 5 10 34 4 8" xfId="33738" xr:uid="{00000000-0005-0000-0000-0000BB830000}"/>
    <cellStyle name="Normal 5 10 34 4 9" xfId="33739" xr:uid="{00000000-0005-0000-0000-0000BC830000}"/>
    <cellStyle name="Normal 5 10 34 5" xfId="33740" xr:uid="{00000000-0005-0000-0000-0000BD830000}"/>
    <cellStyle name="Normal 5 10 34 5 10" xfId="33741" xr:uid="{00000000-0005-0000-0000-0000BE830000}"/>
    <cellStyle name="Normal 5 10 34 5 2" xfId="33742" xr:uid="{00000000-0005-0000-0000-0000BF830000}"/>
    <cellStyle name="Normal 5 10 34 5 3" xfId="33743" xr:uid="{00000000-0005-0000-0000-0000C0830000}"/>
    <cellStyle name="Normal 5 10 34 5 4" xfId="33744" xr:uid="{00000000-0005-0000-0000-0000C1830000}"/>
    <cellStyle name="Normal 5 10 34 5 5" xfId="33745" xr:uid="{00000000-0005-0000-0000-0000C2830000}"/>
    <cellStyle name="Normal 5 10 34 5 6" xfId="33746" xr:uid="{00000000-0005-0000-0000-0000C3830000}"/>
    <cellStyle name="Normal 5 10 34 5 7" xfId="33747" xr:uid="{00000000-0005-0000-0000-0000C4830000}"/>
    <cellStyle name="Normal 5 10 34 5 8" xfId="33748" xr:uid="{00000000-0005-0000-0000-0000C5830000}"/>
    <cellStyle name="Normal 5 10 34 5 9" xfId="33749" xr:uid="{00000000-0005-0000-0000-0000C6830000}"/>
    <cellStyle name="Normal 5 10 34 6" xfId="33750" xr:uid="{00000000-0005-0000-0000-0000C7830000}"/>
    <cellStyle name="Normal 5 10 34 7" xfId="33751" xr:uid="{00000000-0005-0000-0000-0000C8830000}"/>
    <cellStyle name="Normal 5 10 34 8" xfId="33752" xr:uid="{00000000-0005-0000-0000-0000C9830000}"/>
    <cellStyle name="Normal 5 10 34 9" xfId="33753" xr:uid="{00000000-0005-0000-0000-0000CA830000}"/>
    <cellStyle name="Normal 5 10 35" xfId="33754" xr:uid="{00000000-0005-0000-0000-0000CB830000}"/>
    <cellStyle name="Normal 5 10 35 10" xfId="33755" xr:uid="{00000000-0005-0000-0000-0000CC830000}"/>
    <cellStyle name="Normal 5 10 35 2" xfId="33756" xr:uid="{00000000-0005-0000-0000-0000CD830000}"/>
    <cellStyle name="Normal 5 10 35 3" xfId="33757" xr:uid="{00000000-0005-0000-0000-0000CE830000}"/>
    <cellStyle name="Normal 5 10 35 4" xfId="33758" xr:uid="{00000000-0005-0000-0000-0000CF830000}"/>
    <cellStyle name="Normal 5 10 35 5" xfId="33759" xr:uid="{00000000-0005-0000-0000-0000D0830000}"/>
    <cellStyle name="Normal 5 10 35 6" xfId="33760" xr:uid="{00000000-0005-0000-0000-0000D1830000}"/>
    <cellStyle name="Normal 5 10 35 7" xfId="33761" xr:uid="{00000000-0005-0000-0000-0000D2830000}"/>
    <cellStyle name="Normal 5 10 35 8" xfId="33762" xr:uid="{00000000-0005-0000-0000-0000D3830000}"/>
    <cellStyle name="Normal 5 10 35 9" xfId="33763" xr:uid="{00000000-0005-0000-0000-0000D4830000}"/>
    <cellStyle name="Normal 5 10 36" xfId="33764" xr:uid="{00000000-0005-0000-0000-0000D5830000}"/>
    <cellStyle name="Normal 5 10 36 10" xfId="33765" xr:uid="{00000000-0005-0000-0000-0000D6830000}"/>
    <cellStyle name="Normal 5 10 36 2" xfId="33766" xr:uid="{00000000-0005-0000-0000-0000D7830000}"/>
    <cellStyle name="Normal 5 10 36 3" xfId="33767" xr:uid="{00000000-0005-0000-0000-0000D8830000}"/>
    <cellStyle name="Normal 5 10 36 4" xfId="33768" xr:uid="{00000000-0005-0000-0000-0000D9830000}"/>
    <cellStyle name="Normal 5 10 36 5" xfId="33769" xr:uid="{00000000-0005-0000-0000-0000DA830000}"/>
    <cellStyle name="Normal 5 10 36 6" xfId="33770" xr:uid="{00000000-0005-0000-0000-0000DB830000}"/>
    <cellStyle name="Normal 5 10 36 7" xfId="33771" xr:uid="{00000000-0005-0000-0000-0000DC830000}"/>
    <cellStyle name="Normal 5 10 36 8" xfId="33772" xr:uid="{00000000-0005-0000-0000-0000DD830000}"/>
    <cellStyle name="Normal 5 10 36 9" xfId="33773" xr:uid="{00000000-0005-0000-0000-0000DE830000}"/>
    <cellStyle name="Normal 5 10 37" xfId="33774" xr:uid="{00000000-0005-0000-0000-0000DF830000}"/>
    <cellStyle name="Normal 5 10 37 10" xfId="33775" xr:uid="{00000000-0005-0000-0000-0000E0830000}"/>
    <cellStyle name="Normal 5 10 37 2" xfId="33776" xr:uid="{00000000-0005-0000-0000-0000E1830000}"/>
    <cellStyle name="Normal 5 10 37 3" xfId="33777" xr:uid="{00000000-0005-0000-0000-0000E2830000}"/>
    <cellStyle name="Normal 5 10 37 4" xfId="33778" xr:uid="{00000000-0005-0000-0000-0000E3830000}"/>
    <cellStyle name="Normal 5 10 37 5" xfId="33779" xr:uid="{00000000-0005-0000-0000-0000E4830000}"/>
    <cellStyle name="Normal 5 10 37 6" xfId="33780" xr:uid="{00000000-0005-0000-0000-0000E5830000}"/>
    <cellStyle name="Normal 5 10 37 7" xfId="33781" xr:uid="{00000000-0005-0000-0000-0000E6830000}"/>
    <cellStyle name="Normal 5 10 37 8" xfId="33782" xr:uid="{00000000-0005-0000-0000-0000E7830000}"/>
    <cellStyle name="Normal 5 10 37 9" xfId="33783" xr:uid="{00000000-0005-0000-0000-0000E8830000}"/>
    <cellStyle name="Normal 5 10 38" xfId="33784" xr:uid="{00000000-0005-0000-0000-0000E9830000}"/>
    <cellStyle name="Normal 5 10 38 10" xfId="33785" xr:uid="{00000000-0005-0000-0000-0000EA830000}"/>
    <cellStyle name="Normal 5 10 38 2" xfId="33786" xr:uid="{00000000-0005-0000-0000-0000EB830000}"/>
    <cellStyle name="Normal 5 10 38 3" xfId="33787" xr:uid="{00000000-0005-0000-0000-0000EC830000}"/>
    <cellStyle name="Normal 5 10 38 4" xfId="33788" xr:uid="{00000000-0005-0000-0000-0000ED830000}"/>
    <cellStyle name="Normal 5 10 38 5" xfId="33789" xr:uid="{00000000-0005-0000-0000-0000EE830000}"/>
    <cellStyle name="Normal 5 10 38 6" xfId="33790" xr:uid="{00000000-0005-0000-0000-0000EF830000}"/>
    <cellStyle name="Normal 5 10 38 7" xfId="33791" xr:uid="{00000000-0005-0000-0000-0000F0830000}"/>
    <cellStyle name="Normal 5 10 38 8" xfId="33792" xr:uid="{00000000-0005-0000-0000-0000F1830000}"/>
    <cellStyle name="Normal 5 10 38 9" xfId="33793" xr:uid="{00000000-0005-0000-0000-0000F2830000}"/>
    <cellStyle name="Normal 5 10 39" xfId="33794" xr:uid="{00000000-0005-0000-0000-0000F3830000}"/>
    <cellStyle name="Normal 5 10 4" xfId="33795" xr:uid="{00000000-0005-0000-0000-0000F4830000}"/>
    <cellStyle name="Normal 5 10 4 10" xfId="33796" xr:uid="{00000000-0005-0000-0000-0000F5830000}"/>
    <cellStyle name="Normal 5 10 4 11" xfId="33797" xr:uid="{00000000-0005-0000-0000-0000F6830000}"/>
    <cellStyle name="Normal 5 10 4 12" xfId="33798" xr:uid="{00000000-0005-0000-0000-0000F7830000}"/>
    <cellStyle name="Normal 5 10 4 13" xfId="33799" xr:uid="{00000000-0005-0000-0000-0000F8830000}"/>
    <cellStyle name="Normal 5 10 4 14" xfId="33800" xr:uid="{00000000-0005-0000-0000-0000F9830000}"/>
    <cellStyle name="Normal 5 10 4 2" xfId="33801" xr:uid="{00000000-0005-0000-0000-0000FA830000}"/>
    <cellStyle name="Normal 5 10 4 2 10" xfId="33802" xr:uid="{00000000-0005-0000-0000-0000FB830000}"/>
    <cellStyle name="Normal 5 10 4 2 2" xfId="33803" xr:uid="{00000000-0005-0000-0000-0000FC830000}"/>
    <cellStyle name="Normal 5 10 4 2 3" xfId="33804" xr:uid="{00000000-0005-0000-0000-0000FD830000}"/>
    <cellStyle name="Normal 5 10 4 2 4" xfId="33805" xr:uid="{00000000-0005-0000-0000-0000FE830000}"/>
    <cellStyle name="Normal 5 10 4 2 5" xfId="33806" xr:uid="{00000000-0005-0000-0000-0000FF830000}"/>
    <cellStyle name="Normal 5 10 4 2 6" xfId="33807" xr:uid="{00000000-0005-0000-0000-000000840000}"/>
    <cellStyle name="Normal 5 10 4 2 7" xfId="33808" xr:uid="{00000000-0005-0000-0000-000001840000}"/>
    <cellStyle name="Normal 5 10 4 2 8" xfId="33809" xr:uid="{00000000-0005-0000-0000-000002840000}"/>
    <cellStyle name="Normal 5 10 4 2 9" xfId="33810" xr:uid="{00000000-0005-0000-0000-000003840000}"/>
    <cellStyle name="Normal 5 10 4 3" xfId="33811" xr:uid="{00000000-0005-0000-0000-000004840000}"/>
    <cellStyle name="Normal 5 10 4 3 10" xfId="33812" xr:uid="{00000000-0005-0000-0000-000005840000}"/>
    <cellStyle name="Normal 5 10 4 3 2" xfId="33813" xr:uid="{00000000-0005-0000-0000-000006840000}"/>
    <cellStyle name="Normal 5 10 4 3 3" xfId="33814" xr:uid="{00000000-0005-0000-0000-000007840000}"/>
    <cellStyle name="Normal 5 10 4 3 4" xfId="33815" xr:uid="{00000000-0005-0000-0000-000008840000}"/>
    <cellStyle name="Normal 5 10 4 3 5" xfId="33816" xr:uid="{00000000-0005-0000-0000-000009840000}"/>
    <cellStyle name="Normal 5 10 4 3 6" xfId="33817" xr:uid="{00000000-0005-0000-0000-00000A840000}"/>
    <cellStyle name="Normal 5 10 4 3 7" xfId="33818" xr:uid="{00000000-0005-0000-0000-00000B840000}"/>
    <cellStyle name="Normal 5 10 4 3 8" xfId="33819" xr:uid="{00000000-0005-0000-0000-00000C840000}"/>
    <cellStyle name="Normal 5 10 4 3 9" xfId="33820" xr:uid="{00000000-0005-0000-0000-00000D840000}"/>
    <cellStyle name="Normal 5 10 4 4" xfId="33821" xr:uid="{00000000-0005-0000-0000-00000E840000}"/>
    <cellStyle name="Normal 5 10 4 4 10" xfId="33822" xr:uid="{00000000-0005-0000-0000-00000F840000}"/>
    <cellStyle name="Normal 5 10 4 4 2" xfId="33823" xr:uid="{00000000-0005-0000-0000-000010840000}"/>
    <cellStyle name="Normal 5 10 4 4 3" xfId="33824" xr:uid="{00000000-0005-0000-0000-000011840000}"/>
    <cellStyle name="Normal 5 10 4 4 4" xfId="33825" xr:uid="{00000000-0005-0000-0000-000012840000}"/>
    <cellStyle name="Normal 5 10 4 4 5" xfId="33826" xr:uid="{00000000-0005-0000-0000-000013840000}"/>
    <cellStyle name="Normal 5 10 4 4 6" xfId="33827" xr:uid="{00000000-0005-0000-0000-000014840000}"/>
    <cellStyle name="Normal 5 10 4 4 7" xfId="33828" xr:uid="{00000000-0005-0000-0000-000015840000}"/>
    <cellStyle name="Normal 5 10 4 4 8" xfId="33829" xr:uid="{00000000-0005-0000-0000-000016840000}"/>
    <cellStyle name="Normal 5 10 4 4 9" xfId="33830" xr:uid="{00000000-0005-0000-0000-000017840000}"/>
    <cellStyle name="Normal 5 10 4 5" xfId="33831" xr:uid="{00000000-0005-0000-0000-000018840000}"/>
    <cellStyle name="Normal 5 10 4 5 10" xfId="33832" xr:uid="{00000000-0005-0000-0000-000019840000}"/>
    <cellStyle name="Normal 5 10 4 5 2" xfId="33833" xr:uid="{00000000-0005-0000-0000-00001A840000}"/>
    <cellStyle name="Normal 5 10 4 5 3" xfId="33834" xr:uid="{00000000-0005-0000-0000-00001B840000}"/>
    <cellStyle name="Normal 5 10 4 5 4" xfId="33835" xr:uid="{00000000-0005-0000-0000-00001C840000}"/>
    <cellStyle name="Normal 5 10 4 5 5" xfId="33836" xr:uid="{00000000-0005-0000-0000-00001D840000}"/>
    <cellStyle name="Normal 5 10 4 5 6" xfId="33837" xr:uid="{00000000-0005-0000-0000-00001E840000}"/>
    <cellStyle name="Normal 5 10 4 5 7" xfId="33838" xr:uid="{00000000-0005-0000-0000-00001F840000}"/>
    <cellStyle name="Normal 5 10 4 5 8" xfId="33839" xr:uid="{00000000-0005-0000-0000-000020840000}"/>
    <cellStyle name="Normal 5 10 4 5 9" xfId="33840" xr:uid="{00000000-0005-0000-0000-000021840000}"/>
    <cellStyle name="Normal 5 10 4 6" xfId="33841" xr:uid="{00000000-0005-0000-0000-000022840000}"/>
    <cellStyle name="Normal 5 10 4 7" xfId="33842" xr:uid="{00000000-0005-0000-0000-000023840000}"/>
    <cellStyle name="Normal 5 10 4 8" xfId="33843" xr:uid="{00000000-0005-0000-0000-000024840000}"/>
    <cellStyle name="Normal 5 10 4 9" xfId="33844" xr:uid="{00000000-0005-0000-0000-000025840000}"/>
    <cellStyle name="Normal 5 10 40" xfId="33845" xr:uid="{00000000-0005-0000-0000-000026840000}"/>
    <cellStyle name="Normal 5 10 41" xfId="33846" xr:uid="{00000000-0005-0000-0000-000027840000}"/>
    <cellStyle name="Normal 5 10 42" xfId="33847" xr:uid="{00000000-0005-0000-0000-000028840000}"/>
    <cellStyle name="Normal 5 10 43" xfId="33848" xr:uid="{00000000-0005-0000-0000-000029840000}"/>
    <cellStyle name="Normal 5 10 44" xfId="33849" xr:uid="{00000000-0005-0000-0000-00002A840000}"/>
    <cellStyle name="Normal 5 10 45" xfId="33850" xr:uid="{00000000-0005-0000-0000-00002B840000}"/>
    <cellStyle name="Normal 5 10 46" xfId="33851" xr:uid="{00000000-0005-0000-0000-00002C840000}"/>
    <cellStyle name="Normal 5 10 47" xfId="33852" xr:uid="{00000000-0005-0000-0000-00002D840000}"/>
    <cellStyle name="Normal 5 10 48" xfId="33853" xr:uid="{00000000-0005-0000-0000-00002E840000}"/>
    <cellStyle name="Normal 5 10 49" xfId="33854" xr:uid="{00000000-0005-0000-0000-00002F840000}"/>
    <cellStyle name="Normal 5 10 5" xfId="33855" xr:uid="{00000000-0005-0000-0000-000030840000}"/>
    <cellStyle name="Normal 5 10 5 10" xfId="33856" xr:uid="{00000000-0005-0000-0000-000031840000}"/>
    <cellStyle name="Normal 5 10 5 11" xfId="33857" xr:uid="{00000000-0005-0000-0000-000032840000}"/>
    <cellStyle name="Normal 5 10 5 12" xfId="33858" xr:uid="{00000000-0005-0000-0000-000033840000}"/>
    <cellStyle name="Normal 5 10 5 13" xfId="33859" xr:uid="{00000000-0005-0000-0000-000034840000}"/>
    <cellStyle name="Normal 5 10 5 14" xfId="33860" xr:uid="{00000000-0005-0000-0000-000035840000}"/>
    <cellStyle name="Normal 5 10 5 2" xfId="33861" xr:uid="{00000000-0005-0000-0000-000036840000}"/>
    <cellStyle name="Normal 5 10 5 2 10" xfId="33862" xr:uid="{00000000-0005-0000-0000-000037840000}"/>
    <cellStyle name="Normal 5 10 5 2 2" xfId="33863" xr:uid="{00000000-0005-0000-0000-000038840000}"/>
    <cellStyle name="Normal 5 10 5 2 3" xfId="33864" xr:uid="{00000000-0005-0000-0000-000039840000}"/>
    <cellStyle name="Normal 5 10 5 2 4" xfId="33865" xr:uid="{00000000-0005-0000-0000-00003A840000}"/>
    <cellStyle name="Normal 5 10 5 2 5" xfId="33866" xr:uid="{00000000-0005-0000-0000-00003B840000}"/>
    <cellStyle name="Normal 5 10 5 2 6" xfId="33867" xr:uid="{00000000-0005-0000-0000-00003C840000}"/>
    <cellStyle name="Normal 5 10 5 2 7" xfId="33868" xr:uid="{00000000-0005-0000-0000-00003D840000}"/>
    <cellStyle name="Normal 5 10 5 2 8" xfId="33869" xr:uid="{00000000-0005-0000-0000-00003E840000}"/>
    <cellStyle name="Normal 5 10 5 2 9" xfId="33870" xr:uid="{00000000-0005-0000-0000-00003F840000}"/>
    <cellStyle name="Normal 5 10 5 3" xfId="33871" xr:uid="{00000000-0005-0000-0000-000040840000}"/>
    <cellStyle name="Normal 5 10 5 3 10" xfId="33872" xr:uid="{00000000-0005-0000-0000-000041840000}"/>
    <cellStyle name="Normal 5 10 5 3 2" xfId="33873" xr:uid="{00000000-0005-0000-0000-000042840000}"/>
    <cellStyle name="Normal 5 10 5 3 3" xfId="33874" xr:uid="{00000000-0005-0000-0000-000043840000}"/>
    <cellStyle name="Normal 5 10 5 3 4" xfId="33875" xr:uid="{00000000-0005-0000-0000-000044840000}"/>
    <cellStyle name="Normal 5 10 5 3 5" xfId="33876" xr:uid="{00000000-0005-0000-0000-000045840000}"/>
    <cellStyle name="Normal 5 10 5 3 6" xfId="33877" xr:uid="{00000000-0005-0000-0000-000046840000}"/>
    <cellStyle name="Normal 5 10 5 3 7" xfId="33878" xr:uid="{00000000-0005-0000-0000-000047840000}"/>
    <cellStyle name="Normal 5 10 5 3 8" xfId="33879" xr:uid="{00000000-0005-0000-0000-000048840000}"/>
    <cellStyle name="Normal 5 10 5 3 9" xfId="33880" xr:uid="{00000000-0005-0000-0000-000049840000}"/>
    <cellStyle name="Normal 5 10 5 4" xfId="33881" xr:uid="{00000000-0005-0000-0000-00004A840000}"/>
    <cellStyle name="Normal 5 10 5 4 10" xfId="33882" xr:uid="{00000000-0005-0000-0000-00004B840000}"/>
    <cellStyle name="Normal 5 10 5 4 2" xfId="33883" xr:uid="{00000000-0005-0000-0000-00004C840000}"/>
    <cellStyle name="Normal 5 10 5 4 3" xfId="33884" xr:uid="{00000000-0005-0000-0000-00004D840000}"/>
    <cellStyle name="Normal 5 10 5 4 4" xfId="33885" xr:uid="{00000000-0005-0000-0000-00004E840000}"/>
    <cellStyle name="Normal 5 10 5 4 5" xfId="33886" xr:uid="{00000000-0005-0000-0000-00004F840000}"/>
    <cellStyle name="Normal 5 10 5 4 6" xfId="33887" xr:uid="{00000000-0005-0000-0000-000050840000}"/>
    <cellStyle name="Normal 5 10 5 4 7" xfId="33888" xr:uid="{00000000-0005-0000-0000-000051840000}"/>
    <cellStyle name="Normal 5 10 5 4 8" xfId="33889" xr:uid="{00000000-0005-0000-0000-000052840000}"/>
    <cellStyle name="Normal 5 10 5 4 9" xfId="33890" xr:uid="{00000000-0005-0000-0000-000053840000}"/>
    <cellStyle name="Normal 5 10 5 5" xfId="33891" xr:uid="{00000000-0005-0000-0000-000054840000}"/>
    <cellStyle name="Normal 5 10 5 5 10" xfId="33892" xr:uid="{00000000-0005-0000-0000-000055840000}"/>
    <cellStyle name="Normal 5 10 5 5 2" xfId="33893" xr:uid="{00000000-0005-0000-0000-000056840000}"/>
    <cellStyle name="Normal 5 10 5 5 3" xfId="33894" xr:uid="{00000000-0005-0000-0000-000057840000}"/>
    <cellStyle name="Normal 5 10 5 5 4" xfId="33895" xr:uid="{00000000-0005-0000-0000-000058840000}"/>
    <cellStyle name="Normal 5 10 5 5 5" xfId="33896" xr:uid="{00000000-0005-0000-0000-000059840000}"/>
    <cellStyle name="Normal 5 10 5 5 6" xfId="33897" xr:uid="{00000000-0005-0000-0000-00005A840000}"/>
    <cellStyle name="Normal 5 10 5 5 7" xfId="33898" xr:uid="{00000000-0005-0000-0000-00005B840000}"/>
    <cellStyle name="Normal 5 10 5 5 8" xfId="33899" xr:uid="{00000000-0005-0000-0000-00005C840000}"/>
    <cellStyle name="Normal 5 10 5 5 9" xfId="33900" xr:uid="{00000000-0005-0000-0000-00005D840000}"/>
    <cellStyle name="Normal 5 10 5 6" xfId="33901" xr:uid="{00000000-0005-0000-0000-00005E840000}"/>
    <cellStyle name="Normal 5 10 5 7" xfId="33902" xr:uid="{00000000-0005-0000-0000-00005F840000}"/>
    <cellStyle name="Normal 5 10 5 8" xfId="33903" xr:uid="{00000000-0005-0000-0000-000060840000}"/>
    <cellStyle name="Normal 5 10 5 9" xfId="33904" xr:uid="{00000000-0005-0000-0000-000061840000}"/>
    <cellStyle name="Normal 5 10 50" xfId="30799" xr:uid="{00000000-0005-0000-0000-000062840000}"/>
    <cellStyle name="Normal 5 10 6" xfId="33905" xr:uid="{00000000-0005-0000-0000-000063840000}"/>
    <cellStyle name="Normal 5 10 6 10" xfId="33906" xr:uid="{00000000-0005-0000-0000-000064840000}"/>
    <cellStyle name="Normal 5 10 6 11" xfId="33907" xr:uid="{00000000-0005-0000-0000-000065840000}"/>
    <cellStyle name="Normal 5 10 6 12" xfId="33908" xr:uid="{00000000-0005-0000-0000-000066840000}"/>
    <cellStyle name="Normal 5 10 6 13" xfId="33909" xr:uid="{00000000-0005-0000-0000-000067840000}"/>
    <cellStyle name="Normal 5 10 6 14" xfId="33910" xr:uid="{00000000-0005-0000-0000-000068840000}"/>
    <cellStyle name="Normal 5 10 6 2" xfId="33911" xr:uid="{00000000-0005-0000-0000-000069840000}"/>
    <cellStyle name="Normal 5 10 6 2 10" xfId="33912" xr:uid="{00000000-0005-0000-0000-00006A840000}"/>
    <cellStyle name="Normal 5 10 6 2 2" xfId="33913" xr:uid="{00000000-0005-0000-0000-00006B840000}"/>
    <cellStyle name="Normal 5 10 6 2 3" xfId="33914" xr:uid="{00000000-0005-0000-0000-00006C840000}"/>
    <cellStyle name="Normal 5 10 6 2 4" xfId="33915" xr:uid="{00000000-0005-0000-0000-00006D840000}"/>
    <cellStyle name="Normal 5 10 6 2 5" xfId="33916" xr:uid="{00000000-0005-0000-0000-00006E840000}"/>
    <cellStyle name="Normal 5 10 6 2 6" xfId="33917" xr:uid="{00000000-0005-0000-0000-00006F840000}"/>
    <cellStyle name="Normal 5 10 6 2 7" xfId="33918" xr:uid="{00000000-0005-0000-0000-000070840000}"/>
    <cellStyle name="Normal 5 10 6 2 8" xfId="33919" xr:uid="{00000000-0005-0000-0000-000071840000}"/>
    <cellStyle name="Normal 5 10 6 2 9" xfId="33920" xr:uid="{00000000-0005-0000-0000-000072840000}"/>
    <cellStyle name="Normal 5 10 6 3" xfId="33921" xr:uid="{00000000-0005-0000-0000-000073840000}"/>
    <cellStyle name="Normal 5 10 6 3 10" xfId="33922" xr:uid="{00000000-0005-0000-0000-000074840000}"/>
    <cellStyle name="Normal 5 10 6 3 2" xfId="33923" xr:uid="{00000000-0005-0000-0000-000075840000}"/>
    <cellStyle name="Normal 5 10 6 3 3" xfId="33924" xr:uid="{00000000-0005-0000-0000-000076840000}"/>
    <cellStyle name="Normal 5 10 6 3 4" xfId="33925" xr:uid="{00000000-0005-0000-0000-000077840000}"/>
    <cellStyle name="Normal 5 10 6 3 5" xfId="33926" xr:uid="{00000000-0005-0000-0000-000078840000}"/>
    <cellStyle name="Normal 5 10 6 3 6" xfId="33927" xr:uid="{00000000-0005-0000-0000-000079840000}"/>
    <cellStyle name="Normal 5 10 6 3 7" xfId="33928" xr:uid="{00000000-0005-0000-0000-00007A840000}"/>
    <cellStyle name="Normal 5 10 6 3 8" xfId="33929" xr:uid="{00000000-0005-0000-0000-00007B840000}"/>
    <cellStyle name="Normal 5 10 6 3 9" xfId="33930" xr:uid="{00000000-0005-0000-0000-00007C840000}"/>
    <cellStyle name="Normal 5 10 6 4" xfId="33931" xr:uid="{00000000-0005-0000-0000-00007D840000}"/>
    <cellStyle name="Normal 5 10 6 4 10" xfId="33932" xr:uid="{00000000-0005-0000-0000-00007E840000}"/>
    <cellStyle name="Normal 5 10 6 4 2" xfId="33933" xr:uid="{00000000-0005-0000-0000-00007F840000}"/>
    <cellStyle name="Normal 5 10 6 4 3" xfId="33934" xr:uid="{00000000-0005-0000-0000-000080840000}"/>
    <cellStyle name="Normal 5 10 6 4 4" xfId="33935" xr:uid="{00000000-0005-0000-0000-000081840000}"/>
    <cellStyle name="Normal 5 10 6 4 5" xfId="33936" xr:uid="{00000000-0005-0000-0000-000082840000}"/>
    <cellStyle name="Normal 5 10 6 4 6" xfId="33937" xr:uid="{00000000-0005-0000-0000-000083840000}"/>
    <cellStyle name="Normal 5 10 6 4 7" xfId="33938" xr:uid="{00000000-0005-0000-0000-000084840000}"/>
    <cellStyle name="Normal 5 10 6 4 8" xfId="33939" xr:uid="{00000000-0005-0000-0000-000085840000}"/>
    <cellStyle name="Normal 5 10 6 4 9" xfId="33940" xr:uid="{00000000-0005-0000-0000-000086840000}"/>
    <cellStyle name="Normal 5 10 6 5" xfId="33941" xr:uid="{00000000-0005-0000-0000-000087840000}"/>
    <cellStyle name="Normal 5 10 6 5 10" xfId="33942" xr:uid="{00000000-0005-0000-0000-000088840000}"/>
    <cellStyle name="Normal 5 10 6 5 2" xfId="33943" xr:uid="{00000000-0005-0000-0000-000089840000}"/>
    <cellStyle name="Normal 5 10 6 5 3" xfId="33944" xr:uid="{00000000-0005-0000-0000-00008A840000}"/>
    <cellStyle name="Normal 5 10 6 5 4" xfId="33945" xr:uid="{00000000-0005-0000-0000-00008B840000}"/>
    <cellStyle name="Normal 5 10 6 5 5" xfId="33946" xr:uid="{00000000-0005-0000-0000-00008C840000}"/>
    <cellStyle name="Normal 5 10 6 5 6" xfId="33947" xr:uid="{00000000-0005-0000-0000-00008D840000}"/>
    <cellStyle name="Normal 5 10 6 5 7" xfId="33948" xr:uid="{00000000-0005-0000-0000-00008E840000}"/>
    <cellStyle name="Normal 5 10 6 5 8" xfId="33949" xr:uid="{00000000-0005-0000-0000-00008F840000}"/>
    <cellStyle name="Normal 5 10 6 5 9" xfId="33950" xr:uid="{00000000-0005-0000-0000-000090840000}"/>
    <cellStyle name="Normal 5 10 6 6" xfId="33951" xr:uid="{00000000-0005-0000-0000-000091840000}"/>
    <cellStyle name="Normal 5 10 6 7" xfId="33952" xr:uid="{00000000-0005-0000-0000-000092840000}"/>
    <cellStyle name="Normal 5 10 6 8" xfId="33953" xr:uid="{00000000-0005-0000-0000-000093840000}"/>
    <cellStyle name="Normal 5 10 6 9" xfId="33954" xr:uid="{00000000-0005-0000-0000-000094840000}"/>
    <cellStyle name="Normal 5 10 7" xfId="33955" xr:uid="{00000000-0005-0000-0000-000095840000}"/>
    <cellStyle name="Normal 5 10 7 10" xfId="33956" xr:uid="{00000000-0005-0000-0000-000096840000}"/>
    <cellStyle name="Normal 5 10 7 11" xfId="33957" xr:uid="{00000000-0005-0000-0000-000097840000}"/>
    <cellStyle name="Normal 5 10 7 12" xfId="33958" xr:uid="{00000000-0005-0000-0000-000098840000}"/>
    <cellStyle name="Normal 5 10 7 13" xfId="33959" xr:uid="{00000000-0005-0000-0000-000099840000}"/>
    <cellStyle name="Normal 5 10 7 14" xfId="33960" xr:uid="{00000000-0005-0000-0000-00009A840000}"/>
    <cellStyle name="Normal 5 10 7 2" xfId="33961" xr:uid="{00000000-0005-0000-0000-00009B840000}"/>
    <cellStyle name="Normal 5 10 7 2 10" xfId="33962" xr:uid="{00000000-0005-0000-0000-00009C840000}"/>
    <cellStyle name="Normal 5 10 7 2 2" xfId="33963" xr:uid="{00000000-0005-0000-0000-00009D840000}"/>
    <cellStyle name="Normal 5 10 7 2 3" xfId="33964" xr:uid="{00000000-0005-0000-0000-00009E840000}"/>
    <cellStyle name="Normal 5 10 7 2 4" xfId="33965" xr:uid="{00000000-0005-0000-0000-00009F840000}"/>
    <cellStyle name="Normal 5 10 7 2 5" xfId="33966" xr:uid="{00000000-0005-0000-0000-0000A0840000}"/>
    <cellStyle name="Normal 5 10 7 2 6" xfId="33967" xr:uid="{00000000-0005-0000-0000-0000A1840000}"/>
    <cellStyle name="Normal 5 10 7 2 7" xfId="33968" xr:uid="{00000000-0005-0000-0000-0000A2840000}"/>
    <cellStyle name="Normal 5 10 7 2 8" xfId="33969" xr:uid="{00000000-0005-0000-0000-0000A3840000}"/>
    <cellStyle name="Normal 5 10 7 2 9" xfId="33970" xr:uid="{00000000-0005-0000-0000-0000A4840000}"/>
    <cellStyle name="Normal 5 10 7 3" xfId="33971" xr:uid="{00000000-0005-0000-0000-0000A5840000}"/>
    <cellStyle name="Normal 5 10 7 3 10" xfId="33972" xr:uid="{00000000-0005-0000-0000-0000A6840000}"/>
    <cellStyle name="Normal 5 10 7 3 2" xfId="33973" xr:uid="{00000000-0005-0000-0000-0000A7840000}"/>
    <cellStyle name="Normal 5 10 7 3 3" xfId="33974" xr:uid="{00000000-0005-0000-0000-0000A8840000}"/>
    <cellStyle name="Normal 5 10 7 3 4" xfId="33975" xr:uid="{00000000-0005-0000-0000-0000A9840000}"/>
    <cellStyle name="Normal 5 10 7 3 5" xfId="33976" xr:uid="{00000000-0005-0000-0000-0000AA840000}"/>
    <cellStyle name="Normal 5 10 7 3 6" xfId="33977" xr:uid="{00000000-0005-0000-0000-0000AB840000}"/>
    <cellStyle name="Normal 5 10 7 3 7" xfId="33978" xr:uid="{00000000-0005-0000-0000-0000AC840000}"/>
    <cellStyle name="Normal 5 10 7 3 8" xfId="33979" xr:uid="{00000000-0005-0000-0000-0000AD840000}"/>
    <cellStyle name="Normal 5 10 7 3 9" xfId="33980" xr:uid="{00000000-0005-0000-0000-0000AE840000}"/>
    <cellStyle name="Normal 5 10 7 4" xfId="33981" xr:uid="{00000000-0005-0000-0000-0000AF840000}"/>
    <cellStyle name="Normal 5 10 7 4 10" xfId="33982" xr:uid="{00000000-0005-0000-0000-0000B0840000}"/>
    <cellStyle name="Normal 5 10 7 4 2" xfId="33983" xr:uid="{00000000-0005-0000-0000-0000B1840000}"/>
    <cellStyle name="Normal 5 10 7 4 3" xfId="33984" xr:uid="{00000000-0005-0000-0000-0000B2840000}"/>
    <cellStyle name="Normal 5 10 7 4 4" xfId="33985" xr:uid="{00000000-0005-0000-0000-0000B3840000}"/>
    <cellStyle name="Normal 5 10 7 4 5" xfId="33986" xr:uid="{00000000-0005-0000-0000-0000B4840000}"/>
    <cellStyle name="Normal 5 10 7 4 6" xfId="33987" xr:uid="{00000000-0005-0000-0000-0000B5840000}"/>
    <cellStyle name="Normal 5 10 7 4 7" xfId="33988" xr:uid="{00000000-0005-0000-0000-0000B6840000}"/>
    <cellStyle name="Normal 5 10 7 4 8" xfId="33989" xr:uid="{00000000-0005-0000-0000-0000B7840000}"/>
    <cellStyle name="Normal 5 10 7 4 9" xfId="33990" xr:uid="{00000000-0005-0000-0000-0000B8840000}"/>
    <cellStyle name="Normal 5 10 7 5" xfId="33991" xr:uid="{00000000-0005-0000-0000-0000B9840000}"/>
    <cellStyle name="Normal 5 10 7 5 10" xfId="33992" xr:uid="{00000000-0005-0000-0000-0000BA840000}"/>
    <cellStyle name="Normal 5 10 7 5 2" xfId="33993" xr:uid="{00000000-0005-0000-0000-0000BB840000}"/>
    <cellStyle name="Normal 5 10 7 5 3" xfId="33994" xr:uid="{00000000-0005-0000-0000-0000BC840000}"/>
    <cellStyle name="Normal 5 10 7 5 4" xfId="33995" xr:uid="{00000000-0005-0000-0000-0000BD840000}"/>
    <cellStyle name="Normal 5 10 7 5 5" xfId="33996" xr:uid="{00000000-0005-0000-0000-0000BE840000}"/>
    <cellStyle name="Normal 5 10 7 5 6" xfId="33997" xr:uid="{00000000-0005-0000-0000-0000BF840000}"/>
    <cellStyle name="Normal 5 10 7 5 7" xfId="33998" xr:uid="{00000000-0005-0000-0000-0000C0840000}"/>
    <cellStyle name="Normal 5 10 7 5 8" xfId="33999" xr:uid="{00000000-0005-0000-0000-0000C1840000}"/>
    <cellStyle name="Normal 5 10 7 5 9" xfId="34000" xr:uid="{00000000-0005-0000-0000-0000C2840000}"/>
    <cellStyle name="Normal 5 10 7 6" xfId="34001" xr:uid="{00000000-0005-0000-0000-0000C3840000}"/>
    <cellStyle name="Normal 5 10 7 7" xfId="34002" xr:uid="{00000000-0005-0000-0000-0000C4840000}"/>
    <cellStyle name="Normal 5 10 7 8" xfId="34003" xr:uid="{00000000-0005-0000-0000-0000C5840000}"/>
    <cellStyle name="Normal 5 10 7 9" xfId="34004" xr:uid="{00000000-0005-0000-0000-0000C6840000}"/>
    <cellStyle name="Normal 5 10 8" xfId="34005" xr:uid="{00000000-0005-0000-0000-0000C7840000}"/>
    <cellStyle name="Normal 5 10 8 10" xfId="34006" xr:uid="{00000000-0005-0000-0000-0000C8840000}"/>
    <cellStyle name="Normal 5 10 8 11" xfId="34007" xr:uid="{00000000-0005-0000-0000-0000C9840000}"/>
    <cellStyle name="Normal 5 10 8 12" xfId="34008" xr:uid="{00000000-0005-0000-0000-0000CA840000}"/>
    <cellStyle name="Normal 5 10 8 13" xfId="34009" xr:uid="{00000000-0005-0000-0000-0000CB840000}"/>
    <cellStyle name="Normal 5 10 8 14" xfId="34010" xr:uid="{00000000-0005-0000-0000-0000CC840000}"/>
    <cellStyle name="Normal 5 10 8 2" xfId="34011" xr:uid="{00000000-0005-0000-0000-0000CD840000}"/>
    <cellStyle name="Normal 5 10 8 2 10" xfId="34012" xr:uid="{00000000-0005-0000-0000-0000CE840000}"/>
    <cellStyle name="Normal 5 10 8 2 2" xfId="34013" xr:uid="{00000000-0005-0000-0000-0000CF840000}"/>
    <cellStyle name="Normal 5 10 8 2 3" xfId="34014" xr:uid="{00000000-0005-0000-0000-0000D0840000}"/>
    <cellStyle name="Normal 5 10 8 2 4" xfId="34015" xr:uid="{00000000-0005-0000-0000-0000D1840000}"/>
    <cellStyle name="Normal 5 10 8 2 5" xfId="34016" xr:uid="{00000000-0005-0000-0000-0000D2840000}"/>
    <cellStyle name="Normal 5 10 8 2 6" xfId="34017" xr:uid="{00000000-0005-0000-0000-0000D3840000}"/>
    <cellStyle name="Normal 5 10 8 2 7" xfId="34018" xr:uid="{00000000-0005-0000-0000-0000D4840000}"/>
    <cellStyle name="Normal 5 10 8 2 8" xfId="34019" xr:uid="{00000000-0005-0000-0000-0000D5840000}"/>
    <cellStyle name="Normal 5 10 8 2 9" xfId="34020" xr:uid="{00000000-0005-0000-0000-0000D6840000}"/>
    <cellStyle name="Normal 5 10 8 3" xfId="34021" xr:uid="{00000000-0005-0000-0000-0000D7840000}"/>
    <cellStyle name="Normal 5 10 8 3 10" xfId="34022" xr:uid="{00000000-0005-0000-0000-0000D8840000}"/>
    <cellStyle name="Normal 5 10 8 3 2" xfId="34023" xr:uid="{00000000-0005-0000-0000-0000D9840000}"/>
    <cellStyle name="Normal 5 10 8 3 3" xfId="34024" xr:uid="{00000000-0005-0000-0000-0000DA840000}"/>
    <cellStyle name="Normal 5 10 8 3 4" xfId="34025" xr:uid="{00000000-0005-0000-0000-0000DB840000}"/>
    <cellStyle name="Normal 5 10 8 3 5" xfId="34026" xr:uid="{00000000-0005-0000-0000-0000DC840000}"/>
    <cellStyle name="Normal 5 10 8 3 6" xfId="34027" xr:uid="{00000000-0005-0000-0000-0000DD840000}"/>
    <cellStyle name="Normal 5 10 8 3 7" xfId="34028" xr:uid="{00000000-0005-0000-0000-0000DE840000}"/>
    <cellStyle name="Normal 5 10 8 3 8" xfId="34029" xr:uid="{00000000-0005-0000-0000-0000DF840000}"/>
    <cellStyle name="Normal 5 10 8 3 9" xfId="34030" xr:uid="{00000000-0005-0000-0000-0000E0840000}"/>
    <cellStyle name="Normal 5 10 8 4" xfId="34031" xr:uid="{00000000-0005-0000-0000-0000E1840000}"/>
    <cellStyle name="Normal 5 10 8 4 10" xfId="34032" xr:uid="{00000000-0005-0000-0000-0000E2840000}"/>
    <cellStyle name="Normal 5 10 8 4 2" xfId="34033" xr:uid="{00000000-0005-0000-0000-0000E3840000}"/>
    <cellStyle name="Normal 5 10 8 4 3" xfId="34034" xr:uid="{00000000-0005-0000-0000-0000E4840000}"/>
    <cellStyle name="Normal 5 10 8 4 4" xfId="34035" xr:uid="{00000000-0005-0000-0000-0000E5840000}"/>
    <cellStyle name="Normal 5 10 8 4 5" xfId="34036" xr:uid="{00000000-0005-0000-0000-0000E6840000}"/>
    <cellStyle name="Normal 5 10 8 4 6" xfId="34037" xr:uid="{00000000-0005-0000-0000-0000E7840000}"/>
    <cellStyle name="Normal 5 10 8 4 7" xfId="34038" xr:uid="{00000000-0005-0000-0000-0000E8840000}"/>
    <cellStyle name="Normal 5 10 8 4 8" xfId="34039" xr:uid="{00000000-0005-0000-0000-0000E9840000}"/>
    <cellStyle name="Normal 5 10 8 4 9" xfId="34040" xr:uid="{00000000-0005-0000-0000-0000EA840000}"/>
    <cellStyle name="Normal 5 10 8 5" xfId="34041" xr:uid="{00000000-0005-0000-0000-0000EB840000}"/>
    <cellStyle name="Normal 5 10 8 5 10" xfId="34042" xr:uid="{00000000-0005-0000-0000-0000EC840000}"/>
    <cellStyle name="Normal 5 10 8 5 2" xfId="34043" xr:uid="{00000000-0005-0000-0000-0000ED840000}"/>
    <cellStyle name="Normal 5 10 8 5 3" xfId="34044" xr:uid="{00000000-0005-0000-0000-0000EE840000}"/>
    <cellStyle name="Normal 5 10 8 5 4" xfId="34045" xr:uid="{00000000-0005-0000-0000-0000EF840000}"/>
    <cellStyle name="Normal 5 10 8 5 5" xfId="34046" xr:uid="{00000000-0005-0000-0000-0000F0840000}"/>
    <cellStyle name="Normal 5 10 8 5 6" xfId="34047" xr:uid="{00000000-0005-0000-0000-0000F1840000}"/>
    <cellStyle name="Normal 5 10 8 5 7" xfId="34048" xr:uid="{00000000-0005-0000-0000-0000F2840000}"/>
    <cellStyle name="Normal 5 10 8 5 8" xfId="34049" xr:uid="{00000000-0005-0000-0000-0000F3840000}"/>
    <cellStyle name="Normal 5 10 8 5 9" xfId="34050" xr:uid="{00000000-0005-0000-0000-0000F4840000}"/>
    <cellStyle name="Normal 5 10 8 6" xfId="34051" xr:uid="{00000000-0005-0000-0000-0000F5840000}"/>
    <cellStyle name="Normal 5 10 8 7" xfId="34052" xr:uid="{00000000-0005-0000-0000-0000F6840000}"/>
    <cellStyle name="Normal 5 10 8 8" xfId="34053" xr:uid="{00000000-0005-0000-0000-0000F7840000}"/>
    <cellStyle name="Normal 5 10 8 9" xfId="34054" xr:uid="{00000000-0005-0000-0000-0000F8840000}"/>
    <cellStyle name="Normal 5 10 9" xfId="34055" xr:uid="{00000000-0005-0000-0000-0000F9840000}"/>
    <cellStyle name="Normal 5 10 9 10" xfId="34056" xr:uid="{00000000-0005-0000-0000-0000FA840000}"/>
    <cellStyle name="Normal 5 10 9 11" xfId="34057" xr:uid="{00000000-0005-0000-0000-0000FB840000}"/>
    <cellStyle name="Normal 5 10 9 12" xfId="34058" xr:uid="{00000000-0005-0000-0000-0000FC840000}"/>
    <cellStyle name="Normal 5 10 9 13" xfId="34059" xr:uid="{00000000-0005-0000-0000-0000FD840000}"/>
    <cellStyle name="Normal 5 10 9 14" xfId="34060" xr:uid="{00000000-0005-0000-0000-0000FE840000}"/>
    <cellStyle name="Normal 5 10 9 2" xfId="34061" xr:uid="{00000000-0005-0000-0000-0000FF840000}"/>
    <cellStyle name="Normal 5 10 9 2 10" xfId="34062" xr:uid="{00000000-0005-0000-0000-000000850000}"/>
    <cellStyle name="Normal 5 10 9 2 2" xfId="34063" xr:uid="{00000000-0005-0000-0000-000001850000}"/>
    <cellStyle name="Normal 5 10 9 2 3" xfId="34064" xr:uid="{00000000-0005-0000-0000-000002850000}"/>
    <cellStyle name="Normal 5 10 9 2 4" xfId="34065" xr:uid="{00000000-0005-0000-0000-000003850000}"/>
    <cellStyle name="Normal 5 10 9 2 5" xfId="34066" xr:uid="{00000000-0005-0000-0000-000004850000}"/>
    <cellStyle name="Normal 5 10 9 2 6" xfId="34067" xr:uid="{00000000-0005-0000-0000-000005850000}"/>
    <cellStyle name="Normal 5 10 9 2 7" xfId="34068" xr:uid="{00000000-0005-0000-0000-000006850000}"/>
    <cellStyle name="Normal 5 10 9 2 8" xfId="34069" xr:uid="{00000000-0005-0000-0000-000007850000}"/>
    <cellStyle name="Normal 5 10 9 2 9" xfId="34070" xr:uid="{00000000-0005-0000-0000-000008850000}"/>
    <cellStyle name="Normal 5 10 9 3" xfId="34071" xr:uid="{00000000-0005-0000-0000-000009850000}"/>
    <cellStyle name="Normal 5 10 9 3 10" xfId="34072" xr:uid="{00000000-0005-0000-0000-00000A850000}"/>
    <cellStyle name="Normal 5 10 9 3 2" xfId="34073" xr:uid="{00000000-0005-0000-0000-00000B850000}"/>
    <cellStyle name="Normal 5 10 9 3 3" xfId="34074" xr:uid="{00000000-0005-0000-0000-00000C850000}"/>
    <cellStyle name="Normal 5 10 9 3 4" xfId="34075" xr:uid="{00000000-0005-0000-0000-00000D850000}"/>
    <cellStyle name="Normal 5 10 9 3 5" xfId="34076" xr:uid="{00000000-0005-0000-0000-00000E850000}"/>
    <cellStyle name="Normal 5 10 9 3 6" xfId="34077" xr:uid="{00000000-0005-0000-0000-00000F850000}"/>
    <cellStyle name="Normal 5 10 9 3 7" xfId="34078" xr:uid="{00000000-0005-0000-0000-000010850000}"/>
    <cellStyle name="Normal 5 10 9 3 8" xfId="34079" xr:uid="{00000000-0005-0000-0000-000011850000}"/>
    <cellStyle name="Normal 5 10 9 3 9" xfId="34080" xr:uid="{00000000-0005-0000-0000-000012850000}"/>
    <cellStyle name="Normal 5 10 9 4" xfId="34081" xr:uid="{00000000-0005-0000-0000-000013850000}"/>
    <cellStyle name="Normal 5 10 9 4 10" xfId="34082" xr:uid="{00000000-0005-0000-0000-000014850000}"/>
    <cellStyle name="Normal 5 10 9 4 2" xfId="34083" xr:uid="{00000000-0005-0000-0000-000015850000}"/>
    <cellStyle name="Normal 5 10 9 4 3" xfId="34084" xr:uid="{00000000-0005-0000-0000-000016850000}"/>
    <cellStyle name="Normal 5 10 9 4 4" xfId="34085" xr:uid="{00000000-0005-0000-0000-000017850000}"/>
    <cellStyle name="Normal 5 10 9 4 5" xfId="34086" xr:uid="{00000000-0005-0000-0000-000018850000}"/>
    <cellStyle name="Normal 5 10 9 4 6" xfId="34087" xr:uid="{00000000-0005-0000-0000-000019850000}"/>
    <cellStyle name="Normal 5 10 9 4 7" xfId="34088" xr:uid="{00000000-0005-0000-0000-00001A850000}"/>
    <cellStyle name="Normal 5 10 9 4 8" xfId="34089" xr:uid="{00000000-0005-0000-0000-00001B850000}"/>
    <cellStyle name="Normal 5 10 9 4 9" xfId="34090" xr:uid="{00000000-0005-0000-0000-00001C850000}"/>
    <cellStyle name="Normal 5 10 9 5" xfId="34091" xr:uid="{00000000-0005-0000-0000-00001D850000}"/>
    <cellStyle name="Normal 5 10 9 5 10" xfId="34092" xr:uid="{00000000-0005-0000-0000-00001E850000}"/>
    <cellStyle name="Normal 5 10 9 5 2" xfId="34093" xr:uid="{00000000-0005-0000-0000-00001F850000}"/>
    <cellStyle name="Normal 5 10 9 5 3" xfId="34094" xr:uid="{00000000-0005-0000-0000-000020850000}"/>
    <cellStyle name="Normal 5 10 9 5 4" xfId="34095" xr:uid="{00000000-0005-0000-0000-000021850000}"/>
    <cellStyle name="Normal 5 10 9 5 5" xfId="34096" xr:uid="{00000000-0005-0000-0000-000022850000}"/>
    <cellStyle name="Normal 5 10 9 5 6" xfId="34097" xr:uid="{00000000-0005-0000-0000-000023850000}"/>
    <cellStyle name="Normal 5 10 9 5 7" xfId="34098" xr:uid="{00000000-0005-0000-0000-000024850000}"/>
    <cellStyle name="Normal 5 10 9 5 8" xfId="34099" xr:uid="{00000000-0005-0000-0000-000025850000}"/>
    <cellStyle name="Normal 5 10 9 5 9" xfId="34100" xr:uid="{00000000-0005-0000-0000-000026850000}"/>
    <cellStyle name="Normal 5 10 9 6" xfId="34101" xr:uid="{00000000-0005-0000-0000-000027850000}"/>
    <cellStyle name="Normal 5 10 9 7" xfId="34102" xr:uid="{00000000-0005-0000-0000-000028850000}"/>
    <cellStyle name="Normal 5 10 9 8" xfId="34103" xr:uid="{00000000-0005-0000-0000-000029850000}"/>
    <cellStyle name="Normal 5 10 9 9" xfId="34104" xr:uid="{00000000-0005-0000-0000-00002A850000}"/>
    <cellStyle name="Normal 5 11" xfId="34105" xr:uid="{00000000-0005-0000-0000-00002B850000}"/>
    <cellStyle name="Normal 5 11 2" xfId="34106" xr:uid="{00000000-0005-0000-0000-00002C850000}"/>
    <cellStyle name="Normal 5 11 2 2" xfId="34107" xr:uid="{00000000-0005-0000-0000-00002D850000}"/>
    <cellStyle name="Normal 5 11 3" xfId="34108" xr:uid="{00000000-0005-0000-0000-00002E850000}"/>
    <cellStyle name="Normal 5 11 4" xfId="34109" xr:uid="{00000000-0005-0000-0000-00002F850000}"/>
    <cellStyle name="Normal 5 12" xfId="34110" xr:uid="{00000000-0005-0000-0000-000030850000}"/>
    <cellStyle name="Normal 5 12 2" xfId="34111" xr:uid="{00000000-0005-0000-0000-000031850000}"/>
    <cellStyle name="Normal 5 12 2 2" xfId="34112" xr:uid="{00000000-0005-0000-0000-000032850000}"/>
    <cellStyle name="Normal 5 12 3" xfId="34113" xr:uid="{00000000-0005-0000-0000-000033850000}"/>
    <cellStyle name="Normal 5 12 4" xfId="34114" xr:uid="{00000000-0005-0000-0000-000034850000}"/>
    <cellStyle name="Normal 5 13" xfId="34115" xr:uid="{00000000-0005-0000-0000-000035850000}"/>
    <cellStyle name="Normal 5 13 2" xfId="34116" xr:uid="{00000000-0005-0000-0000-000036850000}"/>
    <cellStyle name="Normal 5 13 2 2" xfId="34117" xr:uid="{00000000-0005-0000-0000-000037850000}"/>
    <cellStyle name="Normal 5 13 3" xfId="34118" xr:uid="{00000000-0005-0000-0000-000038850000}"/>
    <cellStyle name="Normal 5 13 4" xfId="34119" xr:uid="{00000000-0005-0000-0000-000039850000}"/>
    <cellStyle name="Normal 5 14" xfId="34120" xr:uid="{00000000-0005-0000-0000-00003A850000}"/>
    <cellStyle name="Normal 5 14 2" xfId="34121" xr:uid="{00000000-0005-0000-0000-00003B850000}"/>
    <cellStyle name="Normal 5 14 2 2" xfId="34122" xr:uid="{00000000-0005-0000-0000-00003C850000}"/>
    <cellStyle name="Normal 5 14 3" xfId="34123" xr:uid="{00000000-0005-0000-0000-00003D850000}"/>
    <cellStyle name="Normal 5 14 4" xfId="34124" xr:uid="{00000000-0005-0000-0000-00003E850000}"/>
    <cellStyle name="Normal 5 15" xfId="34125" xr:uid="{00000000-0005-0000-0000-00003F850000}"/>
    <cellStyle name="Normal 5 15 2" xfId="34126" xr:uid="{00000000-0005-0000-0000-000040850000}"/>
    <cellStyle name="Normal 5 15 2 2" xfId="34127" xr:uid="{00000000-0005-0000-0000-000041850000}"/>
    <cellStyle name="Normal 5 15 3" xfId="34128" xr:uid="{00000000-0005-0000-0000-000042850000}"/>
    <cellStyle name="Normal 5 15 4" xfId="34129" xr:uid="{00000000-0005-0000-0000-000043850000}"/>
    <cellStyle name="Normal 5 16" xfId="34130" xr:uid="{00000000-0005-0000-0000-000044850000}"/>
    <cellStyle name="Normal 5 16 2" xfId="34131" xr:uid="{00000000-0005-0000-0000-000045850000}"/>
    <cellStyle name="Normal 5 16 2 2" xfId="34132" xr:uid="{00000000-0005-0000-0000-000046850000}"/>
    <cellStyle name="Normal 5 16 3" xfId="34133" xr:uid="{00000000-0005-0000-0000-000047850000}"/>
    <cellStyle name="Normal 5 16 4" xfId="34134" xr:uid="{00000000-0005-0000-0000-000048850000}"/>
    <cellStyle name="Normal 5 17" xfId="34135" xr:uid="{00000000-0005-0000-0000-000049850000}"/>
    <cellStyle name="Normal 5 17 10" xfId="34136" xr:uid="{00000000-0005-0000-0000-00004A850000}"/>
    <cellStyle name="Normal 5 17 10 10" xfId="34137" xr:uid="{00000000-0005-0000-0000-00004B850000}"/>
    <cellStyle name="Normal 5 17 10 11" xfId="34138" xr:uid="{00000000-0005-0000-0000-00004C850000}"/>
    <cellStyle name="Normal 5 17 10 12" xfId="34139" xr:uid="{00000000-0005-0000-0000-00004D850000}"/>
    <cellStyle name="Normal 5 17 10 13" xfId="34140" xr:uid="{00000000-0005-0000-0000-00004E850000}"/>
    <cellStyle name="Normal 5 17 10 14" xfId="34141" xr:uid="{00000000-0005-0000-0000-00004F850000}"/>
    <cellStyle name="Normal 5 17 10 2" xfId="34142" xr:uid="{00000000-0005-0000-0000-000050850000}"/>
    <cellStyle name="Normal 5 17 10 2 10" xfId="34143" xr:uid="{00000000-0005-0000-0000-000051850000}"/>
    <cellStyle name="Normal 5 17 10 2 2" xfId="34144" xr:uid="{00000000-0005-0000-0000-000052850000}"/>
    <cellStyle name="Normal 5 17 10 2 3" xfId="34145" xr:uid="{00000000-0005-0000-0000-000053850000}"/>
    <cellStyle name="Normal 5 17 10 2 4" xfId="34146" xr:uid="{00000000-0005-0000-0000-000054850000}"/>
    <cellStyle name="Normal 5 17 10 2 5" xfId="34147" xr:uid="{00000000-0005-0000-0000-000055850000}"/>
    <cellStyle name="Normal 5 17 10 2 6" xfId="34148" xr:uid="{00000000-0005-0000-0000-000056850000}"/>
    <cellStyle name="Normal 5 17 10 2 7" xfId="34149" xr:uid="{00000000-0005-0000-0000-000057850000}"/>
    <cellStyle name="Normal 5 17 10 2 8" xfId="34150" xr:uid="{00000000-0005-0000-0000-000058850000}"/>
    <cellStyle name="Normal 5 17 10 2 9" xfId="34151" xr:uid="{00000000-0005-0000-0000-000059850000}"/>
    <cellStyle name="Normal 5 17 10 3" xfId="34152" xr:uid="{00000000-0005-0000-0000-00005A850000}"/>
    <cellStyle name="Normal 5 17 10 3 10" xfId="34153" xr:uid="{00000000-0005-0000-0000-00005B850000}"/>
    <cellStyle name="Normal 5 17 10 3 2" xfId="34154" xr:uid="{00000000-0005-0000-0000-00005C850000}"/>
    <cellStyle name="Normal 5 17 10 3 3" xfId="34155" xr:uid="{00000000-0005-0000-0000-00005D850000}"/>
    <cellStyle name="Normal 5 17 10 3 4" xfId="34156" xr:uid="{00000000-0005-0000-0000-00005E850000}"/>
    <cellStyle name="Normal 5 17 10 3 5" xfId="34157" xr:uid="{00000000-0005-0000-0000-00005F850000}"/>
    <cellStyle name="Normal 5 17 10 3 6" xfId="34158" xr:uid="{00000000-0005-0000-0000-000060850000}"/>
    <cellStyle name="Normal 5 17 10 3 7" xfId="34159" xr:uid="{00000000-0005-0000-0000-000061850000}"/>
    <cellStyle name="Normal 5 17 10 3 8" xfId="34160" xr:uid="{00000000-0005-0000-0000-000062850000}"/>
    <cellStyle name="Normal 5 17 10 3 9" xfId="34161" xr:uid="{00000000-0005-0000-0000-000063850000}"/>
    <cellStyle name="Normal 5 17 10 4" xfId="34162" xr:uid="{00000000-0005-0000-0000-000064850000}"/>
    <cellStyle name="Normal 5 17 10 4 10" xfId="34163" xr:uid="{00000000-0005-0000-0000-000065850000}"/>
    <cellStyle name="Normal 5 17 10 4 2" xfId="34164" xr:uid="{00000000-0005-0000-0000-000066850000}"/>
    <cellStyle name="Normal 5 17 10 4 3" xfId="34165" xr:uid="{00000000-0005-0000-0000-000067850000}"/>
    <cellStyle name="Normal 5 17 10 4 4" xfId="34166" xr:uid="{00000000-0005-0000-0000-000068850000}"/>
    <cellStyle name="Normal 5 17 10 4 5" xfId="34167" xr:uid="{00000000-0005-0000-0000-000069850000}"/>
    <cellStyle name="Normal 5 17 10 4 6" xfId="34168" xr:uid="{00000000-0005-0000-0000-00006A850000}"/>
    <cellStyle name="Normal 5 17 10 4 7" xfId="34169" xr:uid="{00000000-0005-0000-0000-00006B850000}"/>
    <cellStyle name="Normal 5 17 10 4 8" xfId="34170" xr:uid="{00000000-0005-0000-0000-00006C850000}"/>
    <cellStyle name="Normal 5 17 10 4 9" xfId="34171" xr:uid="{00000000-0005-0000-0000-00006D850000}"/>
    <cellStyle name="Normal 5 17 10 5" xfId="34172" xr:uid="{00000000-0005-0000-0000-00006E850000}"/>
    <cellStyle name="Normal 5 17 10 5 10" xfId="34173" xr:uid="{00000000-0005-0000-0000-00006F850000}"/>
    <cellStyle name="Normal 5 17 10 5 2" xfId="34174" xr:uid="{00000000-0005-0000-0000-000070850000}"/>
    <cellStyle name="Normal 5 17 10 5 3" xfId="34175" xr:uid="{00000000-0005-0000-0000-000071850000}"/>
    <cellStyle name="Normal 5 17 10 5 4" xfId="34176" xr:uid="{00000000-0005-0000-0000-000072850000}"/>
    <cellStyle name="Normal 5 17 10 5 5" xfId="34177" xr:uid="{00000000-0005-0000-0000-000073850000}"/>
    <cellStyle name="Normal 5 17 10 5 6" xfId="34178" xr:uid="{00000000-0005-0000-0000-000074850000}"/>
    <cellStyle name="Normal 5 17 10 5 7" xfId="34179" xr:uid="{00000000-0005-0000-0000-000075850000}"/>
    <cellStyle name="Normal 5 17 10 5 8" xfId="34180" xr:uid="{00000000-0005-0000-0000-000076850000}"/>
    <cellStyle name="Normal 5 17 10 5 9" xfId="34181" xr:uid="{00000000-0005-0000-0000-000077850000}"/>
    <cellStyle name="Normal 5 17 10 6" xfId="34182" xr:uid="{00000000-0005-0000-0000-000078850000}"/>
    <cellStyle name="Normal 5 17 10 7" xfId="34183" xr:uid="{00000000-0005-0000-0000-000079850000}"/>
    <cellStyle name="Normal 5 17 10 8" xfId="34184" xr:uid="{00000000-0005-0000-0000-00007A850000}"/>
    <cellStyle name="Normal 5 17 10 9" xfId="34185" xr:uid="{00000000-0005-0000-0000-00007B850000}"/>
    <cellStyle name="Normal 5 17 11" xfId="34186" xr:uid="{00000000-0005-0000-0000-00007C850000}"/>
    <cellStyle name="Normal 5 17 11 10" xfId="34187" xr:uid="{00000000-0005-0000-0000-00007D850000}"/>
    <cellStyle name="Normal 5 17 11 11" xfId="34188" xr:uid="{00000000-0005-0000-0000-00007E850000}"/>
    <cellStyle name="Normal 5 17 11 12" xfId="34189" xr:uid="{00000000-0005-0000-0000-00007F850000}"/>
    <cellStyle name="Normal 5 17 11 13" xfId="34190" xr:uid="{00000000-0005-0000-0000-000080850000}"/>
    <cellStyle name="Normal 5 17 11 14" xfId="34191" xr:uid="{00000000-0005-0000-0000-000081850000}"/>
    <cellStyle name="Normal 5 17 11 2" xfId="34192" xr:uid="{00000000-0005-0000-0000-000082850000}"/>
    <cellStyle name="Normal 5 17 11 2 10" xfId="34193" xr:uid="{00000000-0005-0000-0000-000083850000}"/>
    <cellStyle name="Normal 5 17 11 2 2" xfId="34194" xr:uid="{00000000-0005-0000-0000-000084850000}"/>
    <cellStyle name="Normal 5 17 11 2 3" xfId="34195" xr:uid="{00000000-0005-0000-0000-000085850000}"/>
    <cellStyle name="Normal 5 17 11 2 4" xfId="34196" xr:uid="{00000000-0005-0000-0000-000086850000}"/>
    <cellStyle name="Normal 5 17 11 2 5" xfId="34197" xr:uid="{00000000-0005-0000-0000-000087850000}"/>
    <cellStyle name="Normal 5 17 11 2 6" xfId="34198" xr:uid="{00000000-0005-0000-0000-000088850000}"/>
    <cellStyle name="Normal 5 17 11 2 7" xfId="34199" xr:uid="{00000000-0005-0000-0000-000089850000}"/>
    <cellStyle name="Normal 5 17 11 2 8" xfId="34200" xr:uid="{00000000-0005-0000-0000-00008A850000}"/>
    <cellStyle name="Normal 5 17 11 2 9" xfId="34201" xr:uid="{00000000-0005-0000-0000-00008B850000}"/>
    <cellStyle name="Normal 5 17 11 3" xfId="34202" xr:uid="{00000000-0005-0000-0000-00008C850000}"/>
    <cellStyle name="Normal 5 17 11 3 10" xfId="34203" xr:uid="{00000000-0005-0000-0000-00008D850000}"/>
    <cellStyle name="Normal 5 17 11 3 2" xfId="34204" xr:uid="{00000000-0005-0000-0000-00008E850000}"/>
    <cellStyle name="Normal 5 17 11 3 3" xfId="34205" xr:uid="{00000000-0005-0000-0000-00008F850000}"/>
    <cellStyle name="Normal 5 17 11 3 4" xfId="34206" xr:uid="{00000000-0005-0000-0000-000090850000}"/>
    <cellStyle name="Normal 5 17 11 3 5" xfId="34207" xr:uid="{00000000-0005-0000-0000-000091850000}"/>
    <cellStyle name="Normal 5 17 11 3 6" xfId="34208" xr:uid="{00000000-0005-0000-0000-000092850000}"/>
    <cellStyle name="Normal 5 17 11 3 7" xfId="34209" xr:uid="{00000000-0005-0000-0000-000093850000}"/>
    <cellStyle name="Normal 5 17 11 3 8" xfId="34210" xr:uid="{00000000-0005-0000-0000-000094850000}"/>
    <cellStyle name="Normal 5 17 11 3 9" xfId="34211" xr:uid="{00000000-0005-0000-0000-000095850000}"/>
    <cellStyle name="Normal 5 17 11 4" xfId="34212" xr:uid="{00000000-0005-0000-0000-000096850000}"/>
    <cellStyle name="Normal 5 17 11 4 10" xfId="34213" xr:uid="{00000000-0005-0000-0000-000097850000}"/>
    <cellStyle name="Normal 5 17 11 4 2" xfId="34214" xr:uid="{00000000-0005-0000-0000-000098850000}"/>
    <cellStyle name="Normal 5 17 11 4 3" xfId="34215" xr:uid="{00000000-0005-0000-0000-000099850000}"/>
    <cellStyle name="Normal 5 17 11 4 4" xfId="34216" xr:uid="{00000000-0005-0000-0000-00009A850000}"/>
    <cellStyle name="Normal 5 17 11 4 5" xfId="34217" xr:uid="{00000000-0005-0000-0000-00009B850000}"/>
    <cellStyle name="Normal 5 17 11 4 6" xfId="34218" xr:uid="{00000000-0005-0000-0000-00009C850000}"/>
    <cellStyle name="Normal 5 17 11 4 7" xfId="34219" xr:uid="{00000000-0005-0000-0000-00009D850000}"/>
    <cellStyle name="Normal 5 17 11 4 8" xfId="34220" xr:uid="{00000000-0005-0000-0000-00009E850000}"/>
    <cellStyle name="Normal 5 17 11 4 9" xfId="34221" xr:uid="{00000000-0005-0000-0000-00009F850000}"/>
    <cellStyle name="Normal 5 17 11 5" xfId="34222" xr:uid="{00000000-0005-0000-0000-0000A0850000}"/>
    <cellStyle name="Normal 5 17 11 5 10" xfId="34223" xr:uid="{00000000-0005-0000-0000-0000A1850000}"/>
    <cellStyle name="Normal 5 17 11 5 2" xfId="34224" xr:uid="{00000000-0005-0000-0000-0000A2850000}"/>
    <cellStyle name="Normal 5 17 11 5 3" xfId="34225" xr:uid="{00000000-0005-0000-0000-0000A3850000}"/>
    <cellStyle name="Normal 5 17 11 5 4" xfId="34226" xr:uid="{00000000-0005-0000-0000-0000A4850000}"/>
    <cellStyle name="Normal 5 17 11 5 5" xfId="34227" xr:uid="{00000000-0005-0000-0000-0000A5850000}"/>
    <cellStyle name="Normal 5 17 11 5 6" xfId="34228" xr:uid="{00000000-0005-0000-0000-0000A6850000}"/>
    <cellStyle name="Normal 5 17 11 5 7" xfId="34229" xr:uid="{00000000-0005-0000-0000-0000A7850000}"/>
    <cellStyle name="Normal 5 17 11 5 8" xfId="34230" xr:uid="{00000000-0005-0000-0000-0000A8850000}"/>
    <cellStyle name="Normal 5 17 11 5 9" xfId="34231" xr:uid="{00000000-0005-0000-0000-0000A9850000}"/>
    <cellStyle name="Normal 5 17 11 6" xfId="34232" xr:uid="{00000000-0005-0000-0000-0000AA850000}"/>
    <cellStyle name="Normal 5 17 11 7" xfId="34233" xr:uid="{00000000-0005-0000-0000-0000AB850000}"/>
    <cellStyle name="Normal 5 17 11 8" xfId="34234" xr:uid="{00000000-0005-0000-0000-0000AC850000}"/>
    <cellStyle name="Normal 5 17 11 9" xfId="34235" xr:uid="{00000000-0005-0000-0000-0000AD850000}"/>
    <cellStyle name="Normal 5 17 12" xfId="34236" xr:uid="{00000000-0005-0000-0000-0000AE850000}"/>
    <cellStyle name="Normal 5 17 12 10" xfId="34237" xr:uid="{00000000-0005-0000-0000-0000AF850000}"/>
    <cellStyle name="Normal 5 17 12 11" xfId="34238" xr:uid="{00000000-0005-0000-0000-0000B0850000}"/>
    <cellStyle name="Normal 5 17 12 12" xfId="34239" xr:uid="{00000000-0005-0000-0000-0000B1850000}"/>
    <cellStyle name="Normal 5 17 12 13" xfId="34240" xr:uid="{00000000-0005-0000-0000-0000B2850000}"/>
    <cellStyle name="Normal 5 17 12 14" xfId="34241" xr:uid="{00000000-0005-0000-0000-0000B3850000}"/>
    <cellStyle name="Normal 5 17 12 2" xfId="34242" xr:uid="{00000000-0005-0000-0000-0000B4850000}"/>
    <cellStyle name="Normal 5 17 12 2 10" xfId="34243" xr:uid="{00000000-0005-0000-0000-0000B5850000}"/>
    <cellStyle name="Normal 5 17 12 2 2" xfId="34244" xr:uid="{00000000-0005-0000-0000-0000B6850000}"/>
    <cellStyle name="Normal 5 17 12 2 3" xfId="34245" xr:uid="{00000000-0005-0000-0000-0000B7850000}"/>
    <cellStyle name="Normal 5 17 12 2 4" xfId="34246" xr:uid="{00000000-0005-0000-0000-0000B8850000}"/>
    <cellStyle name="Normal 5 17 12 2 5" xfId="34247" xr:uid="{00000000-0005-0000-0000-0000B9850000}"/>
    <cellStyle name="Normal 5 17 12 2 6" xfId="34248" xr:uid="{00000000-0005-0000-0000-0000BA850000}"/>
    <cellStyle name="Normal 5 17 12 2 7" xfId="34249" xr:uid="{00000000-0005-0000-0000-0000BB850000}"/>
    <cellStyle name="Normal 5 17 12 2 8" xfId="34250" xr:uid="{00000000-0005-0000-0000-0000BC850000}"/>
    <cellStyle name="Normal 5 17 12 2 9" xfId="34251" xr:uid="{00000000-0005-0000-0000-0000BD850000}"/>
    <cellStyle name="Normal 5 17 12 3" xfId="34252" xr:uid="{00000000-0005-0000-0000-0000BE850000}"/>
    <cellStyle name="Normal 5 17 12 3 10" xfId="34253" xr:uid="{00000000-0005-0000-0000-0000BF850000}"/>
    <cellStyle name="Normal 5 17 12 3 2" xfId="34254" xr:uid="{00000000-0005-0000-0000-0000C0850000}"/>
    <cellStyle name="Normal 5 17 12 3 3" xfId="34255" xr:uid="{00000000-0005-0000-0000-0000C1850000}"/>
    <cellStyle name="Normal 5 17 12 3 4" xfId="34256" xr:uid="{00000000-0005-0000-0000-0000C2850000}"/>
    <cellStyle name="Normal 5 17 12 3 5" xfId="34257" xr:uid="{00000000-0005-0000-0000-0000C3850000}"/>
    <cellStyle name="Normal 5 17 12 3 6" xfId="34258" xr:uid="{00000000-0005-0000-0000-0000C4850000}"/>
    <cellStyle name="Normal 5 17 12 3 7" xfId="34259" xr:uid="{00000000-0005-0000-0000-0000C5850000}"/>
    <cellStyle name="Normal 5 17 12 3 8" xfId="34260" xr:uid="{00000000-0005-0000-0000-0000C6850000}"/>
    <cellStyle name="Normal 5 17 12 3 9" xfId="34261" xr:uid="{00000000-0005-0000-0000-0000C7850000}"/>
    <cellStyle name="Normal 5 17 12 4" xfId="34262" xr:uid="{00000000-0005-0000-0000-0000C8850000}"/>
    <cellStyle name="Normal 5 17 12 4 10" xfId="34263" xr:uid="{00000000-0005-0000-0000-0000C9850000}"/>
    <cellStyle name="Normal 5 17 12 4 2" xfId="34264" xr:uid="{00000000-0005-0000-0000-0000CA850000}"/>
    <cellStyle name="Normal 5 17 12 4 3" xfId="34265" xr:uid="{00000000-0005-0000-0000-0000CB850000}"/>
    <cellStyle name="Normal 5 17 12 4 4" xfId="34266" xr:uid="{00000000-0005-0000-0000-0000CC850000}"/>
    <cellStyle name="Normal 5 17 12 4 5" xfId="34267" xr:uid="{00000000-0005-0000-0000-0000CD850000}"/>
    <cellStyle name="Normal 5 17 12 4 6" xfId="34268" xr:uid="{00000000-0005-0000-0000-0000CE850000}"/>
    <cellStyle name="Normal 5 17 12 4 7" xfId="34269" xr:uid="{00000000-0005-0000-0000-0000CF850000}"/>
    <cellStyle name="Normal 5 17 12 4 8" xfId="34270" xr:uid="{00000000-0005-0000-0000-0000D0850000}"/>
    <cellStyle name="Normal 5 17 12 4 9" xfId="34271" xr:uid="{00000000-0005-0000-0000-0000D1850000}"/>
    <cellStyle name="Normal 5 17 12 5" xfId="34272" xr:uid="{00000000-0005-0000-0000-0000D2850000}"/>
    <cellStyle name="Normal 5 17 12 5 10" xfId="34273" xr:uid="{00000000-0005-0000-0000-0000D3850000}"/>
    <cellStyle name="Normal 5 17 12 5 2" xfId="34274" xr:uid="{00000000-0005-0000-0000-0000D4850000}"/>
    <cellStyle name="Normal 5 17 12 5 3" xfId="34275" xr:uid="{00000000-0005-0000-0000-0000D5850000}"/>
    <cellStyle name="Normal 5 17 12 5 4" xfId="34276" xr:uid="{00000000-0005-0000-0000-0000D6850000}"/>
    <cellStyle name="Normal 5 17 12 5 5" xfId="34277" xr:uid="{00000000-0005-0000-0000-0000D7850000}"/>
    <cellStyle name="Normal 5 17 12 5 6" xfId="34278" xr:uid="{00000000-0005-0000-0000-0000D8850000}"/>
    <cellStyle name="Normal 5 17 12 5 7" xfId="34279" xr:uid="{00000000-0005-0000-0000-0000D9850000}"/>
    <cellStyle name="Normal 5 17 12 5 8" xfId="34280" xr:uid="{00000000-0005-0000-0000-0000DA850000}"/>
    <cellStyle name="Normal 5 17 12 5 9" xfId="34281" xr:uid="{00000000-0005-0000-0000-0000DB850000}"/>
    <cellStyle name="Normal 5 17 12 6" xfId="34282" xr:uid="{00000000-0005-0000-0000-0000DC850000}"/>
    <cellStyle name="Normal 5 17 12 7" xfId="34283" xr:uid="{00000000-0005-0000-0000-0000DD850000}"/>
    <cellStyle name="Normal 5 17 12 8" xfId="34284" xr:uid="{00000000-0005-0000-0000-0000DE850000}"/>
    <cellStyle name="Normal 5 17 12 9" xfId="34285" xr:uid="{00000000-0005-0000-0000-0000DF850000}"/>
    <cellStyle name="Normal 5 17 13" xfId="34286" xr:uid="{00000000-0005-0000-0000-0000E0850000}"/>
    <cellStyle name="Normal 5 17 13 10" xfId="34287" xr:uid="{00000000-0005-0000-0000-0000E1850000}"/>
    <cellStyle name="Normal 5 17 13 11" xfId="34288" xr:uid="{00000000-0005-0000-0000-0000E2850000}"/>
    <cellStyle name="Normal 5 17 13 12" xfId="34289" xr:uid="{00000000-0005-0000-0000-0000E3850000}"/>
    <cellStyle name="Normal 5 17 13 13" xfId="34290" xr:uid="{00000000-0005-0000-0000-0000E4850000}"/>
    <cellStyle name="Normal 5 17 13 14" xfId="34291" xr:uid="{00000000-0005-0000-0000-0000E5850000}"/>
    <cellStyle name="Normal 5 17 13 2" xfId="34292" xr:uid="{00000000-0005-0000-0000-0000E6850000}"/>
    <cellStyle name="Normal 5 17 13 2 10" xfId="34293" xr:uid="{00000000-0005-0000-0000-0000E7850000}"/>
    <cellStyle name="Normal 5 17 13 2 2" xfId="34294" xr:uid="{00000000-0005-0000-0000-0000E8850000}"/>
    <cellStyle name="Normal 5 17 13 2 3" xfId="34295" xr:uid="{00000000-0005-0000-0000-0000E9850000}"/>
    <cellStyle name="Normal 5 17 13 2 4" xfId="34296" xr:uid="{00000000-0005-0000-0000-0000EA850000}"/>
    <cellStyle name="Normal 5 17 13 2 5" xfId="34297" xr:uid="{00000000-0005-0000-0000-0000EB850000}"/>
    <cellStyle name="Normal 5 17 13 2 6" xfId="34298" xr:uid="{00000000-0005-0000-0000-0000EC850000}"/>
    <cellStyle name="Normal 5 17 13 2 7" xfId="34299" xr:uid="{00000000-0005-0000-0000-0000ED850000}"/>
    <cellStyle name="Normal 5 17 13 2 8" xfId="34300" xr:uid="{00000000-0005-0000-0000-0000EE850000}"/>
    <cellStyle name="Normal 5 17 13 2 9" xfId="34301" xr:uid="{00000000-0005-0000-0000-0000EF850000}"/>
    <cellStyle name="Normal 5 17 13 3" xfId="34302" xr:uid="{00000000-0005-0000-0000-0000F0850000}"/>
    <cellStyle name="Normal 5 17 13 3 10" xfId="34303" xr:uid="{00000000-0005-0000-0000-0000F1850000}"/>
    <cellStyle name="Normal 5 17 13 3 2" xfId="34304" xr:uid="{00000000-0005-0000-0000-0000F2850000}"/>
    <cellStyle name="Normal 5 17 13 3 3" xfId="34305" xr:uid="{00000000-0005-0000-0000-0000F3850000}"/>
    <cellStyle name="Normal 5 17 13 3 4" xfId="34306" xr:uid="{00000000-0005-0000-0000-0000F4850000}"/>
    <cellStyle name="Normal 5 17 13 3 5" xfId="34307" xr:uid="{00000000-0005-0000-0000-0000F5850000}"/>
    <cellStyle name="Normal 5 17 13 3 6" xfId="34308" xr:uid="{00000000-0005-0000-0000-0000F6850000}"/>
    <cellStyle name="Normal 5 17 13 3 7" xfId="34309" xr:uid="{00000000-0005-0000-0000-0000F7850000}"/>
    <cellStyle name="Normal 5 17 13 3 8" xfId="34310" xr:uid="{00000000-0005-0000-0000-0000F8850000}"/>
    <cellStyle name="Normal 5 17 13 3 9" xfId="34311" xr:uid="{00000000-0005-0000-0000-0000F9850000}"/>
    <cellStyle name="Normal 5 17 13 4" xfId="34312" xr:uid="{00000000-0005-0000-0000-0000FA850000}"/>
    <cellStyle name="Normal 5 17 13 4 10" xfId="34313" xr:uid="{00000000-0005-0000-0000-0000FB850000}"/>
    <cellStyle name="Normal 5 17 13 4 2" xfId="34314" xr:uid="{00000000-0005-0000-0000-0000FC850000}"/>
    <cellStyle name="Normal 5 17 13 4 3" xfId="34315" xr:uid="{00000000-0005-0000-0000-0000FD850000}"/>
    <cellStyle name="Normal 5 17 13 4 4" xfId="34316" xr:uid="{00000000-0005-0000-0000-0000FE850000}"/>
    <cellStyle name="Normal 5 17 13 4 5" xfId="34317" xr:uid="{00000000-0005-0000-0000-0000FF850000}"/>
    <cellStyle name="Normal 5 17 13 4 6" xfId="34318" xr:uid="{00000000-0005-0000-0000-000000860000}"/>
    <cellStyle name="Normal 5 17 13 4 7" xfId="34319" xr:uid="{00000000-0005-0000-0000-000001860000}"/>
    <cellStyle name="Normal 5 17 13 4 8" xfId="34320" xr:uid="{00000000-0005-0000-0000-000002860000}"/>
    <cellStyle name="Normal 5 17 13 4 9" xfId="34321" xr:uid="{00000000-0005-0000-0000-000003860000}"/>
    <cellStyle name="Normal 5 17 13 5" xfId="34322" xr:uid="{00000000-0005-0000-0000-000004860000}"/>
    <cellStyle name="Normal 5 17 13 5 10" xfId="34323" xr:uid="{00000000-0005-0000-0000-000005860000}"/>
    <cellStyle name="Normal 5 17 13 5 2" xfId="34324" xr:uid="{00000000-0005-0000-0000-000006860000}"/>
    <cellStyle name="Normal 5 17 13 5 3" xfId="34325" xr:uid="{00000000-0005-0000-0000-000007860000}"/>
    <cellStyle name="Normal 5 17 13 5 4" xfId="34326" xr:uid="{00000000-0005-0000-0000-000008860000}"/>
    <cellStyle name="Normal 5 17 13 5 5" xfId="34327" xr:uid="{00000000-0005-0000-0000-000009860000}"/>
    <cellStyle name="Normal 5 17 13 5 6" xfId="34328" xr:uid="{00000000-0005-0000-0000-00000A860000}"/>
    <cellStyle name="Normal 5 17 13 5 7" xfId="34329" xr:uid="{00000000-0005-0000-0000-00000B860000}"/>
    <cellStyle name="Normal 5 17 13 5 8" xfId="34330" xr:uid="{00000000-0005-0000-0000-00000C860000}"/>
    <cellStyle name="Normal 5 17 13 5 9" xfId="34331" xr:uid="{00000000-0005-0000-0000-00000D860000}"/>
    <cellStyle name="Normal 5 17 13 6" xfId="34332" xr:uid="{00000000-0005-0000-0000-00000E860000}"/>
    <cellStyle name="Normal 5 17 13 7" xfId="34333" xr:uid="{00000000-0005-0000-0000-00000F860000}"/>
    <cellStyle name="Normal 5 17 13 8" xfId="34334" xr:uid="{00000000-0005-0000-0000-000010860000}"/>
    <cellStyle name="Normal 5 17 13 9" xfId="34335" xr:uid="{00000000-0005-0000-0000-000011860000}"/>
    <cellStyle name="Normal 5 17 14" xfId="34336" xr:uid="{00000000-0005-0000-0000-000012860000}"/>
    <cellStyle name="Normal 5 17 14 10" xfId="34337" xr:uid="{00000000-0005-0000-0000-000013860000}"/>
    <cellStyle name="Normal 5 17 14 11" xfId="34338" xr:uid="{00000000-0005-0000-0000-000014860000}"/>
    <cellStyle name="Normal 5 17 14 12" xfId="34339" xr:uid="{00000000-0005-0000-0000-000015860000}"/>
    <cellStyle name="Normal 5 17 14 13" xfId="34340" xr:uid="{00000000-0005-0000-0000-000016860000}"/>
    <cellStyle name="Normal 5 17 14 14" xfId="34341" xr:uid="{00000000-0005-0000-0000-000017860000}"/>
    <cellStyle name="Normal 5 17 14 2" xfId="34342" xr:uid="{00000000-0005-0000-0000-000018860000}"/>
    <cellStyle name="Normal 5 17 14 2 10" xfId="34343" xr:uid="{00000000-0005-0000-0000-000019860000}"/>
    <cellStyle name="Normal 5 17 14 2 2" xfId="34344" xr:uid="{00000000-0005-0000-0000-00001A860000}"/>
    <cellStyle name="Normal 5 17 14 2 3" xfId="34345" xr:uid="{00000000-0005-0000-0000-00001B860000}"/>
    <cellStyle name="Normal 5 17 14 2 4" xfId="34346" xr:uid="{00000000-0005-0000-0000-00001C860000}"/>
    <cellStyle name="Normal 5 17 14 2 5" xfId="34347" xr:uid="{00000000-0005-0000-0000-00001D860000}"/>
    <cellStyle name="Normal 5 17 14 2 6" xfId="34348" xr:uid="{00000000-0005-0000-0000-00001E860000}"/>
    <cellStyle name="Normal 5 17 14 2 7" xfId="34349" xr:uid="{00000000-0005-0000-0000-00001F860000}"/>
    <cellStyle name="Normal 5 17 14 2 8" xfId="34350" xr:uid="{00000000-0005-0000-0000-000020860000}"/>
    <cellStyle name="Normal 5 17 14 2 9" xfId="34351" xr:uid="{00000000-0005-0000-0000-000021860000}"/>
    <cellStyle name="Normal 5 17 14 3" xfId="34352" xr:uid="{00000000-0005-0000-0000-000022860000}"/>
    <cellStyle name="Normal 5 17 14 3 10" xfId="34353" xr:uid="{00000000-0005-0000-0000-000023860000}"/>
    <cellStyle name="Normal 5 17 14 3 2" xfId="34354" xr:uid="{00000000-0005-0000-0000-000024860000}"/>
    <cellStyle name="Normal 5 17 14 3 3" xfId="34355" xr:uid="{00000000-0005-0000-0000-000025860000}"/>
    <cellStyle name="Normal 5 17 14 3 4" xfId="34356" xr:uid="{00000000-0005-0000-0000-000026860000}"/>
    <cellStyle name="Normal 5 17 14 3 5" xfId="34357" xr:uid="{00000000-0005-0000-0000-000027860000}"/>
    <cellStyle name="Normal 5 17 14 3 6" xfId="34358" xr:uid="{00000000-0005-0000-0000-000028860000}"/>
    <cellStyle name="Normal 5 17 14 3 7" xfId="34359" xr:uid="{00000000-0005-0000-0000-000029860000}"/>
    <cellStyle name="Normal 5 17 14 3 8" xfId="34360" xr:uid="{00000000-0005-0000-0000-00002A860000}"/>
    <cellStyle name="Normal 5 17 14 3 9" xfId="34361" xr:uid="{00000000-0005-0000-0000-00002B860000}"/>
    <cellStyle name="Normal 5 17 14 4" xfId="34362" xr:uid="{00000000-0005-0000-0000-00002C860000}"/>
    <cellStyle name="Normal 5 17 14 4 10" xfId="34363" xr:uid="{00000000-0005-0000-0000-00002D860000}"/>
    <cellStyle name="Normal 5 17 14 4 2" xfId="34364" xr:uid="{00000000-0005-0000-0000-00002E860000}"/>
    <cellStyle name="Normal 5 17 14 4 3" xfId="34365" xr:uid="{00000000-0005-0000-0000-00002F860000}"/>
    <cellStyle name="Normal 5 17 14 4 4" xfId="34366" xr:uid="{00000000-0005-0000-0000-000030860000}"/>
    <cellStyle name="Normal 5 17 14 4 5" xfId="34367" xr:uid="{00000000-0005-0000-0000-000031860000}"/>
    <cellStyle name="Normal 5 17 14 4 6" xfId="34368" xr:uid="{00000000-0005-0000-0000-000032860000}"/>
    <cellStyle name="Normal 5 17 14 4 7" xfId="34369" xr:uid="{00000000-0005-0000-0000-000033860000}"/>
    <cellStyle name="Normal 5 17 14 4 8" xfId="34370" xr:uid="{00000000-0005-0000-0000-000034860000}"/>
    <cellStyle name="Normal 5 17 14 4 9" xfId="34371" xr:uid="{00000000-0005-0000-0000-000035860000}"/>
    <cellStyle name="Normal 5 17 14 5" xfId="34372" xr:uid="{00000000-0005-0000-0000-000036860000}"/>
    <cellStyle name="Normal 5 17 14 5 10" xfId="34373" xr:uid="{00000000-0005-0000-0000-000037860000}"/>
    <cellStyle name="Normal 5 17 14 5 2" xfId="34374" xr:uid="{00000000-0005-0000-0000-000038860000}"/>
    <cellStyle name="Normal 5 17 14 5 3" xfId="34375" xr:uid="{00000000-0005-0000-0000-000039860000}"/>
    <cellStyle name="Normal 5 17 14 5 4" xfId="34376" xr:uid="{00000000-0005-0000-0000-00003A860000}"/>
    <cellStyle name="Normal 5 17 14 5 5" xfId="34377" xr:uid="{00000000-0005-0000-0000-00003B860000}"/>
    <cellStyle name="Normal 5 17 14 5 6" xfId="34378" xr:uid="{00000000-0005-0000-0000-00003C860000}"/>
    <cellStyle name="Normal 5 17 14 5 7" xfId="34379" xr:uid="{00000000-0005-0000-0000-00003D860000}"/>
    <cellStyle name="Normal 5 17 14 5 8" xfId="34380" xr:uid="{00000000-0005-0000-0000-00003E860000}"/>
    <cellStyle name="Normal 5 17 14 5 9" xfId="34381" xr:uid="{00000000-0005-0000-0000-00003F860000}"/>
    <cellStyle name="Normal 5 17 14 6" xfId="34382" xr:uid="{00000000-0005-0000-0000-000040860000}"/>
    <cellStyle name="Normal 5 17 14 7" xfId="34383" xr:uid="{00000000-0005-0000-0000-000041860000}"/>
    <cellStyle name="Normal 5 17 14 8" xfId="34384" xr:uid="{00000000-0005-0000-0000-000042860000}"/>
    <cellStyle name="Normal 5 17 14 9" xfId="34385" xr:uid="{00000000-0005-0000-0000-000043860000}"/>
    <cellStyle name="Normal 5 17 15" xfId="34386" xr:uid="{00000000-0005-0000-0000-000044860000}"/>
    <cellStyle name="Normal 5 17 15 10" xfId="34387" xr:uid="{00000000-0005-0000-0000-000045860000}"/>
    <cellStyle name="Normal 5 17 15 11" xfId="34388" xr:uid="{00000000-0005-0000-0000-000046860000}"/>
    <cellStyle name="Normal 5 17 15 12" xfId="34389" xr:uid="{00000000-0005-0000-0000-000047860000}"/>
    <cellStyle name="Normal 5 17 15 13" xfId="34390" xr:uid="{00000000-0005-0000-0000-000048860000}"/>
    <cellStyle name="Normal 5 17 15 14" xfId="34391" xr:uid="{00000000-0005-0000-0000-000049860000}"/>
    <cellStyle name="Normal 5 17 15 2" xfId="34392" xr:uid="{00000000-0005-0000-0000-00004A860000}"/>
    <cellStyle name="Normal 5 17 15 2 10" xfId="34393" xr:uid="{00000000-0005-0000-0000-00004B860000}"/>
    <cellStyle name="Normal 5 17 15 2 2" xfId="34394" xr:uid="{00000000-0005-0000-0000-00004C860000}"/>
    <cellStyle name="Normal 5 17 15 2 3" xfId="34395" xr:uid="{00000000-0005-0000-0000-00004D860000}"/>
    <cellStyle name="Normal 5 17 15 2 4" xfId="34396" xr:uid="{00000000-0005-0000-0000-00004E860000}"/>
    <cellStyle name="Normal 5 17 15 2 5" xfId="34397" xr:uid="{00000000-0005-0000-0000-00004F860000}"/>
    <cellStyle name="Normal 5 17 15 2 6" xfId="34398" xr:uid="{00000000-0005-0000-0000-000050860000}"/>
    <cellStyle name="Normal 5 17 15 2 7" xfId="34399" xr:uid="{00000000-0005-0000-0000-000051860000}"/>
    <cellStyle name="Normal 5 17 15 2 8" xfId="34400" xr:uid="{00000000-0005-0000-0000-000052860000}"/>
    <cellStyle name="Normal 5 17 15 2 9" xfId="34401" xr:uid="{00000000-0005-0000-0000-000053860000}"/>
    <cellStyle name="Normal 5 17 15 3" xfId="34402" xr:uid="{00000000-0005-0000-0000-000054860000}"/>
    <cellStyle name="Normal 5 17 15 3 10" xfId="34403" xr:uid="{00000000-0005-0000-0000-000055860000}"/>
    <cellStyle name="Normal 5 17 15 3 2" xfId="34404" xr:uid="{00000000-0005-0000-0000-000056860000}"/>
    <cellStyle name="Normal 5 17 15 3 3" xfId="34405" xr:uid="{00000000-0005-0000-0000-000057860000}"/>
    <cellStyle name="Normal 5 17 15 3 4" xfId="34406" xr:uid="{00000000-0005-0000-0000-000058860000}"/>
    <cellStyle name="Normal 5 17 15 3 5" xfId="34407" xr:uid="{00000000-0005-0000-0000-000059860000}"/>
    <cellStyle name="Normal 5 17 15 3 6" xfId="34408" xr:uid="{00000000-0005-0000-0000-00005A860000}"/>
    <cellStyle name="Normal 5 17 15 3 7" xfId="34409" xr:uid="{00000000-0005-0000-0000-00005B860000}"/>
    <cellStyle name="Normal 5 17 15 3 8" xfId="34410" xr:uid="{00000000-0005-0000-0000-00005C860000}"/>
    <cellStyle name="Normal 5 17 15 3 9" xfId="34411" xr:uid="{00000000-0005-0000-0000-00005D860000}"/>
    <cellStyle name="Normal 5 17 15 4" xfId="34412" xr:uid="{00000000-0005-0000-0000-00005E860000}"/>
    <cellStyle name="Normal 5 17 15 4 10" xfId="34413" xr:uid="{00000000-0005-0000-0000-00005F860000}"/>
    <cellStyle name="Normal 5 17 15 4 2" xfId="34414" xr:uid="{00000000-0005-0000-0000-000060860000}"/>
    <cellStyle name="Normal 5 17 15 4 3" xfId="34415" xr:uid="{00000000-0005-0000-0000-000061860000}"/>
    <cellStyle name="Normal 5 17 15 4 4" xfId="34416" xr:uid="{00000000-0005-0000-0000-000062860000}"/>
    <cellStyle name="Normal 5 17 15 4 5" xfId="34417" xr:uid="{00000000-0005-0000-0000-000063860000}"/>
    <cellStyle name="Normal 5 17 15 4 6" xfId="34418" xr:uid="{00000000-0005-0000-0000-000064860000}"/>
    <cellStyle name="Normal 5 17 15 4 7" xfId="34419" xr:uid="{00000000-0005-0000-0000-000065860000}"/>
    <cellStyle name="Normal 5 17 15 4 8" xfId="34420" xr:uid="{00000000-0005-0000-0000-000066860000}"/>
    <cellStyle name="Normal 5 17 15 4 9" xfId="34421" xr:uid="{00000000-0005-0000-0000-000067860000}"/>
    <cellStyle name="Normal 5 17 15 5" xfId="34422" xr:uid="{00000000-0005-0000-0000-000068860000}"/>
    <cellStyle name="Normal 5 17 15 5 10" xfId="34423" xr:uid="{00000000-0005-0000-0000-000069860000}"/>
    <cellStyle name="Normal 5 17 15 5 2" xfId="34424" xr:uid="{00000000-0005-0000-0000-00006A860000}"/>
    <cellStyle name="Normal 5 17 15 5 3" xfId="34425" xr:uid="{00000000-0005-0000-0000-00006B860000}"/>
    <cellStyle name="Normal 5 17 15 5 4" xfId="34426" xr:uid="{00000000-0005-0000-0000-00006C860000}"/>
    <cellStyle name="Normal 5 17 15 5 5" xfId="34427" xr:uid="{00000000-0005-0000-0000-00006D860000}"/>
    <cellStyle name="Normal 5 17 15 5 6" xfId="34428" xr:uid="{00000000-0005-0000-0000-00006E860000}"/>
    <cellStyle name="Normal 5 17 15 5 7" xfId="34429" xr:uid="{00000000-0005-0000-0000-00006F860000}"/>
    <cellStyle name="Normal 5 17 15 5 8" xfId="34430" xr:uid="{00000000-0005-0000-0000-000070860000}"/>
    <cellStyle name="Normal 5 17 15 5 9" xfId="34431" xr:uid="{00000000-0005-0000-0000-000071860000}"/>
    <cellStyle name="Normal 5 17 15 6" xfId="34432" xr:uid="{00000000-0005-0000-0000-000072860000}"/>
    <cellStyle name="Normal 5 17 15 7" xfId="34433" xr:uid="{00000000-0005-0000-0000-000073860000}"/>
    <cellStyle name="Normal 5 17 15 8" xfId="34434" xr:uid="{00000000-0005-0000-0000-000074860000}"/>
    <cellStyle name="Normal 5 17 15 9" xfId="34435" xr:uid="{00000000-0005-0000-0000-000075860000}"/>
    <cellStyle name="Normal 5 17 16" xfId="34436" xr:uid="{00000000-0005-0000-0000-000076860000}"/>
    <cellStyle name="Normal 5 17 16 10" xfId="34437" xr:uid="{00000000-0005-0000-0000-000077860000}"/>
    <cellStyle name="Normal 5 17 16 11" xfId="34438" xr:uid="{00000000-0005-0000-0000-000078860000}"/>
    <cellStyle name="Normal 5 17 16 12" xfId="34439" xr:uid="{00000000-0005-0000-0000-000079860000}"/>
    <cellStyle name="Normal 5 17 16 13" xfId="34440" xr:uid="{00000000-0005-0000-0000-00007A860000}"/>
    <cellStyle name="Normal 5 17 16 14" xfId="34441" xr:uid="{00000000-0005-0000-0000-00007B860000}"/>
    <cellStyle name="Normal 5 17 16 2" xfId="34442" xr:uid="{00000000-0005-0000-0000-00007C860000}"/>
    <cellStyle name="Normal 5 17 16 2 10" xfId="34443" xr:uid="{00000000-0005-0000-0000-00007D860000}"/>
    <cellStyle name="Normal 5 17 16 2 2" xfId="34444" xr:uid="{00000000-0005-0000-0000-00007E860000}"/>
    <cellStyle name="Normal 5 17 16 2 3" xfId="34445" xr:uid="{00000000-0005-0000-0000-00007F860000}"/>
    <cellStyle name="Normal 5 17 16 2 4" xfId="34446" xr:uid="{00000000-0005-0000-0000-000080860000}"/>
    <cellStyle name="Normal 5 17 16 2 5" xfId="34447" xr:uid="{00000000-0005-0000-0000-000081860000}"/>
    <cellStyle name="Normal 5 17 16 2 6" xfId="34448" xr:uid="{00000000-0005-0000-0000-000082860000}"/>
    <cellStyle name="Normal 5 17 16 2 7" xfId="34449" xr:uid="{00000000-0005-0000-0000-000083860000}"/>
    <cellStyle name="Normal 5 17 16 2 8" xfId="34450" xr:uid="{00000000-0005-0000-0000-000084860000}"/>
    <cellStyle name="Normal 5 17 16 2 9" xfId="34451" xr:uid="{00000000-0005-0000-0000-000085860000}"/>
    <cellStyle name="Normal 5 17 16 3" xfId="34452" xr:uid="{00000000-0005-0000-0000-000086860000}"/>
    <cellStyle name="Normal 5 17 16 3 10" xfId="34453" xr:uid="{00000000-0005-0000-0000-000087860000}"/>
    <cellStyle name="Normal 5 17 16 3 2" xfId="34454" xr:uid="{00000000-0005-0000-0000-000088860000}"/>
    <cellStyle name="Normal 5 17 16 3 3" xfId="34455" xr:uid="{00000000-0005-0000-0000-000089860000}"/>
    <cellStyle name="Normal 5 17 16 3 4" xfId="34456" xr:uid="{00000000-0005-0000-0000-00008A860000}"/>
    <cellStyle name="Normal 5 17 16 3 5" xfId="34457" xr:uid="{00000000-0005-0000-0000-00008B860000}"/>
    <cellStyle name="Normal 5 17 16 3 6" xfId="34458" xr:uid="{00000000-0005-0000-0000-00008C860000}"/>
    <cellStyle name="Normal 5 17 16 3 7" xfId="34459" xr:uid="{00000000-0005-0000-0000-00008D860000}"/>
    <cellStyle name="Normal 5 17 16 3 8" xfId="34460" xr:uid="{00000000-0005-0000-0000-00008E860000}"/>
    <cellStyle name="Normal 5 17 16 3 9" xfId="34461" xr:uid="{00000000-0005-0000-0000-00008F860000}"/>
    <cellStyle name="Normal 5 17 16 4" xfId="34462" xr:uid="{00000000-0005-0000-0000-000090860000}"/>
    <cellStyle name="Normal 5 17 16 4 10" xfId="34463" xr:uid="{00000000-0005-0000-0000-000091860000}"/>
    <cellStyle name="Normal 5 17 16 4 2" xfId="34464" xr:uid="{00000000-0005-0000-0000-000092860000}"/>
    <cellStyle name="Normal 5 17 16 4 3" xfId="34465" xr:uid="{00000000-0005-0000-0000-000093860000}"/>
    <cellStyle name="Normal 5 17 16 4 4" xfId="34466" xr:uid="{00000000-0005-0000-0000-000094860000}"/>
    <cellStyle name="Normal 5 17 16 4 5" xfId="34467" xr:uid="{00000000-0005-0000-0000-000095860000}"/>
    <cellStyle name="Normal 5 17 16 4 6" xfId="34468" xr:uid="{00000000-0005-0000-0000-000096860000}"/>
    <cellStyle name="Normal 5 17 16 4 7" xfId="34469" xr:uid="{00000000-0005-0000-0000-000097860000}"/>
    <cellStyle name="Normal 5 17 16 4 8" xfId="34470" xr:uid="{00000000-0005-0000-0000-000098860000}"/>
    <cellStyle name="Normal 5 17 16 4 9" xfId="34471" xr:uid="{00000000-0005-0000-0000-000099860000}"/>
    <cellStyle name="Normal 5 17 16 5" xfId="34472" xr:uid="{00000000-0005-0000-0000-00009A860000}"/>
    <cellStyle name="Normal 5 17 16 5 10" xfId="34473" xr:uid="{00000000-0005-0000-0000-00009B860000}"/>
    <cellStyle name="Normal 5 17 16 5 2" xfId="34474" xr:uid="{00000000-0005-0000-0000-00009C860000}"/>
    <cellStyle name="Normal 5 17 16 5 3" xfId="34475" xr:uid="{00000000-0005-0000-0000-00009D860000}"/>
    <cellStyle name="Normal 5 17 16 5 4" xfId="34476" xr:uid="{00000000-0005-0000-0000-00009E860000}"/>
    <cellStyle name="Normal 5 17 16 5 5" xfId="34477" xr:uid="{00000000-0005-0000-0000-00009F860000}"/>
    <cellStyle name="Normal 5 17 16 5 6" xfId="34478" xr:uid="{00000000-0005-0000-0000-0000A0860000}"/>
    <cellStyle name="Normal 5 17 16 5 7" xfId="34479" xr:uid="{00000000-0005-0000-0000-0000A1860000}"/>
    <cellStyle name="Normal 5 17 16 5 8" xfId="34480" xr:uid="{00000000-0005-0000-0000-0000A2860000}"/>
    <cellStyle name="Normal 5 17 16 5 9" xfId="34481" xr:uid="{00000000-0005-0000-0000-0000A3860000}"/>
    <cellStyle name="Normal 5 17 16 6" xfId="34482" xr:uid="{00000000-0005-0000-0000-0000A4860000}"/>
    <cellStyle name="Normal 5 17 16 7" xfId="34483" xr:uid="{00000000-0005-0000-0000-0000A5860000}"/>
    <cellStyle name="Normal 5 17 16 8" xfId="34484" xr:uid="{00000000-0005-0000-0000-0000A6860000}"/>
    <cellStyle name="Normal 5 17 16 9" xfId="34485" xr:uid="{00000000-0005-0000-0000-0000A7860000}"/>
    <cellStyle name="Normal 5 17 17" xfId="34486" xr:uid="{00000000-0005-0000-0000-0000A8860000}"/>
    <cellStyle name="Normal 5 17 17 10" xfId="34487" xr:uid="{00000000-0005-0000-0000-0000A9860000}"/>
    <cellStyle name="Normal 5 17 17 11" xfId="34488" xr:uid="{00000000-0005-0000-0000-0000AA860000}"/>
    <cellStyle name="Normal 5 17 17 12" xfId="34489" xr:uid="{00000000-0005-0000-0000-0000AB860000}"/>
    <cellStyle name="Normal 5 17 17 13" xfId="34490" xr:uid="{00000000-0005-0000-0000-0000AC860000}"/>
    <cellStyle name="Normal 5 17 17 14" xfId="34491" xr:uid="{00000000-0005-0000-0000-0000AD860000}"/>
    <cellStyle name="Normal 5 17 17 2" xfId="34492" xr:uid="{00000000-0005-0000-0000-0000AE860000}"/>
    <cellStyle name="Normal 5 17 17 2 10" xfId="34493" xr:uid="{00000000-0005-0000-0000-0000AF860000}"/>
    <cellStyle name="Normal 5 17 17 2 2" xfId="34494" xr:uid="{00000000-0005-0000-0000-0000B0860000}"/>
    <cellStyle name="Normal 5 17 17 2 3" xfId="34495" xr:uid="{00000000-0005-0000-0000-0000B1860000}"/>
    <cellStyle name="Normal 5 17 17 2 4" xfId="34496" xr:uid="{00000000-0005-0000-0000-0000B2860000}"/>
    <cellStyle name="Normal 5 17 17 2 5" xfId="34497" xr:uid="{00000000-0005-0000-0000-0000B3860000}"/>
    <cellStyle name="Normal 5 17 17 2 6" xfId="34498" xr:uid="{00000000-0005-0000-0000-0000B4860000}"/>
    <cellStyle name="Normal 5 17 17 2 7" xfId="34499" xr:uid="{00000000-0005-0000-0000-0000B5860000}"/>
    <cellStyle name="Normal 5 17 17 2 8" xfId="34500" xr:uid="{00000000-0005-0000-0000-0000B6860000}"/>
    <cellStyle name="Normal 5 17 17 2 9" xfId="34501" xr:uid="{00000000-0005-0000-0000-0000B7860000}"/>
    <cellStyle name="Normal 5 17 17 3" xfId="34502" xr:uid="{00000000-0005-0000-0000-0000B8860000}"/>
    <cellStyle name="Normal 5 17 17 3 10" xfId="34503" xr:uid="{00000000-0005-0000-0000-0000B9860000}"/>
    <cellStyle name="Normal 5 17 17 3 2" xfId="34504" xr:uid="{00000000-0005-0000-0000-0000BA860000}"/>
    <cellStyle name="Normal 5 17 17 3 3" xfId="34505" xr:uid="{00000000-0005-0000-0000-0000BB860000}"/>
    <cellStyle name="Normal 5 17 17 3 4" xfId="34506" xr:uid="{00000000-0005-0000-0000-0000BC860000}"/>
    <cellStyle name="Normal 5 17 17 3 5" xfId="34507" xr:uid="{00000000-0005-0000-0000-0000BD860000}"/>
    <cellStyle name="Normal 5 17 17 3 6" xfId="34508" xr:uid="{00000000-0005-0000-0000-0000BE860000}"/>
    <cellStyle name="Normal 5 17 17 3 7" xfId="34509" xr:uid="{00000000-0005-0000-0000-0000BF860000}"/>
    <cellStyle name="Normal 5 17 17 3 8" xfId="34510" xr:uid="{00000000-0005-0000-0000-0000C0860000}"/>
    <cellStyle name="Normal 5 17 17 3 9" xfId="34511" xr:uid="{00000000-0005-0000-0000-0000C1860000}"/>
    <cellStyle name="Normal 5 17 17 4" xfId="34512" xr:uid="{00000000-0005-0000-0000-0000C2860000}"/>
    <cellStyle name="Normal 5 17 17 4 10" xfId="34513" xr:uid="{00000000-0005-0000-0000-0000C3860000}"/>
    <cellStyle name="Normal 5 17 17 4 2" xfId="34514" xr:uid="{00000000-0005-0000-0000-0000C4860000}"/>
    <cellStyle name="Normal 5 17 17 4 3" xfId="34515" xr:uid="{00000000-0005-0000-0000-0000C5860000}"/>
    <cellStyle name="Normal 5 17 17 4 4" xfId="34516" xr:uid="{00000000-0005-0000-0000-0000C6860000}"/>
    <cellStyle name="Normal 5 17 17 4 5" xfId="34517" xr:uid="{00000000-0005-0000-0000-0000C7860000}"/>
    <cellStyle name="Normal 5 17 17 4 6" xfId="34518" xr:uid="{00000000-0005-0000-0000-0000C8860000}"/>
    <cellStyle name="Normal 5 17 17 4 7" xfId="34519" xr:uid="{00000000-0005-0000-0000-0000C9860000}"/>
    <cellStyle name="Normal 5 17 17 4 8" xfId="34520" xr:uid="{00000000-0005-0000-0000-0000CA860000}"/>
    <cellStyle name="Normal 5 17 17 4 9" xfId="34521" xr:uid="{00000000-0005-0000-0000-0000CB860000}"/>
    <cellStyle name="Normal 5 17 17 5" xfId="34522" xr:uid="{00000000-0005-0000-0000-0000CC860000}"/>
    <cellStyle name="Normal 5 17 17 5 10" xfId="34523" xr:uid="{00000000-0005-0000-0000-0000CD860000}"/>
    <cellStyle name="Normal 5 17 17 5 2" xfId="34524" xr:uid="{00000000-0005-0000-0000-0000CE860000}"/>
    <cellStyle name="Normal 5 17 17 5 3" xfId="34525" xr:uid="{00000000-0005-0000-0000-0000CF860000}"/>
    <cellStyle name="Normal 5 17 17 5 4" xfId="34526" xr:uid="{00000000-0005-0000-0000-0000D0860000}"/>
    <cellStyle name="Normal 5 17 17 5 5" xfId="34527" xr:uid="{00000000-0005-0000-0000-0000D1860000}"/>
    <cellStyle name="Normal 5 17 17 5 6" xfId="34528" xr:uid="{00000000-0005-0000-0000-0000D2860000}"/>
    <cellStyle name="Normal 5 17 17 5 7" xfId="34529" xr:uid="{00000000-0005-0000-0000-0000D3860000}"/>
    <cellStyle name="Normal 5 17 17 5 8" xfId="34530" xr:uid="{00000000-0005-0000-0000-0000D4860000}"/>
    <cellStyle name="Normal 5 17 17 5 9" xfId="34531" xr:uid="{00000000-0005-0000-0000-0000D5860000}"/>
    <cellStyle name="Normal 5 17 17 6" xfId="34532" xr:uid="{00000000-0005-0000-0000-0000D6860000}"/>
    <cellStyle name="Normal 5 17 17 7" xfId="34533" xr:uid="{00000000-0005-0000-0000-0000D7860000}"/>
    <cellStyle name="Normal 5 17 17 8" xfId="34534" xr:uid="{00000000-0005-0000-0000-0000D8860000}"/>
    <cellStyle name="Normal 5 17 17 9" xfId="34535" xr:uid="{00000000-0005-0000-0000-0000D9860000}"/>
    <cellStyle name="Normal 5 17 18" xfId="34536" xr:uid="{00000000-0005-0000-0000-0000DA860000}"/>
    <cellStyle name="Normal 5 17 18 10" xfId="34537" xr:uid="{00000000-0005-0000-0000-0000DB860000}"/>
    <cellStyle name="Normal 5 17 18 11" xfId="34538" xr:uid="{00000000-0005-0000-0000-0000DC860000}"/>
    <cellStyle name="Normal 5 17 18 12" xfId="34539" xr:uid="{00000000-0005-0000-0000-0000DD860000}"/>
    <cellStyle name="Normal 5 17 18 13" xfId="34540" xr:uid="{00000000-0005-0000-0000-0000DE860000}"/>
    <cellStyle name="Normal 5 17 18 14" xfId="34541" xr:uid="{00000000-0005-0000-0000-0000DF860000}"/>
    <cellStyle name="Normal 5 17 18 2" xfId="34542" xr:uid="{00000000-0005-0000-0000-0000E0860000}"/>
    <cellStyle name="Normal 5 17 18 2 10" xfId="34543" xr:uid="{00000000-0005-0000-0000-0000E1860000}"/>
    <cellStyle name="Normal 5 17 18 2 2" xfId="34544" xr:uid="{00000000-0005-0000-0000-0000E2860000}"/>
    <cellStyle name="Normal 5 17 18 2 3" xfId="34545" xr:uid="{00000000-0005-0000-0000-0000E3860000}"/>
    <cellStyle name="Normal 5 17 18 2 4" xfId="34546" xr:uid="{00000000-0005-0000-0000-0000E4860000}"/>
    <cellStyle name="Normal 5 17 18 2 5" xfId="34547" xr:uid="{00000000-0005-0000-0000-0000E5860000}"/>
    <cellStyle name="Normal 5 17 18 2 6" xfId="34548" xr:uid="{00000000-0005-0000-0000-0000E6860000}"/>
    <cellStyle name="Normal 5 17 18 2 7" xfId="34549" xr:uid="{00000000-0005-0000-0000-0000E7860000}"/>
    <cellStyle name="Normal 5 17 18 2 8" xfId="34550" xr:uid="{00000000-0005-0000-0000-0000E8860000}"/>
    <cellStyle name="Normal 5 17 18 2 9" xfId="34551" xr:uid="{00000000-0005-0000-0000-0000E9860000}"/>
    <cellStyle name="Normal 5 17 18 3" xfId="34552" xr:uid="{00000000-0005-0000-0000-0000EA860000}"/>
    <cellStyle name="Normal 5 17 18 3 10" xfId="34553" xr:uid="{00000000-0005-0000-0000-0000EB860000}"/>
    <cellStyle name="Normal 5 17 18 3 2" xfId="34554" xr:uid="{00000000-0005-0000-0000-0000EC860000}"/>
    <cellStyle name="Normal 5 17 18 3 3" xfId="34555" xr:uid="{00000000-0005-0000-0000-0000ED860000}"/>
    <cellStyle name="Normal 5 17 18 3 4" xfId="34556" xr:uid="{00000000-0005-0000-0000-0000EE860000}"/>
    <cellStyle name="Normal 5 17 18 3 5" xfId="34557" xr:uid="{00000000-0005-0000-0000-0000EF860000}"/>
    <cellStyle name="Normal 5 17 18 3 6" xfId="34558" xr:uid="{00000000-0005-0000-0000-0000F0860000}"/>
    <cellStyle name="Normal 5 17 18 3 7" xfId="34559" xr:uid="{00000000-0005-0000-0000-0000F1860000}"/>
    <cellStyle name="Normal 5 17 18 3 8" xfId="34560" xr:uid="{00000000-0005-0000-0000-0000F2860000}"/>
    <cellStyle name="Normal 5 17 18 3 9" xfId="34561" xr:uid="{00000000-0005-0000-0000-0000F3860000}"/>
    <cellStyle name="Normal 5 17 18 4" xfId="34562" xr:uid="{00000000-0005-0000-0000-0000F4860000}"/>
    <cellStyle name="Normal 5 17 18 4 10" xfId="34563" xr:uid="{00000000-0005-0000-0000-0000F5860000}"/>
    <cellStyle name="Normal 5 17 18 4 2" xfId="34564" xr:uid="{00000000-0005-0000-0000-0000F6860000}"/>
    <cellStyle name="Normal 5 17 18 4 3" xfId="34565" xr:uid="{00000000-0005-0000-0000-0000F7860000}"/>
    <cellStyle name="Normal 5 17 18 4 4" xfId="34566" xr:uid="{00000000-0005-0000-0000-0000F8860000}"/>
    <cellStyle name="Normal 5 17 18 4 5" xfId="34567" xr:uid="{00000000-0005-0000-0000-0000F9860000}"/>
    <cellStyle name="Normal 5 17 18 4 6" xfId="34568" xr:uid="{00000000-0005-0000-0000-0000FA860000}"/>
    <cellStyle name="Normal 5 17 18 4 7" xfId="34569" xr:uid="{00000000-0005-0000-0000-0000FB860000}"/>
    <cellStyle name="Normal 5 17 18 4 8" xfId="34570" xr:uid="{00000000-0005-0000-0000-0000FC860000}"/>
    <cellStyle name="Normal 5 17 18 4 9" xfId="34571" xr:uid="{00000000-0005-0000-0000-0000FD860000}"/>
    <cellStyle name="Normal 5 17 18 5" xfId="34572" xr:uid="{00000000-0005-0000-0000-0000FE860000}"/>
    <cellStyle name="Normal 5 17 18 5 10" xfId="34573" xr:uid="{00000000-0005-0000-0000-0000FF860000}"/>
    <cellStyle name="Normal 5 17 18 5 2" xfId="34574" xr:uid="{00000000-0005-0000-0000-000000870000}"/>
    <cellStyle name="Normal 5 17 18 5 3" xfId="34575" xr:uid="{00000000-0005-0000-0000-000001870000}"/>
    <cellStyle name="Normal 5 17 18 5 4" xfId="34576" xr:uid="{00000000-0005-0000-0000-000002870000}"/>
    <cellStyle name="Normal 5 17 18 5 5" xfId="34577" xr:uid="{00000000-0005-0000-0000-000003870000}"/>
    <cellStyle name="Normal 5 17 18 5 6" xfId="34578" xr:uid="{00000000-0005-0000-0000-000004870000}"/>
    <cellStyle name="Normal 5 17 18 5 7" xfId="34579" xr:uid="{00000000-0005-0000-0000-000005870000}"/>
    <cellStyle name="Normal 5 17 18 5 8" xfId="34580" xr:uid="{00000000-0005-0000-0000-000006870000}"/>
    <cellStyle name="Normal 5 17 18 5 9" xfId="34581" xr:uid="{00000000-0005-0000-0000-000007870000}"/>
    <cellStyle name="Normal 5 17 18 6" xfId="34582" xr:uid="{00000000-0005-0000-0000-000008870000}"/>
    <cellStyle name="Normal 5 17 18 7" xfId="34583" xr:uid="{00000000-0005-0000-0000-000009870000}"/>
    <cellStyle name="Normal 5 17 18 8" xfId="34584" xr:uid="{00000000-0005-0000-0000-00000A870000}"/>
    <cellStyle name="Normal 5 17 18 9" xfId="34585" xr:uid="{00000000-0005-0000-0000-00000B870000}"/>
    <cellStyle name="Normal 5 17 19" xfId="34586" xr:uid="{00000000-0005-0000-0000-00000C870000}"/>
    <cellStyle name="Normal 5 17 19 10" xfId="34587" xr:uid="{00000000-0005-0000-0000-00000D870000}"/>
    <cellStyle name="Normal 5 17 19 11" xfId="34588" xr:uid="{00000000-0005-0000-0000-00000E870000}"/>
    <cellStyle name="Normal 5 17 19 12" xfId="34589" xr:uid="{00000000-0005-0000-0000-00000F870000}"/>
    <cellStyle name="Normal 5 17 19 13" xfId="34590" xr:uid="{00000000-0005-0000-0000-000010870000}"/>
    <cellStyle name="Normal 5 17 19 14" xfId="34591" xr:uid="{00000000-0005-0000-0000-000011870000}"/>
    <cellStyle name="Normal 5 17 19 2" xfId="34592" xr:uid="{00000000-0005-0000-0000-000012870000}"/>
    <cellStyle name="Normal 5 17 19 2 10" xfId="34593" xr:uid="{00000000-0005-0000-0000-000013870000}"/>
    <cellStyle name="Normal 5 17 19 2 2" xfId="34594" xr:uid="{00000000-0005-0000-0000-000014870000}"/>
    <cellStyle name="Normal 5 17 19 2 3" xfId="34595" xr:uid="{00000000-0005-0000-0000-000015870000}"/>
    <cellStyle name="Normal 5 17 19 2 4" xfId="34596" xr:uid="{00000000-0005-0000-0000-000016870000}"/>
    <cellStyle name="Normal 5 17 19 2 5" xfId="34597" xr:uid="{00000000-0005-0000-0000-000017870000}"/>
    <cellStyle name="Normal 5 17 19 2 6" xfId="34598" xr:uid="{00000000-0005-0000-0000-000018870000}"/>
    <cellStyle name="Normal 5 17 19 2 7" xfId="34599" xr:uid="{00000000-0005-0000-0000-000019870000}"/>
    <cellStyle name="Normal 5 17 19 2 8" xfId="34600" xr:uid="{00000000-0005-0000-0000-00001A870000}"/>
    <cellStyle name="Normal 5 17 19 2 9" xfId="34601" xr:uid="{00000000-0005-0000-0000-00001B870000}"/>
    <cellStyle name="Normal 5 17 19 3" xfId="34602" xr:uid="{00000000-0005-0000-0000-00001C870000}"/>
    <cellStyle name="Normal 5 17 19 3 10" xfId="34603" xr:uid="{00000000-0005-0000-0000-00001D870000}"/>
    <cellStyle name="Normal 5 17 19 3 2" xfId="34604" xr:uid="{00000000-0005-0000-0000-00001E870000}"/>
    <cellStyle name="Normal 5 17 19 3 3" xfId="34605" xr:uid="{00000000-0005-0000-0000-00001F870000}"/>
    <cellStyle name="Normal 5 17 19 3 4" xfId="34606" xr:uid="{00000000-0005-0000-0000-000020870000}"/>
    <cellStyle name="Normal 5 17 19 3 5" xfId="34607" xr:uid="{00000000-0005-0000-0000-000021870000}"/>
    <cellStyle name="Normal 5 17 19 3 6" xfId="34608" xr:uid="{00000000-0005-0000-0000-000022870000}"/>
    <cellStyle name="Normal 5 17 19 3 7" xfId="34609" xr:uid="{00000000-0005-0000-0000-000023870000}"/>
    <cellStyle name="Normal 5 17 19 3 8" xfId="34610" xr:uid="{00000000-0005-0000-0000-000024870000}"/>
    <cellStyle name="Normal 5 17 19 3 9" xfId="34611" xr:uid="{00000000-0005-0000-0000-000025870000}"/>
    <cellStyle name="Normal 5 17 19 4" xfId="34612" xr:uid="{00000000-0005-0000-0000-000026870000}"/>
    <cellStyle name="Normal 5 17 19 4 10" xfId="34613" xr:uid="{00000000-0005-0000-0000-000027870000}"/>
    <cellStyle name="Normal 5 17 19 4 2" xfId="34614" xr:uid="{00000000-0005-0000-0000-000028870000}"/>
    <cellStyle name="Normal 5 17 19 4 3" xfId="34615" xr:uid="{00000000-0005-0000-0000-000029870000}"/>
    <cellStyle name="Normal 5 17 19 4 4" xfId="34616" xr:uid="{00000000-0005-0000-0000-00002A870000}"/>
    <cellStyle name="Normal 5 17 19 4 5" xfId="34617" xr:uid="{00000000-0005-0000-0000-00002B870000}"/>
    <cellStyle name="Normal 5 17 19 4 6" xfId="34618" xr:uid="{00000000-0005-0000-0000-00002C870000}"/>
    <cellStyle name="Normal 5 17 19 4 7" xfId="34619" xr:uid="{00000000-0005-0000-0000-00002D870000}"/>
    <cellStyle name="Normal 5 17 19 4 8" xfId="34620" xr:uid="{00000000-0005-0000-0000-00002E870000}"/>
    <cellStyle name="Normal 5 17 19 4 9" xfId="34621" xr:uid="{00000000-0005-0000-0000-00002F870000}"/>
    <cellStyle name="Normal 5 17 19 5" xfId="34622" xr:uid="{00000000-0005-0000-0000-000030870000}"/>
    <cellStyle name="Normal 5 17 19 5 10" xfId="34623" xr:uid="{00000000-0005-0000-0000-000031870000}"/>
    <cellStyle name="Normal 5 17 19 5 2" xfId="34624" xr:uid="{00000000-0005-0000-0000-000032870000}"/>
    <cellStyle name="Normal 5 17 19 5 3" xfId="34625" xr:uid="{00000000-0005-0000-0000-000033870000}"/>
    <cellStyle name="Normal 5 17 19 5 4" xfId="34626" xr:uid="{00000000-0005-0000-0000-000034870000}"/>
    <cellStyle name="Normal 5 17 19 5 5" xfId="34627" xr:uid="{00000000-0005-0000-0000-000035870000}"/>
    <cellStyle name="Normal 5 17 19 5 6" xfId="34628" xr:uid="{00000000-0005-0000-0000-000036870000}"/>
    <cellStyle name="Normal 5 17 19 5 7" xfId="34629" xr:uid="{00000000-0005-0000-0000-000037870000}"/>
    <cellStyle name="Normal 5 17 19 5 8" xfId="34630" xr:uid="{00000000-0005-0000-0000-000038870000}"/>
    <cellStyle name="Normal 5 17 19 5 9" xfId="34631" xr:uid="{00000000-0005-0000-0000-000039870000}"/>
    <cellStyle name="Normal 5 17 19 6" xfId="34632" xr:uid="{00000000-0005-0000-0000-00003A870000}"/>
    <cellStyle name="Normal 5 17 19 7" xfId="34633" xr:uid="{00000000-0005-0000-0000-00003B870000}"/>
    <cellStyle name="Normal 5 17 19 8" xfId="34634" xr:uid="{00000000-0005-0000-0000-00003C870000}"/>
    <cellStyle name="Normal 5 17 19 9" xfId="34635" xr:uid="{00000000-0005-0000-0000-00003D870000}"/>
    <cellStyle name="Normal 5 17 2" xfId="34636" xr:uid="{00000000-0005-0000-0000-00003E870000}"/>
    <cellStyle name="Normal 5 17 2 10" xfId="34637" xr:uid="{00000000-0005-0000-0000-00003F870000}"/>
    <cellStyle name="Normal 5 17 2 10 10" xfId="34638" xr:uid="{00000000-0005-0000-0000-000040870000}"/>
    <cellStyle name="Normal 5 17 2 10 11" xfId="34639" xr:uid="{00000000-0005-0000-0000-000041870000}"/>
    <cellStyle name="Normal 5 17 2 10 12" xfId="34640" xr:uid="{00000000-0005-0000-0000-000042870000}"/>
    <cellStyle name="Normal 5 17 2 10 13" xfId="34641" xr:uid="{00000000-0005-0000-0000-000043870000}"/>
    <cellStyle name="Normal 5 17 2 10 14" xfId="34642" xr:uid="{00000000-0005-0000-0000-000044870000}"/>
    <cellStyle name="Normal 5 17 2 10 2" xfId="34643" xr:uid="{00000000-0005-0000-0000-000045870000}"/>
    <cellStyle name="Normal 5 17 2 10 2 10" xfId="34644" xr:uid="{00000000-0005-0000-0000-000046870000}"/>
    <cellStyle name="Normal 5 17 2 10 2 2" xfId="34645" xr:uid="{00000000-0005-0000-0000-000047870000}"/>
    <cellStyle name="Normal 5 17 2 10 2 3" xfId="34646" xr:uid="{00000000-0005-0000-0000-000048870000}"/>
    <cellStyle name="Normal 5 17 2 10 2 4" xfId="34647" xr:uid="{00000000-0005-0000-0000-000049870000}"/>
    <cellStyle name="Normal 5 17 2 10 2 5" xfId="34648" xr:uid="{00000000-0005-0000-0000-00004A870000}"/>
    <cellStyle name="Normal 5 17 2 10 2 6" xfId="34649" xr:uid="{00000000-0005-0000-0000-00004B870000}"/>
    <cellStyle name="Normal 5 17 2 10 2 7" xfId="34650" xr:uid="{00000000-0005-0000-0000-00004C870000}"/>
    <cellStyle name="Normal 5 17 2 10 2 8" xfId="34651" xr:uid="{00000000-0005-0000-0000-00004D870000}"/>
    <cellStyle name="Normal 5 17 2 10 2 9" xfId="34652" xr:uid="{00000000-0005-0000-0000-00004E870000}"/>
    <cellStyle name="Normal 5 17 2 10 3" xfId="34653" xr:uid="{00000000-0005-0000-0000-00004F870000}"/>
    <cellStyle name="Normal 5 17 2 10 3 10" xfId="34654" xr:uid="{00000000-0005-0000-0000-000050870000}"/>
    <cellStyle name="Normal 5 17 2 10 3 2" xfId="34655" xr:uid="{00000000-0005-0000-0000-000051870000}"/>
    <cellStyle name="Normal 5 17 2 10 3 3" xfId="34656" xr:uid="{00000000-0005-0000-0000-000052870000}"/>
    <cellStyle name="Normal 5 17 2 10 3 4" xfId="34657" xr:uid="{00000000-0005-0000-0000-000053870000}"/>
    <cellStyle name="Normal 5 17 2 10 3 5" xfId="34658" xr:uid="{00000000-0005-0000-0000-000054870000}"/>
    <cellStyle name="Normal 5 17 2 10 3 6" xfId="34659" xr:uid="{00000000-0005-0000-0000-000055870000}"/>
    <cellStyle name="Normal 5 17 2 10 3 7" xfId="34660" xr:uid="{00000000-0005-0000-0000-000056870000}"/>
    <cellStyle name="Normal 5 17 2 10 3 8" xfId="34661" xr:uid="{00000000-0005-0000-0000-000057870000}"/>
    <cellStyle name="Normal 5 17 2 10 3 9" xfId="34662" xr:uid="{00000000-0005-0000-0000-000058870000}"/>
    <cellStyle name="Normal 5 17 2 10 4" xfId="34663" xr:uid="{00000000-0005-0000-0000-000059870000}"/>
    <cellStyle name="Normal 5 17 2 10 4 10" xfId="34664" xr:uid="{00000000-0005-0000-0000-00005A870000}"/>
    <cellStyle name="Normal 5 17 2 10 4 2" xfId="34665" xr:uid="{00000000-0005-0000-0000-00005B870000}"/>
    <cellStyle name="Normal 5 17 2 10 4 3" xfId="34666" xr:uid="{00000000-0005-0000-0000-00005C870000}"/>
    <cellStyle name="Normal 5 17 2 10 4 4" xfId="34667" xr:uid="{00000000-0005-0000-0000-00005D870000}"/>
    <cellStyle name="Normal 5 17 2 10 4 5" xfId="34668" xr:uid="{00000000-0005-0000-0000-00005E870000}"/>
    <cellStyle name="Normal 5 17 2 10 4 6" xfId="34669" xr:uid="{00000000-0005-0000-0000-00005F870000}"/>
    <cellStyle name="Normal 5 17 2 10 4 7" xfId="34670" xr:uid="{00000000-0005-0000-0000-000060870000}"/>
    <cellStyle name="Normal 5 17 2 10 4 8" xfId="34671" xr:uid="{00000000-0005-0000-0000-000061870000}"/>
    <cellStyle name="Normal 5 17 2 10 4 9" xfId="34672" xr:uid="{00000000-0005-0000-0000-000062870000}"/>
    <cellStyle name="Normal 5 17 2 10 5" xfId="34673" xr:uid="{00000000-0005-0000-0000-000063870000}"/>
    <cellStyle name="Normal 5 17 2 10 5 10" xfId="34674" xr:uid="{00000000-0005-0000-0000-000064870000}"/>
    <cellStyle name="Normal 5 17 2 10 5 2" xfId="34675" xr:uid="{00000000-0005-0000-0000-000065870000}"/>
    <cellStyle name="Normal 5 17 2 10 5 3" xfId="34676" xr:uid="{00000000-0005-0000-0000-000066870000}"/>
    <cellStyle name="Normal 5 17 2 10 5 4" xfId="34677" xr:uid="{00000000-0005-0000-0000-000067870000}"/>
    <cellStyle name="Normal 5 17 2 10 5 5" xfId="34678" xr:uid="{00000000-0005-0000-0000-000068870000}"/>
    <cellStyle name="Normal 5 17 2 10 5 6" xfId="34679" xr:uid="{00000000-0005-0000-0000-000069870000}"/>
    <cellStyle name="Normal 5 17 2 10 5 7" xfId="34680" xr:uid="{00000000-0005-0000-0000-00006A870000}"/>
    <cellStyle name="Normal 5 17 2 10 5 8" xfId="34681" xr:uid="{00000000-0005-0000-0000-00006B870000}"/>
    <cellStyle name="Normal 5 17 2 10 5 9" xfId="34682" xr:uid="{00000000-0005-0000-0000-00006C870000}"/>
    <cellStyle name="Normal 5 17 2 10 6" xfId="34683" xr:uid="{00000000-0005-0000-0000-00006D870000}"/>
    <cellStyle name="Normal 5 17 2 10 7" xfId="34684" xr:uid="{00000000-0005-0000-0000-00006E870000}"/>
    <cellStyle name="Normal 5 17 2 10 8" xfId="34685" xr:uid="{00000000-0005-0000-0000-00006F870000}"/>
    <cellStyle name="Normal 5 17 2 10 9" xfId="34686" xr:uid="{00000000-0005-0000-0000-000070870000}"/>
    <cellStyle name="Normal 5 17 2 11" xfId="34687" xr:uid="{00000000-0005-0000-0000-000071870000}"/>
    <cellStyle name="Normal 5 17 2 11 10" xfId="34688" xr:uid="{00000000-0005-0000-0000-000072870000}"/>
    <cellStyle name="Normal 5 17 2 11 11" xfId="34689" xr:uid="{00000000-0005-0000-0000-000073870000}"/>
    <cellStyle name="Normal 5 17 2 11 12" xfId="34690" xr:uid="{00000000-0005-0000-0000-000074870000}"/>
    <cellStyle name="Normal 5 17 2 11 13" xfId="34691" xr:uid="{00000000-0005-0000-0000-000075870000}"/>
    <cellStyle name="Normal 5 17 2 11 14" xfId="34692" xr:uid="{00000000-0005-0000-0000-000076870000}"/>
    <cellStyle name="Normal 5 17 2 11 2" xfId="34693" xr:uid="{00000000-0005-0000-0000-000077870000}"/>
    <cellStyle name="Normal 5 17 2 11 2 10" xfId="34694" xr:uid="{00000000-0005-0000-0000-000078870000}"/>
    <cellStyle name="Normal 5 17 2 11 2 2" xfId="34695" xr:uid="{00000000-0005-0000-0000-000079870000}"/>
    <cellStyle name="Normal 5 17 2 11 2 3" xfId="34696" xr:uid="{00000000-0005-0000-0000-00007A870000}"/>
    <cellStyle name="Normal 5 17 2 11 2 4" xfId="34697" xr:uid="{00000000-0005-0000-0000-00007B870000}"/>
    <cellStyle name="Normal 5 17 2 11 2 5" xfId="34698" xr:uid="{00000000-0005-0000-0000-00007C870000}"/>
    <cellStyle name="Normal 5 17 2 11 2 6" xfId="34699" xr:uid="{00000000-0005-0000-0000-00007D870000}"/>
    <cellStyle name="Normal 5 17 2 11 2 7" xfId="34700" xr:uid="{00000000-0005-0000-0000-00007E870000}"/>
    <cellStyle name="Normal 5 17 2 11 2 8" xfId="34701" xr:uid="{00000000-0005-0000-0000-00007F870000}"/>
    <cellStyle name="Normal 5 17 2 11 2 9" xfId="34702" xr:uid="{00000000-0005-0000-0000-000080870000}"/>
    <cellStyle name="Normal 5 17 2 11 3" xfId="34703" xr:uid="{00000000-0005-0000-0000-000081870000}"/>
    <cellStyle name="Normal 5 17 2 11 3 10" xfId="34704" xr:uid="{00000000-0005-0000-0000-000082870000}"/>
    <cellStyle name="Normal 5 17 2 11 3 2" xfId="34705" xr:uid="{00000000-0005-0000-0000-000083870000}"/>
    <cellStyle name="Normal 5 17 2 11 3 3" xfId="34706" xr:uid="{00000000-0005-0000-0000-000084870000}"/>
    <cellStyle name="Normal 5 17 2 11 3 4" xfId="34707" xr:uid="{00000000-0005-0000-0000-000085870000}"/>
    <cellStyle name="Normal 5 17 2 11 3 5" xfId="34708" xr:uid="{00000000-0005-0000-0000-000086870000}"/>
    <cellStyle name="Normal 5 17 2 11 3 6" xfId="34709" xr:uid="{00000000-0005-0000-0000-000087870000}"/>
    <cellStyle name="Normal 5 17 2 11 3 7" xfId="34710" xr:uid="{00000000-0005-0000-0000-000088870000}"/>
    <cellStyle name="Normal 5 17 2 11 3 8" xfId="34711" xr:uid="{00000000-0005-0000-0000-000089870000}"/>
    <cellStyle name="Normal 5 17 2 11 3 9" xfId="34712" xr:uid="{00000000-0005-0000-0000-00008A870000}"/>
    <cellStyle name="Normal 5 17 2 11 4" xfId="34713" xr:uid="{00000000-0005-0000-0000-00008B870000}"/>
    <cellStyle name="Normal 5 17 2 11 4 10" xfId="34714" xr:uid="{00000000-0005-0000-0000-00008C870000}"/>
    <cellStyle name="Normal 5 17 2 11 4 2" xfId="34715" xr:uid="{00000000-0005-0000-0000-00008D870000}"/>
    <cellStyle name="Normal 5 17 2 11 4 3" xfId="34716" xr:uid="{00000000-0005-0000-0000-00008E870000}"/>
    <cellStyle name="Normal 5 17 2 11 4 4" xfId="34717" xr:uid="{00000000-0005-0000-0000-00008F870000}"/>
    <cellStyle name="Normal 5 17 2 11 4 5" xfId="34718" xr:uid="{00000000-0005-0000-0000-000090870000}"/>
    <cellStyle name="Normal 5 17 2 11 4 6" xfId="34719" xr:uid="{00000000-0005-0000-0000-000091870000}"/>
    <cellStyle name="Normal 5 17 2 11 4 7" xfId="34720" xr:uid="{00000000-0005-0000-0000-000092870000}"/>
    <cellStyle name="Normal 5 17 2 11 4 8" xfId="34721" xr:uid="{00000000-0005-0000-0000-000093870000}"/>
    <cellStyle name="Normal 5 17 2 11 4 9" xfId="34722" xr:uid="{00000000-0005-0000-0000-000094870000}"/>
    <cellStyle name="Normal 5 17 2 11 5" xfId="34723" xr:uid="{00000000-0005-0000-0000-000095870000}"/>
    <cellStyle name="Normal 5 17 2 11 5 10" xfId="34724" xr:uid="{00000000-0005-0000-0000-000096870000}"/>
    <cellStyle name="Normal 5 17 2 11 5 2" xfId="34725" xr:uid="{00000000-0005-0000-0000-000097870000}"/>
    <cellStyle name="Normal 5 17 2 11 5 3" xfId="34726" xr:uid="{00000000-0005-0000-0000-000098870000}"/>
    <cellStyle name="Normal 5 17 2 11 5 4" xfId="34727" xr:uid="{00000000-0005-0000-0000-000099870000}"/>
    <cellStyle name="Normal 5 17 2 11 5 5" xfId="34728" xr:uid="{00000000-0005-0000-0000-00009A870000}"/>
    <cellStyle name="Normal 5 17 2 11 5 6" xfId="34729" xr:uid="{00000000-0005-0000-0000-00009B870000}"/>
    <cellStyle name="Normal 5 17 2 11 5 7" xfId="34730" xr:uid="{00000000-0005-0000-0000-00009C870000}"/>
    <cellStyle name="Normal 5 17 2 11 5 8" xfId="34731" xr:uid="{00000000-0005-0000-0000-00009D870000}"/>
    <cellStyle name="Normal 5 17 2 11 5 9" xfId="34732" xr:uid="{00000000-0005-0000-0000-00009E870000}"/>
    <cellStyle name="Normal 5 17 2 11 6" xfId="34733" xr:uid="{00000000-0005-0000-0000-00009F870000}"/>
    <cellStyle name="Normal 5 17 2 11 7" xfId="34734" xr:uid="{00000000-0005-0000-0000-0000A0870000}"/>
    <cellStyle name="Normal 5 17 2 11 8" xfId="34735" xr:uid="{00000000-0005-0000-0000-0000A1870000}"/>
    <cellStyle name="Normal 5 17 2 11 9" xfId="34736" xr:uid="{00000000-0005-0000-0000-0000A2870000}"/>
    <cellStyle name="Normal 5 17 2 12" xfId="34737" xr:uid="{00000000-0005-0000-0000-0000A3870000}"/>
    <cellStyle name="Normal 5 17 2 12 10" xfId="34738" xr:uid="{00000000-0005-0000-0000-0000A4870000}"/>
    <cellStyle name="Normal 5 17 2 12 11" xfId="34739" xr:uid="{00000000-0005-0000-0000-0000A5870000}"/>
    <cellStyle name="Normal 5 17 2 12 12" xfId="34740" xr:uid="{00000000-0005-0000-0000-0000A6870000}"/>
    <cellStyle name="Normal 5 17 2 12 13" xfId="34741" xr:uid="{00000000-0005-0000-0000-0000A7870000}"/>
    <cellStyle name="Normal 5 17 2 12 14" xfId="34742" xr:uid="{00000000-0005-0000-0000-0000A8870000}"/>
    <cellStyle name="Normal 5 17 2 12 2" xfId="34743" xr:uid="{00000000-0005-0000-0000-0000A9870000}"/>
    <cellStyle name="Normal 5 17 2 12 2 10" xfId="34744" xr:uid="{00000000-0005-0000-0000-0000AA870000}"/>
    <cellStyle name="Normal 5 17 2 12 2 2" xfId="34745" xr:uid="{00000000-0005-0000-0000-0000AB870000}"/>
    <cellStyle name="Normal 5 17 2 12 2 3" xfId="34746" xr:uid="{00000000-0005-0000-0000-0000AC870000}"/>
    <cellStyle name="Normal 5 17 2 12 2 4" xfId="34747" xr:uid="{00000000-0005-0000-0000-0000AD870000}"/>
    <cellStyle name="Normal 5 17 2 12 2 5" xfId="34748" xr:uid="{00000000-0005-0000-0000-0000AE870000}"/>
    <cellStyle name="Normal 5 17 2 12 2 6" xfId="34749" xr:uid="{00000000-0005-0000-0000-0000AF870000}"/>
    <cellStyle name="Normal 5 17 2 12 2 7" xfId="34750" xr:uid="{00000000-0005-0000-0000-0000B0870000}"/>
    <cellStyle name="Normal 5 17 2 12 2 8" xfId="34751" xr:uid="{00000000-0005-0000-0000-0000B1870000}"/>
    <cellStyle name="Normal 5 17 2 12 2 9" xfId="34752" xr:uid="{00000000-0005-0000-0000-0000B2870000}"/>
    <cellStyle name="Normal 5 17 2 12 3" xfId="34753" xr:uid="{00000000-0005-0000-0000-0000B3870000}"/>
    <cellStyle name="Normal 5 17 2 12 3 10" xfId="34754" xr:uid="{00000000-0005-0000-0000-0000B4870000}"/>
    <cellStyle name="Normal 5 17 2 12 3 2" xfId="34755" xr:uid="{00000000-0005-0000-0000-0000B5870000}"/>
    <cellStyle name="Normal 5 17 2 12 3 3" xfId="34756" xr:uid="{00000000-0005-0000-0000-0000B6870000}"/>
    <cellStyle name="Normal 5 17 2 12 3 4" xfId="34757" xr:uid="{00000000-0005-0000-0000-0000B7870000}"/>
    <cellStyle name="Normal 5 17 2 12 3 5" xfId="34758" xr:uid="{00000000-0005-0000-0000-0000B8870000}"/>
    <cellStyle name="Normal 5 17 2 12 3 6" xfId="34759" xr:uid="{00000000-0005-0000-0000-0000B9870000}"/>
    <cellStyle name="Normal 5 17 2 12 3 7" xfId="34760" xr:uid="{00000000-0005-0000-0000-0000BA870000}"/>
    <cellStyle name="Normal 5 17 2 12 3 8" xfId="34761" xr:uid="{00000000-0005-0000-0000-0000BB870000}"/>
    <cellStyle name="Normal 5 17 2 12 3 9" xfId="34762" xr:uid="{00000000-0005-0000-0000-0000BC870000}"/>
    <cellStyle name="Normal 5 17 2 12 4" xfId="34763" xr:uid="{00000000-0005-0000-0000-0000BD870000}"/>
    <cellStyle name="Normal 5 17 2 12 4 10" xfId="34764" xr:uid="{00000000-0005-0000-0000-0000BE870000}"/>
    <cellStyle name="Normal 5 17 2 12 4 2" xfId="34765" xr:uid="{00000000-0005-0000-0000-0000BF870000}"/>
    <cellStyle name="Normal 5 17 2 12 4 3" xfId="34766" xr:uid="{00000000-0005-0000-0000-0000C0870000}"/>
    <cellStyle name="Normal 5 17 2 12 4 4" xfId="34767" xr:uid="{00000000-0005-0000-0000-0000C1870000}"/>
    <cellStyle name="Normal 5 17 2 12 4 5" xfId="34768" xr:uid="{00000000-0005-0000-0000-0000C2870000}"/>
    <cellStyle name="Normal 5 17 2 12 4 6" xfId="34769" xr:uid="{00000000-0005-0000-0000-0000C3870000}"/>
    <cellStyle name="Normal 5 17 2 12 4 7" xfId="34770" xr:uid="{00000000-0005-0000-0000-0000C4870000}"/>
    <cellStyle name="Normal 5 17 2 12 4 8" xfId="34771" xr:uid="{00000000-0005-0000-0000-0000C5870000}"/>
    <cellStyle name="Normal 5 17 2 12 4 9" xfId="34772" xr:uid="{00000000-0005-0000-0000-0000C6870000}"/>
    <cellStyle name="Normal 5 17 2 12 5" xfId="34773" xr:uid="{00000000-0005-0000-0000-0000C7870000}"/>
    <cellStyle name="Normal 5 17 2 12 5 10" xfId="34774" xr:uid="{00000000-0005-0000-0000-0000C8870000}"/>
    <cellStyle name="Normal 5 17 2 12 5 2" xfId="34775" xr:uid="{00000000-0005-0000-0000-0000C9870000}"/>
    <cellStyle name="Normal 5 17 2 12 5 3" xfId="34776" xr:uid="{00000000-0005-0000-0000-0000CA870000}"/>
    <cellStyle name="Normal 5 17 2 12 5 4" xfId="34777" xr:uid="{00000000-0005-0000-0000-0000CB870000}"/>
    <cellStyle name="Normal 5 17 2 12 5 5" xfId="34778" xr:uid="{00000000-0005-0000-0000-0000CC870000}"/>
    <cellStyle name="Normal 5 17 2 12 5 6" xfId="34779" xr:uid="{00000000-0005-0000-0000-0000CD870000}"/>
    <cellStyle name="Normal 5 17 2 12 5 7" xfId="34780" xr:uid="{00000000-0005-0000-0000-0000CE870000}"/>
    <cellStyle name="Normal 5 17 2 12 5 8" xfId="34781" xr:uid="{00000000-0005-0000-0000-0000CF870000}"/>
    <cellStyle name="Normal 5 17 2 12 5 9" xfId="34782" xr:uid="{00000000-0005-0000-0000-0000D0870000}"/>
    <cellStyle name="Normal 5 17 2 12 6" xfId="34783" xr:uid="{00000000-0005-0000-0000-0000D1870000}"/>
    <cellStyle name="Normal 5 17 2 12 7" xfId="34784" xr:uid="{00000000-0005-0000-0000-0000D2870000}"/>
    <cellStyle name="Normal 5 17 2 12 8" xfId="34785" xr:uid="{00000000-0005-0000-0000-0000D3870000}"/>
    <cellStyle name="Normal 5 17 2 12 9" xfId="34786" xr:uid="{00000000-0005-0000-0000-0000D4870000}"/>
    <cellStyle name="Normal 5 17 2 13" xfId="34787" xr:uid="{00000000-0005-0000-0000-0000D5870000}"/>
    <cellStyle name="Normal 5 17 2 13 10" xfId="34788" xr:uid="{00000000-0005-0000-0000-0000D6870000}"/>
    <cellStyle name="Normal 5 17 2 13 11" xfId="34789" xr:uid="{00000000-0005-0000-0000-0000D7870000}"/>
    <cellStyle name="Normal 5 17 2 13 12" xfId="34790" xr:uid="{00000000-0005-0000-0000-0000D8870000}"/>
    <cellStyle name="Normal 5 17 2 13 13" xfId="34791" xr:uid="{00000000-0005-0000-0000-0000D9870000}"/>
    <cellStyle name="Normal 5 17 2 13 14" xfId="34792" xr:uid="{00000000-0005-0000-0000-0000DA870000}"/>
    <cellStyle name="Normal 5 17 2 13 2" xfId="34793" xr:uid="{00000000-0005-0000-0000-0000DB870000}"/>
    <cellStyle name="Normal 5 17 2 13 2 10" xfId="34794" xr:uid="{00000000-0005-0000-0000-0000DC870000}"/>
    <cellStyle name="Normal 5 17 2 13 2 2" xfId="34795" xr:uid="{00000000-0005-0000-0000-0000DD870000}"/>
    <cellStyle name="Normal 5 17 2 13 2 3" xfId="34796" xr:uid="{00000000-0005-0000-0000-0000DE870000}"/>
    <cellStyle name="Normal 5 17 2 13 2 4" xfId="34797" xr:uid="{00000000-0005-0000-0000-0000DF870000}"/>
    <cellStyle name="Normal 5 17 2 13 2 5" xfId="34798" xr:uid="{00000000-0005-0000-0000-0000E0870000}"/>
    <cellStyle name="Normal 5 17 2 13 2 6" xfId="34799" xr:uid="{00000000-0005-0000-0000-0000E1870000}"/>
    <cellStyle name="Normal 5 17 2 13 2 7" xfId="34800" xr:uid="{00000000-0005-0000-0000-0000E2870000}"/>
    <cellStyle name="Normal 5 17 2 13 2 8" xfId="34801" xr:uid="{00000000-0005-0000-0000-0000E3870000}"/>
    <cellStyle name="Normal 5 17 2 13 2 9" xfId="34802" xr:uid="{00000000-0005-0000-0000-0000E4870000}"/>
    <cellStyle name="Normal 5 17 2 13 3" xfId="34803" xr:uid="{00000000-0005-0000-0000-0000E5870000}"/>
    <cellStyle name="Normal 5 17 2 13 3 10" xfId="34804" xr:uid="{00000000-0005-0000-0000-0000E6870000}"/>
    <cellStyle name="Normal 5 17 2 13 3 2" xfId="34805" xr:uid="{00000000-0005-0000-0000-0000E7870000}"/>
    <cellStyle name="Normal 5 17 2 13 3 3" xfId="34806" xr:uid="{00000000-0005-0000-0000-0000E8870000}"/>
    <cellStyle name="Normal 5 17 2 13 3 4" xfId="34807" xr:uid="{00000000-0005-0000-0000-0000E9870000}"/>
    <cellStyle name="Normal 5 17 2 13 3 5" xfId="34808" xr:uid="{00000000-0005-0000-0000-0000EA870000}"/>
    <cellStyle name="Normal 5 17 2 13 3 6" xfId="34809" xr:uid="{00000000-0005-0000-0000-0000EB870000}"/>
    <cellStyle name="Normal 5 17 2 13 3 7" xfId="34810" xr:uid="{00000000-0005-0000-0000-0000EC870000}"/>
    <cellStyle name="Normal 5 17 2 13 3 8" xfId="34811" xr:uid="{00000000-0005-0000-0000-0000ED870000}"/>
    <cellStyle name="Normal 5 17 2 13 3 9" xfId="34812" xr:uid="{00000000-0005-0000-0000-0000EE870000}"/>
    <cellStyle name="Normal 5 17 2 13 4" xfId="34813" xr:uid="{00000000-0005-0000-0000-0000EF870000}"/>
    <cellStyle name="Normal 5 17 2 13 4 10" xfId="34814" xr:uid="{00000000-0005-0000-0000-0000F0870000}"/>
    <cellStyle name="Normal 5 17 2 13 4 2" xfId="34815" xr:uid="{00000000-0005-0000-0000-0000F1870000}"/>
    <cellStyle name="Normal 5 17 2 13 4 3" xfId="34816" xr:uid="{00000000-0005-0000-0000-0000F2870000}"/>
    <cellStyle name="Normal 5 17 2 13 4 4" xfId="34817" xr:uid="{00000000-0005-0000-0000-0000F3870000}"/>
    <cellStyle name="Normal 5 17 2 13 4 5" xfId="34818" xr:uid="{00000000-0005-0000-0000-0000F4870000}"/>
    <cellStyle name="Normal 5 17 2 13 4 6" xfId="34819" xr:uid="{00000000-0005-0000-0000-0000F5870000}"/>
    <cellStyle name="Normal 5 17 2 13 4 7" xfId="34820" xr:uid="{00000000-0005-0000-0000-0000F6870000}"/>
    <cellStyle name="Normal 5 17 2 13 4 8" xfId="34821" xr:uid="{00000000-0005-0000-0000-0000F7870000}"/>
    <cellStyle name="Normal 5 17 2 13 4 9" xfId="34822" xr:uid="{00000000-0005-0000-0000-0000F8870000}"/>
    <cellStyle name="Normal 5 17 2 13 5" xfId="34823" xr:uid="{00000000-0005-0000-0000-0000F9870000}"/>
    <cellStyle name="Normal 5 17 2 13 5 10" xfId="34824" xr:uid="{00000000-0005-0000-0000-0000FA870000}"/>
    <cellStyle name="Normal 5 17 2 13 5 2" xfId="34825" xr:uid="{00000000-0005-0000-0000-0000FB870000}"/>
    <cellStyle name="Normal 5 17 2 13 5 3" xfId="34826" xr:uid="{00000000-0005-0000-0000-0000FC870000}"/>
    <cellStyle name="Normal 5 17 2 13 5 4" xfId="34827" xr:uid="{00000000-0005-0000-0000-0000FD870000}"/>
    <cellStyle name="Normal 5 17 2 13 5 5" xfId="34828" xr:uid="{00000000-0005-0000-0000-0000FE870000}"/>
    <cellStyle name="Normal 5 17 2 13 5 6" xfId="34829" xr:uid="{00000000-0005-0000-0000-0000FF870000}"/>
    <cellStyle name="Normal 5 17 2 13 5 7" xfId="34830" xr:uid="{00000000-0005-0000-0000-000000880000}"/>
    <cellStyle name="Normal 5 17 2 13 5 8" xfId="34831" xr:uid="{00000000-0005-0000-0000-000001880000}"/>
    <cellStyle name="Normal 5 17 2 13 5 9" xfId="34832" xr:uid="{00000000-0005-0000-0000-000002880000}"/>
    <cellStyle name="Normal 5 17 2 13 6" xfId="34833" xr:uid="{00000000-0005-0000-0000-000003880000}"/>
    <cellStyle name="Normal 5 17 2 13 7" xfId="34834" xr:uid="{00000000-0005-0000-0000-000004880000}"/>
    <cellStyle name="Normal 5 17 2 13 8" xfId="34835" xr:uid="{00000000-0005-0000-0000-000005880000}"/>
    <cellStyle name="Normal 5 17 2 13 9" xfId="34836" xr:uid="{00000000-0005-0000-0000-000006880000}"/>
    <cellStyle name="Normal 5 17 2 14" xfId="34837" xr:uid="{00000000-0005-0000-0000-000007880000}"/>
    <cellStyle name="Normal 5 17 2 14 10" xfId="34838" xr:uid="{00000000-0005-0000-0000-000008880000}"/>
    <cellStyle name="Normal 5 17 2 14 11" xfId="34839" xr:uid="{00000000-0005-0000-0000-000009880000}"/>
    <cellStyle name="Normal 5 17 2 14 12" xfId="34840" xr:uid="{00000000-0005-0000-0000-00000A880000}"/>
    <cellStyle name="Normal 5 17 2 14 13" xfId="34841" xr:uid="{00000000-0005-0000-0000-00000B880000}"/>
    <cellStyle name="Normal 5 17 2 14 14" xfId="34842" xr:uid="{00000000-0005-0000-0000-00000C880000}"/>
    <cellStyle name="Normal 5 17 2 14 2" xfId="34843" xr:uid="{00000000-0005-0000-0000-00000D880000}"/>
    <cellStyle name="Normal 5 17 2 14 2 10" xfId="34844" xr:uid="{00000000-0005-0000-0000-00000E880000}"/>
    <cellStyle name="Normal 5 17 2 14 2 2" xfId="34845" xr:uid="{00000000-0005-0000-0000-00000F880000}"/>
    <cellStyle name="Normal 5 17 2 14 2 3" xfId="34846" xr:uid="{00000000-0005-0000-0000-000010880000}"/>
    <cellStyle name="Normal 5 17 2 14 2 4" xfId="34847" xr:uid="{00000000-0005-0000-0000-000011880000}"/>
    <cellStyle name="Normal 5 17 2 14 2 5" xfId="34848" xr:uid="{00000000-0005-0000-0000-000012880000}"/>
    <cellStyle name="Normal 5 17 2 14 2 6" xfId="34849" xr:uid="{00000000-0005-0000-0000-000013880000}"/>
    <cellStyle name="Normal 5 17 2 14 2 7" xfId="34850" xr:uid="{00000000-0005-0000-0000-000014880000}"/>
    <cellStyle name="Normal 5 17 2 14 2 8" xfId="34851" xr:uid="{00000000-0005-0000-0000-000015880000}"/>
    <cellStyle name="Normal 5 17 2 14 2 9" xfId="34852" xr:uid="{00000000-0005-0000-0000-000016880000}"/>
    <cellStyle name="Normal 5 17 2 14 3" xfId="34853" xr:uid="{00000000-0005-0000-0000-000017880000}"/>
    <cellStyle name="Normal 5 17 2 14 3 10" xfId="34854" xr:uid="{00000000-0005-0000-0000-000018880000}"/>
    <cellStyle name="Normal 5 17 2 14 3 2" xfId="34855" xr:uid="{00000000-0005-0000-0000-000019880000}"/>
    <cellStyle name="Normal 5 17 2 14 3 3" xfId="34856" xr:uid="{00000000-0005-0000-0000-00001A880000}"/>
    <cellStyle name="Normal 5 17 2 14 3 4" xfId="34857" xr:uid="{00000000-0005-0000-0000-00001B880000}"/>
    <cellStyle name="Normal 5 17 2 14 3 5" xfId="34858" xr:uid="{00000000-0005-0000-0000-00001C880000}"/>
    <cellStyle name="Normal 5 17 2 14 3 6" xfId="34859" xr:uid="{00000000-0005-0000-0000-00001D880000}"/>
    <cellStyle name="Normal 5 17 2 14 3 7" xfId="34860" xr:uid="{00000000-0005-0000-0000-00001E880000}"/>
    <cellStyle name="Normal 5 17 2 14 3 8" xfId="34861" xr:uid="{00000000-0005-0000-0000-00001F880000}"/>
    <cellStyle name="Normal 5 17 2 14 3 9" xfId="34862" xr:uid="{00000000-0005-0000-0000-000020880000}"/>
    <cellStyle name="Normal 5 17 2 14 4" xfId="34863" xr:uid="{00000000-0005-0000-0000-000021880000}"/>
    <cellStyle name="Normal 5 17 2 14 4 10" xfId="34864" xr:uid="{00000000-0005-0000-0000-000022880000}"/>
    <cellStyle name="Normal 5 17 2 14 4 2" xfId="34865" xr:uid="{00000000-0005-0000-0000-000023880000}"/>
    <cellStyle name="Normal 5 17 2 14 4 3" xfId="34866" xr:uid="{00000000-0005-0000-0000-000024880000}"/>
    <cellStyle name="Normal 5 17 2 14 4 4" xfId="34867" xr:uid="{00000000-0005-0000-0000-000025880000}"/>
    <cellStyle name="Normal 5 17 2 14 4 5" xfId="34868" xr:uid="{00000000-0005-0000-0000-000026880000}"/>
    <cellStyle name="Normal 5 17 2 14 4 6" xfId="34869" xr:uid="{00000000-0005-0000-0000-000027880000}"/>
    <cellStyle name="Normal 5 17 2 14 4 7" xfId="34870" xr:uid="{00000000-0005-0000-0000-000028880000}"/>
    <cellStyle name="Normal 5 17 2 14 4 8" xfId="34871" xr:uid="{00000000-0005-0000-0000-000029880000}"/>
    <cellStyle name="Normal 5 17 2 14 4 9" xfId="34872" xr:uid="{00000000-0005-0000-0000-00002A880000}"/>
    <cellStyle name="Normal 5 17 2 14 5" xfId="34873" xr:uid="{00000000-0005-0000-0000-00002B880000}"/>
    <cellStyle name="Normal 5 17 2 14 5 10" xfId="34874" xr:uid="{00000000-0005-0000-0000-00002C880000}"/>
    <cellStyle name="Normal 5 17 2 14 5 2" xfId="34875" xr:uid="{00000000-0005-0000-0000-00002D880000}"/>
    <cellStyle name="Normal 5 17 2 14 5 3" xfId="34876" xr:uid="{00000000-0005-0000-0000-00002E880000}"/>
    <cellStyle name="Normal 5 17 2 14 5 4" xfId="34877" xr:uid="{00000000-0005-0000-0000-00002F880000}"/>
    <cellStyle name="Normal 5 17 2 14 5 5" xfId="34878" xr:uid="{00000000-0005-0000-0000-000030880000}"/>
    <cellStyle name="Normal 5 17 2 14 5 6" xfId="34879" xr:uid="{00000000-0005-0000-0000-000031880000}"/>
    <cellStyle name="Normal 5 17 2 14 5 7" xfId="34880" xr:uid="{00000000-0005-0000-0000-000032880000}"/>
    <cellStyle name="Normal 5 17 2 14 5 8" xfId="34881" xr:uid="{00000000-0005-0000-0000-000033880000}"/>
    <cellStyle name="Normal 5 17 2 14 5 9" xfId="34882" xr:uid="{00000000-0005-0000-0000-000034880000}"/>
    <cellStyle name="Normal 5 17 2 14 6" xfId="34883" xr:uid="{00000000-0005-0000-0000-000035880000}"/>
    <cellStyle name="Normal 5 17 2 14 7" xfId="34884" xr:uid="{00000000-0005-0000-0000-000036880000}"/>
    <cellStyle name="Normal 5 17 2 14 8" xfId="34885" xr:uid="{00000000-0005-0000-0000-000037880000}"/>
    <cellStyle name="Normal 5 17 2 14 9" xfId="34886" xr:uid="{00000000-0005-0000-0000-000038880000}"/>
    <cellStyle name="Normal 5 17 2 15" xfId="34887" xr:uid="{00000000-0005-0000-0000-000039880000}"/>
    <cellStyle name="Normal 5 17 2 15 10" xfId="34888" xr:uid="{00000000-0005-0000-0000-00003A880000}"/>
    <cellStyle name="Normal 5 17 2 15 11" xfId="34889" xr:uid="{00000000-0005-0000-0000-00003B880000}"/>
    <cellStyle name="Normal 5 17 2 15 12" xfId="34890" xr:uid="{00000000-0005-0000-0000-00003C880000}"/>
    <cellStyle name="Normal 5 17 2 15 13" xfId="34891" xr:uid="{00000000-0005-0000-0000-00003D880000}"/>
    <cellStyle name="Normal 5 17 2 15 14" xfId="34892" xr:uid="{00000000-0005-0000-0000-00003E880000}"/>
    <cellStyle name="Normal 5 17 2 15 2" xfId="34893" xr:uid="{00000000-0005-0000-0000-00003F880000}"/>
    <cellStyle name="Normal 5 17 2 15 2 10" xfId="34894" xr:uid="{00000000-0005-0000-0000-000040880000}"/>
    <cellStyle name="Normal 5 17 2 15 2 2" xfId="34895" xr:uid="{00000000-0005-0000-0000-000041880000}"/>
    <cellStyle name="Normal 5 17 2 15 2 3" xfId="34896" xr:uid="{00000000-0005-0000-0000-000042880000}"/>
    <cellStyle name="Normal 5 17 2 15 2 4" xfId="34897" xr:uid="{00000000-0005-0000-0000-000043880000}"/>
    <cellStyle name="Normal 5 17 2 15 2 5" xfId="34898" xr:uid="{00000000-0005-0000-0000-000044880000}"/>
    <cellStyle name="Normal 5 17 2 15 2 6" xfId="34899" xr:uid="{00000000-0005-0000-0000-000045880000}"/>
    <cellStyle name="Normal 5 17 2 15 2 7" xfId="34900" xr:uid="{00000000-0005-0000-0000-000046880000}"/>
    <cellStyle name="Normal 5 17 2 15 2 8" xfId="34901" xr:uid="{00000000-0005-0000-0000-000047880000}"/>
    <cellStyle name="Normal 5 17 2 15 2 9" xfId="34902" xr:uid="{00000000-0005-0000-0000-000048880000}"/>
    <cellStyle name="Normal 5 17 2 15 3" xfId="34903" xr:uid="{00000000-0005-0000-0000-000049880000}"/>
    <cellStyle name="Normal 5 17 2 15 3 10" xfId="34904" xr:uid="{00000000-0005-0000-0000-00004A880000}"/>
    <cellStyle name="Normal 5 17 2 15 3 2" xfId="34905" xr:uid="{00000000-0005-0000-0000-00004B880000}"/>
    <cellStyle name="Normal 5 17 2 15 3 3" xfId="34906" xr:uid="{00000000-0005-0000-0000-00004C880000}"/>
    <cellStyle name="Normal 5 17 2 15 3 4" xfId="34907" xr:uid="{00000000-0005-0000-0000-00004D880000}"/>
    <cellStyle name="Normal 5 17 2 15 3 5" xfId="34908" xr:uid="{00000000-0005-0000-0000-00004E880000}"/>
    <cellStyle name="Normal 5 17 2 15 3 6" xfId="34909" xr:uid="{00000000-0005-0000-0000-00004F880000}"/>
    <cellStyle name="Normal 5 17 2 15 3 7" xfId="34910" xr:uid="{00000000-0005-0000-0000-000050880000}"/>
    <cellStyle name="Normal 5 17 2 15 3 8" xfId="34911" xr:uid="{00000000-0005-0000-0000-000051880000}"/>
    <cellStyle name="Normal 5 17 2 15 3 9" xfId="34912" xr:uid="{00000000-0005-0000-0000-000052880000}"/>
    <cellStyle name="Normal 5 17 2 15 4" xfId="34913" xr:uid="{00000000-0005-0000-0000-000053880000}"/>
    <cellStyle name="Normal 5 17 2 15 4 10" xfId="34914" xr:uid="{00000000-0005-0000-0000-000054880000}"/>
    <cellStyle name="Normal 5 17 2 15 4 2" xfId="34915" xr:uid="{00000000-0005-0000-0000-000055880000}"/>
    <cellStyle name="Normal 5 17 2 15 4 3" xfId="34916" xr:uid="{00000000-0005-0000-0000-000056880000}"/>
    <cellStyle name="Normal 5 17 2 15 4 4" xfId="34917" xr:uid="{00000000-0005-0000-0000-000057880000}"/>
    <cellStyle name="Normal 5 17 2 15 4 5" xfId="34918" xr:uid="{00000000-0005-0000-0000-000058880000}"/>
    <cellStyle name="Normal 5 17 2 15 4 6" xfId="34919" xr:uid="{00000000-0005-0000-0000-000059880000}"/>
    <cellStyle name="Normal 5 17 2 15 4 7" xfId="34920" xr:uid="{00000000-0005-0000-0000-00005A880000}"/>
    <cellStyle name="Normal 5 17 2 15 4 8" xfId="34921" xr:uid="{00000000-0005-0000-0000-00005B880000}"/>
    <cellStyle name="Normal 5 17 2 15 4 9" xfId="34922" xr:uid="{00000000-0005-0000-0000-00005C880000}"/>
    <cellStyle name="Normal 5 17 2 15 5" xfId="34923" xr:uid="{00000000-0005-0000-0000-00005D880000}"/>
    <cellStyle name="Normal 5 17 2 15 5 10" xfId="34924" xr:uid="{00000000-0005-0000-0000-00005E880000}"/>
    <cellStyle name="Normal 5 17 2 15 5 2" xfId="34925" xr:uid="{00000000-0005-0000-0000-00005F880000}"/>
    <cellStyle name="Normal 5 17 2 15 5 3" xfId="34926" xr:uid="{00000000-0005-0000-0000-000060880000}"/>
    <cellStyle name="Normal 5 17 2 15 5 4" xfId="34927" xr:uid="{00000000-0005-0000-0000-000061880000}"/>
    <cellStyle name="Normal 5 17 2 15 5 5" xfId="34928" xr:uid="{00000000-0005-0000-0000-000062880000}"/>
    <cellStyle name="Normal 5 17 2 15 5 6" xfId="34929" xr:uid="{00000000-0005-0000-0000-000063880000}"/>
    <cellStyle name="Normal 5 17 2 15 5 7" xfId="34930" xr:uid="{00000000-0005-0000-0000-000064880000}"/>
    <cellStyle name="Normal 5 17 2 15 5 8" xfId="34931" xr:uid="{00000000-0005-0000-0000-000065880000}"/>
    <cellStyle name="Normal 5 17 2 15 5 9" xfId="34932" xr:uid="{00000000-0005-0000-0000-000066880000}"/>
    <cellStyle name="Normal 5 17 2 15 6" xfId="34933" xr:uid="{00000000-0005-0000-0000-000067880000}"/>
    <cellStyle name="Normal 5 17 2 15 7" xfId="34934" xr:uid="{00000000-0005-0000-0000-000068880000}"/>
    <cellStyle name="Normal 5 17 2 15 8" xfId="34935" xr:uid="{00000000-0005-0000-0000-000069880000}"/>
    <cellStyle name="Normal 5 17 2 15 9" xfId="34936" xr:uid="{00000000-0005-0000-0000-00006A880000}"/>
    <cellStyle name="Normal 5 17 2 16" xfId="34937" xr:uid="{00000000-0005-0000-0000-00006B880000}"/>
    <cellStyle name="Normal 5 17 2 16 10" xfId="34938" xr:uid="{00000000-0005-0000-0000-00006C880000}"/>
    <cellStyle name="Normal 5 17 2 16 11" xfId="34939" xr:uid="{00000000-0005-0000-0000-00006D880000}"/>
    <cellStyle name="Normal 5 17 2 16 12" xfId="34940" xr:uid="{00000000-0005-0000-0000-00006E880000}"/>
    <cellStyle name="Normal 5 17 2 16 13" xfId="34941" xr:uid="{00000000-0005-0000-0000-00006F880000}"/>
    <cellStyle name="Normal 5 17 2 16 14" xfId="34942" xr:uid="{00000000-0005-0000-0000-000070880000}"/>
    <cellStyle name="Normal 5 17 2 16 2" xfId="34943" xr:uid="{00000000-0005-0000-0000-000071880000}"/>
    <cellStyle name="Normal 5 17 2 16 2 10" xfId="34944" xr:uid="{00000000-0005-0000-0000-000072880000}"/>
    <cellStyle name="Normal 5 17 2 16 2 2" xfId="34945" xr:uid="{00000000-0005-0000-0000-000073880000}"/>
    <cellStyle name="Normal 5 17 2 16 2 3" xfId="34946" xr:uid="{00000000-0005-0000-0000-000074880000}"/>
    <cellStyle name="Normal 5 17 2 16 2 4" xfId="34947" xr:uid="{00000000-0005-0000-0000-000075880000}"/>
    <cellStyle name="Normal 5 17 2 16 2 5" xfId="34948" xr:uid="{00000000-0005-0000-0000-000076880000}"/>
    <cellStyle name="Normal 5 17 2 16 2 6" xfId="34949" xr:uid="{00000000-0005-0000-0000-000077880000}"/>
    <cellStyle name="Normal 5 17 2 16 2 7" xfId="34950" xr:uid="{00000000-0005-0000-0000-000078880000}"/>
    <cellStyle name="Normal 5 17 2 16 2 8" xfId="34951" xr:uid="{00000000-0005-0000-0000-000079880000}"/>
    <cellStyle name="Normal 5 17 2 16 2 9" xfId="34952" xr:uid="{00000000-0005-0000-0000-00007A880000}"/>
    <cellStyle name="Normal 5 17 2 16 3" xfId="34953" xr:uid="{00000000-0005-0000-0000-00007B880000}"/>
    <cellStyle name="Normal 5 17 2 16 3 10" xfId="34954" xr:uid="{00000000-0005-0000-0000-00007C880000}"/>
    <cellStyle name="Normal 5 17 2 16 3 2" xfId="34955" xr:uid="{00000000-0005-0000-0000-00007D880000}"/>
    <cellStyle name="Normal 5 17 2 16 3 3" xfId="34956" xr:uid="{00000000-0005-0000-0000-00007E880000}"/>
    <cellStyle name="Normal 5 17 2 16 3 4" xfId="34957" xr:uid="{00000000-0005-0000-0000-00007F880000}"/>
    <cellStyle name="Normal 5 17 2 16 3 5" xfId="34958" xr:uid="{00000000-0005-0000-0000-000080880000}"/>
    <cellStyle name="Normal 5 17 2 16 3 6" xfId="34959" xr:uid="{00000000-0005-0000-0000-000081880000}"/>
    <cellStyle name="Normal 5 17 2 16 3 7" xfId="34960" xr:uid="{00000000-0005-0000-0000-000082880000}"/>
    <cellStyle name="Normal 5 17 2 16 3 8" xfId="34961" xr:uid="{00000000-0005-0000-0000-000083880000}"/>
    <cellStyle name="Normal 5 17 2 16 3 9" xfId="34962" xr:uid="{00000000-0005-0000-0000-000084880000}"/>
    <cellStyle name="Normal 5 17 2 16 4" xfId="34963" xr:uid="{00000000-0005-0000-0000-000085880000}"/>
    <cellStyle name="Normal 5 17 2 16 4 10" xfId="34964" xr:uid="{00000000-0005-0000-0000-000086880000}"/>
    <cellStyle name="Normal 5 17 2 16 4 2" xfId="34965" xr:uid="{00000000-0005-0000-0000-000087880000}"/>
    <cellStyle name="Normal 5 17 2 16 4 3" xfId="34966" xr:uid="{00000000-0005-0000-0000-000088880000}"/>
    <cellStyle name="Normal 5 17 2 16 4 4" xfId="34967" xr:uid="{00000000-0005-0000-0000-000089880000}"/>
    <cellStyle name="Normal 5 17 2 16 4 5" xfId="34968" xr:uid="{00000000-0005-0000-0000-00008A880000}"/>
    <cellStyle name="Normal 5 17 2 16 4 6" xfId="34969" xr:uid="{00000000-0005-0000-0000-00008B880000}"/>
    <cellStyle name="Normal 5 17 2 16 4 7" xfId="34970" xr:uid="{00000000-0005-0000-0000-00008C880000}"/>
    <cellStyle name="Normal 5 17 2 16 4 8" xfId="34971" xr:uid="{00000000-0005-0000-0000-00008D880000}"/>
    <cellStyle name="Normal 5 17 2 16 4 9" xfId="34972" xr:uid="{00000000-0005-0000-0000-00008E880000}"/>
    <cellStyle name="Normal 5 17 2 16 5" xfId="34973" xr:uid="{00000000-0005-0000-0000-00008F880000}"/>
    <cellStyle name="Normal 5 17 2 16 5 10" xfId="34974" xr:uid="{00000000-0005-0000-0000-000090880000}"/>
    <cellStyle name="Normal 5 17 2 16 5 2" xfId="34975" xr:uid="{00000000-0005-0000-0000-000091880000}"/>
    <cellStyle name="Normal 5 17 2 16 5 3" xfId="34976" xr:uid="{00000000-0005-0000-0000-000092880000}"/>
    <cellStyle name="Normal 5 17 2 16 5 4" xfId="34977" xr:uid="{00000000-0005-0000-0000-000093880000}"/>
    <cellStyle name="Normal 5 17 2 16 5 5" xfId="34978" xr:uid="{00000000-0005-0000-0000-000094880000}"/>
    <cellStyle name="Normal 5 17 2 16 5 6" xfId="34979" xr:uid="{00000000-0005-0000-0000-000095880000}"/>
    <cellStyle name="Normal 5 17 2 16 5 7" xfId="34980" xr:uid="{00000000-0005-0000-0000-000096880000}"/>
    <cellStyle name="Normal 5 17 2 16 5 8" xfId="34981" xr:uid="{00000000-0005-0000-0000-000097880000}"/>
    <cellStyle name="Normal 5 17 2 16 5 9" xfId="34982" xr:uid="{00000000-0005-0000-0000-000098880000}"/>
    <cellStyle name="Normal 5 17 2 16 6" xfId="34983" xr:uid="{00000000-0005-0000-0000-000099880000}"/>
    <cellStyle name="Normal 5 17 2 16 7" xfId="34984" xr:uid="{00000000-0005-0000-0000-00009A880000}"/>
    <cellStyle name="Normal 5 17 2 16 8" xfId="34985" xr:uid="{00000000-0005-0000-0000-00009B880000}"/>
    <cellStyle name="Normal 5 17 2 16 9" xfId="34986" xr:uid="{00000000-0005-0000-0000-00009C880000}"/>
    <cellStyle name="Normal 5 17 2 17" xfId="34987" xr:uid="{00000000-0005-0000-0000-00009D880000}"/>
    <cellStyle name="Normal 5 17 2 17 10" xfId="34988" xr:uid="{00000000-0005-0000-0000-00009E880000}"/>
    <cellStyle name="Normal 5 17 2 17 11" xfId="34989" xr:uid="{00000000-0005-0000-0000-00009F880000}"/>
    <cellStyle name="Normal 5 17 2 17 12" xfId="34990" xr:uid="{00000000-0005-0000-0000-0000A0880000}"/>
    <cellStyle name="Normal 5 17 2 17 13" xfId="34991" xr:uid="{00000000-0005-0000-0000-0000A1880000}"/>
    <cellStyle name="Normal 5 17 2 17 14" xfId="34992" xr:uid="{00000000-0005-0000-0000-0000A2880000}"/>
    <cellStyle name="Normal 5 17 2 17 2" xfId="34993" xr:uid="{00000000-0005-0000-0000-0000A3880000}"/>
    <cellStyle name="Normal 5 17 2 17 2 10" xfId="34994" xr:uid="{00000000-0005-0000-0000-0000A4880000}"/>
    <cellStyle name="Normal 5 17 2 17 2 2" xfId="34995" xr:uid="{00000000-0005-0000-0000-0000A5880000}"/>
    <cellStyle name="Normal 5 17 2 17 2 3" xfId="34996" xr:uid="{00000000-0005-0000-0000-0000A6880000}"/>
    <cellStyle name="Normal 5 17 2 17 2 4" xfId="34997" xr:uid="{00000000-0005-0000-0000-0000A7880000}"/>
    <cellStyle name="Normal 5 17 2 17 2 5" xfId="34998" xr:uid="{00000000-0005-0000-0000-0000A8880000}"/>
    <cellStyle name="Normal 5 17 2 17 2 6" xfId="34999" xr:uid="{00000000-0005-0000-0000-0000A9880000}"/>
    <cellStyle name="Normal 5 17 2 17 2 7" xfId="35000" xr:uid="{00000000-0005-0000-0000-0000AA880000}"/>
    <cellStyle name="Normal 5 17 2 17 2 8" xfId="35001" xr:uid="{00000000-0005-0000-0000-0000AB880000}"/>
    <cellStyle name="Normal 5 17 2 17 2 9" xfId="35002" xr:uid="{00000000-0005-0000-0000-0000AC880000}"/>
    <cellStyle name="Normal 5 17 2 17 3" xfId="35003" xr:uid="{00000000-0005-0000-0000-0000AD880000}"/>
    <cellStyle name="Normal 5 17 2 17 3 10" xfId="35004" xr:uid="{00000000-0005-0000-0000-0000AE880000}"/>
    <cellStyle name="Normal 5 17 2 17 3 2" xfId="35005" xr:uid="{00000000-0005-0000-0000-0000AF880000}"/>
    <cellStyle name="Normal 5 17 2 17 3 3" xfId="35006" xr:uid="{00000000-0005-0000-0000-0000B0880000}"/>
    <cellStyle name="Normal 5 17 2 17 3 4" xfId="35007" xr:uid="{00000000-0005-0000-0000-0000B1880000}"/>
    <cellStyle name="Normal 5 17 2 17 3 5" xfId="35008" xr:uid="{00000000-0005-0000-0000-0000B2880000}"/>
    <cellStyle name="Normal 5 17 2 17 3 6" xfId="35009" xr:uid="{00000000-0005-0000-0000-0000B3880000}"/>
    <cellStyle name="Normal 5 17 2 17 3 7" xfId="35010" xr:uid="{00000000-0005-0000-0000-0000B4880000}"/>
    <cellStyle name="Normal 5 17 2 17 3 8" xfId="35011" xr:uid="{00000000-0005-0000-0000-0000B5880000}"/>
    <cellStyle name="Normal 5 17 2 17 3 9" xfId="35012" xr:uid="{00000000-0005-0000-0000-0000B6880000}"/>
    <cellStyle name="Normal 5 17 2 17 4" xfId="35013" xr:uid="{00000000-0005-0000-0000-0000B7880000}"/>
    <cellStyle name="Normal 5 17 2 17 4 10" xfId="35014" xr:uid="{00000000-0005-0000-0000-0000B8880000}"/>
    <cellStyle name="Normal 5 17 2 17 4 2" xfId="35015" xr:uid="{00000000-0005-0000-0000-0000B9880000}"/>
    <cellStyle name="Normal 5 17 2 17 4 3" xfId="35016" xr:uid="{00000000-0005-0000-0000-0000BA880000}"/>
    <cellStyle name="Normal 5 17 2 17 4 4" xfId="35017" xr:uid="{00000000-0005-0000-0000-0000BB880000}"/>
    <cellStyle name="Normal 5 17 2 17 4 5" xfId="35018" xr:uid="{00000000-0005-0000-0000-0000BC880000}"/>
    <cellStyle name="Normal 5 17 2 17 4 6" xfId="35019" xr:uid="{00000000-0005-0000-0000-0000BD880000}"/>
    <cellStyle name="Normal 5 17 2 17 4 7" xfId="35020" xr:uid="{00000000-0005-0000-0000-0000BE880000}"/>
    <cellStyle name="Normal 5 17 2 17 4 8" xfId="35021" xr:uid="{00000000-0005-0000-0000-0000BF880000}"/>
    <cellStyle name="Normal 5 17 2 17 4 9" xfId="35022" xr:uid="{00000000-0005-0000-0000-0000C0880000}"/>
    <cellStyle name="Normal 5 17 2 17 5" xfId="35023" xr:uid="{00000000-0005-0000-0000-0000C1880000}"/>
    <cellStyle name="Normal 5 17 2 17 5 10" xfId="35024" xr:uid="{00000000-0005-0000-0000-0000C2880000}"/>
    <cellStyle name="Normal 5 17 2 17 5 2" xfId="35025" xr:uid="{00000000-0005-0000-0000-0000C3880000}"/>
    <cellStyle name="Normal 5 17 2 17 5 3" xfId="35026" xr:uid="{00000000-0005-0000-0000-0000C4880000}"/>
    <cellStyle name="Normal 5 17 2 17 5 4" xfId="35027" xr:uid="{00000000-0005-0000-0000-0000C5880000}"/>
    <cellStyle name="Normal 5 17 2 17 5 5" xfId="35028" xr:uid="{00000000-0005-0000-0000-0000C6880000}"/>
    <cellStyle name="Normal 5 17 2 17 5 6" xfId="35029" xr:uid="{00000000-0005-0000-0000-0000C7880000}"/>
    <cellStyle name="Normal 5 17 2 17 5 7" xfId="35030" xr:uid="{00000000-0005-0000-0000-0000C8880000}"/>
    <cellStyle name="Normal 5 17 2 17 5 8" xfId="35031" xr:uid="{00000000-0005-0000-0000-0000C9880000}"/>
    <cellStyle name="Normal 5 17 2 17 5 9" xfId="35032" xr:uid="{00000000-0005-0000-0000-0000CA880000}"/>
    <cellStyle name="Normal 5 17 2 17 6" xfId="35033" xr:uid="{00000000-0005-0000-0000-0000CB880000}"/>
    <cellStyle name="Normal 5 17 2 17 7" xfId="35034" xr:uid="{00000000-0005-0000-0000-0000CC880000}"/>
    <cellStyle name="Normal 5 17 2 17 8" xfId="35035" xr:uid="{00000000-0005-0000-0000-0000CD880000}"/>
    <cellStyle name="Normal 5 17 2 17 9" xfId="35036" xr:uid="{00000000-0005-0000-0000-0000CE880000}"/>
    <cellStyle name="Normal 5 17 2 18" xfId="35037" xr:uid="{00000000-0005-0000-0000-0000CF880000}"/>
    <cellStyle name="Normal 5 17 2 18 10" xfId="35038" xr:uid="{00000000-0005-0000-0000-0000D0880000}"/>
    <cellStyle name="Normal 5 17 2 18 11" xfId="35039" xr:uid="{00000000-0005-0000-0000-0000D1880000}"/>
    <cellStyle name="Normal 5 17 2 18 12" xfId="35040" xr:uid="{00000000-0005-0000-0000-0000D2880000}"/>
    <cellStyle name="Normal 5 17 2 18 13" xfId="35041" xr:uid="{00000000-0005-0000-0000-0000D3880000}"/>
    <cellStyle name="Normal 5 17 2 18 14" xfId="35042" xr:uid="{00000000-0005-0000-0000-0000D4880000}"/>
    <cellStyle name="Normal 5 17 2 18 2" xfId="35043" xr:uid="{00000000-0005-0000-0000-0000D5880000}"/>
    <cellStyle name="Normal 5 17 2 18 2 10" xfId="35044" xr:uid="{00000000-0005-0000-0000-0000D6880000}"/>
    <cellStyle name="Normal 5 17 2 18 2 2" xfId="35045" xr:uid="{00000000-0005-0000-0000-0000D7880000}"/>
    <cellStyle name="Normal 5 17 2 18 2 3" xfId="35046" xr:uid="{00000000-0005-0000-0000-0000D8880000}"/>
    <cellStyle name="Normal 5 17 2 18 2 4" xfId="35047" xr:uid="{00000000-0005-0000-0000-0000D9880000}"/>
    <cellStyle name="Normal 5 17 2 18 2 5" xfId="35048" xr:uid="{00000000-0005-0000-0000-0000DA880000}"/>
    <cellStyle name="Normal 5 17 2 18 2 6" xfId="35049" xr:uid="{00000000-0005-0000-0000-0000DB880000}"/>
    <cellStyle name="Normal 5 17 2 18 2 7" xfId="35050" xr:uid="{00000000-0005-0000-0000-0000DC880000}"/>
    <cellStyle name="Normal 5 17 2 18 2 8" xfId="35051" xr:uid="{00000000-0005-0000-0000-0000DD880000}"/>
    <cellStyle name="Normal 5 17 2 18 2 9" xfId="35052" xr:uid="{00000000-0005-0000-0000-0000DE880000}"/>
    <cellStyle name="Normal 5 17 2 18 3" xfId="35053" xr:uid="{00000000-0005-0000-0000-0000DF880000}"/>
    <cellStyle name="Normal 5 17 2 18 3 10" xfId="35054" xr:uid="{00000000-0005-0000-0000-0000E0880000}"/>
    <cellStyle name="Normal 5 17 2 18 3 2" xfId="35055" xr:uid="{00000000-0005-0000-0000-0000E1880000}"/>
    <cellStyle name="Normal 5 17 2 18 3 3" xfId="35056" xr:uid="{00000000-0005-0000-0000-0000E2880000}"/>
    <cellStyle name="Normal 5 17 2 18 3 4" xfId="35057" xr:uid="{00000000-0005-0000-0000-0000E3880000}"/>
    <cellStyle name="Normal 5 17 2 18 3 5" xfId="35058" xr:uid="{00000000-0005-0000-0000-0000E4880000}"/>
    <cellStyle name="Normal 5 17 2 18 3 6" xfId="35059" xr:uid="{00000000-0005-0000-0000-0000E5880000}"/>
    <cellStyle name="Normal 5 17 2 18 3 7" xfId="35060" xr:uid="{00000000-0005-0000-0000-0000E6880000}"/>
    <cellStyle name="Normal 5 17 2 18 3 8" xfId="35061" xr:uid="{00000000-0005-0000-0000-0000E7880000}"/>
    <cellStyle name="Normal 5 17 2 18 3 9" xfId="35062" xr:uid="{00000000-0005-0000-0000-0000E8880000}"/>
    <cellStyle name="Normal 5 17 2 18 4" xfId="35063" xr:uid="{00000000-0005-0000-0000-0000E9880000}"/>
    <cellStyle name="Normal 5 17 2 18 4 10" xfId="35064" xr:uid="{00000000-0005-0000-0000-0000EA880000}"/>
    <cellStyle name="Normal 5 17 2 18 4 2" xfId="35065" xr:uid="{00000000-0005-0000-0000-0000EB880000}"/>
    <cellStyle name="Normal 5 17 2 18 4 3" xfId="35066" xr:uid="{00000000-0005-0000-0000-0000EC880000}"/>
    <cellStyle name="Normal 5 17 2 18 4 4" xfId="35067" xr:uid="{00000000-0005-0000-0000-0000ED880000}"/>
    <cellStyle name="Normal 5 17 2 18 4 5" xfId="35068" xr:uid="{00000000-0005-0000-0000-0000EE880000}"/>
    <cellStyle name="Normal 5 17 2 18 4 6" xfId="35069" xr:uid="{00000000-0005-0000-0000-0000EF880000}"/>
    <cellStyle name="Normal 5 17 2 18 4 7" xfId="35070" xr:uid="{00000000-0005-0000-0000-0000F0880000}"/>
    <cellStyle name="Normal 5 17 2 18 4 8" xfId="35071" xr:uid="{00000000-0005-0000-0000-0000F1880000}"/>
    <cellStyle name="Normal 5 17 2 18 4 9" xfId="35072" xr:uid="{00000000-0005-0000-0000-0000F2880000}"/>
    <cellStyle name="Normal 5 17 2 18 5" xfId="35073" xr:uid="{00000000-0005-0000-0000-0000F3880000}"/>
    <cellStyle name="Normal 5 17 2 18 5 10" xfId="35074" xr:uid="{00000000-0005-0000-0000-0000F4880000}"/>
    <cellStyle name="Normal 5 17 2 18 5 2" xfId="35075" xr:uid="{00000000-0005-0000-0000-0000F5880000}"/>
    <cellStyle name="Normal 5 17 2 18 5 3" xfId="35076" xr:uid="{00000000-0005-0000-0000-0000F6880000}"/>
    <cellStyle name="Normal 5 17 2 18 5 4" xfId="35077" xr:uid="{00000000-0005-0000-0000-0000F7880000}"/>
    <cellStyle name="Normal 5 17 2 18 5 5" xfId="35078" xr:uid="{00000000-0005-0000-0000-0000F8880000}"/>
    <cellStyle name="Normal 5 17 2 18 5 6" xfId="35079" xr:uid="{00000000-0005-0000-0000-0000F9880000}"/>
    <cellStyle name="Normal 5 17 2 18 5 7" xfId="35080" xr:uid="{00000000-0005-0000-0000-0000FA880000}"/>
    <cellStyle name="Normal 5 17 2 18 5 8" xfId="35081" xr:uid="{00000000-0005-0000-0000-0000FB880000}"/>
    <cellStyle name="Normal 5 17 2 18 5 9" xfId="35082" xr:uid="{00000000-0005-0000-0000-0000FC880000}"/>
    <cellStyle name="Normal 5 17 2 18 6" xfId="35083" xr:uid="{00000000-0005-0000-0000-0000FD880000}"/>
    <cellStyle name="Normal 5 17 2 18 7" xfId="35084" xr:uid="{00000000-0005-0000-0000-0000FE880000}"/>
    <cellStyle name="Normal 5 17 2 18 8" xfId="35085" xr:uid="{00000000-0005-0000-0000-0000FF880000}"/>
    <cellStyle name="Normal 5 17 2 18 9" xfId="35086" xr:uid="{00000000-0005-0000-0000-000000890000}"/>
    <cellStyle name="Normal 5 17 2 19" xfId="35087" xr:uid="{00000000-0005-0000-0000-000001890000}"/>
    <cellStyle name="Normal 5 17 2 19 10" xfId="35088" xr:uid="{00000000-0005-0000-0000-000002890000}"/>
    <cellStyle name="Normal 5 17 2 19 11" xfId="35089" xr:uid="{00000000-0005-0000-0000-000003890000}"/>
    <cellStyle name="Normal 5 17 2 19 12" xfId="35090" xr:uid="{00000000-0005-0000-0000-000004890000}"/>
    <cellStyle name="Normal 5 17 2 19 13" xfId="35091" xr:uid="{00000000-0005-0000-0000-000005890000}"/>
    <cellStyle name="Normal 5 17 2 19 14" xfId="35092" xr:uid="{00000000-0005-0000-0000-000006890000}"/>
    <cellStyle name="Normal 5 17 2 19 2" xfId="35093" xr:uid="{00000000-0005-0000-0000-000007890000}"/>
    <cellStyle name="Normal 5 17 2 19 2 10" xfId="35094" xr:uid="{00000000-0005-0000-0000-000008890000}"/>
    <cellStyle name="Normal 5 17 2 19 2 2" xfId="35095" xr:uid="{00000000-0005-0000-0000-000009890000}"/>
    <cellStyle name="Normal 5 17 2 19 2 3" xfId="35096" xr:uid="{00000000-0005-0000-0000-00000A890000}"/>
    <cellStyle name="Normal 5 17 2 19 2 4" xfId="35097" xr:uid="{00000000-0005-0000-0000-00000B890000}"/>
    <cellStyle name="Normal 5 17 2 19 2 5" xfId="35098" xr:uid="{00000000-0005-0000-0000-00000C890000}"/>
    <cellStyle name="Normal 5 17 2 19 2 6" xfId="35099" xr:uid="{00000000-0005-0000-0000-00000D890000}"/>
    <cellStyle name="Normal 5 17 2 19 2 7" xfId="35100" xr:uid="{00000000-0005-0000-0000-00000E890000}"/>
    <cellStyle name="Normal 5 17 2 19 2 8" xfId="35101" xr:uid="{00000000-0005-0000-0000-00000F890000}"/>
    <cellStyle name="Normal 5 17 2 19 2 9" xfId="35102" xr:uid="{00000000-0005-0000-0000-000010890000}"/>
    <cellStyle name="Normal 5 17 2 19 3" xfId="35103" xr:uid="{00000000-0005-0000-0000-000011890000}"/>
    <cellStyle name="Normal 5 17 2 19 3 10" xfId="35104" xr:uid="{00000000-0005-0000-0000-000012890000}"/>
    <cellStyle name="Normal 5 17 2 19 3 2" xfId="35105" xr:uid="{00000000-0005-0000-0000-000013890000}"/>
    <cellStyle name="Normal 5 17 2 19 3 3" xfId="35106" xr:uid="{00000000-0005-0000-0000-000014890000}"/>
    <cellStyle name="Normal 5 17 2 19 3 4" xfId="35107" xr:uid="{00000000-0005-0000-0000-000015890000}"/>
    <cellStyle name="Normal 5 17 2 19 3 5" xfId="35108" xr:uid="{00000000-0005-0000-0000-000016890000}"/>
    <cellStyle name="Normal 5 17 2 19 3 6" xfId="35109" xr:uid="{00000000-0005-0000-0000-000017890000}"/>
    <cellStyle name="Normal 5 17 2 19 3 7" xfId="35110" xr:uid="{00000000-0005-0000-0000-000018890000}"/>
    <cellStyle name="Normal 5 17 2 19 3 8" xfId="35111" xr:uid="{00000000-0005-0000-0000-000019890000}"/>
    <cellStyle name="Normal 5 17 2 19 3 9" xfId="35112" xr:uid="{00000000-0005-0000-0000-00001A890000}"/>
    <cellStyle name="Normal 5 17 2 19 4" xfId="35113" xr:uid="{00000000-0005-0000-0000-00001B890000}"/>
    <cellStyle name="Normal 5 17 2 19 4 10" xfId="35114" xr:uid="{00000000-0005-0000-0000-00001C890000}"/>
    <cellStyle name="Normal 5 17 2 19 4 2" xfId="35115" xr:uid="{00000000-0005-0000-0000-00001D890000}"/>
    <cellStyle name="Normal 5 17 2 19 4 3" xfId="35116" xr:uid="{00000000-0005-0000-0000-00001E890000}"/>
    <cellStyle name="Normal 5 17 2 19 4 4" xfId="35117" xr:uid="{00000000-0005-0000-0000-00001F890000}"/>
    <cellStyle name="Normal 5 17 2 19 4 5" xfId="35118" xr:uid="{00000000-0005-0000-0000-000020890000}"/>
    <cellStyle name="Normal 5 17 2 19 4 6" xfId="35119" xr:uid="{00000000-0005-0000-0000-000021890000}"/>
    <cellStyle name="Normal 5 17 2 19 4 7" xfId="35120" xr:uid="{00000000-0005-0000-0000-000022890000}"/>
    <cellStyle name="Normal 5 17 2 19 4 8" xfId="35121" xr:uid="{00000000-0005-0000-0000-000023890000}"/>
    <cellStyle name="Normal 5 17 2 19 4 9" xfId="35122" xr:uid="{00000000-0005-0000-0000-000024890000}"/>
    <cellStyle name="Normal 5 17 2 19 5" xfId="35123" xr:uid="{00000000-0005-0000-0000-000025890000}"/>
    <cellStyle name="Normal 5 17 2 19 5 10" xfId="35124" xr:uid="{00000000-0005-0000-0000-000026890000}"/>
    <cellStyle name="Normal 5 17 2 19 5 2" xfId="35125" xr:uid="{00000000-0005-0000-0000-000027890000}"/>
    <cellStyle name="Normal 5 17 2 19 5 3" xfId="35126" xr:uid="{00000000-0005-0000-0000-000028890000}"/>
    <cellStyle name="Normal 5 17 2 19 5 4" xfId="35127" xr:uid="{00000000-0005-0000-0000-000029890000}"/>
    <cellStyle name="Normal 5 17 2 19 5 5" xfId="35128" xr:uid="{00000000-0005-0000-0000-00002A890000}"/>
    <cellStyle name="Normal 5 17 2 19 5 6" xfId="35129" xr:uid="{00000000-0005-0000-0000-00002B890000}"/>
    <cellStyle name="Normal 5 17 2 19 5 7" xfId="35130" xr:uid="{00000000-0005-0000-0000-00002C890000}"/>
    <cellStyle name="Normal 5 17 2 19 5 8" xfId="35131" xr:uid="{00000000-0005-0000-0000-00002D890000}"/>
    <cellStyle name="Normal 5 17 2 19 5 9" xfId="35132" xr:uid="{00000000-0005-0000-0000-00002E890000}"/>
    <cellStyle name="Normal 5 17 2 19 6" xfId="35133" xr:uid="{00000000-0005-0000-0000-00002F890000}"/>
    <cellStyle name="Normal 5 17 2 19 7" xfId="35134" xr:uid="{00000000-0005-0000-0000-000030890000}"/>
    <cellStyle name="Normal 5 17 2 19 8" xfId="35135" xr:uid="{00000000-0005-0000-0000-000031890000}"/>
    <cellStyle name="Normal 5 17 2 19 9" xfId="35136" xr:uid="{00000000-0005-0000-0000-000032890000}"/>
    <cellStyle name="Normal 5 17 2 2" xfId="35137" xr:uid="{00000000-0005-0000-0000-000033890000}"/>
    <cellStyle name="Normal 5 17 2 2 10" xfId="35138" xr:uid="{00000000-0005-0000-0000-000034890000}"/>
    <cellStyle name="Normal 5 17 2 2 11" xfId="35139" xr:uid="{00000000-0005-0000-0000-000035890000}"/>
    <cellStyle name="Normal 5 17 2 2 12" xfId="35140" xr:uid="{00000000-0005-0000-0000-000036890000}"/>
    <cellStyle name="Normal 5 17 2 2 13" xfId="35141" xr:uid="{00000000-0005-0000-0000-000037890000}"/>
    <cellStyle name="Normal 5 17 2 2 14" xfId="35142" xr:uid="{00000000-0005-0000-0000-000038890000}"/>
    <cellStyle name="Normal 5 17 2 2 15" xfId="35143" xr:uid="{00000000-0005-0000-0000-000039890000}"/>
    <cellStyle name="Normal 5 17 2 2 16" xfId="35144" xr:uid="{00000000-0005-0000-0000-00003A890000}"/>
    <cellStyle name="Normal 5 17 2 2 2" xfId="35145" xr:uid="{00000000-0005-0000-0000-00003B890000}"/>
    <cellStyle name="Normal 5 17 2 2 2 10" xfId="35146" xr:uid="{00000000-0005-0000-0000-00003C890000}"/>
    <cellStyle name="Normal 5 17 2 2 2 2" xfId="35147" xr:uid="{00000000-0005-0000-0000-00003D890000}"/>
    <cellStyle name="Normal 5 17 2 2 2 3" xfId="35148" xr:uid="{00000000-0005-0000-0000-00003E890000}"/>
    <cellStyle name="Normal 5 17 2 2 2 4" xfId="35149" xr:uid="{00000000-0005-0000-0000-00003F890000}"/>
    <cellStyle name="Normal 5 17 2 2 2 5" xfId="35150" xr:uid="{00000000-0005-0000-0000-000040890000}"/>
    <cellStyle name="Normal 5 17 2 2 2 6" xfId="35151" xr:uid="{00000000-0005-0000-0000-000041890000}"/>
    <cellStyle name="Normal 5 17 2 2 2 7" xfId="35152" xr:uid="{00000000-0005-0000-0000-000042890000}"/>
    <cellStyle name="Normal 5 17 2 2 2 8" xfId="35153" xr:uid="{00000000-0005-0000-0000-000043890000}"/>
    <cellStyle name="Normal 5 17 2 2 2 9" xfId="35154" xr:uid="{00000000-0005-0000-0000-000044890000}"/>
    <cellStyle name="Normal 5 17 2 2 3" xfId="35155" xr:uid="{00000000-0005-0000-0000-000045890000}"/>
    <cellStyle name="Normal 5 17 2 2 3 10" xfId="35156" xr:uid="{00000000-0005-0000-0000-000046890000}"/>
    <cellStyle name="Normal 5 17 2 2 3 2" xfId="35157" xr:uid="{00000000-0005-0000-0000-000047890000}"/>
    <cellStyle name="Normal 5 17 2 2 3 3" xfId="35158" xr:uid="{00000000-0005-0000-0000-000048890000}"/>
    <cellStyle name="Normal 5 17 2 2 3 4" xfId="35159" xr:uid="{00000000-0005-0000-0000-000049890000}"/>
    <cellStyle name="Normal 5 17 2 2 3 5" xfId="35160" xr:uid="{00000000-0005-0000-0000-00004A890000}"/>
    <cellStyle name="Normal 5 17 2 2 3 6" xfId="35161" xr:uid="{00000000-0005-0000-0000-00004B890000}"/>
    <cellStyle name="Normal 5 17 2 2 3 7" xfId="35162" xr:uid="{00000000-0005-0000-0000-00004C890000}"/>
    <cellStyle name="Normal 5 17 2 2 3 8" xfId="35163" xr:uid="{00000000-0005-0000-0000-00004D890000}"/>
    <cellStyle name="Normal 5 17 2 2 3 9" xfId="35164" xr:uid="{00000000-0005-0000-0000-00004E890000}"/>
    <cellStyle name="Normal 5 17 2 2 4" xfId="35165" xr:uid="{00000000-0005-0000-0000-00004F890000}"/>
    <cellStyle name="Normal 5 17 2 2 4 10" xfId="35166" xr:uid="{00000000-0005-0000-0000-000050890000}"/>
    <cellStyle name="Normal 5 17 2 2 4 2" xfId="35167" xr:uid="{00000000-0005-0000-0000-000051890000}"/>
    <cellStyle name="Normal 5 17 2 2 4 3" xfId="35168" xr:uid="{00000000-0005-0000-0000-000052890000}"/>
    <cellStyle name="Normal 5 17 2 2 4 4" xfId="35169" xr:uid="{00000000-0005-0000-0000-000053890000}"/>
    <cellStyle name="Normal 5 17 2 2 4 5" xfId="35170" xr:uid="{00000000-0005-0000-0000-000054890000}"/>
    <cellStyle name="Normal 5 17 2 2 4 6" xfId="35171" xr:uid="{00000000-0005-0000-0000-000055890000}"/>
    <cellStyle name="Normal 5 17 2 2 4 7" xfId="35172" xr:uid="{00000000-0005-0000-0000-000056890000}"/>
    <cellStyle name="Normal 5 17 2 2 4 8" xfId="35173" xr:uid="{00000000-0005-0000-0000-000057890000}"/>
    <cellStyle name="Normal 5 17 2 2 4 9" xfId="35174" xr:uid="{00000000-0005-0000-0000-000058890000}"/>
    <cellStyle name="Normal 5 17 2 2 5" xfId="35175" xr:uid="{00000000-0005-0000-0000-000059890000}"/>
    <cellStyle name="Normal 5 17 2 2 5 10" xfId="35176" xr:uid="{00000000-0005-0000-0000-00005A890000}"/>
    <cellStyle name="Normal 5 17 2 2 5 2" xfId="35177" xr:uid="{00000000-0005-0000-0000-00005B890000}"/>
    <cellStyle name="Normal 5 17 2 2 5 3" xfId="35178" xr:uid="{00000000-0005-0000-0000-00005C890000}"/>
    <cellStyle name="Normal 5 17 2 2 5 4" xfId="35179" xr:uid="{00000000-0005-0000-0000-00005D890000}"/>
    <cellStyle name="Normal 5 17 2 2 5 5" xfId="35180" xr:uid="{00000000-0005-0000-0000-00005E890000}"/>
    <cellStyle name="Normal 5 17 2 2 5 6" xfId="35181" xr:uid="{00000000-0005-0000-0000-00005F890000}"/>
    <cellStyle name="Normal 5 17 2 2 5 7" xfId="35182" xr:uid="{00000000-0005-0000-0000-000060890000}"/>
    <cellStyle name="Normal 5 17 2 2 5 8" xfId="35183" xr:uid="{00000000-0005-0000-0000-000061890000}"/>
    <cellStyle name="Normal 5 17 2 2 5 9" xfId="35184" xr:uid="{00000000-0005-0000-0000-000062890000}"/>
    <cellStyle name="Normal 5 17 2 2 6" xfId="35185" xr:uid="{00000000-0005-0000-0000-000063890000}"/>
    <cellStyle name="Normal 5 17 2 2 7" xfId="35186" xr:uid="{00000000-0005-0000-0000-000064890000}"/>
    <cellStyle name="Normal 5 17 2 2 8" xfId="35187" xr:uid="{00000000-0005-0000-0000-000065890000}"/>
    <cellStyle name="Normal 5 17 2 2 9" xfId="35188" xr:uid="{00000000-0005-0000-0000-000066890000}"/>
    <cellStyle name="Normal 5 17 2 20" xfId="35189" xr:uid="{00000000-0005-0000-0000-000067890000}"/>
    <cellStyle name="Normal 5 17 2 20 10" xfId="35190" xr:uid="{00000000-0005-0000-0000-000068890000}"/>
    <cellStyle name="Normal 5 17 2 20 11" xfId="35191" xr:uid="{00000000-0005-0000-0000-000069890000}"/>
    <cellStyle name="Normal 5 17 2 20 12" xfId="35192" xr:uid="{00000000-0005-0000-0000-00006A890000}"/>
    <cellStyle name="Normal 5 17 2 20 13" xfId="35193" xr:uid="{00000000-0005-0000-0000-00006B890000}"/>
    <cellStyle name="Normal 5 17 2 20 14" xfId="35194" xr:uid="{00000000-0005-0000-0000-00006C890000}"/>
    <cellStyle name="Normal 5 17 2 20 2" xfId="35195" xr:uid="{00000000-0005-0000-0000-00006D890000}"/>
    <cellStyle name="Normal 5 17 2 20 2 10" xfId="35196" xr:uid="{00000000-0005-0000-0000-00006E890000}"/>
    <cellStyle name="Normal 5 17 2 20 2 2" xfId="35197" xr:uid="{00000000-0005-0000-0000-00006F890000}"/>
    <cellStyle name="Normal 5 17 2 20 2 3" xfId="35198" xr:uid="{00000000-0005-0000-0000-000070890000}"/>
    <cellStyle name="Normal 5 17 2 20 2 4" xfId="35199" xr:uid="{00000000-0005-0000-0000-000071890000}"/>
    <cellStyle name="Normal 5 17 2 20 2 5" xfId="35200" xr:uid="{00000000-0005-0000-0000-000072890000}"/>
    <cellStyle name="Normal 5 17 2 20 2 6" xfId="35201" xr:uid="{00000000-0005-0000-0000-000073890000}"/>
    <cellStyle name="Normal 5 17 2 20 2 7" xfId="35202" xr:uid="{00000000-0005-0000-0000-000074890000}"/>
    <cellStyle name="Normal 5 17 2 20 2 8" xfId="35203" xr:uid="{00000000-0005-0000-0000-000075890000}"/>
    <cellStyle name="Normal 5 17 2 20 2 9" xfId="35204" xr:uid="{00000000-0005-0000-0000-000076890000}"/>
    <cellStyle name="Normal 5 17 2 20 3" xfId="35205" xr:uid="{00000000-0005-0000-0000-000077890000}"/>
    <cellStyle name="Normal 5 17 2 20 3 10" xfId="35206" xr:uid="{00000000-0005-0000-0000-000078890000}"/>
    <cellStyle name="Normal 5 17 2 20 3 2" xfId="35207" xr:uid="{00000000-0005-0000-0000-000079890000}"/>
    <cellStyle name="Normal 5 17 2 20 3 3" xfId="35208" xr:uid="{00000000-0005-0000-0000-00007A890000}"/>
    <cellStyle name="Normal 5 17 2 20 3 4" xfId="35209" xr:uid="{00000000-0005-0000-0000-00007B890000}"/>
    <cellStyle name="Normal 5 17 2 20 3 5" xfId="35210" xr:uid="{00000000-0005-0000-0000-00007C890000}"/>
    <cellStyle name="Normal 5 17 2 20 3 6" xfId="35211" xr:uid="{00000000-0005-0000-0000-00007D890000}"/>
    <cellStyle name="Normal 5 17 2 20 3 7" xfId="35212" xr:uid="{00000000-0005-0000-0000-00007E890000}"/>
    <cellStyle name="Normal 5 17 2 20 3 8" xfId="35213" xr:uid="{00000000-0005-0000-0000-00007F890000}"/>
    <cellStyle name="Normal 5 17 2 20 3 9" xfId="35214" xr:uid="{00000000-0005-0000-0000-000080890000}"/>
    <cellStyle name="Normal 5 17 2 20 4" xfId="35215" xr:uid="{00000000-0005-0000-0000-000081890000}"/>
    <cellStyle name="Normal 5 17 2 20 4 10" xfId="35216" xr:uid="{00000000-0005-0000-0000-000082890000}"/>
    <cellStyle name="Normal 5 17 2 20 4 2" xfId="35217" xr:uid="{00000000-0005-0000-0000-000083890000}"/>
    <cellStyle name="Normal 5 17 2 20 4 3" xfId="35218" xr:uid="{00000000-0005-0000-0000-000084890000}"/>
    <cellStyle name="Normal 5 17 2 20 4 4" xfId="35219" xr:uid="{00000000-0005-0000-0000-000085890000}"/>
    <cellStyle name="Normal 5 17 2 20 4 5" xfId="35220" xr:uid="{00000000-0005-0000-0000-000086890000}"/>
    <cellStyle name="Normal 5 17 2 20 4 6" xfId="35221" xr:uid="{00000000-0005-0000-0000-000087890000}"/>
    <cellStyle name="Normal 5 17 2 20 4 7" xfId="35222" xr:uid="{00000000-0005-0000-0000-000088890000}"/>
    <cellStyle name="Normal 5 17 2 20 4 8" xfId="35223" xr:uid="{00000000-0005-0000-0000-000089890000}"/>
    <cellStyle name="Normal 5 17 2 20 4 9" xfId="35224" xr:uid="{00000000-0005-0000-0000-00008A890000}"/>
    <cellStyle name="Normal 5 17 2 20 5" xfId="35225" xr:uid="{00000000-0005-0000-0000-00008B890000}"/>
    <cellStyle name="Normal 5 17 2 20 5 10" xfId="35226" xr:uid="{00000000-0005-0000-0000-00008C890000}"/>
    <cellStyle name="Normal 5 17 2 20 5 2" xfId="35227" xr:uid="{00000000-0005-0000-0000-00008D890000}"/>
    <cellStyle name="Normal 5 17 2 20 5 3" xfId="35228" xr:uid="{00000000-0005-0000-0000-00008E890000}"/>
    <cellStyle name="Normal 5 17 2 20 5 4" xfId="35229" xr:uid="{00000000-0005-0000-0000-00008F890000}"/>
    <cellStyle name="Normal 5 17 2 20 5 5" xfId="35230" xr:uid="{00000000-0005-0000-0000-000090890000}"/>
    <cellStyle name="Normal 5 17 2 20 5 6" xfId="35231" xr:uid="{00000000-0005-0000-0000-000091890000}"/>
    <cellStyle name="Normal 5 17 2 20 5 7" xfId="35232" xr:uid="{00000000-0005-0000-0000-000092890000}"/>
    <cellStyle name="Normal 5 17 2 20 5 8" xfId="35233" xr:uid="{00000000-0005-0000-0000-000093890000}"/>
    <cellStyle name="Normal 5 17 2 20 5 9" xfId="35234" xr:uid="{00000000-0005-0000-0000-000094890000}"/>
    <cellStyle name="Normal 5 17 2 20 6" xfId="35235" xr:uid="{00000000-0005-0000-0000-000095890000}"/>
    <cellStyle name="Normal 5 17 2 20 7" xfId="35236" xr:uid="{00000000-0005-0000-0000-000096890000}"/>
    <cellStyle name="Normal 5 17 2 20 8" xfId="35237" xr:uid="{00000000-0005-0000-0000-000097890000}"/>
    <cellStyle name="Normal 5 17 2 20 9" xfId="35238" xr:uid="{00000000-0005-0000-0000-000098890000}"/>
    <cellStyle name="Normal 5 17 2 21" xfId="35239" xr:uid="{00000000-0005-0000-0000-000099890000}"/>
    <cellStyle name="Normal 5 17 2 21 10" xfId="35240" xr:uid="{00000000-0005-0000-0000-00009A890000}"/>
    <cellStyle name="Normal 5 17 2 21 11" xfId="35241" xr:uid="{00000000-0005-0000-0000-00009B890000}"/>
    <cellStyle name="Normal 5 17 2 21 12" xfId="35242" xr:uid="{00000000-0005-0000-0000-00009C890000}"/>
    <cellStyle name="Normal 5 17 2 21 13" xfId="35243" xr:uid="{00000000-0005-0000-0000-00009D890000}"/>
    <cellStyle name="Normal 5 17 2 21 14" xfId="35244" xr:uid="{00000000-0005-0000-0000-00009E890000}"/>
    <cellStyle name="Normal 5 17 2 21 2" xfId="35245" xr:uid="{00000000-0005-0000-0000-00009F890000}"/>
    <cellStyle name="Normal 5 17 2 21 2 10" xfId="35246" xr:uid="{00000000-0005-0000-0000-0000A0890000}"/>
    <cellStyle name="Normal 5 17 2 21 2 2" xfId="35247" xr:uid="{00000000-0005-0000-0000-0000A1890000}"/>
    <cellStyle name="Normal 5 17 2 21 2 3" xfId="35248" xr:uid="{00000000-0005-0000-0000-0000A2890000}"/>
    <cellStyle name="Normal 5 17 2 21 2 4" xfId="35249" xr:uid="{00000000-0005-0000-0000-0000A3890000}"/>
    <cellStyle name="Normal 5 17 2 21 2 5" xfId="35250" xr:uid="{00000000-0005-0000-0000-0000A4890000}"/>
    <cellStyle name="Normal 5 17 2 21 2 6" xfId="35251" xr:uid="{00000000-0005-0000-0000-0000A5890000}"/>
    <cellStyle name="Normal 5 17 2 21 2 7" xfId="35252" xr:uid="{00000000-0005-0000-0000-0000A6890000}"/>
    <cellStyle name="Normal 5 17 2 21 2 8" xfId="35253" xr:uid="{00000000-0005-0000-0000-0000A7890000}"/>
    <cellStyle name="Normal 5 17 2 21 2 9" xfId="35254" xr:uid="{00000000-0005-0000-0000-0000A8890000}"/>
    <cellStyle name="Normal 5 17 2 21 3" xfId="35255" xr:uid="{00000000-0005-0000-0000-0000A9890000}"/>
    <cellStyle name="Normal 5 17 2 21 3 10" xfId="35256" xr:uid="{00000000-0005-0000-0000-0000AA890000}"/>
    <cellStyle name="Normal 5 17 2 21 3 2" xfId="35257" xr:uid="{00000000-0005-0000-0000-0000AB890000}"/>
    <cellStyle name="Normal 5 17 2 21 3 3" xfId="35258" xr:uid="{00000000-0005-0000-0000-0000AC890000}"/>
    <cellStyle name="Normal 5 17 2 21 3 4" xfId="35259" xr:uid="{00000000-0005-0000-0000-0000AD890000}"/>
    <cellStyle name="Normal 5 17 2 21 3 5" xfId="35260" xr:uid="{00000000-0005-0000-0000-0000AE890000}"/>
    <cellStyle name="Normal 5 17 2 21 3 6" xfId="35261" xr:uid="{00000000-0005-0000-0000-0000AF890000}"/>
    <cellStyle name="Normal 5 17 2 21 3 7" xfId="35262" xr:uid="{00000000-0005-0000-0000-0000B0890000}"/>
    <cellStyle name="Normal 5 17 2 21 3 8" xfId="35263" xr:uid="{00000000-0005-0000-0000-0000B1890000}"/>
    <cellStyle name="Normal 5 17 2 21 3 9" xfId="35264" xr:uid="{00000000-0005-0000-0000-0000B2890000}"/>
    <cellStyle name="Normal 5 17 2 21 4" xfId="35265" xr:uid="{00000000-0005-0000-0000-0000B3890000}"/>
    <cellStyle name="Normal 5 17 2 21 4 10" xfId="35266" xr:uid="{00000000-0005-0000-0000-0000B4890000}"/>
    <cellStyle name="Normal 5 17 2 21 4 2" xfId="35267" xr:uid="{00000000-0005-0000-0000-0000B5890000}"/>
    <cellStyle name="Normal 5 17 2 21 4 3" xfId="35268" xr:uid="{00000000-0005-0000-0000-0000B6890000}"/>
    <cellStyle name="Normal 5 17 2 21 4 4" xfId="35269" xr:uid="{00000000-0005-0000-0000-0000B7890000}"/>
    <cellStyle name="Normal 5 17 2 21 4 5" xfId="35270" xr:uid="{00000000-0005-0000-0000-0000B8890000}"/>
    <cellStyle name="Normal 5 17 2 21 4 6" xfId="35271" xr:uid="{00000000-0005-0000-0000-0000B9890000}"/>
    <cellStyle name="Normal 5 17 2 21 4 7" xfId="35272" xr:uid="{00000000-0005-0000-0000-0000BA890000}"/>
    <cellStyle name="Normal 5 17 2 21 4 8" xfId="35273" xr:uid="{00000000-0005-0000-0000-0000BB890000}"/>
    <cellStyle name="Normal 5 17 2 21 4 9" xfId="35274" xr:uid="{00000000-0005-0000-0000-0000BC890000}"/>
    <cellStyle name="Normal 5 17 2 21 5" xfId="35275" xr:uid="{00000000-0005-0000-0000-0000BD890000}"/>
    <cellStyle name="Normal 5 17 2 21 5 10" xfId="35276" xr:uid="{00000000-0005-0000-0000-0000BE890000}"/>
    <cellStyle name="Normal 5 17 2 21 5 2" xfId="35277" xr:uid="{00000000-0005-0000-0000-0000BF890000}"/>
    <cellStyle name="Normal 5 17 2 21 5 3" xfId="35278" xr:uid="{00000000-0005-0000-0000-0000C0890000}"/>
    <cellStyle name="Normal 5 17 2 21 5 4" xfId="35279" xr:uid="{00000000-0005-0000-0000-0000C1890000}"/>
    <cellStyle name="Normal 5 17 2 21 5 5" xfId="35280" xr:uid="{00000000-0005-0000-0000-0000C2890000}"/>
    <cellStyle name="Normal 5 17 2 21 5 6" xfId="35281" xr:uid="{00000000-0005-0000-0000-0000C3890000}"/>
    <cellStyle name="Normal 5 17 2 21 5 7" xfId="35282" xr:uid="{00000000-0005-0000-0000-0000C4890000}"/>
    <cellStyle name="Normal 5 17 2 21 5 8" xfId="35283" xr:uid="{00000000-0005-0000-0000-0000C5890000}"/>
    <cellStyle name="Normal 5 17 2 21 5 9" xfId="35284" xr:uid="{00000000-0005-0000-0000-0000C6890000}"/>
    <cellStyle name="Normal 5 17 2 21 6" xfId="35285" xr:uid="{00000000-0005-0000-0000-0000C7890000}"/>
    <cellStyle name="Normal 5 17 2 21 7" xfId="35286" xr:uid="{00000000-0005-0000-0000-0000C8890000}"/>
    <cellStyle name="Normal 5 17 2 21 8" xfId="35287" xr:uid="{00000000-0005-0000-0000-0000C9890000}"/>
    <cellStyle name="Normal 5 17 2 21 9" xfId="35288" xr:uid="{00000000-0005-0000-0000-0000CA890000}"/>
    <cellStyle name="Normal 5 17 2 22" xfId="35289" xr:uid="{00000000-0005-0000-0000-0000CB890000}"/>
    <cellStyle name="Normal 5 17 2 22 10" xfId="35290" xr:uid="{00000000-0005-0000-0000-0000CC890000}"/>
    <cellStyle name="Normal 5 17 2 22 11" xfId="35291" xr:uid="{00000000-0005-0000-0000-0000CD890000}"/>
    <cellStyle name="Normal 5 17 2 22 12" xfId="35292" xr:uid="{00000000-0005-0000-0000-0000CE890000}"/>
    <cellStyle name="Normal 5 17 2 22 13" xfId="35293" xr:uid="{00000000-0005-0000-0000-0000CF890000}"/>
    <cellStyle name="Normal 5 17 2 22 14" xfId="35294" xr:uid="{00000000-0005-0000-0000-0000D0890000}"/>
    <cellStyle name="Normal 5 17 2 22 2" xfId="35295" xr:uid="{00000000-0005-0000-0000-0000D1890000}"/>
    <cellStyle name="Normal 5 17 2 22 2 10" xfId="35296" xr:uid="{00000000-0005-0000-0000-0000D2890000}"/>
    <cellStyle name="Normal 5 17 2 22 2 2" xfId="35297" xr:uid="{00000000-0005-0000-0000-0000D3890000}"/>
    <cellStyle name="Normal 5 17 2 22 2 3" xfId="35298" xr:uid="{00000000-0005-0000-0000-0000D4890000}"/>
    <cellStyle name="Normal 5 17 2 22 2 4" xfId="35299" xr:uid="{00000000-0005-0000-0000-0000D5890000}"/>
    <cellStyle name="Normal 5 17 2 22 2 5" xfId="35300" xr:uid="{00000000-0005-0000-0000-0000D6890000}"/>
    <cellStyle name="Normal 5 17 2 22 2 6" xfId="35301" xr:uid="{00000000-0005-0000-0000-0000D7890000}"/>
    <cellStyle name="Normal 5 17 2 22 2 7" xfId="35302" xr:uid="{00000000-0005-0000-0000-0000D8890000}"/>
    <cellStyle name="Normal 5 17 2 22 2 8" xfId="35303" xr:uid="{00000000-0005-0000-0000-0000D9890000}"/>
    <cellStyle name="Normal 5 17 2 22 2 9" xfId="35304" xr:uid="{00000000-0005-0000-0000-0000DA890000}"/>
    <cellStyle name="Normal 5 17 2 22 3" xfId="35305" xr:uid="{00000000-0005-0000-0000-0000DB890000}"/>
    <cellStyle name="Normal 5 17 2 22 3 10" xfId="35306" xr:uid="{00000000-0005-0000-0000-0000DC890000}"/>
    <cellStyle name="Normal 5 17 2 22 3 2" xfId="35307" xr:uid="{00000000-0005-0000-0000-0000DD890000}"/>
    <cellStyle name="Normal 5 17 2 22 3 3" xfId="35308" xr:uid="{00000000-0005-0000-0000-0000DE890000}"/>
    <cellStyle name="Normal 5 17 2 22 3 4" xfId="35309" xr:uid="{00000000-0005-0000-0000-0000DF890000}"/>
    <cellStyle name="Normal 5 17 2 22 3 5" xfId="35310" xr:uid="{00000000-0005-0000-0000-0000E0890000}"/>
    <cellStyle name="Normal 5 17 2 22 3 6" xfId="35311" xr:uid="{00000000-0005-0000-0000-0000E1890000}"/>
    <cellStyle name="Normal 5 17 2 22 3 7" xfId="35312" xr:uid="{00000000-0005-0000-0000-0000E2890000}"/>
    <cellStyle name="Normal 5 17 2 22 3 8" xfId="35313" xr:uid="{00000000-0005-0000-0000-0000E3890000}"/>
    <cellStyle name="Normal 5 17 2 22 3 9" xfId="35314" xr:uid="{00000000-0005-0000-0000-0000E4890000}"/>
    <cellStyle name="Normal 5 17 2 22 4" xfId="35315" xr:uid="{00000000-0005-0000-0000-0000E5890000}"/>
    <cellStyle name="Normal 5 17 2 22 4 10" xfId="35316" xr:uid="{00000000-0005-0000-0000-0000E6890000}"/>
    <cellStyle name="Normal 5 17 2 22 4 2" xfId="35317" xr:uid="{00000000-0005-0000-0000-0000E7890000}"/>
    <cellStyle name="Normal 5 17 2 22 4 3" xfId="35318" xr:uid="{00000000-0005-0000-0000-0000E8890000}"/>
    <cellStyle name="Normal 5 17 2 22 4 4" xfId="35319" xr:uid="{00000000-0005-0000-0000-0000E9890000}"/>
    <cellStyle name="Normal 5 17 2 22 4 5" xfId="35320" xr:uid="{00000000-0005-0000-0000-0000EA890000}"/>
    <cellStyle name="Normal 5 17 2 22 4 6" xfId="35321" xr:uid="{00000000-0005-0000-0000-0000EB890000}"/>
    <cellStyle name="Normal 5 17 2 22 4 7" xfId="35322" xr:uid="{00000000-0005-0000-0000-0000EC890000}"/>
    <cellStyle name="Normal 5 17 2 22 4 8" xfId="35323" xr:uid="{00000000-0005-0000-0000-0000ED890000}"/>
    <cellStyle name="Normal 5 17 2 22 4 9" xfId="35324" xr:uid="{00000000-0005-0000-0000-0000EE890000}"/>
    <cellStyle name="Normal 5 17 2 22 5" xfId="35325" xr:uid="{00000000-0005-0000-0000-0000EF890000}"/>
    <cellStyle name="Normal 5 17 2 22 5 10" xfId="35326" xr:uid="{00000000-0005-0000-0000-0000F0890000}"/>
    <cellStyle name="Normal 5 17 2 22 5 2" xfId="35327" xr:uid="{00000000-0005-0000-0000-0000F1890000}"/>
    <cellStyle name="Normal 5 17 2 22 5 3" xfId="35328" xr:uid="{00000000-0005-0000-0000-0000F2890000}"/>
    <cellStyle name="Normal 5 17 2 22 5 4" xfId="35329" xr:uid="{00000000-0005-0000-0000-0000F3890000}"/>
    <cellStyle name="Normal 5 17 2 22 5 5" xfId="35330" xr:uid="{00000000-0005-0000-0000-0000F4890000}"/>
    <cellStyle name="Normal 5 17 2 22 5 6" xfId="35331" xr:uid="{00000000-0005-0000-0000-0000F5890000}"/>
    <cellStyle name="Normal 5 17 2 22 5 7" xfId="35332" xr:uid="{00000000-0005-0000-0000-0000F6890000}"/>
    <cellStyle name="Normal 5 17 2 22 5 8" xfId="35333" xr:uid="{00000000-0005-0000-0000-0000F7890000}"/>
    <cellStyle name="Normal 5 17 2 22 5 9" xfId="35334" xr:uid="{00000000-0005-0000-0000-0000F8890000}"/>
    <cellStyle name="Normal 5 17 2 22 6" xfId="35335" xr:uid="{00000000-0005-0000-0000-0000F9890000}"/>
    <cellStyle name="Normal 5 17 2 22 7" xfId="35336" xr:uid="{00000000-0005-0000-0000-0000FA890000}"/>
    <cellStyle name="Normal 5 17 2 22 8" xfId="35337" xr:uid="{00000000-0005-0000-0000-0000FB890000}"/>
    <cellStyle name="Normal 5 17 2 22 9" xfId="35338" xr:uid="{00000000-0005-0000-0000-0000FC890000}"/>
    <cellStyle name="Normal 5 17 2 23" xfId="35339" xr:uid="{00000000-0005-0000-0000-0000FD890000}"/>
    <cellStyle name="Normal 5 17 2 23 10" xfId="35340" xr:uid="{00000000-0005-0000-0000-0000FE890000}"/>
    <cellStyle name="Normal 5 17 2 23 11" xfId="35341" xr:uid="{00000000-0005-0000-0000-0000FF890000}"/>
    <cellStyle name="Normal 5 17 2 23 12" xfId="35342" xr:uid="{00000000-0005-0000-0000-0000008A0000}"/>
    <cellStyle name="Normal 5 17 2 23 13" xfId="35343" xr:uid="{00000000-0005-0000-0000-0000018A0000}"/>
    <cellStyle name="Normal 5 17 2 23 14" xfId="35344" xr:uid="{00000000-0005-0000-0000-0000028A0000}"/>
    <cellStyle name="Normal 5 17 2 23 2" xfId="35345" xr:uid="{00000000-0005-0000-0000-0000038A0000}"/>
    <cellStyle name="Normal 5 17 2 23 2 10" xfId="35346" xr:uid="{00000000-0005-0000-0000-0000048A0000}"/>
    <cellStyle name="Normal 5 17 2 23 2 2" xfId="35347" xr:uid="{00000000-0005-0000-0000-0000058A0000}"/>
    <cellStyle name="Normal 5 17 2 23 2 3" xfId="35348" xr:uid="{00000000-0005-0000-0000-0000068A0000}"/>
    <cellStyle name="Normal 5 17 2 23 2 4" xfId="35349" xr:uid="{00000000-0005-0000-0000-0000078A0000}"/>
    <cellStyle name="Normal 5 17 2 23 2 5" xfId="35350" xr:uid="{00000000-0005-0000-0000-0000088A0000}"/>
    <cellStyle name="Normal 5 17 2 23 2 6" xfId="35351" xr:uid="{00000000-0005-0000-0000-0000098A0000}"/>
    <cellStyle name="Normal 5 17 2 23 2 7" xfId="35352" xr:uid="{00000000-0005-0000-0000-00000A8A0000}"/>
    <cellStyle name="Normal 5 17 2 23 2 8" xfId="35353" xr:uid="{00000000-0005-0000-0000-00000B8A0000}"/>
    <cellStyle name="Normal 5 17 2 23 2 9" xfId="35354" xr:uid="{00000000-0005-0000-0000-00000C8A0000}"/>
    <cellStyle name="Normal 5 17 2 23 3" xfId="35355" xr:uid="{00000000-0005-0000-0000-00000D8A0000}"/>
    <cellStyle name="Normal 5 17 2 23 3 10" xfId="35356" xr:uid="{00000000-0005-0000-0000-00000E8A0000}"/>
    <cellStyle name="Normal 5 17 2 23 3 2" xfId="35357" xr:uid="{00000000-0005-0000-0000-00000F8A0000}"/>
    <cellStyle name="Normal 5 17 2 23 3 3" xfId="35358" xr:uid="{00000000-0005-0000-0000-0000108A0000}"/>
    <cellStyle name="Normal 5 17 2 23 3 4" xfId="35359" xr:uid="{00000000-0005-0000-0000-0000118A0000}"/>
    <cellStyle name="Normal 5 17 2 23 3 5" xfId="35360" xr:uid="{00000000-0005-0000-0000-0000128A0000}"/>
    <cellStyle name="Normal 5 17 2 23 3 6" xfId="35361" xr:uid="{00000000-0005-0000-0000-0000138A0000}"/>
    <cellStyle name="Normal 5 17 2 23 3 7" xfId="35362" xr:uid="{00000000-0005-0000-0000-0000148A0000}"/>
    <cellStyle name="Normal 5 17 2 23 3 8" xfId="35363" xr:uid="{00000000-0005-0000-0000-0000158A0000}"/>
    <cellStyle name="Normal 5 17 2 23 3 9" xfId="35364" xr:uid="{00000000-0005-0000-0000-0000168A0000}"/>
    <cellStyle name="Normal 5 17 2 23 4" xfId="35365" xr:uid="{00000000-0005-0000-0000-0000178A0000}"/>
    <cellStyle name="Normal 5 17 2 23 4 10" xfId="35366" xr:uid="{00000000-0005-0000-0000-0000188A0000}"/>
    <cellStyle name="Normal 5 17 2 23 4 2" xfId="35367" xr:uid="{00000000-0005-0000-0000-0000198A0000}"/>
    <cellStyle name="Normal 5 17 2 23 4 3" xfId="35368" xr:uid="{00000000-0005-0000-0000-00001A8A0000}"/>
    <cellStyle name="Normal 5 17 2 23 4 4" xfId="35369" xr:uid="{00000000-0005-0000-0000-00001B8A0000}"/>
    <cellStyle name="Normal 5 17 2 23 4 5" xfId="35370" xr:uid="{00000000-0005-0000-0000-00001C8A0000}"/>
    <cellStyle name="Normal 5 17 2 23 4 6" xfId="35371" xr:uid="{00000000-0005-0000-0000-00001D8A0000}"/>
    <cellStyle name="Normal 5 17 2 23 4 7" xfId="35372" xr:uid="{00000000-0005-0000-0000-00001E8A0000}"/>
    <cellStyle name="Normal 5 17 2 23 4 8" xfId="35373" xr:uid="{00000000-0005-0000-0000-00001F8A0000}"/>
    <cellStyle name="Normal 5 17 2 23 4 9" xfId="35374" xr:uid="{00000000-0005-0000-0000-0000208A0000}"/>
    <cellStyle name="Normal 5 17 2 23 5" xfId="35375" xr:uid="{00000000-0005-0000-0000-0000218A0000}"/>
    <cellStyle name="Normal 5 17 2 23 5 10" xfId="35376" xr:uid="{00000000-0005-0000-0000-0000228A0000}"/>
    <cellStyle name="Normal 5 17 2 23 5 2" xfId="35377" xr:uid="{00000000-0005-0000-0000-0000238A0000}"/>
    <cellStyle name="Normal 5 17 2 23 5 3" xfId="35378" xr:uid="{00000000-0005-0000-0000-0000248A0000}"/>
    <cellStyle name="Normal 5 17 2 23 5 4" xfId="35379" xr:uid="{00000000-0005-0000-0000-0000258A0000}"/>
    <cellStyle name="Normal 5 17 2 23 5 5" xfId="35380" xr:uid="{00000000-0005-0000-0000-0000268A0000}"/>
    <cellStyle name="Normal 5 17 2 23 5 6" xfId="35381" xr:uid="{00000000-0005-0000-0000-0000278A0000}"/>
    <cellStyle name="Normal 5 17 2 23 5 7" xfId="35382" xr:uid="{00000000-0005-0000-0000-0000288A0000}"/>
    <cellStyle name="Normal 5 17 2 23 5 8" xfId="35383" xr:uid="{00000000-0005-0000-0000-0000298A0000}"/>
    <cellStyle name="Normal 5 17 2 23 5 9" xfId="35384" xr:uid="{00000000-0005-0000-0000-00002A8A0000}"/>
    <cellStyle name="Normal 5 17 2 23 6" xfId="35385" xr:uid="{00000000-0005-0000-0000-00002B8A0000}"/>
    <cellStyle name="Normal 5 17 2 23 7" xfId="35386" xr:uid="{00000000-0005-0000-0000-00002C8A0000}"/>
    <cellStyle name="Normal 5 17 2 23 8" xfId="35387" xr:uid="{00000000-0005-0000-0000-00002D8A0000}"/>
    <cellStyle name="Normal 5 17 2 23 9" xfId="35388" xr:uid="{00000000-0005-0000-0000-00002E8A0000}"/>
    <cellStyle name="Normal 5 17 2 24" xfId="35389" xr:uid="{00000000-0005-0000-0000-00002F8A0000}"/>
    <cellStyle name="Normal 5 17 2 24 10" xfId="35390" xr:uid="{00000000-0005-0000-0000-0000308A0000}"/>
    <cellStyle name="Normal 5 17 2 24 11" xfId="35391" xr:uid="{00000000-0005-0000-0000-0000318A0000}"/>
    <cellStyle name="Normal 5 17 2 24 12" xfId="35392" xr:uid="{00000000-0005-0000-0000-0000328A0000}"/>
    <cellStyle name="Normal 5 17 2 24 13" xfId="35393" xr:uid="{00000000-0005-0000-0000-0000338A0000}"/>
    <cellStyle name="Normal 5 17 2 24 14" xfId="35394" xr:uid="{00000000-0005-0000-0000-0000348A0000}"/>
    <cellStyle name="Normal 5 17 2 24 2" xfId="35395" xr:uid="{00000000-0005-0000-0000-0000358A0000}"/>
    <cellStyle name="Normal 5 17 2 24 2 10" xfId="35396" xr:uid="{00000000-0005-0000-0000-0000368A0000}"/>
    <cellStyle name="Normal 5 17 2 24 2 2" xfId="35397" xr:uid="{00000000-0005-0000-0000-0000378A0000}"/>
    <cellStyle name="Normal 5 17 2 24 2 3" xfId="35398" xr:uid="{00000000-0005-0000-0000-0000388A0000}"/>
    <cellStyle name="Normal 5 17 2 24 2 4" xfId="35399" xr:uid="{00000000-0005-0000-0000-0000398A0000}"/>
    <cellStyle name="Normal 5 17 2 24 2 5" xfId="35400" xr:uid="{00000000-0005-0000-0000-00003A8A0000}"/>
    <cellStyle name="Normal 5 17 2 24 2 6" xfId="35401" xr:uid="{00000000-0005-0000-0000-00003B8A0000}"/>
    <cellStyle name="Normal 5 17 2 24 2 7" xfId="35402" xr:uid="{00000000-0005-0000-0000-00003C8A0000}"/>
    <cellStyle name="Normal 5 17 2 24 2 8" xfId="35403" xr:uid="{00000000-0005-0000-0000-00003D8A0000}"/>
    <cellStyle name="Normal 5 17 2 24 2 9" xfId="35404" xr:uid="{00000000-0005-0000-0000-00003E8A0000}"/>
    <cellStyle name="Normal 5 17 2 24 3" xfId="35405" xr:uid="{00000000-0005-0000-0000-00003F8A0000}"/>
    <cellStyle name="Normal 5 17 2 24 3 10" xfId="35406" xr:uid="{00000000-0005-0000-0000-0000408A0000}"/>
    <cellStyle name="Normal 5 17 2 24 3 2" xfId="35407" xr:uid="{00000000-0005-0000-0000-0000418A0000}"/>
    <cellStyle name="Normal 5 17 2 24 3 3" xfId="35408" xr:uid="{00000000-0005-0000-0000-0000428A0000}"/>
    <cellStyle name="Normal 5 17 2 24 3 4" xfId="35409" xr:uid="{00000000-0005-0000-0000-0000438A0000}"/>
    <cellStyle name="Normal 5 17 2 24 3 5" xfId="35410" xr:uid="{00000000-0005-0000-0000-0000448A0000}"/>
    <cellStyle name="Normal 5 17 2 24 3 6" xfId="35411" xr:uid="{00000000-0005-0000-0000-0000458A0000}"/>
    <cellStyle name="Normal 5 17 2 24 3 7" xfId="35412" xr:uid="{00000000-0005-0000-0000-0000468A0000}"/>
    <cellStyle name="Normal 5 17 2 24 3 8" xfId="35413" xr:uid="{00000000-0005-0000-0000-0000478A0000}"/>
    <cellStyle name="Normal 5 17 2 24 3 9" xfId="35414" xr:uid="{00000000-0005-0000-0000-0000488A0000}"/>
    <cellStyle name="Normal 5 17 2 24 4" xfId="35415" xr:uid="{00000000-0005-0000-0000-0000498A0000}"/>
    <cellStyle name="Normal 5 17 2 24 4 10" xfId="35416" xr:uid="{00000000-0005-0000-0000-00004A8A0000}"/>
    <cellStyle name="Normal 5 17 2 24 4 2" xfId="35417" xr:uid="{00000000-0005-0000-0000-00004B8A0000}"/>
    <cellStyle name="Normal 5 17 2 24 4 3" xfId="35418" xr:uid="{00000000-0005-0000-0000-00004C8A0000}"/>
    <cellStyle name="Normal 5 17 2 24 4 4" xfId="35419" xr:uid="{00000000-0005-0000-0000-00004D8A0000}"/>
    <cellStyle name="Normal 5 17 2 24 4 5" xfId="35420" xr:uid="{00000000-0005-0000-0000-00004E8A0000}"/>
    <cellStyle name="Normal 5 17 2 24 4 6" xfId="35421" xr:uid="{00000000-0005-0000-0000-00004F8A0000}"/>
    <cellStyle name="Normal 5 17 2 24 4 7" xfId="35422" xr:uid="{00000000-0005-0000-0000-0000508A0000}"/>
    <cellStyle name="Normal 5 17 2 24 4 8" xfId="35423" xr:uid="{00000000-0005-0000-0000-0000518A0000}"/>
    <cellStyle name="Normal 5 17 2 24 4 9" xfId="35424" xr:uid="{00000000-0005-0000-0000-0000528A0000}"/>
    <cellStyle name="Normal 5 17 2 24 5" xfId="35425" xr:uid="{00000000-0005-0000-0000-0000538A0000}"/>
    <cellStyle name="Normal 5 17 2 24 5 10" xfId="35426" xr:uid="{00000000-0005-0000-0000-0000548A0000}"/>
    <cellStyle name="Normal 5 17 2 24 5 2" xfId="35427" xr:uid="{00000000-0005-0000-0000-0000558A0000}"/>
    <cellStyle name="Normal 5 17 2 24 5 3" xfId="35428" xr:uid="{00000000-0005-0000-0000-0000568A0000}"/>
    <cellStyle name="Normal 5 17 2 24 5 4" xfId="35429" xr:uid="{00000000-0005-0000-0000-0000578A0000}"/>
    <cellStyle name="Normal 5 17 2 24 5 5" xfId="35430" xr:uid="{00000000-0005-0000-0000-0000588A0000}"/>
    <cellStyle name="Normal 5 17 2 24 5 6" xfId="35431" xr:uid="{00000000-0005-0000-0000-0000598A0000}"/>
    <cellStyle name="Normal 5 17 2 24 5 7" xfId="35432" xr:uid="{00000000-0005-0000-0000-00005A8A0000}"/>
    <cellStyle name="Normal 5 17 2 24 5 8" xfId="35433" xr:uid="{00000000-0005-0000-0000-00005B8A0000}"/>
    <cellStyle name="Normal 5 17 2 24 5 9" xfId="35434" xr:uid="{00000000-0005-0000-0000-00005C8A0000}"/>
    <cellStyle name="Normal 5 17 2 24 6" xfId="35435" xr:uid="{00000000-0005-0000-0000-00005D8A0000}"/>
    <cellStyle name="Normal 5 17 2 24 7" xfId="35436" xr:uid="{00000000-0005-0000-0000-00005E8A0000}"/>
    <cellStyle name="Normal 5 17 2 24 8" xfId="35437" xr:uid="{00000000-0005-0000-0000-00005F8A0000}"/>
    <cellStyle name="Normal 5 17 2 24 9" xfId="35438" xr:uid="{00000000-0005-0000-0000-0000608A0000}"/>
    <cellStyle name="Normal 5 17 2 25" xfId="35439" xr:uid="{00000000-0005-0000-0000-0000618A0000}"/>
    <cellStyle name="Normal 5 17 2 25 10" xfId="35440" xr:uid="{00000000-0005-0000-0000-0000628A0000}"/>
    <cellStyle name="Normal 5 17 2 25 11" xfId="35441" xr:uid="{00000000-0005-0000-0000-0000638A0000}"/>
    <cellStyle name="Normal 5 17 2 25 12" xfId="35442" xr:uid="{00000000-0005-0000-0000-0000648A0000}"/>
    <cellStyle name="Normal 5 17 2 25 13" xfId="35443" xr:uid="{00000000-0005-0000-0000-0000658A0000}"/>
    <cellStyle name="Normal 5 17 2 25 14" xfId="35444" xr:uid="{00000000-0005-0000-0000-0000668A0000}"/>
    <cellStyle name="Normal 5 17 2 25 2" xfId="35445" xr:uid="{00000000-0005-0000-0000-0000678A0000}"/>
    <cellStyle name="Normal 5 17 2 25 2 10" xfId="35446" xr:uid="{00000000-0005-0000-0000-0000688A0000}"/>
    <cellStyle name="Normal 5 17 2 25 2 2" xfId="35447" xr:uid="{00000000-0005-0000-0000-0000698A0000}"/>
    <cellStyle name="Normal 5 17 2 25 2 3" xfId="35448" xr:uid="{00000000-0005-0000-0000-00006A8A0000}"/>
    <cellStyle name="Normal 5 17 2 25 2 4" xfId="35449" xr:uid="{00000000-0005-0000-0000-00006B8A0000}"/>
    <cellStyle name="Normal 5 17 2 25 2 5" xfId="35450" xr:uid="{00000000-0005-0000-0000-00006C8A0000}"/>
    <cellStyle name="Normal 5 17 2 25 2 6" xfId="35451" xr:uid="{00000000-0005-0000-0000-00006D8A0000}"/>
    <cellStyle name="Normal 5 17 2 25 2 7" xfId="35452" xr:uid="{00000000-0005-0000-0000-00006E8A0000}"/>
    <cellStyle name="Normal 5 17 2 25 2 8" xfId="35453" xr:uid="{00000000-0005-0000-0000-00006F8A0000}"/>
    <cellStyle name="Normal 5 17 2 25 2 9" xfId="35454" xr:uid="{00000000-0005-0000-0000-0000708A0000}"/>
    <cellStyle name="Normal 5 17 2 25 3" xfId="35455" xr:uid="{00000000-0005-0000-0000-0000718A0000}"/>
    <cellStyle name="Normal 5 17 2 25 3 10" xfId="35456" xr:uid="{00000000-0005-0000-0000-0000728A0000}"/>
    <cellStyle name="Normal 5 17 2 25 3 2" xfId="35457" xr:uid="{00000000-0005-0000-0000-0000738A0000}"/>
    <cellStyle name="Normal 5 17 2 25 3 3" xfId="35458" xr:uid="{00000000-0005-0000-0000-0000748A0000}"/>
    <cellStyle name="Normal 5 17 2 25 3 4" xfId="35459" xr:uid="{00000000-0005-0000-0000-0000758A0000}"/>
    <cellStyle name="Normal 5 17 2 25 3 5" xfId="35460" xr:uid="{00000000-0005-0000-0000-0000768A0000}"/>
    <cellStyle name="Normal 5 17 2 25 3 6" xfId="35461" xr:uid="{00000000-0005-0000-0000-0000778A0000}"/>
    <cellStyle name="Normal 5 17 2 25 3 7" xfId="35462" xr:uid="{00000000-0005-0000-0000-0000788A0000}"/>
    <cellStyle name="Normal 5 17 2 25 3 8" xfId="35463" xr:uid="{00000000-0005-0000-0000-0000798A0000}"/>
    <cellStyle name="Normal 5 17 2 25 3 9" xfId="35464" xr:uid="{00000000-0005-0000-0000-00007A8A0000}"/>
    <cellStyle name="Normal 5 17 2 25 4" xfId="35465" xr:uid="{00000000-0005-0000-0000-00007B8A0000}"/>
    <cellStyle name="Normal 5 17 2 25 4 10" xfId="35466" xr:uid="{00000000-0005-0000-0000-00007C8A0000}"/>
    <cellStyle name="Normal 5 17 2 25 4 2" xfId="35467" xr:uid="{00000000-0005-0000-0000-00007D8A0000}"/>
    <cellStyle name="Normal 5 17 2 25 4 3" xfId="35468" xr:uid="{00000000-0005-0000-0000-00007E8A0000}"/>
    <cellStyle name="Normal 5 17 2 25 4 4" xfId="35469" xr:uid="{00000000-0005-0000-0000-00007F8A0000}"/>
    <cellStyle name="Normal 5 17 2 25 4 5" xfId="35470" xr:uid="{00000000-0005-0000-0000-0000808A0000}"/>
    <cellStyle name="Normal 5 17 2 25 4 6" xfId="35471" xr:uid="{00000000-0005-0000-0000-0000818A0000}"/>
    <cellStyle name="Normal 5 17 2 25 4 7" xfId="35472" xr:uid="{00000000-0005-0000-0000-0000828A0000}"/>
    <cellStyle name="Normal 5 17 2 25 4 8" xfId="35473" xr:uid="{00000000-0005-0000-0000-0000838A0000}"/>
    <cellStyle name="Normal 5 17 2 25 4 9" xfId="35474" xr:uid="{00000000-0005-0000-0000-0000848A0000}"/>
    <cellStyle name="Normal 5 17 2 25 5" xfId="35475" xr:uid="{00000000-0005-0000-0000-0000858A0000}"/>
    <cellStyle name="Normal 5 17 2 25 5 10" xfId="35476" xr:uid="{00000000-0005-0000-0000-0000868A0000}"/>
    <cellStyle name="Normal 5 17 2 25 5 2" xfId="35477" xr:uid="{00000000-0005-0000-0000-0000878A0000}"/>
    <cellStyle name="Normal 5 17 2 25 5 3" xfId="35478" xr:uid="{00000000-0005-0000-0000-0000888A0000}"/>
    <cellStyle name="Normal 5 17 2 25 5 4" xfId="35479" xr:uid="{00000000-0005-0000-0000-0000898A0000}"/>
    <cellStyle name="Normal 5 17 2 25 5 5" xfId="35480" xr:uid="{00000000-0005-0000-0000-00008A8A0000}"/>
    <cellStyle name="Normal 5 17 2 25 5 6" xfId="35481" xr:uid="{00000000-0005-0000-0000-00008B8A0000}"/>
    <cellStyle name="Normal 5 17 2 25 5 7" xfId="35482" xr:uid="{00000000-0005-0000-0000-00008C8A0000}"/>
    <cellStyle name="Normal 5 17 2 25 5 8" xfId="35483" xr:uid="{00000000-0005-0000-0000-00008D8A0000}"/>
    <cellStyle name="Normal 5 17 2 25 5 9" xfId="35484" xr:uid="{00000000-0005-0000-0000-00008E8A0000}"/>
    <cellStyle name="Normal 5 17 2 25 6" xfId="35485" xr:uid="{00000000-0005-0000-0000-00008F8A0000}"/>
    <cellStyle name="Normal 5 17 2 25 7" xfId="35486" xr:uid="{00000000-0005-0000-0000-0000908A0000}"/>
    <cellStyle name="Normal 5 17 2 25 8" xfId="35487" xr:uid="{00000000-0005-0000-0000-0000918A0000}"/>
    <cellStyle name="Normal 5 17 2 25 9" xfId="35488" xr:uid="{00000000-0005-0000-0000-0000928A0000}"/>
    <cellStyle name="Normal 5 17 2 26" xfId="35489" xr:uid="{00000000-0005-0000-0000-0000938A0000}"/>
    <cellStyle name="Normal 5 17 2 26 10" xfId="35490" xr:uid="{00000000-0005-0000-0000-0000948A0000}"/>
    <cellStyle name="Normal 5 17 2 26 11" xfId="35491" xr:uid="{00000000-0005-0000-0000-0000958A0000}"/>
    <cellStyle name="Normal 5 17 2 26 12" xfId="35492" xr:uid="{00000000-0005-0000-0000-0000968A0000}"/>
    <cellStyle name="Normal 5 17 2 26 13" xfId="35493" xr:uid="{00000000-0005-0000-0000-0000978A0000}"/>
    <cellStyle name="Normal 5 17 2 26 14" xfId="35494" xr:uid="{00000000-0005-0000-0000-0000988A0000}"/>
    <cellStyle name="Normal 5 17 2 26 2" xfId="35495" xr:uid="{00000000-0005-0000-0000-0000998A0000}"/>
    <cellStyle name="Normal 5 17 2 26 2 10" xfId="35496" xr:uid="{00000000-0005-0000-0000-00009A8A0000}"/>
    <cellStyle name="Normal 5 17 2 26 2 2" xfId="35497" xr:uid="{00000000-0005-0000-0000-00009B8A0000}"/>
    <cellStyle name="Normal 5 17 2 26 2 3" xfId="35498" xr:uid="{00000000-0005-0000-0000-00009C8A0000}"/>
    <cellStyle name="Normal 5 17 2 26 2 4" xfId="35499" xr:uid="{00000000-0005-0000-0000-00009D8A0000}"/>
    <cellStyle name="Normal 5 17 2 26 2 5" xfId="35500" xr:uid="{00000000-0005-0000-0000-00009E8A0000}"/>
    <cellStyle name="Normal 5 17 2 26 2 6" xfId="35501" xr:uid="{00000000-0005-0000-0000-00009F8A0000}"/>
    <cellStyle name="Normal 5 17 2 26 2 7" xfId="35502" xr:uid="{00000000-0005-0000-0000-0000A08A0000}"/>
    <cellStyle name="Normal 5 17 2 26 2 8" xfId="35503" xr:uid="{00000000-0005-0000-0000-0000A18A0000}"/>
    <cellStyle name="Normal 5 17 2 26 2 9" xfId="35504" xr:uid="{00000000-0005-0000-0000-0000A28A0000}"/>
    <cellStyle name="Normal 5 17 2 26 3" xfId="35505" xr:uid="{00000000-0005-0000-0000-0000A38A0000}"/>
    <cellStyle name="Normal 5 17 2 26 3 10" xfId="35506" xr:uid="{00000000-0005-0000-0000-0000A48A0000}"/>
    <cellStyle name="Normal 5 17 2 26 3 2" xfId="35507" xr:uid="{00000000-0005-0000-0000-0000A58A0000}"/>
    <cellStyle name="Normal 5 17 2 26 3 3" xfId="35508" xr:uid="{00000000-0005-0000-0000-0000A68A0000}"/>
    <cellStyle name="Normal 5 17 2 26 3 4" xfId="35509" xr:uid="{00000000-0005-0000-0000-0000A78A0000}"/>
    <cellStyle name="Normal 5 17 2 26 3 5" xfId="35510" xr:uid="{00000000-0005-0000-0000-0000A88A0000}"/>
    <cellStyle name="Normal 5 17 2 26 3 6" xfId="35511" xr:uid="{00000000-0005-0000-0000-0000A98A0000}"/>
    <cellStyle name="Normal 5 17 2 26 3 7" xfId="35512" xr:uid="{00000000-0005-0000-0000-0000AA8A0000}"/>
    <cellStyle name="Normal 5 17 2 26 3 8" xfId="35513" xr:uid="{00000000-0005-0000-0000-0000AB8A0000}"/>
    <cellStyle name="Normal 5 17 2 26 3 9" xfId="35514" xr:uid="{00000000-0005-0000-0000-0000AC8A0000}"/>
    <cellStyle name="Normal 5 17 2 26 4" xfId="35515" xr:uid="{00000000-0005-0000-0000-0000AD8A0000}"/>
    <cellStyle name="Normal 5 17 2 26 4 10" xfId="35516" xr:uid="{00000000-0005-0000-0000-0000AE8A0000}"/>
    <cellStyle name="Normal 5 17 2 26 4 2" xfId="35517" xr:uid="{00000000-0005-0000-0000-0000AF8A0000}"/>
    <cellStyle name="Normal 5 17 2 26 4 3" xfId="35518" xr:uid="{00000000-0005-0000-0000-0000B08A0000}"/>
    <cellStyle name="Normal 5 17 2 26 4 4" xfId="35519" xr:uid="{00000000-0005-0000-0000-0000B18A0000}"/>
    <cellStyle name="Normal 5 17 2 26 4 5" xfId="35520" xr:uid="{00000000-0005-0000-0000-0000B28A0000}"/>
    <cellStyle name="Normal 5 17 2 26 4 6" xfId="35521" xr:uid="{00000000-0005-0000-0000-0000B38A0000}"/>
    <cellStyle name="Normal 5 17 2 26 4 7" xfId="35522" xr:uid="{00000000-0005-0000-0000-0000B48A0000}"/>
    <cellStyle name="Normal 5 17 2 26 4 8" xfId="35523" xr:uid="{00000000-0005-0000-0000-0000B58A0000}"/>
    <cellStyle name="Normal 5 17 2 26 4 9" xfId="35524" xr:uid="{00000000-0005-0000-0000-0000B68A0000}"/>
    <cellStyle name="Normal 5 17 2 26 5" xfId="35525" xr:uid="{00000000-0005-0000-0000-0000B78A0000}"/>
    <cellStyle name="Normal 5 17 2 26 5 10" xfId="35526" xr:uid="{00000000-0005-0000-0000-0000B88A0000}"/>
    <cellStyle name="Normal 5 17 2 26 5 2" xfId="35527" xr:uid="{00000000-0005-0000-0000-0000B98A0000}"/>
    <cellStyle name="Normal 5 17 2 26 5 3" xfId="35528" xr:uid="{00000000-0005-0000-0000-0000BA8A0000}"/>
    <cellStyle name="Normal 5 17 2 26 5 4" xfId="35529" xr:uid="{00000000-0005-0000-0000-0000BB8A0000}"/>
    <cellStyle name="Normal 5 17 2 26 5 5" xfId="35530" xr:uid="{00000000-0005-0000-0000-0000BC8A0000}"/>
    <cellStyle name="Normal 5 17 2 26 5 6" xfId="35531" xr:uid="{00000000-0005-0000-0000-0000BD8A0000}"/>
    <cellStyle name="Normal 5 17 2 26 5 7" xfId="35532" xr:uid="{00000000-0005-0000-0000-0000BE8A0000}"/>
    <cellStyle name="Normal 5 17 2 26 5 8" xfId="35533" xr:uid="{00000000-0005-0000-0000-0000BF8A0000}"/>
    <cellStyle name="Normal 5 17 2 26 5 9" xfId="35534" xr:uid="{00000000-0005-0000-0000-0000C08A0000}"/>
    <cellStyle name="Normal 5 17 2 26 6" xfId="35535" xr:uid="{00000000-0005-0000-0000-0000C18A0000}"/>
    <cellStyle name="Normal 5 17 2 26 7" xfId="35536" xr:uid="{00000000-0005-0000-0000-0000C28A0000}"/>
    <cellStyle name="Normal 5 17 2 26 8" xfId="35537" xr:uid="{00000000-0005-0000-0000-0000C38A0000}"/>
    <cellStyle name="Normal 5 17 2 26 9" xfId="35538" xr:uid="{00000000-0005-0000-0000-0000C48A0000}"/>
    <cellStyle name="Normal 5 17 2 27" xfId="35539" xr:uid="{00000000-0005-0000-0000-0000C58A0000}"/>
    <cellStyle name="Normal 5 17 2 27 10" xfId="35540" xr:uid="{00000000-0005-0000-0000-0000C68A0000}"/>
    <cellStyle name="Normal 5 17 2 27 11" xfId="35541" xr:uid="{00000000-0005-0000-0000-0000C78A0000}"/>
    <cellStyle name="Normal 5 17 2 27 12" xfId="35542" xr:uid="{00000000-0005-0000-0000-0000C88A0000}"/>
    <cellStyle name="Normal 5 17 2 27 13" xfId="35543" xr:uid="{00000000-0005-0000-0000-0000C98A0000}"/>
    <cellStyle name="Normal 5 17 2 27 14" xfId="35544" xr:uid="{00000000-0005-0000-0000-0000CA8A0000}"/>
    <cellStyle name="Normal 5 17 2 27 2" xfId="35545" xr:uid="{00000000-0005-0000-0000-0000CB8A0000}"/>
    <cellStyle name="Normal 5 17 2 27 2 10" xfId="35546" xr:uid="{00000000-0005-0000-0000-0000CC8A0000}"/>
    <cellStyle name="Normal 5 17 2 27 2 2" xfId="35547" xr:uid="{00000000-0005-0000-0000-0000CD8A0000}"/>
    <cellStyle name="Normal 5 17 2 27 2 3" xfId="35548" xr:uid="{00000000-0005-0000-0000-0000CE8A0000}"/>
    <cellStyle name="Normal 5 17 2 27 2 4" xfId="35549" xr:uid="{00000000-0005-0000-0000-0000CF8A0000}"/>
    <cellStyle name="Normal 5 17 2 27 2 5" xfId="35550" xr:uid="{00000000-0005-0000-0000-0000D08A0000}"/>
    <cellStyle name="Normal 5 17 2 27 2 6" xfId="35551" xr:uid="{00000000-0005-0000-0000-0000D18A0000}"/>
    <cellStyle name="Normal 5 17 2 27 2 7" xfId="35552" xr:uid="{00000000-0005-0000-0000-0000D28A0000}"/>
    <cellStyle name="Normal 5 17 2 27 2 8" xfId="35553" xr:uid="{00000000-0005-0000-0000-0000D38A0000}"/>
    <cellStyle name="Normal 5 17 2 27 2 9" xfId="35554" xr:uid="{00000000-0005-0000-0000-0000D48A0000}"/>
    <cellStyle name="Normal 5 17 2 27 3" xfId="35555" xr:uid="{00000000-0005-0000-0000-0000D58A0000}"/>
    <cellStyle name="Normal 5 17 2 27 3 10" xfId="35556" xr:uid="{00000000-0005-0000-0000-0000D68A0000}"/>
    <cellStyle name="Normal 5 17 2 27 3 2" xfId="35557" xr:uid="{00000000-0005-0000-0000-0000D78A0000}"/>
    <cellStyle name="Normal 5 17 2 27 3 3" xfId="35558" xr:uid="{00000000-0005-0000-0000-0000D88A0000}"/>
    <cellStyle name="Normal 5 17 2 27 3 4" xfId="35559" xr:uid="{00000000-0005-0000-0000-0000D98A0000}"/>
    <cellStyle name="Normal 5 17 2 27 3 5" xfId="35560" xr:uid="{00000000-0005-0000-0000-0000DA8A0000}"/>
    <cellStyle name="Normal 5 17 2 27 3 6" xfId="35561" xr:uid="{00000000-0005-0000-0000-0000DB8A0000}"/>
    <cellStyle name="Normal 5 17 2 27 3 7" xfId="35562" xr:uid="{00000000-0005-0000-0000-0000DC8A0000}"/>
    <cellStyle name="Normal 5 17 2 27 3 8" xfId="35563" xr:uid="{00000000-0005-0000-0000-0000DD8A0000}"/>
    <cellStyle name="Normal 5 17 2 27 3 9" xfId="35564" xr:uid="{00000000-0005-0000-0000-0000DE8A0000}"/>
    <cellStyle name="Normal 5 17 2 27 4" xfId="35565" xr:uid="{00000000-0005-0000-0000-0000DF8A0000}"/>
    <cellStyle name="Normal 5 17 2 27 4 10" xfId="35566" xr:uid="{00000000-0005-0000-0000-0000E08A0000}"/>
    <cellStyle name="Normal 5 17 2 27 4 2" xfId="35567" xr:uid="{00000000-0005-0000-0000-0000E18A0000}"/>
    <cellStyle name="Normal 5 17 2 27 4 3" xfId="35568" xr:uid="{00000000-0005-0000-0000-0000E28A0000}"/>
    <cellStyle name="Normal 5 17 2 27 4 4" xfId="35569" xr:uid="{00000000-0005-0000-0000-0000E38A0000}"/>
    <cellStyle name="Normal 5 17 2 27 4 5" xfId="35570" xr:uid="{00000000-0005-0000-0000-0000E48A0000}"/>
    <cellStyle name="Normal 5 17 2 27 4 6" xfId="35571" xr:uid="{00000000-0005-0000-0000-0000E58A0000}"/>
    <cellStyle name="Normal 5 17 2 27 4 7" xfId="35572" xr:uid="{00000000-0005-0000-0000-0000E68A0000}"/>
    <cellStyle name="Normal 5 17 2 27 4 8" xfId="35573" xr:uid="{00000000-0005-0000-0000-0000E78A0000}"/>
    <cellStyle name="Normal 5 17 2 27 4 9" xfId="35574" xr:uid="{00000000-0005-0000-0000-0000E88A0000}"/>
    <cellStyle name="Normal 5 17 2 27 5" xfId="35575" xr:uid="{00000000-0005-0000-0000-0000E98A0000}"/>
    <cellStyle name="Normal 5 17 2 27 5 10" xfId="35576" xr:uid="{00000000-0005-0000-0000-0000EA8A0000}"/>
    <cellStyle name="Normal 5 17 2 27 5 2" xfId="35577" xr:uid="{00000000-0005-0000-0000-0000EB8A0000}"/>
    <cellStyle name="Normal 5 17 2 27 5 3" xfId="35578" xr:uid="{00000000-0005-0000-0000-0000EC8A0000}"/>
    <cellStyle name="Normal 5 17 2 27 5 4" xfId="35579" xr:uid="{00000000-0005-0000-0000-0000ED8A0000}"/>
    <cellStyle name="Normal 5 17 2 27 5 5" xfId="35580" xr:uid="{00000000-0005-0000-0000-0000EE8A0000}"/>
    <cellStyle name="Normal 5 17 2 27 5 6" xfId="35581" xr:uid="{00000000-0005-0000-0000-0000EF8A0000}"/>
    <cellStyle name="Normal 5 17 2 27 5 7" xfId="35582" xr:uid="{00000000-0005-0000-0000-0000F08A0000}"/>
    <cellStyle name="Normal 5 17 2 27 5 8" xfId="35583" xr:uid="{00000000-0005-0000-0000-0000F18A0000}"/>
    <cellStyle name="Normal 5 17 2 27 5 9" xfId="35584" xr:uid="{00000000-0005-0000-0000-0000F28A0000}"/>
    <cellStyle name="Normal 5 17 2 27 6" xfId="35585" xr:uid="{00000000-0005-0000-0000-0000F38A0000}"/>
    <cellStyle name="Normal 5 17 2 27 7" xfId="35586" xr:uid="{00000000-0005-0000-0000-0000F48A0000}"/>
    <cellStyle name="Normal 5 17 2 27 8" xfId="35587" xr:uid="{00000000-0005-0000-0000-0000F58A0000}"/>
    <cellStyle name="Normal 5 17 2 27 9" xfId="35588" xr:uid="{00000000-0005-0000-0000-0000F68A0000}"/>
    <cellStyle name="Normal 5 17 2 28" xfId="35589" xr:uid="{00000000-0005-0000-0000-0000F78A0000}"/>
    <cellStyle name="Normal 5 17 2 28 10" xfId="35590" xr:uid="{00000000-0005-0000-0000-0000F88A0000}"/>
    <cellStyle name="Normal 5 17 2 28 11" xfId="35591" xr:uid="{00000000-0005-0000-0000-0000F98A0000}"/>
    <cellStyle name="Normal 5 17 2 28 12" xfId="35592" xr:uid="{00000000-0005-0000-0000-0000FA8A0000}"/>
    <cellStyle name="Normal 5 17 2 28 13" xfId="35593" xr:uid="{00000000-0005-0000-0000-0000FB8A0000}"/>
    <cellStyle name="Normal 5 17 2 28 14" xfId="35594" xr:uid="{00000000-0005-0000-0000-0000FC8A0000}"/>
    <cellStyle name="Normal 5 17 2 28 2" xfId="35595" xr:uid="{00000000-0005-0000-0000-0000FD8A0000}"/>
    <cellStyle name="Normal 5 17 2 28 2 10" xfId="35596" xr:uid="{00000000-0005-0000-0000-0000FE8A0000}"/>
    <cellStyle name="Normal 5 17 2 28 2 2" xfId="35597" xr:uid="{00000000-0005-0000-0000-0000FF8A0000}"/>
    <cellStyle name="Normal 5 17 2 28 2 3" xfId="35598" xr:uid="{00000000-0005-0000-0000-0000008B0000}"/>
    <cellStyle name="Normal 5 17 2 28 2 4" xfId="35599" xr:uid="{00000000-0005-0000-0000-0000018B0000}"/>
    <cellStyle name="Normal 5 17 2 28 2 5" xfId="35600" xr:uid="{00000000-0005-0000-0000-0000028B0000}"/>
    <cellStyle name="Normal 5 17 2 28 2 6" xfId="35601" xr:uid="{00000000-0005-0000-0000-0000038B0000}"/>
    <cellStyle name="Normal 5 17 2 28 2 7" xfId="35602" xr:uid="{00000000-0005-0000-0000-0000048B0000}"/>
    <cellStyle name="Normal 5 17 2 28 2 8" xfId="35603" xr:uid="{00000000-0005-0000-0000-0000058B0000}"/>
    <cellStyle name="Normal 5 17 2 28 2 9" xfId="35604" xr:uid="{00000000-0005-0000-0000-0000068B0000}"/>
    <cellStyle name="Normal 5 17 2 28 3" xfId="35605" xr:uid="{00000000-0005-0000-0000-0000078B0000}"/>
    <cellStyle name="Normal 5 17 2 28 3 10" xfId="35606" xr:uid="{00000000-0005-0000-0000-0000088B0000}"/>
    <cellStyle name="Normal 5 17 2 28 3 2" xfId="35607" xr:uid="{00000000-0005-0000-0000-0000098B0000}"/>
    <cellStyle name="Normal 5 17 2 28 3 3" xfId="35608" xr:uid="{00000000-0005-0000-0000-00000A8B0000}"/>
    <cellStyle name="Normal 5 17 2 28 3 4" xfId="35609" xr:uid="{00000000-0005-0000-0000-00000B8B0000}"/>
    <cellStyle name="Normal 5 17 2 28 3 5" xfId="35610" xr:uid="{00000000-0005-0000-0000-00000C8B0000}"/>
    <cellStyle name="Normal 5 17 2 28 3 6" xfId="35611" xr:uid="{00000000-0005-0000-0000-00000D8B0000}"/>
    <cellStyle name="Normal 5 17 2 28 3 7" xfId="35612" xr:uid="{00000000-0005-0000-0000-00000E8B0000}"/>
    <cellStyle name="Normal 5 17 2 28 3 8" xfId="35613" xr:uid="{00000000-0005-0000-0000-00000F8B0000}"/>
    <cellStyle name="Normal 5 17 2 28 3 9" xfId="35614" xr:uid="{00000000-0005-0000-0000-0000108B0000}"/>
    <cellStyle name="Normal 5 17 2 28 4" xfId="35615" xr:uid="{00000000-0005-0000-0000-0000118B0000}"/>
    <cellStyle name="Normal 5 17 2 28 4 10" xfId="35616" xr:uid="{00000000-0005-0000-0000-0000128B0000}"/>
    <cellStyle name="Normal 5 17 2 28 4 2" xfId="35617" xr:uid="{00000000-0005-0000-0000-0000138B0000}"/>
    <cellStyle name="Normal 5 17 2 28 4 3" xfId="35618" xr:uid="{00000000-0005-0000-0000-0000148B0000}"/>
    <cellStyle name="Normal 5 17 2 28 4 4" xfId="35619" xr:uid="{00000000-0005-0000-0000-0000158B0000}"/>
    <cellStyle name="Normal 5 17 2 28 4 5" xfId="35620" xr:uid="{00000000-0005-0000-0000-0000168B0000}"/>
    <cellStyle name="Normal 5 17 2 28 4 6" xfId="35621" xr:uid="{00000000-0005-0000-0000-0000178B0000}"/>
    <cellStyle name="Normal 5 17 2 28 4 7" xfId="35622" xr:uid="{00000000-0005-0000-0000-0000188B0000}"/>
    <cellStyle name="Normal 5 17 2 28 4 8" xfId="35623" xr:uid="{00000000-0005-0000-0000-0000198B0000}"/>
    <cellStyle name="Normal 5 17 2 28 4 9" xfId="35624" xr:uid="{00000000-0005-0000-0000-00001A8B0000}"/>
    <cellStyle name="Normal 5 17 2 28 5" xfId="35625" xr:uid="{00000000-0005-0000-0000-00001B8B0000}"/>
    <cellStyle name="Normal 5 17 2 28 5 10" xfId="35626" xr:uid="{00000000-0005-0000-0000-00001C8B0000}"/>
    <cellStyle name="Normal 5 17 2 28 5 2" xfId="35627" xr:uid="{00000000-0005-0000-0000-00001D8B0000}"/>
    <cellStyle name="Normal 5 17 2 28 5 3" xfId="35628" xr:uid="{00000000-0005-0000-0000-00001E8B0000}"/>
    <cellStyle name="Normal 5 17 2 28 5 4" xfId="35629" xr:uid="{00000000-0005-0000-0000-00001F8B0000}"/>
    <cellStyle name="Normal 5 17 2 28 5 5" xfId="35630" xr:uid="{00000000-0005-0000-0000-0000208B0000}"/>
    <cellStyle name="Normal 5 17 2 28 5 6" xfId="35631" xr:uid="{00000000-0005-0000-0000-0000218B0000}"/>
    <cellStyle name="Normal 5 17 2 28 5 7" xfId="35632" xr:uid="{00000000-0005-0000-0000-0000228B0000}"/>
    <cellStyle name="Normal 5 17 2 28 5 8" xfId="35633" xr:uid="{00000000-0005-0000-0000-0000238B0000}"/>
    <cellStyle name="Normal 5 17 2 28 5 9" xfId="35634" xr:uid="{00000000-0005-0000-0000-0000248B0000}"/>
    <cellStyle name="Normal 5 17 2 28 6" xfId="35635" xr:uid="{00000000-0005-0000-0000-0000258B0000}"/>
    <cellStyle name="Normal 5 17 2 28 7" xfId="35636" xr:uid="{00000000-0005-0000-0000-0000268B0000}"/>
    <cellStyle name="Normal 5 17 2 28 8" xfId="35637" xr:uid="{00000000-0005-0000-0000-0000278B0000}"/>
    <cellStyle name="Normal 5 17 2 28 9" xfId="35638" xr:uid="{00000000-0005-0000-0000-0000288B0000}"/>
    <cellStyle name="Normal 5 17 2 29" xfId="35639" xr:uid="{00000000-0005-0000-0000-0000298B0000}"/>
    <cellStyle name="Normal 5 17 2 29 10" xfId="35640" xr:uid="{00000000-0005-0000-0000-00002A8B0000}"/>
    <cellStyle name="Normal 5 17 2 29 11" xfId="35641" xr:uid="{00000000-0005-0000-0000-00002B8B0000}"/>
    <cellStyle name="Normal 5 17 2 29 12" xfId="35642" xr:uid="{00000000-0005-0000-0000-00002C8B0000}"/>
    <cellStyle name="Normal 5 17 2 29 13" xfId="35643" xr:uid="{00000000-0005-0000-0000-00002D8B0000}"/>
    <cellStyle name="Normal 5 17 2 29 14" xfId="35644" xr:uid="{00000000-0005-0000-0000-00002E8B0000}"/>
    <cellStyle name="Normal 5 17 2 29 2" xfId="35645" xr:uid="{00000000-0005-0000-0000-00002F8B0000}"/>
    <cellStyle name="Normal 5 17 2 29 2 10" xfId="35646" xr:uid="{00000000-0005-0000-0000-0000308B0000}"/>
    <cellStyle name="Normal 5 17 2 29 2 2" xfId="35647" xr:uid="{00000000-0005-0000-0000-0000318B0000}"/>
    <cellStyle name="Normal 5 17 2 29 2 3" xfId="35648" xr:uid="{00000000-0005-0000-0000-0000328B0000}"/>
    <cellStyle name="Normal 5 17 2 29 2 4" xfId="35649" xr:uid="{00000000-0005-0000-0000-0000338B0000}"/>
    <cellStyle name="Normal 5 17 2 29 2 5" xfId="35650" xr:uid="{00000000-0005-0000-0000-0000348B0000}"/>
    <cellStyle name="Normal 5 17 2 29 2 6" xfId="35651" xr:uid="{00000000-0005-0000-0000-0000358B0000}"/>
    <cellStyle name="Normal 5 17 2 29 2 7" xfId="35652" xr:uid="{00000000-0005-0000-0000-0000368B0000}"/>
    <cellStyle name="Normal 5 17 2 29 2 8" xfId="35653" xr:uid="{00000000-0005-0000-0000-0000378B0000}"/>
    <cellStyle name="Normal 5 17 2 29 2 9" xfId="35654" xr:uid="{00000000-0005-0000-0000-0000388B0000}"/>
    <cellStyle name="Normal 5 17 2 29 3" xfId="35655" xr:uid="{00000000-0005-0000-0000-0000398B0000}"/>
    <cellStyle name="Normal 5 17 2 29 3 10" xfId="35656" xr:uid="{00000000-0005-0000-0000-00003A8B0000}"/>
    <cellStyle name="Normal 5 17 2 29 3 2" xfId="35657" xr:uid="{00000000-0005-0000-0000-00003B8B0000}"/>
    <cellStyle name="Normal 5 17 2 29 3 3" xfId="35658" xr:uid="{00000000-0005-0000-0000-00003C8B0000}"/>
    <cellStyle name="Normal 5 17 2 29 3 4" xfId="35659" xr:uid="{00000000-0005-0000-0000-00003D8B0000}"/>
    <cellStyle name="Normal 5 17 2 29 3 5" xfId="35660" xr:uid="{00000000-0005-0000-0000-00003E8B0000}"/>
    <cellStyle name="Normal 5 17 2 29 3 6" xfId="35661" xr:uid="{00000000-0005-0000-0000-00003F8B0000}"/>
    <cellStyle name="Normal 5 17 2 29 3 7" xfId="35662" xr:uid="{00000000-0005-0000-0000-0000408B0000}"/>
    <cellStyle name="Normal 5 17 2 29 3 8" xfId="35663" xr:uid="{00000000-0005-0000-0000-0000418B0000}"/>
    <cellStyle name="Normal 5 17 2 29 3 9" xfId="35664" xr:uid="{00000000-0005-0000-0000-0000428B0000}"/>
    <cellStyle name="Normal 5 17 2 29 4" xfId="35665" xr:uid="{00000000-0005-0000-0000-0000438B0000}"/>
    <cellStyle name="Normal 5 17 2 29 4 10" xfId="35666" xr:uid="{00000000-0005-0000-0000-0000448B0000}"/>
    <cellStyle name="Normal 5 17 2 29 4 2" xfId="35667" xr:uid="{00000000-0005-0000-0000-0000458B0000}"/>
    <cellStyle name="Normal 5 17 2 29 4 3" xfId="35668" xr:uid="{00000000-0005-0000-0000-0000468B0000}"/>
    <cellStyle name="Normal 5 17 2 29 4 4" xfId="35669" xr:uid="{00000000-0005-0000-0000-0000478B0000}"/>
    <cellStyle name="Normal 5 17 2 29 4 5" xfId="35670" xr:uid="{00000000-0005-0000-0000-0000488B0000}"/>
    <cellStyle name="Normal 5 17 2 29 4 6" xfId="35671" xr:uid="{00000000-0005-0000-0000-0000498B0000}"/>
    <cellStyle name="Normal 5 17 2 29 4 7" xfId="35672" xr:uid="{00000000-0005-0000-0000-00004A8B0000}"/>
    <cellStyle name="Normal 5 17 2 29 4 8" xfId="35673" xr:uid="{00000000-0005-0000-0000-00004B8B0000}"/>
    <cellStyle name="Normal 5 17 2 29 4 9" xfId="35674" xr:uid="{00000000-0005-0000-0000-00004C8B0000}"/>
    <cellStyle name="Normal 5 17 2 29 5" xfId="35675" xr:uid="{00000000-0005-0000-0000-00004D8B0000}"/>
    <cellStyle name="Normal 5 17 2 29 5 10" xfId="35676" xr:uid="{00000000-0005-0000-0000-00004E8B0000}"/>
    <cellStyle name="Normal 5 17 2 29 5 2" xfId="35677" xr:uid="{00000000-0005-0000-0000-00004F8B0000}"/>
    <cellStyle name="Normal 5 17 2 29 5 3" xfId="35678" xr:uid="{00000000-0005-0000-0000-0000508B0000}"/>
    <cellStyle name="Normal 5 17 2 29 5 4" xfId="35679" xr:uid="{00000000-0005-0000-0000-0000518B0000}"/>
    <cellStyle name="Normal 5 17 2 29 5 5" xfId="35680" xr:uid="{00000000-0005-0000-0000-0000528B0000}"/>
    <cellStyle name="Normal 5 17 2 29 5 6" xfId="35681" xr:uid="{00000000-0005-0000-0000-0000538B0000}"/>
    <cellStyle name="Normal 5 17 2 29 5 7" xfId="35682" xr:uid="{00000000-0005-0000-0000-0000548B0000}"/>
    <cellStyle name="Normal 5 17 2 29 5 8" xfId="35683" xr:uid="{00000000-0005-0000-0000-0000558B0000}"/>
    <cellStyle name="Normal 5 17 2 29 5 9" xfId="35684" xr:uid="{00000000-0005-0000-0000-0000568B0000}"/>
    <cellStyle name="Normal 5 17 2 29 6" xfId="35685" xr:uid="{00000000-0005-0000-0000-0000578B0000}"/>
    <cellStyle name="Normal 5 17 2 29 7" xfId="35686" xr:uid="{00000000-0005-0000-0000-0000588B0000}"/>
    <cellStyle name="Normal 5 17 2 29 8" xfId="35687" xr:uid="{00000000-0005-0000-0000-0000598B0000}"/>
    <cellStyle name="Normal 5 17 2 29 9" xfId="35688" xr:uid="{00000000-0005-0000-0000-00005A8B0000}"/>
    <cellStyle name="Normal 5 17 2 3" xfId="35689" xr:uid="{00000000-0005-0000-0000-00005B8B0000}"/>
    <cellStyle name="Normal 5 17 2 3 10" xfId="35690" xr:uid="{00000000-0005-0000-0000-00005C8B0000}"/>
    <cellStyle name="Normal 5 17 2 3 11" xfId="35691" xr:uid="{00000000-0005-0000-0000-00005D8B0000}"/>
    <cellStyle name="Normal 5 17 2 3 12" xfId="35692" xr:uid="{00000000-0005-0000-0000-00005E8B0000}"/>
    <cellStyle name="Normal 5 17 2 3 13" xfId="35693" xr:uid="{00000000-0005-0000-0000-00005F8B0000}"/>
    <cellStyle name="Normal 5 17 2 3 14" xfId="35694" xr:uid="{00000000-0005-0000-0000-0000608B0000}"/>
    <cellStyle name="Normal 5 17 2 3 2" xfId="35695" xr:uid="{00000000-0005-0000-0000-0000618B0000}"/>
    <cellStyle name="Normal 5 17 2 3 2 10" xfId="35696" xr:uid="{00000000-0005-0000-0000-0000628B0000}"/>
    <cellStyle name="Normal 5 17 2 3 2 2" xfId="35697" xr:uid="{00000000-0005-0000-0000-0000638B0000}"/>
    <cellStyle name="Normal 5 17 2 3 2 3" xfId="35698" xr:uid="{00000000-0005-0000-0000-0000648B0000}"/>
    <cellStyle name="Normal 5 17 2 3 2 4" xfId="35699" xr:uid="{00000000-0005-0000-0000-0000658B0000}"/>
    <cellStyle name="Normal 5 17 2 3 2 5" xfId="35700" xr:uid="{00000000-0005-0000-0000-0000668B0000}"/>
    <cellStyle name="Normal 5 17 2 3 2 6" xfId="35701" xr:uid="{00000000-0005-0000-0000-0000678B0000}"/>
    <cellStyle name="Normal 5 17 2 3 2 7" xfId="35702" xr:uid="{00000000-0005-0000-0000-0000688B0000}"/>
    <cellStyle name="Normal 5 17 2 3 2 8" xfId="35703" xr:uid="{00000000-0005-0000-0000-0000698B0000}"/>
    <cellStyle name="Normal 5 17 2 3 2 9" xfId="35704" xr:uid="{00000000-0005-0000-0000-00006A8B0000}"/>
    <cellStyle name="Normal 5 17 2 3 3" xfId="35705" xr:uid="{00000000-0005-0000-0000-00006B8B0000}"/>
    <cellStyle name="Normal 5 17 2 3 3 10" xfId="35706" xr:uid="{00000000-0005-0000-0000-00006C8B0000}"/>
    <cellStyle name="Normal 5 17 2 3 3 2" xfId="35707" xr:uid="{00000000-0005-0000-0000-00006D8B0000}"/>
    <cellStyle name="Normal 5 17 2 3 3 3" xfId="35708" xr:uid="{00000000-0005-0000-0000-00006E8B0000}"/>
    <cellStyle name="Normal 5 17 2 3 3 4" xfId="35709" xr:uid="{00000000-0005-0000-0000-00006F8B0000}"/>
    <cellStyle name="Normal 5 17 2 3 3 5" xfId="35710" xr:uid="{00000000-0005-0000-0000-0000708B0000}"/>
    <cellStyle name="Normal 5 17 2 3 3 6" xfId="35711" xr:uid="{00000000-0005-0000-0000-0000718B0000}"/>
    <cellStyle name="Normal 5 17 2 3 3 7" xfId="35712" xr:uid="{00000000-0005-0000-0000-0000728B0000}"/>
    <cellStyle name="Normal 5 17 2 3 3 8" xfId="35713" xr:uid="{00000000-0005-0000-0000-0000738B0000}"/>
    <cellStyle name="Normal 5 17 2 3 3 9" xfId="35714" xr:uid="{00000000-0005-0000-0000-0000748B0000}"/>
    <cellStyle name="Normal 5 17 2 3 4" xfId="35715" xr:uid="{00000000-0005-0000-0000-0000758B0000}"/>
    <cellStyle name="Normal 5 17 2 3 4 10" xfId="35716" xr:uid="{00000000-0005-0000-0000-0000768B0000}"/>
    <cellStyle name="Normal 5 17 2 3 4 2" xfId="35717" xr:uid="{00000000-0005-0000-0000-0000778B0000}"/>
    <cellStyle name="Normal 5 17 2 3 4 3" xfId="35718" xr:uid="{00000000-0005-0000-0000-0000788B0000}"/>
    <cellStyle name="Normal 5 17 2 3 4 4" xfId="35719" xr:uid="{00000000-0005-0000-0000-0000798B0000}"/>
    <cellStyle name="Normal 5 17 2 3 4 5" xfId="35720" xr:uid="{00000000-0005-0000-0000-00007A8B0000}"/>
    <cellStyle name="Normal 5 17 2 3 4 6" xfId="35721" xr:uid="{00000000-0005-0000-0000-00007B8B0000}"/>
    <cellStyle name="Normal 5 17 2 3 4 7" xfId="35722" xr:uid="{00000000-0005-0000-0000-00007C8B0000}"/>
    <cellStyle name="Normal 5 17 2 3 4 8" xfId="35723" xr:uid="{00000000-0005-0000-0000-00007D8B0000}"/>
    <cellStyle name="Normal 5 17 2 3 4 9" xfId="35724" xr:uid="{00000000-0005-0000-0000-00007E8B0000}"/>
    <cellStyle name="Normal 5 17 2 3 5" xfId="35725" xr:uid="{00000000-0005-0000-0000-00007F8B0000}"/>
    <cellStyle name="Normal 5 17 2 3 5 10" xfId="35726" xr:uid="{00000000-0005-0000-0000-0000808B0000}"/>
    <cellStyle name="Normal 5 17 2 3 5 2" xfId="35727" xr:uid="{00000000-0005-0000-0000-0000818B0000}"/>
    <cellStyle name="Normal 5 17 2 3 5 3" xfId="35728" xr:uid="{00000000-0005-0000-0000-0000828B0000}"/>
    <cellStyle name="Normal 5 17 2 3 5 4" xfId="35729" xr:uid="{00000000-0005-0000-0000-0000838B0000}"/>
    <cellStyle name="Normal 5 17 2 3 5 5" xfId="35730" xr:uid="{00000000-0005-0000-0000-0000848B0000}"/>
    <cellStyle name="Normal 5 17 2 3 5 6" xfId="35731" xr:uid="{00000000-0005-0000-0000-0000858B0000}"/>
    <cellStyle name="Normal 5 17 2 3 5 7" xfId="35732" xr:uid="{00000000-0005-0000-0000-0000868B0000}"/>
    <cellStyle name="Normal 5 17 2 3 5 8" xfId="35733" xr:uid="{00000000-0005-0000-0000-0000878B0000}"/>
    <cellStyle name="Normal 5 17 2 3 5 9" xfId="35734" xr:uid="{00000000-0005-0000-0000-0000888B0000}"/>
    <cellStyle name="Normal 5 17 2 3 6" xfId="35735" xr:uid="{00000000-0005-0000-0000-0000898B0000}"/>
    <cellStyle name="Normal 5 17 2 3 7" xfId="35736" xr:uid="{00000000-0005-0000-0000-00008A8B0000}"/>
    <cellStyle name="Normal 5 17 2 3 8" xfId="35737" xr:uid="{00000000-0005-0000-0000-00008B8B0000}"/>
    <cellStyle name="Normal 5 17 2 3 9" xfId="35738" xr:uid="{00000000-0005-0000-0000-00008C8B0000}"/>
    <cellStyle name="Normal 5 17 2 30" xfId="35739" xr:uid="{00000000-0005-0000-0000-00008D8B0000}"/>
    <cellStyle name="Normal 5 17 2 30 10" xfId="35740" xr:uid="{00000000-0005-0000-0000-00008E8B0000}"/>
    <cellStyle name="Normal 5 17 2 30 11" xfId="35741" xr:uid="{00000000-0005-0000-0000-00008F8B0000}"/>
    <cellStyle name="Normal 5 17 2 30 12" xfId="35742" xr:uid="{00000000-0005-0000-0000-0000908B0000}"/>
    <cellStyle name="Normal 5 17 2 30 13" xfId="35743" xr:uid="{00000000-0005-0000-0000-0000918B0000}"/>
    <cellStyle name="Normal 5 17 2 30 14" xfId="35744" xr:uid="{00000000-0005-0000-0000-0000928B0000}"/>
    <cellStyle name="Normal 5 17 2 30 2" xfId="35745" xr:uid="{00000000-0005-0000-0000-0000938B0000}"/>
    <cellStyle name="Normal 5 17 2 30 2 10" xfId="35746" xr:uid="{00000000-0005-0000-0000-0000948B0000}"/>
    <cellStyle name="Normal 5 17 2 30 2 2" xfId="35747" xr:uid="{00000000-0005-0000-0000-0000958B0000}"/>
    <cellStyle name="Normal 5 17 2 30 2 3" xfId="35748" xr:uid="{00000000-0005-0000-0000-0000968B0000}"/>
    <cellStyle name="Normal 5 17 2 30 2 4" xfId="35749" xr:uid="{00000000-0005-0000-0000-0000978B0000}"/>
    <cellStyle name="Normal 5 17 2 30 2 5" xfId="35750" xr:uid="{00000000-0005-0000-0000-0000988B0000}"/>
    <cellStyle name="Normal 5 17 2 30 2 6" xfId="35751" xr:uid="{00000000-0005-0000-0000-0000998B0000}"/>
    <cellStyle name="Normal 5 17 2 30 2 7" xfId="35752" xr:uid="{00000000-0005-0000-0000-00009A8B0000}"/>
    <cellStyle name="Normal 5 17 2 30 2 8" xfId="35753" xr:uid="{00000000-0005-0000-0000-00009B8B0000}"/>
    <cellStyle name="Normal 5 17 2 30 2 9" xfId="35754" xr:uid="{00000000-0005-0000-0000-00009C8B0000}"/>
    <cellStyle name="Normal 5 17 2 30 3" xfId="35755" xr:uid="{00000000-0005-0000-0000-00009D8B0000}"/>
    <cellStyle name="Normal 5 17 2 30 3 10" xfId="35756" xr:uid="{00000000-0005-0000-0000-00009E8B0000}"/>
    <cellStyle name="Normal 5 17 2 30 3 2" xfId="35757" xr:uid="{00000000-0005-0000-0000-00009F8B0000}"/>
    <cellStyle name="Normal 5 17 2 30 3 3" xfId="35758" xr:uid="{00000000-0005-0000-0000-0000A08B0000}"/>
    <cellStyle name="Normal 5 17 2 30 3 4" xfId="35759" xr:uid="{00000000-0005-0000-0000-0000A18B0000}"/>
    <cellStyle name="Normal 5 17 2 30 3 5" xfId="35760" xr:uid="{00000000-0005-0000-0000-0000A28B0000}"/>
    <cellStyle name="Normal 5 17 2 30 3 6" xfId="35761" xr:uid="{00000000-0005-0000-0000-0000A38B0000}"/>
    <cellStyle name="Normal 5 17 2 30 3 7" xfId="35762" xr:uid="{00000000-0005-0000-0000-0000A48B0000}"/>
    <cellStyle name="Normal 5 17 2 30 3 8" xfId="35763" xr:uid="{00000000-0005-0000-0000-0000A58B0000}"/>
    <cellStyle name="Normal 5 17 2 30 3 9" xfId="35764" xr:uid="{00000000-0005-0000-0000-0000A68B0000}"/>
    <cellStyle name="Normal 5 17 2 30 4" xfId="35765" xr:uid="{00000000-0005-0000-0000-0000A78B0000}"/>
    <cellStyle name="Normal 5 17 2 30 4 10" xfId="35766" xr:uid="{00000000-0005-0000-0000-0000A88B0000}"/>
    <cellStyle name="Normal 5 17 2 30 4 2" xfId="35767" xr:uid="{00000000-0005-0000-0000-0000A98B0000}"/>
    <cellStyle name="Normal 5 17 2 30 4 3" xfId="35768" xr:uid="{00000000-0005-0000-0000-0000AA8B0000}"/>
    <cellStyle name="Normal 5 17 2 30 4 4" xfId="35769" xr:uid="{00000000-0005-0000-0000-0000AB8B0000}"/>
    <cellStyle name="Normal 5 17 2 30 4 5" xfId="35770" xr:uid="{00000000-0005-0000-0000-0000AC8B0000}"/>
    <cellStyle name="Normal 5 17 2 30 4 6" xfId="35771" xr:uid="{00000000-0005-0000-0000-0000AD8B0000}"/>
    <cellStyle name="Normal 5 17 2 30 4 7" xfId="35772" xr:uid="{00000000-0005-0000-0000-0000AE8B0000}"/>
    <cellStyle name="Normal 5 17 2 30 4 8" xfId="35773" xr:uid="{00000000-0005-0000-0000-0000AF8B0000}"/>
    <cellStyle name="Normal 5 17 2 30 4 9" xfId="35774" xr:uid="{00000000-0005-0000-0000-0000B08B0000}"/>
    <cellStyle name="Normal 5 17 2 30 5" xfId="35775" xr:uid="{00000000-0005-0000-0000-0000B18B0000}"/>
    <cellStyle name="Normal 5 17 2 30 5 10" xfId="35776" xr:uid="{00000000-0005-0000-0000-0000B28B0000}"/>
    <cellStyle name="Normal 5 17 2 30 5 2" xfId="35777" xr:uid="{00000000-0005-0000-0000-0000B38B0000}"/>
    <cellStyle name="Normal 5 17 2 30 5 3" xfId="35778" xr:uid="{00000000-0005-0000-0000-0000B48B0000}"/>
    <cellStyle name="Normal 5 17 2 30 5 4" xfId="35779" xr:uid="{00000000-0005-0000-0000-0000B58B0000}"/>
    <cellStyle name="Normal 5 17 2 30 5 5" xfId="35780" xr:uid="{00000000-0005-0000-0000-0000B68B0000}"/>
    <cellStyle name="Normal 5 17 2 30 5 6" xfId="35781" xr:uid="{00000000-0005-0000-0000-0000B78B0000}"/>
    <cellStyle name="Normal 5 17 2 30 5 7" xfId="35782" xr:uid="{00000000-0005-0000-0000-0000B88B0000}"/>
    <cellStyle name="Normal 5 17 2 30 5 8" xfId="35783" xr:uid="{00000000-0005-0000-0000-0000B98B0000}"/>
    <cellStyle name="Normal 5 17 2 30 5 9" xfId="35784" xr:uid="{00000000-0005-0000-0000-0000BA8B0000}"/>
    <cellStyle name="Normal 5 17 2 30 6" xfId="35785" xr:uid="{00000000-0005-0000-0000-0000BB8B0000}"/>
    <cellStyle name="Normal 5 17 2 30 7" xfId="35786" xr:uid="{00000000-0005-0000-0000-0000BC8B0000}"/>
    <cellStyle name="Normal 5 17 2 30 8" xfId="35787" xr:uid="{00000000-0005-0000-0000-0000BD8B0000}"/>
    <cellStyle name="Normal 5 17 2 30 9" xfId="35788" xr:uid="{00000000-0005-0000-0000-0000BE8B0000}"/>
    <cellStyle name="Normal 5 17 2 31" xfId="35789" xr:uid="{00000000-0005-0000-0000-0000BF8B0000}"/>
    <cellStyle name="Normal 5 17 2 31 10" xfId="35790" xr:uid="{00000000-0005-0000-0000-0000C08B0000}"/>
    <cellStyle name="Normal 5 17 2 31 11" xfId="35791" xr:uid="{00000000-0005-0000-0000-0000C18B0000}"/>
    <cellStyle name="Normal 5 17 2 31 12" xfId="35792" xr:uid="{00000000-0005-0000-0000-0000C28B0000}"/>
    <cellStyle name="Normal 5 17 2 31 13" xfId="35793" xr:uid="{00000000-0005-0000-0000-0000C38B0000}"/>
    <cellStyle name="Normal 5 17 2 31 14" xfId="35794" xr:uid="{00000000-0005-0000-0000-0000C48B0000}"/>
    <cellStyle name="Normal 5 17 2 31 2" xfId="35795" xr:uid="{00000000-0005-0000-0000-0000C58B0000}"/>
    <cellStyle name="Normal 5 17 2 31 2 10" xfId="35796" xr:uid="{00000000-0005-0000-0000-0000C68B0000}"/>
    <cellStyle name="Normal 5 17 2 31 2 2" xfId="35797" xr:uid="{00000000-0005-0000-0000-0000C78B0000}"/>
    <cellStyle name="Normal 5 17 2 31 2 3" xfId="35798" xr:uid="{00000000-0005-0000-0000-0000C88B0000}"/>
    <cellStyle name="Normal 5 17 2 31 2 4" xfId="35799" xr:uid="{00000000-0005-0000-0000-0000C98B0000}"/>
    <cellStyle name="Normal 5 17 2 31 2 5" xfId="35800" xr:uid="{00000000-0005-0000-0000-0000CA8B0000}"/>
    <cellStyle name="Normal 5 17 2 31 2 6" xfId="35801" xr:uid="{00000000-0005-0000-0000-0000CB8B0000}"/>
    <cellStyle name="Normal 5 17 2 31 2 7" xfId="35802" xr:uid="{00000000-0005-0000-0000-0000CC8B0000}"/>
    <cellStyle name="Normal 5 17 2 31 2 8" xfId="35803" xr:uid="{00000000-0005-0000-0000-0000CD8B0000}"/>
    <cellStyle name="Normal 5 17 2 31 2 9" xfId="35804" xr:uid="{00000000-0005-0000-0000-0000CE8B0000}"/>
    <cellStyle name="Normal 5 17 2 31 3" xfId="35805" xr:uid="{00000000-0005-0000-0000-0000CF8B0000}"/>
    <cellStyle name="Normal 5 17 2 31 3 10" xfId="35806" xr:uid="{00000000-0005-0000-0000-0000D08B0000}"/>
    <cellStyle name="Normal 5 17 2 31 3 2" xfId="35807" xr:uid="{00000000-0005-0000-0000-0000D18B0000}"/>
    <cellStyle name="Normal 5 17 2 31 3 3" xfId="35808" xr:uid="{00000000-0005-0000-0000-0000D28B0000}"/>
    <cellStyle name="Normal 5 17 2 31 3 4" xfId="35809" xr:uid="{00000000-0005-0000-0000-0000D38B0000}"/>
    <cellStyle name="Normal 5 17 2 31 3 5" xfId="35810" xr:uid="{00000000-0005-0000-0000-0000D48B0000}"/>
    <cellStyle name="Normal 5 17 2 31 3 6" xfId="35811" xr:uid="{00000000-0005-0000-0000-0000D58B0000}"/>
    <cellStyle name="Normal 5 17 2 31 3 7" xfId="35812" xr:uid="{00000000-0005-0000-0000-0000D68B0000}"/>
    <cellStyle name="Normal 5 17 2 31 3 8" xfId="35813" xr:uid="{00000000-0005-0000-0000-0000D78B0000}"/>
    <cellStyle name="Normal 5 17 2 31 3 9" xfId="35814" xr:uid="{00000000-0005-0000-0000-0000D88B0000}"/>
    <cellStyle name="Normal 5 17 2 31 4" xfId="35815" xr:uid="{00000000-0005-0000-0000-0000D98B0000}"/>
    <cellStyle name="Normal 5 17 2 31 4 10" xfId="35816" xr:uid="{00000000-0005-0000-0000-0000DA8B0000}"/>
    <cellStyle name="Normal 5 17 2 31 4 2" xfId="35817" xr:uid="{00000000-0005-0000-0000-0000DB8B0000}"/>
    <cellStyle name="Normal 5 17 2 31 4 3" xfId="35818" xr:uid="{00000000-0005-0000-0000-0000DC8B0000}"/>
    <cellStyle name="Normal 5 17 2 31 4 4" xfId="35819" xr:uid="{00000000-0005-0000-0000-0000DD8B0000}"/>
    <cellStyle name="Normal 5 17 2 31 4 5" xfId="35820" xr:uid="{00000000-0005-0000-0000-0000DE8B0000}"/>
    <cellStyle name="Normal 5 17 2 31 4 6" xfId="35821" xr:uid="{00000000-0005-0000-0000-0000DF8B0000}"/>
    <cellStyle name="Normal 5 17 2 31 4 7" xfId="35822" xr:uid="{00000000-0005-0000-0000-0000E08B0000}"/>
    <cellStyle name="Normal 5 17 2 31 4 8" xfId="35823" xr:uid="{00000000-0005-0000-0000-0000E18B0000}"/>
    <cellStyle name="Normal 5 17 2 31 4 9" xfId="35824" xr:uid="{00000000-0005-0000-0000-0000E28B0000}"/>
    <cellStyle name="Normal 5 17 2 31 5" xfId="35825" xr:uid="{00000000-0005-0000-0000-0000E38B0000}"/>
    <cellStyle name="Normal 5 17 2 31 5 10" xfId="35826" xr:uid="{00000000-0005-0000-0000-0000E48B0000}"/>
    <cellStyle name="Normal 5 17 2 31 5 2" xfId="35827" xr:uid="{00000000-0005-0000-0000-0000E58B0000}"/>
    <cellStyle name="Normal 5 17 2 31 5 3" xfId="35828" xr:uid="{00000000-0005-0000-0000-0000E68B0000}"/>
    <cellStyle name="Normal 5 17 2 31 5 4" xfId="35829" xr:uid="{00000000-0005-0000-0000-0000E78B0000}"/>
    <cellStyle name="Normal 5 17 2 31 5 5" xfId="35830" xr:uid="{00000000-0005-0000-0000-0000E88B0000}"/>
    <cellStyle name="Normal 5 17 2 31 5 6" xfId="35831" xr:uid="{00000000-0005-0000-0000-0000E98B0000}"/>
    <cellStyle name="Normal 5 17 2 31 5 7" xfId="35832" xr:uid="{00000000-0005-0000-0000-0000EA8B0000}"/>
    <cellStyle name="Normal 5 17 2 31 5 8" xfId="35833" xr:uid="{00000000-0005-0000-0000-0000EB8B0000}"/>
    <cellStyle name="Normal 5 17 2 31 5 9" xfId="35834" xr:uid="{00000000-0005-0000-0000-0000EC8B0000}"/>
    <cellStyle name="Normal 5 17 2 31 6" xfId="35835" xr:uid="{00000000-0005-0000-0000-0000ED8B0000}"/>
    <cellStyle name="Normal 5 17 2 31 7" xfId="35836" xr:uid="{00000000-0005-0000-0000-0000EE8B0000}"/>
    <cellStyle name="Normal 5 17 2 31 8" xfId="35837" xr:uid="{00000000-0005-0000-0000-0000EF8B0000}"/>
    <cellStyle name="Normal 5 17 2 31 9" xfId="35838" xr:uid="{00000000-0005-0000-0000-0000F08B0000}"/>
    <cellStyle name="Normal 5 17 2 32" xfId="35839" xr:uid="{00000000-0005-0000-0000-0000F18B0000}"/>
    <cellStyle name="Normal 5 17 2 32 10" xfId="35840" xr:uid="{00000000-0005-0000-0000-0000F28B0000}"/>
    <cellStyle name="Normal 5 17 2 32 11" xfId="35841" xr:uid="{00000000-0005-0000-0000-0000F38B0000}"/>
    <cellStyle name="Normal 5 17 2 32 12" xfId="35842" xr:uid="{00000000-0005-0000-0000-0000F48B0000}"/>
    <cellStyle name="Normal 5 17 2 32 13" xfId="35843" xr:uid="{00000000-0005-0000-0000-0000F58B0000}"/>
    <cellStyle name="Normal 5 17 2 32 14" xfId="35844" xr:uid="{00000000-0005-0000-0000-0000F68B0000}"/>
    <cellStyle name="Normal 5 17 2 32 2" xfId="35845" xr:uid="{00000000-0005-0000-0000-0000F78B0000}"/>
    <cellStyle name="Normal 5 17 2 32 2 10" xfId="35846" xr:uid="{00000000-0005-0000-0000-0000F88B0000}"/>
    <cellStyle name="Normal 5 17 2 32 2 2" xfId="35847" xr:uid="{00000000-0005-0000-0000-0000F98B0000}"/>
    <cellStyle name="Normal 5 17 2 32 2 3" xfId="35848" xr:uid="{00000000-0005-0000-0000-0000FA8B0000}"/>
    <cellStyle name="Normal 5 17 2 32 2 4" xfId="35849" xr:uid="{00000000-0005-0000-0000-0000FB8B0000}"/>
    <cellStyle name="Normal 5 17 2 32 2 5" xfId="35850" xr:uid="{00000000-0005-0000-0000-0000FC8B0000}"/>
    <cellStyle name="Normal 5 17 2 32 2 6" xfId="35851" xr:uid="{00000000-0005-0000-0000-0000FD8B0000}"/>
    <cellStyle name="Normal 5 17 2 32 2 7" xfId="35852" xr:uid="{00000000-0005-0000-0000-0000FE8B0000}"/>
    <cellStyle name="Normal 5 17 2 32 2 8" xfId="35853" xr:uid="{00000000-0005-0000-0000-0000FF8B0000}"/>
    <cellStyle name="Normal 5 17 2 32 2 9" xfId="35854" xr:uid="{00000000-0005-0000-0000-0000008C0000}"/>
    <cellStyle name="Normal 5 17 2 32 3" xfId="35855" xr:uid="{00000000-0005-0000-0000-0000018C0000}"/>
    <cellStyle name="Normal 5 17 2 32 3 10" xfId="35856" xr:uid="{00000000-0005-0000-0000-0000028C0000}"/>
    <cellStyle name="Normal 5 17 2 32 3 2" xfId="35857" xr:uid="{00000000-0005-0000-0000-0000038C0000}"/>
    <cellStyle name="Normal 5 17 2 32 3 3" xfId="35858" xr:uid="{00000000-0005-0000-0000-0000048C0000}"/>
    <cellStyle name="Normal 5 17 2 32 3 4" xfId="35859" xr:uid="{00000000-0005-0000-0000-0000058C0000}"/>
    <cellStyle name="Normal 5 17 2 32 3 5" xfId="35860" xr:uid="{00000000-0005-0000-0000-0000068C0000}"/>
    <cellStyle name="Normal 5 17 2 32 3 6" xfId="35861" xr:uid="{00000000-0005-0000-0000-0000078C0000}"/>
    <cellStyle name="Normal 5 17 2 32 3 7" xfId="35862" xr:uid="{00000000-0005-0000-0000-0000088C0000}"/>
    <cellStyle name="Normal 5 17 2 32 3 8" xfId="35863" xr:uid="{00000000-0005-0000-0000-0000098C0000}"/>
    <cellStyle name="Normal 5 17 2 32 3 9" xfId="35864" xr:uid="{00000000-0005-0000-0000-00000A8C0000}"/>
    <cellStyle name="Normal 5 17 2 32 4" xfId="35865" xr:uid="{00000000-0005-0000-0000-00000B8C0000}"/>
    <cellStyle name="Normal 5 17 2 32 4 10" xfId="35866" xr:uid="{00000000-0005-0000-0000-00000C8C0000}"/>
    <cellStyle name="Normal 5 17 2 32 4 2" xfId="35867" xr:uid="{00000000-0005-0000-0000-00000D8C0000}"/>
    <cellStyle name="Normal 5 17 2 32 4 3" xfId="35868" xr:uid="{00000000-0005-0000-0000-00000E8C0000}"/>
    <cellStyle name="Normal 5 17 2 32 4 4" xfId="35869" xr:uid="{00000000-0005-0000-0000-00000F8C0000}"/>
    <cellStyle name="Normal 5 17 2 32 4 5" xfId="35870" xr:uid="{00000000-0005-0000-0000-0000108C0000}"/>
    <cellStyle name="Normal 5 17 2 32 4 6" xfId="35871" xr:uid="{00000000-0005-0000-0000-0000118C0000}"/>
    <cellStyle name="Normal 5 17 2 32 4 7" xfId="35872" xr:uid="{00000000-0005-0000-0000-0000128C0000}"/>
    <cellStyle name="Normal 5 17 2 32 4 8" xfId="35873" xr:uid="{00000000-0005-0000-0000-0000138C0000}"/>
    <cellStyle name="Normal 5 17 2 32 4 9" xfId="35874" xr:uid="{00000000-0005-0000-0000-0000148C0000}"/>
    <cellStyle name="Normal 5 17 2 32 5" xfId="35875" xr:uid="{00000000-0005-0000-0000-0000158C0000}"/>
    <cellStyle name="Normal 5 17 2 32 5 10" xfId="35876" xr:uid="{00000000-0005-0000-0000-0000168C0000}"/>
    <cellStyle name="Normal 5 17 2 32 5 2" xfId="35877" xr:uid="{00000000-0005-0000-0000-0000178C0000}"/>
    <cellStyle name="Normal 5 17 2 32 5 3" xfId="35878" xr:uid="{00000000-0005-0000-0000-0000188C0000}"/>
    <cellStyle name="Normal 5 17 2 32 5 4" xfId="35879" xr:uid="{00000000-0005-0000-0000-0000198C0000}"/>
    <cellStyle name="Normal 5 17 2 32 5 5" xfId="35880" xr:uid="{00000000-0005-0000-0000-00001A8C0000}"/>
    <cellStyle name="Normal 5 17 2 32 5 6" xfId="35881" xr:uid="{00000000-0005-0000-0000-00001B8C0000}"/>
    <cellStyle name="Normal 5 17 2 32 5 7" xfId="35882" xr:uid="{00000000-0005-0000-0000-00001C8C0000}"/>
    <cellStyle name="Normal 5 17 2 32 5 8" xfId="35883" xr:uid="{00000000-0005-0000-0000-00001D8C0000}"/>
    <cellStyle name="Normal 5 17 2 32 5 9" xfId="35884" xr:uid="{00000000-0005-0000-0000-00001E8C0000}"/>
    <cellStyle name="Normal 5 17 2 32 6" xfId="35885" xr:uid="{00000000-0005-0000-0000-00001F8C0000}"/>
    <cellStyle name="Normal 5 17 2 32 7" xfId="35886" xr:uid="{00000000-0005-0000-0000-0000208C0000}"/>
    <cellStyle name="Normal 5 17 2 32 8" xfId="35887" xr:uid="{00000000-0005-0000-0000-0000218C0000}"/>
    <cellStyle name="Normal 5 17 2 32 9" xfId="35888" xr:uid="{00000000-0005-0000-0000-0000228C0000}"/>
    <cellStyle name="Normal 5 17 2 33" xfId="35889" xr:uid="{00000000-0005-0000-0000-0000238C0000}"/>
    <cellStyle name="Normal 5 17 2 33 10" xfId="35890" xr:uid="{00000000-0005-0000-0000-0000248C0000}"/>
    <cellStyle name="Normal 5 17 2 33 11" xfId="35891" xr:uid="{00000000-0005-0000-0000-0000258C0000}"/>
    <cellStyle name="Normal 5 17 2 33 12" xfId="35892" xr:uid="{00000000-0005-0000-0000-0000268C0000}"/>
    <cellStyle name="Normal 5 17 2 33 13" xfId="35893" xr:uid="{00000000-0005-0000-0000-0000278C0000}"/>
    <cellStyle name="Normal 5 17 2 33 14" xfId="35894" xr:uid="{00000000-0005-0000-0000-0000288C0000}"/>
    <cellStyle name="Normal 5 17 2 33 2" xfId="35895" xr:uid="{00000000-0005-0000-0000-0000298C0000}"/>
    <cellStyle name="Normal 5 17 2 33 2 10" xfId="35896" xr:uid="{00000000-0005-0000-0000-00002A8C0000}"/>
    <cellStyle name="Normal 5 17 2 33 2 2" xfId="35897" xr:uid="{00000000-0005-0000-0000-00002B8C0000}"/>
    <cellStyle name="Normal 5 17 2 33 2 3" xfId="35898" xr:uid="{00000000-0005-0000-0000-00002C8C0000}"/>
    <cellStyle name="Normal 5 17 2 33 2 4" xfId="35899" xr:uid="{00000000-0005-0000-0000-00002D8C0000}"/>
    <cellStyle name="Normal 5 17 2 33 2 5" xfId="35900" xr:uid="{00000000-0005-0000-0000-00002E8C0000}"/>
    <cellStyle name="Normal 5 17 2 33 2 6" xfId="35901" xr:uid="{00000000-0005-0000-0000-00002F8C0000}"/>
    <cellStyle name="Normal 5 17 2 33 2 7" xfId="35902" xr:uid="{00000000-0005-0000-0000-0000308C0000}"/>
    <cellStyle name="Normal 5 17 2 33 2 8" xfId="35903" xr:uid="{00000000-0005-0000-0000-0000318C0000}"/>
    <cellStyle name="Normal 5 17 2 33 2 9" xfId="35904" xr:uid="{00000000-0005-0000-0000-0000328C0000}"/>
    <cellStyle name="Normal 5 17 2 33 3" xfId="35905" xr:uid="{00000000-0005-0000-0000-0000338C0000}"/>
    <cellStyle name="Normal 5 17 2 33 3 10" xfId="35906" xr:uid="{00000000-0005-0000-0000-0000348C0000}"/>
    <cellStyle name="Normal 5 17 2 33 3 2" xfId="35907" xr:uid="{00000000-0005-0000-0000-0000358C0000}"/>
    <cellStyle name="Normal 5 17 2 33 3 3" xfId="35908" xr:uid="{00000000-0005-0000-0000-0000368C0000}"/>
    <cellStyle name="Normal 5 17 2 33 3 4" xfId="35909" xr:uid="{00000000-0005-0000-0000-0000378C0000}"/>
    <cellStyle name="Normal 5 17 2 33 3 5" xfId="35910" xr:uid="{00000000-0005-0000-0000-0000388C0000}"/>
    <cellStyle name="Normal 5 17 2 33 3 6" xfId="35911" xr:uid="{00000000-0005-0000-0000-0000398C0000}"/>
    <cellStyle name="Normal 5 17 2 33 3 7" xfId="35912" xr:uid="{00000000-0005-0000-0000-00003A8C0000}"/>
    <cellStyle name="Normal 5 17 2 33 3 8" xfId="35913" xr:uid="{00000000-0005-0000-0000-00003B8C0000}"/>
    <cellStyle name="Normal 5 17 2 33 3 9" xfId="35914" xr:uid="{00000000-0005-0000-0000-00003C8C0000}"/>
    <cellStyle name="Normal 5 17 2 33 4" xfId="35915" xr:uid="{00000000-0005-0000-0000-00003D8C0000}"/>
    <cellStyle name="Normal 5 17 2 33 4 10" xfId="35916" xr:uid="{00000000-0005-0000-0000-00003E8C0000}"/>
    <cellStyle name="Normal 5 17 2 33 4 2" xfId="35917" xr:uid="{00000000-0005-0000-0000-00003F8C0000}"/>
    <cellStyle name="Normal 5 17 2 33 4 3" xfId="35918" xr:uid="{00000000-0005-0000-0000-0000408C0000}"/>
    <cellStyle name="Normal 5 17 2 33 4 4" xfId="35919" xr:uid="{00000000-0005-0000-0000-0000418C0000}"/>
    <cellStyle name="Normal 5 17 2 33 4 5" xfId="35920" xr:uid="{00000000-0005-0000-0000-0000428C0000}"/>
    <cellStyle name="Normal 5 17 2 33 4 6" xfId="35921" xr:uid="{00000000-0005-0000-0000-0000438C0000}"/>
    <cellStyle name="Normal 5 17 2 33 4 7" xfId="35922" xr:uid="{00000000-0005-0000-0000-0000448C0000}"/>
    <cellStyle name="Normal 5 17 2 33 4 8" xfId="35923" xr:uid="{00000000-0005-0000-0000-0000458C0000}"/>
    <cellStyle name="Normal 5 17 2 33 4 9" xfId="35924" xr:uid="{00000000-0005-0000-0000-0000468C0000}"/>
    <cellStyle name="Normal 5 17 2 33 5" xfId="35925" xr:uid="{00000000-0005-0000-0000-0000478C0000}"/>
    <cellStyle name="Normal 5 17 2 33 5 10" xfId="35926" xr:uid="{00000000-0005-0000-0000-0000488C0000}"/>
    <cellStyle name="Normal 5 17 2 33 5 2" xfId="35927" xr:uid="{00000000-0005-0000-0000-0000498C0000}"/>
    <cellStyle name="Normal 5 17 2 33 5 3" xfId="35928" xr:uid="{00000000-0005-0000-0000-00004A8C0000}"/>
    <cellStyle name="Normal 5 17 2 33 5 4" xfId="35929" xr:uid="{00000000-0005-0000-0000-00004B8C0000}"/>
    <cellStyle name="Normal 5 17 2 33 5 5" xfId="35930" xr:uid="{00000000-0005-0000-0000-00004C8C0000}"/>
    <cellStyle name="Normal 5 17 2 33 5 6" xfId="35931" xr:uid="{00000000-0005-0000-0000-00004D8C0000}"/>
    <cellStyle name="Normal 5 17 2 33 5 7" xfId="35932" xr:uid="{00000000-0005-0000-0000-00004E8C0000}"/>
    <cellStyle name="Normal 5 17 2 33 5 8" xfId="35933" xr:uid="{00000000-0005-0000-0000-00004F8C0000}"/>
    <cellStyle name="Normal 5 17 2 33 5 9" xfId="35934" xr:uid="{00000000-0005-0000-0000-0000508C0000}"/>
    <cellStyle name="Normal 5 17 2 33 6" xfId="35935" xr:uid="{00000000-0005-0000-0000-0000518C0000}"/>
    <cellStyle name="Normal 5 17 2 33 7" xfId="35936" xr:uid="{00000000-0005-0000-0000-0000528C0000}"/>
    <cellStyle name="Normal 5 17 2 33 8" xfId="35937" xr:uid="{00000000-0005-0000-0000-0000538C0000}"/>
    <cellStyle name="Normal 5 17 2 33 9" xfId="35938" xr:uid="{00000000-0005-0000-0000-0000548C0000}"/>
    <cellStyle name="Normal 5 17 2 34" xfId="35939" xr:uid="{00000000-0005-0000-0000-0000558C0000}"/>
    <cellStyle name="Normal 5 17 2 34 10" xfId="35940" xr:uid="{00000000-0005-0000-0000-0000568C0000}"/>
    <cellStyle name="Normal 5 17 2 34 2" xfId="35941" xr:uid="{00000000-0005-0000-0000-0000578C0000}"/>
    <cellStyle name="Normal 5 17 2 34 3" xfId="35942" xr:uid="{00000000-0005-0000-0000-0000588C0000}"/>
    <cellStyle name="Normal 5 17 2 34 4" xfId="35943" xr:uid="{00000000-0005-0000-0000-0000598C0000}"/>
    <cellStyle name="Normal 5 17 2 34 5" xfId="35944" xr:uid="{00000000-0005-0000-0000-00005A8C0000}"/>
    <cellStyle name="Normal 5 17 2 34 6" xfId="35945" xr:uid="{00000000-0005-0000-0000-00005B8C0000}"/>
    <cellStyle name="Normal 5 17 2 34 7" xfId="35946" xr:uid="{00000000-0005-0000-0000-00005C8C0000}"/>
    <cellStyle name="Normal 5 17 2 34 8" xfId="35947" xr:uid="{00000000-0005-0000-0000-00005D8C0000}"/>
    <cellStyle name="Normal 5 17 2 34 9" xfId="35948" xr:uid="{00000000-0005-0000-0000-00005E8C0000}"/>
    <cellStyle name="Normal 5 17 2 35" xfId="35949" xr:uid="{00000000-0005-0000-0000-00005F8C0000}"/>
    <cellStyle name="Normal 5 17 2 35 10" xfId="35950" xr:uid="{00000000-0005-0000-0000-0000608C0000}"/>
    <cellStyle name="Normal 5 17 2 35 2" xfId="35951" xr:uid="{00000000-0005-0000-0000-0000618C0000}"/>
    <cellStyle name="Normal 5 17 2 35 3" xfId="35952" xr:uid="{00000000-0005-0000-0000-0000628C0000}"/>
    <cellStyle name="Normal 5 17 2 35 4" xfId="35953" xr:uid="{00000000-0005-0000-0000-0000638C0000}"/>
    <cellStyle name="Normal 5 17 2 35 5" xfId="35954" xr:uid="{00000000-0005-0000-0000-0000648C0000}"/>
    <cellStyle name="Normal 5 17 2 35 6" xfId="35955" xr:uid="{00000000-0005-0000-0000-0000658C0000}"/>
    <cellStyle name="Normal 5 17 2 35 7" xfId="35956" xr:uid="{00000000-0005-0000-0000-0000668C0000}"/>
    <cellStyle name="Normal 5 17 2 35 8" xfId="35957" xr:uid="{00000000-0005-0000-0000-0000678C0000}"/>
    <cellStyle name="Normal 5 17 2 35 9" xfId="35958" xr:uid="{00000000-0005-0000-0000-0000688C0000}"/>
    <cellStyle name="Normal 5 17 2 36" xfId="35959" xr:uid="{00000000-0005-0000-0000-0000698C0000}"/>
    <cellStyle name="Normal 5 17 2 36 10" xfId="35960" xr:uid="{00000000-0005-0000-0000-00006A8C0000}"/>
    <cellStyle name="Normal 5 17 2 36 2" xfId="35961" xr:uid="{00000000-0005-0000-0000-00006B8C0000}"/>
    <cellStyle name="Normal 5 17 2 36 3" xfId="35962" xr:uid="{00000000-0005-0000-0000-00006C8C0000}"/>
    <cellStyle name="Normal 5 17 2 36 4" xfId="35963" xr:uid="{00000000-0005-0000-0000-00006D8C0000}"/>
    <cellStyle name="Normal 5 17 2 36 5" xfId="35964" xr:uid="{00000000-0005-0000-0000-00006E8C0000}"/>
    <cellStyle name="Normal 5 17 2 36 6" xfId="35965" xr:uid="{00000000-0005-0000-0000-00006F8C0000}"/>
    <cellStyle name="Normal 5 17 2 36 7" xfId="35966" xr:uid="{00000000-0005-0000-0000-0000708C0000}"/>
    <cellStyle name="Normal 5 17 2 36 8" xfId="35967" xr:uid="{00000000-0005-0000-0000-0000718C0000}"/>
    <cellStyle name="Normal 5 17 2 36 9" xfId="35968" xr:uid="{00000000-0005-0000-0000-0000728C0000}"/>
    <cellStyle name="Normal 5 17 2 37" xfId="35969" xr:uid="{00000000-0005-0000-0000-0000738C0000}"/>
    <cellStyle name="Normal 5 17 2 37 10" xfId="35970" xr:uid="{00000000-0005-0000-0000-0000748C0000}"/>
    <cellStyle name="Normal 5 17 2 37 2" xfId="35971" xr:uid="{00000000-0005-0000-0000-0000758C0000}"/>
    <cellStyle name="Normal 5 17 2 37 3" xfId="35972" xr:uid="{00000000-0005-0000-0000-0000768C0000}"/>
    <cellStyle name="Normal 5 17 2 37 4" xfId="35973" xr:uid="{00000000-0005-0000-0000-0000778C0000}"/>
    <cellStyle name="Normal 5 17 2 37 5" xfId="35974" xr:uid="{00000000-0005-0000-0000-0000788C0000}"/>
    <cellStyle name="Normal 5 17 2 37 6" xfId="35975" xr:uid="{00000000-0005-0000-0000-0000798C0000}"/>
    <cellStyle name="Normal 5 17 2 37 7" xfId="35976" xr:uid="{00000000-0005-0000-0000-00007A8C0000}"/>
    <cellStyle name="Normal 5 17 2 37 8" xfId="35977" xr:uid="{00000000-0005-0000-0000-00007B8C0000}"/>
    <cellStyle name="Normal 5 17 2 37 9" xfId="35978" xr:uid="{00000000-0005-0000-0000-00007C8C0000}"/>
    <cellStyle name="Normal 5 17 2 38" xfId="35979" xr:uid="{00000000-0005-0000-0000-00007D8C0000}"/>
    <cellStyle name="Normal 5 17 2 39" xfId="35980" xr:uid="{00000000-0005-0000-0000-00007E8C0000}"/>
    <cellStyle name="Normal 5 17 2 4" xfId="35981" xr:uid="{00000000-0005-0000-0000-00007F8C0000}"/>
    <cellStyle name="Normal 5 17 2 4 10" xfId="35982" xr:uid="{00000000-0005-0000-0000-0000808C0000}"/>
    <cellStyle name="Normal 5 17 2 4 11" xfId="35983" xr:uid="{00000000-0005-0000-0000-0000818C0000}"/>
    <cellStyle name="Normal 5 17 2 4 12" xfId="35984" xr:uid="{00000000-0005-0000-0000-0000828C0000}"/>
    <cellStyle name="Normal 5 17 2 4 13" xfId="35985" xr:uid="{00000000-0005-0000-0000-0000838C0000}"/>
    <cellStyle name="Normal 5 17 2 4 14" xfId="35986" xr:uid="{00000000-0005-0000-0000-0000848C0000}"/>
    <cellStyle name="Normal 5 17 2 4 2" xfId="35987" xr:uid="{00000000-0005-0000-0000-0000858C0000}"/>
    <cellStyle name="Normal 5 17 2 4 2 10" xfId="35988" xr:uid="{00000000-0005-0000-0000-0000868C0000}"/>
    <cellStyle name="Normal 5 17 2 4 2 2" xfId="35989" xr:uid="{00000000-0005-0000-0000-0000878C0000}"/>
    <cellStyle name="Normal 5 17 2 4 2 3" xfId="35990" xr:uid="{00000000-0005-0000-0000-0000888C0000}"/>
    <cellStyle name="Normal 5 17 2 4 2 4" xfId="35991" xr:uid="{00000000-0005-0000-0000-0000898C0000}"/>
    <cellStyle name="Normal 5 17 2 4 2 5" xfId="35992" xr:uid="{00000000-0005-0000-0000-00008A8C0000}"/>
    <cellStyle name="Normal 5 17 2 4 2 6" xfId="35993" xr:uid="{00000000-0005-0000-0000-00008B8C0000}"/>
    <cellStyle name="Normal 5 17 2 4 2 7" xfId="35994" xr:uid="{00000000-0005-0000-0000-00008C8C0000}"/>
    <cellStyle name="Normal 5 17 2 4 2 8" xfId="35995" xr:uid="{00000000-0005-0000-0000-00008D8C0000}"/>
    <cellStyle name="Normal 5 17 2 4 2 9" xfId="35996" xr:uid="{00000000-0005-0000-0000-00008E8C0000}"/>
    <cellStyle name="Normal 5 17 2 4 3" xfId="35997" xr:uid="{00000000-0005-0000-0000-00008F8C0000}"/>
    <cellStyle name="Normal 5 17 2 4 3 10" xfId="35998" xr:uid="{00000000-0005-0000-0000-0000908C0000}"/>
    <cellStyle name="Normal 5 17 2 4 3 2" xfId="35999" xr:uid="{00000000-0005-0000-0000-0000918C0000}"/>
    <cellStyle name="Normal 5 17 2 4 3 3" xfId="36000" xr:uid="{00000000-0005-0000-0000-0000928C0000}"/>
    <cellStyle name="Normal 5 17 2 4 3 4" xfId="36001" xr:uid="{00000000-0005-0000-0000-0000938C0000}"/>
    <cellStyle name="Normal 5 17 2 4 3 5" xfId="36002" xr:uid="{00000000-0005-0000-0000-0000948C0000}"/>
    <cellStyle name="Normal 5 17 2 4 3 6" xfId="36003" xr:uid="{00000000-0005-0000-0000-0000958C0000}"/>
    <cellStyle name="Normal 5 17 2 4 3 7" xfId="36004" xr:uid="{00000000-0005-0000-0000-0000968C0000}"/>
    <cellStyle name="Normal 5 17 2 4 3 8" xfId="36005" xr:uid="{00000000-0005-0000-0000-0000978C0000}"/>
    <cellStyle name="Normal 5 17 2 4 3 9" xfId="36006" xr:uid="{00000000-0005-0000-0000-0000988C0000}"/>
    <cellStyle name="Normal 5 17 2 4 4" xfId="36007" xr:uid="{00000000-0005-0000-0000-0000998C0000}"/>
    <cellStyle name="Normal 5 17 2 4 4 10" xfId="36008" xr:uid="{00000000-0005-0000-0000-00009A8C0000}"/>
    <cellStyle name="Normal 5 17 2 4 4 2" xfId="36009" xr:uid="{00000000-0005-0000-0000-00009B8C0000}"/>
    <cellStyle name="Normal 5 17 2 4 4 3" xfId="36010" xr:uid="{00000000-0005-0000-0000-00009C8C0000}"/>
    <cellStyle name="Normal 5 17 2 4 4 4" xfId="36011" xr:uid="{00000000-0005-0000-0000-00009D8C0000}"/>
    <cellStyle name="Normal 5 17 2 4 4 5" xfId="36012" xr:uid="{00000000-0005-0000-0000-00009E8C0000}"/>
    <cellStyle name="Normal 5 17 2 4 4 6" xfId="36013" xr:uid="{00000000-0005-0000-0000-00009F8C0000}"/>
    <cellStyle name="Normal 5 17 2 4 4 7" xfId="36014" xr:uid="{00000000-0005-0000-0000-0000A08C0000}"/>
    <cellStyle name="Normal 5 17 2 4 4 8" xfId="36015" xr:uid="{00000000-0005-0000-0000-0000A18C0000}"/>
    <cellStyle name="Normal 5 17 2 4 4 9" xfId="36016" xr:uid="{00000000-0005-0000-0000-0000A28C0000}"/>
    <cellStyle name="Normal 5 17 2 4 5" xfId="36017" xr:uid="{00000000-0005-0000-0000-0000A38C0000}"/>
    <cellStyle name="Normal 5 17 2 4 5 10" xfId="36018" xr:uid="{00000000-0005-0000-0000-0000A48C0000}"/>
    <cellStyle name="Normal 5 17 2 4 5 2" xfId="36019" xr:uid="{00000000-0005-0000-0000-0000A58C0000}"/>
    <cellStyle name="Normal 5 17 2 4 5 3" xfId="36020" xr:uid="{00000000-0005-0000-0000-0000A68C0000}"/>
    <cellStyle name="Normal 5 17 2 4 5 4" xfId="36021" xr:uid="{00000000-0005-0000-0000-0000A78C0000}"/>
    <cellStyle name="Normal 5 17 2 4 5 5" xfId="36022" xr:uid="{00000000-0005-0000-0000-0000A88C0000}"/>
    <cellStyle name="Normal 5 17 2 4 5 6" xfId="36023" xr:uid="{00000000-0005-0000-0000-0000A98C0000}"/>
    <cellStyle name="Normal 5 17 2 4 5 7" xfId="36024" xr:uid="{00000000-0005-0000-0000-0000AA8C0000}"/>
    <cellStyle name="Normal 5 17 2 4 5 8" xfId="36025" xr:uid="{00000000-0005-0000-0000-0000AB8C0000}"/>
    <cellStyle name="Normal 5 17 2 4 5 9" xfId="36026" xr:uid="{00000000-0005-0000-0000-0000AC8C0000}"/>
    <cellStyle name="Normal 5 17 2 4 6" xfId="36027" xr:uid="{00000000-0005-0000-0000-0000AD8C0000}"/>
    <cellStyle name="Normal 5 17 2 4 7" xfId="36028" xr:uid="{00000000-0005-0000-0000-0000AE8C0000}"/>
    <cellStyle name="Normal 5 17 2 4 8" xfId="36029" xr:uid="{00000000-0005-0000-0000-0000AF8C0000}"/>
    <cellStyle name="Normal 5 17 2 4 9" xfId="36030" xr:uid="{00000000-0005-0000-0000-0000B08C0000}"/>
    <cellStyle name="Normal 5 17 2 40" xfId="36031" xr:uid="{00000000-0005-0000-0000-0000B18C0000}"/>
    <cellStyle name="Normal 5 17 2 41" xfId="36032" xr:uid="{00000000-0005-0000-0000-0000B28C0000}"/>
    <cellStyle name="Normal 5 17 2 42" xfId="36033" xr:uid="{00000000-0005-0000-0000-0000B38C0000}"/>
    <cellStyle name="Normal 5 17 2 43" xfId="36034" xr:uid="{00000000-0005-0000-0000-0000B48C0000}"/>
    <cellStyle name="Normal 5 17 2 44" xfId="36035" xr:uid="{00000000-0005-0000-0000-0000B58C0000}"/>
    <cellStyle name="Normal 5 17 2 45" xfId="36036" xr:uid="{00000000-0005-0000-0000-0000B68C0000}"/>
    <cellStyle name="Normal 5 17 2 46" xfId="36037" xr:uid="{00000000-0005-0000-0000-0000B78C0000}"/>
    <cellStyle name="Normal 5 17 2 47" xfId="36038" xr:uid="{00000000-0005-0000-0000-0000B88C0000}"/>
    <cellStyle name="Normal 5 17 2 48" xfId="36039" xr:uid="{00000000-0005-0000-0000-0000B98C0000}"/>
    <cellStyle name="Normal 5 17 2 5" xfId="36040" xr:uid="{00000000-0005-0000-0000-0000BA8C0000}"/>
    <cellStyle name="Normal 5 17 2 5 10" xfId="36041" xr:uid="{00000000-0005-0000-0000-0000BB8C0000}"/>
    <cellStyle name="Normal 5 17 2 5 11" xfId="36042" xr:uid="{00000000-0005-0000-0000-0000BC8C0000}"/>
    <cellStyle name="Normal 5 17 2 5 12" xfId="36043" xr:uid="{00000000-0005-0000-0000-0000BD8C0000}"/>
    <cellStyle name="Normal 5 17 2 5 13" xfId="36044" xr:uid="{00000000-0005-0000-0000-0000BE8C0000}"/>
    <cellStyle name="Normal 5 17 2 5 14" xfId="36045" xr:uid="{00000000-0005-0000-0000-0000BF8C0000}"/>
    <cellStyle name="Normal 5 17 2 5 2" xfId="36046" xr:uid="{00000000-0005-0000-0000-0000C08C0000}"/>
    <cellStyle name="Normal 5 17 2 5 2 10" xfId="36047" xr:uid="{00000000-0005-0000-0000-0000C18C0000}"/>
    <cellStyle name="Normal 5 17 2 5 2 2" xfId="36048" xr:uid="{00000000-0005-0000-0000-0000C28C0000}"/>
    <cellStyle name="Normal 5 17 2 5 2 3" xfId="36049" xr:uid="{00000000-0005-0000-0000-0000C38C0000}"/>
    <cellStyle name="Normal 5 17 2 5 2 4" xfId="36050" xr:uid="{00000000-0005-0000-0000-0000C48C0000}"/>
    <cellStyle name="Normal 5 17 2 5 2 5" xfId="36051" xr:uid="{00000000-0005-0000-0000-0000C58C0000}"/>
    <cellStyle name="Normal 5 17 2 5 2 6" xfId="36052" xr:uid="{00000000-0005-0000-0000-0000C68C0000}"/>
    <cellStyle name="Normal 5 17 2 5 2 7" xfId="36053" xr:uid="{00000000-0005-0000-0000-0000C78C0000}"/>
    <cellStyle name="Normal 5 17 2 5 2 8" xfId="36054" xr:uid="{00000000-0005-0000-0000-0000C88C0000}"/>
    <cellStyle name="Normal 5 17 2 5 2 9" xfId="36055" xr:uid="{00000000-0005-0000-0000-0000C98C0000}"/>
    <cellStyle name="Normal 5 17 2 5 3" xfId="36056" xr:uid="{00000000-0005-0000-0000-0000CA8C0000}"/>
    <cellStyle name="Normal 5 17 2 5 3 10" xfId="36057" xr:uid="{00000000-0005-0000-0000-0000CB8C0000}"/>
    <cellStyle name="Normal 5 17 2 5 3 2" xfId="36058" xr:uid="{00000000-0005-0000-0000-0000CC8C0000}"/>
    <cellStyle name="Normal 5 17 2 5 3 3" xfId="36059" xr:uid="{00000000-0005-0000-0000-0000CD8C0000}"/>
    <cellStyle name="Normal 5 17 2 5 3 4" xfId="36060" xr:uid="{00000000-0005-0000-0000-0000CE8C0000}"/>
    <cellStyle name="Normal 5 17 2 5 3 5" xfId="36061" xr:uid="{00000000-0005-0000-0000-0000CF8C0000}"/>
    <cellStyle name="Normal 5 17 2 5 3 6" xfId="36062" xr:uid="{00000000-0005-0000-0000-0000D08C0000}"/>
    <cellStyle name="Normal 5 17 2 5 3 7" xfId="36063" xr:uid="{00000000-0005-0000-0000-0000D18C0000}"/>
    <cellStyle name="Normal 5 17 2 5 3 8" xfId="36064" xr:uid="{00000000-0005-0000-0000-0000D28C0000}"/>
    <cellStyle name="Normal 5 17 2 5 3 9" xfId="36065" xr:uid="{00000000-0005-0000-0000-0000D38C0000}"/>
    <cellStyle name="Normal 5 17 2 5 4" xfId="36066" xr:uid="{00000000-0005-0000-0000-0000D48C0000}"/>
    <cellStyle name="Normal 5 17 2 5 4 10" xfId="36067" xr:uid="{00000000-0005-0000-0000-0000D58C0000}"/>
    <cellStyle name="Normal 5 17 2 5 4 2" xfId="36068" xr:uid="{00000000-0005-0000-0000-0000D68C0000}"/>
    <cellStyle name="Normal 5 17 2 5 4 3" xfId="36069" xr:uid="{00000000-0005-0000-0000-0000D78C0000}"/>
    <cellStyle name="Normal 5 17 2 5 4 4" xfId="36070" xr:uid="{00000000-0005-0000-0000-0000D88C0000}"/>
    <cellStyle name="Normal 5 17 2 5 4 5" xfId="36071" xr:uid="{00000000-0005-0000-0000-0000D98C0000}"/>
    <cellStyle name="Normal 5 17 2 5 4 6" xfId="36072" xr:uid="{00000000-0005-0000-0000-0000DA8C0000}"/>
    <cellStyle name="Normal 5 17 2 5 4 7" xfId="36073" xr:uid="{00000000-0005-0000-0000-0000DB8C0000}"/>
    <cellStyle name="Normal 5 17 2 5 4 8" xfId="36074" xr:uid="{00000000-0005-0000-0000-0000DC8C0000}"/>
    <cellStyle name="Normal 5 17 2 5 4 9" xfId="36075" xr:uid="{00000000-0005-0000-0000-0000DD8C0000}"/>
    <cellStyle name="Normal 5 17 2 5 5" xfId="36076" xr:uid="{00000000-0005-0000-0000-0000DE8C0000}"/>
    <cellStyle name="Normal 5 17 2 5 5 10" xfId="36077" xr:uid="{00000000-0005-0000-0000-0000DF8C0000}"/>
    <cellStyle name="Normal 5 17 2 5 5 2" xfId="36078" xr:uid="{00000000-0005-0000-0000-0000E08C0000}"/>
    <cellStyle name="Normal 5 17 2 5 5 3" xfId="36079" xr:uid="{00000000-0005-0000-0000-0000E18C0000}"/>
    <cellStyle name="Normal 5 17 2 5 5 4" xfId="36080" xr:uid="{00000000-0005-0000-0000-0000E28C0000}"/>
    <cellStyle name="Normal 5 17 2 5 5 5" xfId="36081" xr:uid="{00000000-0005-0000-0000-0000E38C0000}"/>
    <cellStyle name="Normal 5 17 2 5 5 6" xfId="36082" xr:uid="{00000000-0005-0000-0000-0000E48C0000}"/>
    <cellStyle name="Normal 5 17 2 5 5 7" xfId="36083" xr:uid="{00000000-0005-0000-0000-0000E58C0000}"/>
    <cellStyle name="Normal 5 17 2 5 5 8" xfId="36084" xr:uid="{00000000-0005-0000-0000-0000E68C0000}"/>
    <cellStyle name="Normal 5 17 2 5 5 9" xfId="36085" xr:uid="{00000000-0005-0000-0000-0000E78C0000}"/>
    <cellStyle name="Normal 5 17 2 5 6" xfId="36086" xr:uid="{00000000-0005-0000-0000-0000E88C0000}"/>
    <cellStyle name="Normal 5 17 2 5 7" xfId="36087" xr:uid="{00000000-0005-0000-0000-0000E98C0000}"/>
    <cellStyle name="Normal 5 17 2 5 8" xfId="36088" xr:uid="{00000000-0005-0000-0000-0000EA8C0000}"/>
    <cellStyle name="Normal 5 17 2 5 9" xfId="36089" xr:uid="{00000000-0005-0000-0000-0000EB8C0000}"/>
    <cellStyle name="Normal 5 17 2 6" xfId="36090" xr:uid="{00000000-0005-0000-0000-0000EC8C0000}"/>
    <cellStyle name="Normal 5 17 2 6 10" xfId="36091" xr:uid="{00000000-0005-0000-0000-0000ED8C0000}"/>
    <cellStyle name="Normal 5 17 2 6 11" xfId="36092" xr:uid="{00000000-0005-0000-0000-0000EE8C0000}"/>
    <cellStyle name="Normal 5 17 2 6 12" xfId="36093" xr:uid="{00000000-0005-0000-0000-0000EF8C0000}"/>
    <cellStyle name="Normal 5 17 2 6 13" xfId="36094" xr:uid="{00000000-0005-0000-0000-0000F08C0000}"/>
    <cellStyle name="Normal 5 17 2 6 14" xfId="36095" xr:uid="{00000000-0005-0000-0000-0000F18C0000}"/>
    <cellStyle name="Normal 5 17 2 6 2" xfId="36096" xr:uid="{00000000-0005-0000-0000-0000F28C0000}"/>
    <cellStyle name="Normal 5 17 2 6 2 10" xfId="36097" xr:uid="{00000000-0005-0000-0000-0000F38C0000}"/>
    <cellStyle name="Normal 5 17 2 6 2 2" xfId="36098" xr:uid="{00000000-0005-0000-0000-0000F48C0000}"/>
    <cellStyle name="Normal 5 17 2 6 2 3" xfId="36099" xr:uid="{00000000-0005-0000-0000-0000F58C0000}"/>
    <cellStyle name="Normal 5 17 2 6 2 4" xfId="36100" xr:uid="{00000000-0005-0000-0000-0000F68C0000}"/>
    <cellStyle name="Normal 5 17 2 6 2 5" xfId="36101" xr:uid="{00000000-0005-0000-0000-0000F78C0000}"/>
    <cellStyle name="Normal 5 17 2 6 2 6" xfId="36102" xr:uid="{00000000-0005-0000-0000-0000F88C0000}"/>
    <cellStyle name="Normal 5 17 2 6 2 7" xfId="36103" xr:uid="{00000000-0005-0000-0000-0000F98C0000}"/>
    <cellStyle name="Normal 5 17 2 6 2 8" xfId="36104" xr:uid="{00000000-0005-0000-0000-0000FA8C0000}"/>
    <cellStyle name="Normal 5 17 2 6 2 9" xfId="36105" xr:uid="{00000000-0005-0000-0000-0000FB8C0000}"/>
    <cellStyle name="Normal 5 17 2 6 3" xfId="36106" xr:uid="{00000000-0005-0000-0000-0000FC8C0000}"/>
    <cellStyle name="Normal 5 17 2 6 3 10" xfId="36107" xr:uid="{00000000-0005-0000-0000-0000FD8C0000}"/>
    <cellStyle name="Normal 5 17 2 6 3 2" xfId="36108" xr:uid="{00000000-0005-0000-0000-0000FE8C0000}"/>
    <cellStyle name="Normal 5 17 2 6 3 3" xfId="36109" xr:uid="{00000000-0005-0000-0000-0000FF8C0000}"/>
    <cellStyle name="Normal 5 17 2 6 3 4" xfId="36110" xr:uid="{00000000-0005-0000-0000-0000008D0000}"/>
    <cellStyle name="Normal 5 17 2 6 3 5" xfId="36111" xr:uid="{00000000-0005-0000-0000-0000018D0000}"/>
    <cellStyle name="Normal 5 17 2 6 3 6" xfId="36112" xr:uid="{00000000-0005-0000-0000-0000028D0000}"/>
    <cellStyle name="Normal 5 17 2 6 3 7" xfId="36113" xr:uid="{00000000-0005-0000-0000-0000038D0000}"/>
    <cellStyle name="Normal 5 17 2 6 3 8" xfId="36114" xr:uid="{00000000-0005-0000-0000-0000048D0000}"/>
    <cellStyle name="Normal 5 17 2 6 3 9" xfId="36115" xr:uid="{00000000-0005-0000-0000-0000058D0000}"/>
    <cellStyle name="Normal 5 17 2 6 4" xfId="36116" xr:uid="{00000000-0005-0000-0000-0000068D0000}"/>
    <cellStyle name="Normal 5 17 2 6 4 10" xfId="36117" xr:uid="{00000000-0005-0000-0000-0000078D0000}"/>
    <cellStyle name="Normal 5 17 2 6 4 2" xfId="36118" xr:uid="{00000000-0005-0000-0000-0000088D0000}"/>
    <cellStyle name="Normal 5 17 2 6 4 3" xfId="36119" xr:uid="{00000000-0005-0000-0000-0000098D0000}"/>
    <cellStyle name="Normal 5 17 2 6 4 4" xfId="36120" xr:uid="{00000000-0005-0000-0000-00000A8D0000}"/>
    <cellStyle name="Normal 5 17 2 6 4 5" xfId="36121" xr:uid="{00000000-0005-0000-0000-00000B8D0000}"/>
    <cellStyle name="Normal 5 17 2 6 4 6" xfId="36122" xr:uid="{00000000-0005-0000-0000-00000C8D0000}"/>
    <cellStyle name="Normal 5 17 2 6 4 7" xfId="36123" xr:uid="{00000000-0005-0000-0000-00000D8D0000}"/>
    <cellStyle name="Normal 5 17 2 6 4 8" xfId="36124" xr:uid="{00000000-0005-0000-0000-00000E8D0000}"/>
    <cellStyle name="Normal 5 17 2 6 4 9" xfId="36125" xr:uid="{00000000-0005-0000-0000-00000F8D0000}"/>
    <cellStyle name="Normal 5 17 2 6 5" xfId="36126" xr:uid="{00000000-0005-0000-0000-0000108D0000}"/>
    <cellStyle name="Normal 5 17 2 6 5 10" xfId="36127" xr:uid="{00000000-0005-0000-0000-0000118D0000}"/>
    <cellStyle name="Normal 5 17 2 6 5 2" xfId="36128" xr:uid="{00000000-0005-0000-0000-0000128D0000}"/>
    <cellStyle name="Normal 5 17 2 6 5 3" xfId="36129" xr:uid="{00000000-0005-0000-0000-0000138D0000}"/>
    <cellStyle name="Normal 5 17 2 6 5 4" xfId="36130" xr:uid="{00000000-0005-0000-0000-0000148D0000}"/>
    <cellStyle name="Normal 5 17 2 6 5 5" xfId="36131" xr:uid="{00000000-0005-0000-0000-0000158D0000}"/>
    <cellStyle name="Normal 5 17 2 6 5 6" xfId="36132" xr:uid="{00000000-0005-0000-0000-0000168D0000}"/>
    <cellStyle name="Normal 5 17 2 6 5 7" xfId="36133" xr:uid="{00000000-0005-0000-0000-0000178D0000}"/>
    <cellStyle name="Normal 5 17 2 6 5 8" xfId="36134" xr:uid="{00000000-0005-0000-0000-0000188D0000}"/>
    <cellStyle name="Normal 5 17 2 6 5 9" xfId="36135" xr:uid="{00000000-0005-0000-0000-0000198D0000}"/>
    <cellStyle name="Normal 5 17 2 6 6" xfId="36136" xr:uid="{00000000-0005-0000-0000-00001A8D0000}"/>
    <cellStyle name="Normal 5 17 2 6 7" xfId="36137" xr:uid="{00000000-0005-0000-0000-00001B8D0000}"/>
    <cellStyle name="Normal 5 17 2 6 8" xfId="36138" xr:uid="{00000000-0005-0000-0000-00001C8D0000}"/>
    <cellStyle name="Normal 5 17 2 6 9" xfId="36139" xr:uid="{00000000-0005-0000-0000-00001D8D0000}"/>
    <cellStyle name="Normal 5 17 2 7" xfId="36140" xr:uid="{00000000-0005-0000-0000-00001E8D0000}"/>
    <cellStyle name="Normal 5 17 2 7 10" xfId="36141" xr:uid="{00000000-0005-0000-0000-00001F8D0000}"/>
    <cellStyle name="Normal 5 17 2 7 11" xfId="36142" xr:uid="{00000000-0005-0000-0000-0000208D0000}"/>
    <cellStyle name="Normal 5 17 2 7 12" xfId="36143" xr:uid="{00000000-0005-0000-0000-0000218D0000}"/>
    <cellStyle name="Normal 5 17 2 7 13" xfId="36144" xr:uid="{00000000-0005-0000-0000-0000228D0000}"/>
    <cellStyle name="Normal 5 17 2 7 14" xfId="36145" xr:uid="{00000000-0005-0000-0000-0000238D0000}"/>
    <cellStyle name="Normal 5 17 2 7 2" xfId="36146" xr:uid="{00000000-0005-0000-0000-0000248D0000}"/>
    <cellStyle name="Normal 5 17 2 7 2 10" xfId="36147" xr:uid="{00000000-0005-0000-0000-0000258D0000}"/>
    <cellStyle name="Normal 5 17 2 7 2 2" xfId="36148" xr:uid="{00000000-0005-0000-0000-0000268D0000}"/>
    <cellStyle name="Normal 5 17 2 7 2 3" xfId="36149" xr:uid="{00000000-0005-0000-0000-0000278D0000}"/>
    <cellStyle name="Normal 5 17 2 7 2 4" xfId="36150" xr:uid="{00000000-0005-0000-0000-0000288D0000}"/>
    <cellStyle name="Normal 5 17 2 7 2 5" xfId="36151" xr:uid="{00000000-0005-0000-0000-0000298D0000}"/>
    <cellStyle name="Normal 5 17 2 7 2 6" xfId="36152" xr:uid="{00000000-0005-0000-0000-00002A8D0000}"/>
    <cellStyle name="Normal 5 17 2 7 2 7" xfId="36153" xr:uid="{00000000-0005-0000-0000-00002B8D0000}"/>
    <cellStyle name="Normal 5 17 2 7 2 8" xfId="36154" xr:uid="{00000000-0005-0000-0000-00002C8D0000}"/>
    <cellStyle name="Normal 5 17 2 7 2 9" xfId="36155" xr:uid="{00000000-0005-0000-0000-00002D8D0000}"/>
    <cellStyle name="Normal 5 17 2 7 3" xfId="36156" xr:uid="{00000000-0005-0000-0000-00002E8D0000}"/>
    <cellStyle name="Normal 5 17 2 7 3 10" xfId="36157" xr:uid="{00000000-0005-0000-0000-00002F8D0000}"/>
    <cellStyle name="Normal 5 17 2 7 3 2" xfId="36158" xr:uid="{00000000-0005-0000-0000-0000308D0000}"/>
    <cellStyle name="Normal 5 17 2 7 3 3" xfId="36159" xr:uid="{00000000-0005-0000-0000-0000318D0000}"/>
    <cellStyle name="Normal 5 17 2 7 3 4" xfId="36160" xr:uid="{00000000-0005-0000-0000-0000328D0000}"/>
    <cellStyle name="Normal 5 17 2 7 3 5" xfId="36161" xr:uid="{00000000-0005-0000-0000-0000338D0000}"/>
    <cellStyle name="Normal 5 17 2 7 3 6" xfId="36162" xr:uid="{00000000-0005-0000-0000-0000348D0000}"/>
    <cellStyle name="Normal 5 17 2 7 3 7" xfId="36163" xr:uid="{00000000-0005-0000-0000-0000358D0000}"/>
    <cellStyle name="Normal 5 17 2 7 3 8" xfId="36164" xr:uid="{00000000-0005-0000-0000-0000368D0000}"/>
    <cellStyle name="Normal 5 17 2 7 3 9" xfId="36165" xr:uid="{00000000-0005-0000-0000-0000378D0000}"/>
    <cellStyle name="Normal 5 17 2 7 4" xfId="36166" xr:uid="{00000000-0005-0000-0000-0000388D0000}"/>
    <cellStyle name="Normal 5 17 2 7 4 10" xfId="36167" xr:uid="{00000000-0005-0000-0000-0000398D0000}"/>
    <cellStyle name="Normal 5 17 2 7 4 2" xfId="36168" xr:uid="{00000000-0005-0000-0000-00003A8D0000}"/>
    <cellStyle name="Normal 5 17 2 7 4 3" xfId="36169" xr:uid="{00000000-0005-0000-0000-00003B8D0000}"/>
    <cellStyle name="Normal 5 17 2 7 4 4" xfId="36170" xr:uid="{00000000-0005-0000-0000-00003C8D0000}"/>
    <cellStyle name="Normal 5 17 2 7 4 5" xfId="36171" xr:uid="{00000000-0005-0000-0000-00003D8D0000}"/>
    <cellStyle name="Normal 5 17 2 7 4 6" xfId="36172" xr:uid="{00000000-0005-0000-0000-00003E8D0000}"/>
    <cellStyle name="Normal 5 17 2 7 4 7" xfId="36173" xr:uid="{00000000-0005-0000-0000-00003F8D0000}"/>
    <cellStyle name="Normal 5 17 2 7 4 8" xfId="36174" xr:uid="{00000000-0005-0000-0000-0000408D0000}"/>
    <cellStyle name="Normal 5 17 2 7 4 9" xfId="36175" xr:uid="{00000000-0005-0000-0000-0000418D0000}"/>
    <cellStyle name="Normal 5 17 2 7 5" xfId="36176" xr:uid="{00000000-0005-0000-0000-0000428D0000}"/>
    <cellStyle name="Normal 5 17 2 7 5 10" xfId="36177" xr:uid="{00000000-0005-0000-0000-0000438D0000}"/>
    <cellStyle name="Normal 5 17 2 7 5 2" xfId="36178" xr:uid="{00000000-0005-0000-0000-0000448D0000}"/>
    <cellStyle name="Normal 5 17 2 7 5 3" xfId="36179" xr:uid="{00000000-0005-0000-0000-0000458D0000}"/>
    <cellStyle name="Normal 5 17 2 7 5 4" xfId="36180" xr:uid="{00000000-0005-0000-0000-0000468D0000}"/>
    <cellStyle name="Normal 5 17 2 7 5 5" xfId="36181" xr:uid="{00000000-0005-0000-0000-0000478D0000}"/>
    <cellStyle name="Normal 5 17 2 7 5 6" xfId="36182" xr:uid="{00000000-0005-0000-0000-0000488D0000}"/>
    <cellStyle name="Normal 5 17 2 7 5 7" xfId="36183" xr:uid="{00000000-0005-0000-0000-0000498D0000}"/>
    <cellStyle name="Normal 5 17 2 7 5 8" xfId="36184" xr:uid="{00000000-0005-0000-0000-00004A8D0000}"/>
    <cellStyle name="Normal 5 17 2 7 5 9" xfId="36185" xr:uid="{00000000-0005-0000-0000-00004B8D0000}"/>
    <cellStyle name="Normal 5 17 2 7 6" xfId="36186" xr:uid="{00000000-0005-0000-0000-00004C8D0000}"/>
    <cellStyle name="Normal 5 17 2 7 7" xfId="36187" xr:uid="{00000000-0005-0000-0000-00004D8D0000}"/>
    <cellStyle name="Normal 5 17 2 7 8" xfId="36188" xr:uid="{00000000-0005-0000-0000-00004E8D0000}"/>
    <cellStyle name="Normal 5 17 2 7 9" xfId="36189" xr:uid="{00000000-0005-0000-0000-00004F8D0000}"/>
    <cellStyle name="Normal 5 17 2 8" xfId="36190" xr:uid="{00000000-0005-0000-0000-0000508D0000}"/>
    <cellStyle name="Normal 5 17 2 8 10" xfId="36191" xr:uid="{00000000-0005-0000-0000-0000518D0000}"/>
    <cellStyle name="Normal 5 17 2 8 11" xfId="36192" xr:uid="{00000000-0005-0000-0000-0000528D0000}"/>
    <cellStyle name="Normal 5 17 2 8 12" xfId="36193" xr:uid="{00000000-0005-0000-0000-0000538D0000}"/>
    <cellStyle name="Normal 5 17 2 8 13" xfId="36194" xr:uid="{00000000-0005-0000-0000-0000548D0000}"/>
    <cellStyle name="Normal 5 17 2 8 14" xfId="36195" xr:uid="{00000000-0005-0000-0000-0000558D0000}"/>
    <cellStyle name="Normal 5 17 2 8 2" xfId="36196" xr:uid="{00000000-0005-0000-0000-0000568D0000}"/>
    <cellStyle name="Normal 5 17 2 8 2 10" xfId="36197" xr:uid="{00000000-0005-0000-0000-0000578D0000}"/>
    <cellStyle name="Normal 5 17 2 8 2 2" xfId="36198" xr:uid="{00000000-0005-0000-0000-0000588D0000}"/>
    <cellStyle name="Normal 5 17 2 8 2 3" xfId="36199" xr:uid="{00000000-0005-0000-0000-0000598D0000}"/>
    <cellStyle name="Normal 5 17 2 8 2 4" xfId="36200" xr:uid="{00000000-0005-0000-0000-00005A8D0000}"/>
    <cellStyle name="Normal 5 17 2 8 2 5" xfId="36201" xr:uid="{00000000-0005-0000-0000-00005B8D0000}"/>
    <cellStyle name="Normal 5 17 2 8 2 6" xfId="36202" xr:uid="{00000000-0005-0000-0000-00005C8D0000}"/>
    <cellStyle name="Normal 5 17 2 8 2 7" xfId="36203" xr:uid="{00000000-0005-0000-0000-00005D8D0000}"/>
    <cellStyle name="Normal 5 17 2 8 2 8" xfId="36204" xr:uid="{00000000-0005-0000-0000-00005E8D0000}"/>
    <cellStyle name="Normal 5 17 2 8 2 9" xfId="36205" xr:uid="{00000000-0005-0000-0000-00005F8D0000}"/>
    <cellStyle name="Normal 5 17 2 8 3" xfId="36206" xr:uid="{00000000-0005-0000-0000-0000608D0000}"/>
    <cellStyle name="Normal 5 17 2 8 3 10" xfId="36207" xr:uid="{00000000-0005-0000-0000-0000618D0000}"/>
    <cellStyle name="Normal 5 17 2 8 3 2" xfId="36208" xr:uid="{00000000-0005-0000-0000-0000628D0000}"/>
    <cellStyle name="Normal 5 17 2 8 3 3" xfId="36209" xr:uid="{00000000-0005-0000-0000-0000638D0000}"/>
    <cellStyle name="Normal 5 17 2 8 3 4" xfId="36210" xr:uid="{00000000-0005-0000-0000-0000648D0000}"/>
    <cellStyle name="Normal 5 17 2 8 3 5" xfId="36211" xr:uid="{00000000-0005-0000-0000-0000658D0000}"/>
    <cellStyle name="Normal 5 17 2 8 3 6" xfId="36212" xr:uid="{00000000-0005-0000-0000-0000668D0000}"/>
    <cellStyle name="Normal 5 17 2 8 3 7" xfId="36213" xr:uid="{00000000-0005-0000-0000-0000678D0000}"/>
    <cellStyle name="Normal 5 17 2 8 3 8" xfId="36214" xr:uid="{00000000-0005-0000-0000-0000688D0000}"/>
    <cellStyle name="Normal 5 17 2 8 3 9" xfId="36215" xr:uid="{00000000-0005-0000-0000-0000698D0000}"/>
    <cellStyle name="Normal 5 17 2 8 4" xfId="36216" xr:uid="{00000000-0005-0000-0000-00006A8D0000}"/>
    <cellStyle name="Normal 5 17 2 8 4 10" xfId="36217" xr:uid="{00000000-0005-0000-0000-00006B8D0000}"/>
    <cellStyle name="Normal 5 17 2 8 4 2" xfId="36218" xr:uid="{00000000-0005-0000-0000-00006C8D0000}"/>
    <cellStyle name="Normal 5 17 2 8 4 3" xfId="36219" xr:uid="{00000000-0005-0000-0000-00006D8D0000}"/>
    <cellStyle name="Normal 5 17 2 8 4 4" xfId="36220" xr:uid="{00000000-0005-0000-0000-00006E8D0000}"/>
    <cellStyle name="Normal 5 17 2 8 4 5" xfId="36221" xr:uid="{00000000-0005-0000-0000-00006F8D0000}"/>
    <cellStyle name="Normal 5 17 2 8 4 6" xfId="36222" xr:uid="{00000000-0005-0000-0000-0000708D0000}"/>
    <cellStyle name="Normal 5 17 2 8 4 7" xfId="36223" xr:uid="{00000000-0005-0000-0000-0000718D0000}"/>
    <cellStyle name="Normal 5 17 2 8 4 8" xfId="36224" xr:uid="{00000000-0005-0000-0000-0000728D0000}"/>
    <cellStyle name="Normal 5 17 2 8 4 9" xfId="36225" xr:uid="{00000000-0005-0000-0000-0000738D0000}"/>
    <cellStyle name="Normal 5 17 2 8 5" xfId="36226" xr:uid="{00000000-0005-0000-0000-0000748D0000}"/>
    <cellStyle name="Normal 5 17 2 8 5 10" xfId="36227" xr:uid="{00000000-0005-0000-0000-0000758D0000}"/>
    <cellStyle name="Normal 5 17 2 8 5 2" xfId="36228" xr:uid="{00000000-0005-0000-0000-0000768D0000}"/>
    <cellStyle name="Normal 5 17 2 8 5 3" xfId="36229" xr:uid="{00000000-0005-0000-0000-0000778D0000}"/>
    <cellStyle name="Normal 5 17 2 8 5 4" xfId="36230" xr:uid="{00000000-0005-0000-0000-0000788D0000}"/>
    <cellStyle name="Normal 5 17 2 8 5 5" xfId="36231" xr:uid="{00000000-0005-0000-0000-0000798D0000}"/>
    <cellStyle name="Normal 5 17 2 8 5 6" xfId="36232" xr:uid="{00000000-0005-0000-0000-00007A8D0000}"/>
    <cellStyle name="Normal 5 17 2 8 5 7" xfId="36233" xr:uid="{00000000-0005-0000-0000-00007B8D0000}"/>
    <cellStyle name="Normal 5 17 2 8 5 8" xfId="36234" xr:uid="{00000000-0005-0000-0000-00007C8D0000}"/>
    <cellStyle name="Normal 5 17 2 8 5 9" xfId="36235" xr:uid="{00000000-0005-0000-0000-00007D8D0000}"/>
    <cellStyle name="Normal 5 17 2 8 6" xfId="36236" xr:uid="{00000000-0005-0000-0000-00007E8D0000}"/>
    <cellStyle name="Normal 5 17 2 8 7" xfId="36237" xr:uid="{00000000-0005-0000-0000-00007F8D0000}"/>
    <cellStyle name="Normal 5 17 2 8 8" xfId="36238" xr:uid="{00000000-0005-0000-0000-0000808D0000}"/>
    <cellStyle name="Normal 5 17 2 8 9" xfId="36239" xr:uid="{00000000-0005-0000-0000-0000818D0000}"/>
    <cellStyle name="Normal 5 17 2 9" xfId="36240" xr:uid="{00000000-0005-0000-0000-0000828D0000}"/>
    <cellStyle name="Normal 5 17 2 9 10" xfId="36241" xr:uid="{00000000-0005-0000-0000-0000838D0000}"/>
    <cellStyle name="Normal 5 17 2 9 11" xfId="36242" xr:uid="{00000000-0005-0000-0000-0000848D0000}"/>
    <cellStyle name="Normal 5 17 2 9 12" xfId="36243" xr:uid="{00000000-0005-0000-0000-0000858D0000}"/>
    <cellStyle name="Normal 5 17 2 9 13" xfId="36244" xr:uid="{00000000-0005-0000-0000-0000868D0000}"/>
    <cellStyle name="Normal 5 17 2 9 14" xfId="36245" xr:uid="{00000000-0005-0000-0000-0000878D0000}"/>
    <cellStyle name="Normal 5 17 2 9 2" xfId="36246" xr:uid="{00000000-0005-0000-0000-0000888D0000}"/>
    <cellStyle name="Normal 5 17 2 9 2 10" xfId="36247" xr:uid="{00000000-0005-0000-0000-0000898D0000}"/>
    <cellStyle name="Normal 5 17 2 9 2 2" xfId="36248" xr:uid="{00000000-0005-0000-0000-00008A8D0000}"/>
    <cellStyle name="Normal 5 17 2 9 2 3" xfId="36249" xr:uid="{00000000-0005-0000-0000-00008B8D0000}"/>
    <cellStyle name="Normal 5 17 2 9 2 4" xfId="36250" xr:uid="{00000000-0005-0000-0000-00008C8D0000}"/>
    <cellStyle name="Normal 5 17 2 9 2 5" xfId="36251" xr:uid="{00000000-0005-0000-0000-00008D8D0000}"/>
    <cellStyle name="Normal 5 17 2 9 2 6" xfId="36252" xr:uid="{00000000-0005-0000-0000-00008E8D0000}"/>
    <cellStyle name="Normal 5 17 2 9 2 7" xfId="36253" xr:uid="{00000000-0005-0000-0000-00008F8D0000}"/>
    <cellStyle name="Normal 5 17 2 9 2 8" xfId="36254" xr:uid="{00000000-0005-0000-0000-0000908D0000}"/>
    <cellStyle name="Normal 5 17 2 9 2 9" xfId="36255" xr:uid="{00000000-0005-0000-0000-0000918D0000}"/>
    <cellStyle name="Normal 5 17 2 9 3" xfId="36256" xr:uid="{00000000-0005-0000-0000-0000928D0000}"/>
    <cellStyle name="Normal 5 17 2 9 3 10" xfId="36257" xr:uid="{00000000-0005-0000-0000-0000938D0000}"/>
    <cellStyle name="Normal 5 17 2 9 3 2" xfId="36258" xr:uid="{00000000-0005-0000-0000-0000948D0000}"/>
    <cellStyle name="Normal 5 17 2 9 3 3" xfId="36259" xr:uid="{00000000-0005-0000-0000-0000958D0000}"/>
    <cellStyle name="Normal 5 17 2 9 3 4" xfId="36260" xr:uid="{00000000-0005-0000-0000-0000968D0000}"/>
    <cellStyle name="Normal 5 17 2 9 3 5" xfId="36261" xr:uid="{00000000-0005-0000-0000-0000978D0000}"/>
    <cellStyle name="Normal 5 17 2 9 3 6" xfId="36262" xr:uid="{00000000-0005-0000-0000-0000988D0000}"/>
    <cellStyle name="Normal 5 17 2 9 3 7" xfId="36263" xr:uid="{00000000-0005-0000-0000-0000998D0000}"/>
    <cellStyle name="Normal 5 17 2 9 3 8" xfId="36264" xr:uid="{00000000-0005-0000-0000-00009A8D0000}"/>
    <cellStyle name="Normal 5 17 2 9 3 9" xfId="36265" xr:uid="{00000000-0005-0000-0000-00009B8D0000}"/>
    <cellStyle name="Normal 5 17 2 9 4" xfId="36266" xr:uid="{00000000-0005-0000-0000-00009C8D0000}"/>
    <cellStyle name="Normal 5 17 2 9 4 10" xfId="36267" xr:uid="{00000000-0005-0000-0000-00009D8D0000}"/>
    <cellStyle name="Normal 5 17 2 9 4 2" xfId="36268" xr:uid="{00000000-0005-0000-0000-00009E8D0000}"/>
    <cellStyle name="Normal 5 17 2 9 4 3" xfId="36269" xr:uid="{00000000-0005-0000-0000-00009F8D0000}"/>
    <cellStyle name="Normal 5 17 2 9 4 4" xfId="36270" xr:uid="{00000000-0005-0000-0000-0000A08D0000}"/>
    <cellStyle name="Normal 5 17 2 9 4 5" xfId="36271" xr:uid="{00000000-0005-0000-0000-0000A18D0000}"/>
    <cellStyle name="Normal 5 17 2 9 4 6" xfId="36272" xr:uid="{00000000-0005-0000-0000-0000A28D0000}"/>
    <cellStyle name="Normal 5 17 2 9 4 7" xfId="36273" xr:uid="{00000000-0005-0000-0000-0000A38D0000}"/>
    <cellStyle name="Normal 5 17 2 9 4 8" xfId="36274" xr:uid="{00000000-0005-0000-0000-0000A48D0000}"/>
    <cellStyle name="Normal 5 17 2 9 4 9" xfId="36275" xr:uid="{00000000-0005-0000-0000-0000A58D0000}"/>
    <cellStyle name="Normal 5 17 2 9 5" xfId="36276" xr:uid="{00000000-0005-0000-0000-0000A68D0000}"/>
    <cellStyle name="Normal 5 17 2 9 5 10" xfId="36277" xr:uid="{00000000-0005-0000-0000-0000A78D0000}"/>
    <cellStyle name="Normal 5 17 2 9 5 2" xfId="36278" xr:uid="{00000000-0005-0000-0000-0000A88D0000}"/>
    <cellStyle name="Normal 5 17 2 9 5 3" xfId="36279" xr:uid="{00000000-0005-0000-0000-0000A98D0000}"/>
    <cellStyle name="Normal 5 17 2 9 5 4" xfId="36280" xr:uid="{00000000-0005-0000-0000-0000AA8D0000}"/>
    <cellStyle name="Normal 5 17 2 9 5 5" xfId="36281" xr:uid="{00000000-0005-0000-0000-0000AB8D0000}"/>
    <cellStyle name="Normal 5 17 2 9 5 6" xfId="36282" xr:uid="{00000000-0005-0000-0000-0000AC8D0000}"/>
    <cellStyle name="Normal 5 17 2 9 5 7" xfId="36283" xr:uid="{00000000-0005-0000-0000-0000AD8D0000}"/>
    <cellStyle name="Normal 5 17 2 9 5 8" xfId="36284" xr:uid="{00000000-0005-0000-0000-0000AE8D0000}"/>
    <cellStyle name="Normal 5 17 2 9 5 9" xfId="36285" xr:uid="{00000000-0005-0000-0000-0000AF8D0000}"/>
    <cellStyle name="Normal 5 17 2 9 6" xfId="36286" xr:uid="{00000000-0005-0000-0000-0000B08D0000}"/>
    <cellStyle name="Normal 5 17 2 9 7" xfId="36287" xr:uid="{00000000-0005-0000-0000-0000B18D0000}"/>
    <cellStyle name="Normal 5 17 2 9 8" xfId="36288" xr:uid="{00000000-0005-0000-0000-0000B28D0000}"/>
    <cellStyle name="Normal 5 17 2 9 9" xfId="36289" xr:uid="{00000000-0005-0000-0000-0000B38D0000}"/>
    <cellStyle name="Normal 5 17 20" xfId="36290" xr:uid="{00000000-0005-0000-0000-0000B48D0000}"/>
    <cellStyle name="Normal 5 17 20 10" xfId="36291" xr:uid="{00000000-0005-0000-0000-0000B58D0000}"/>
    <cellStyle name="Normal 5 17 20 11" xfId="36292" xr:uid="{00000000-0005-0000-0000-0000B68D0000}"/>
    <cellStyle name="Normal 5 17 20 12" xfId="36293" xr:uid="{00000000-0005-0000-0000-0000B78D0000}"/>
    <cellStyle name="Normal 5 17 20 13" xfId="36294" xr:uid="{00000000-0005-0000-0000-0000B88D0000}"/>
    <cellStyle name="Normal 5 17 20 14" xfId="36295" xr:uid="{00000000-0005-0000-0000-0000B98D0000}"/>
    <cellStyle name="Normal 5 17 20 2" xfId="36296" xr:uid="{00000000-0005-0000-0000-0000BA8D0000}"/>
    <cellStyle name="Normal 5 17 20 2 10" xfId="36297" xr:uid="{00000000-0005-0000-0000-0000BB8D0000}"/>
    <cellStyle name="Normal 5 17 20 2 2" xfId="36298" xr:uid="{00000000-0005-0000-0000-0000BC8D0000}"/>
    <cellStyle name="Normal 5 17 20 2 3" xfId="36299" xr:uid="{00000000-0005-0000-0000-0000BD8D0000}"/>
    <cellStyle name="Normal 5 17 20 2 4" xfId="36300" xr:uid="{00000000-0005-0000-0000-0000BE8D0000}"/>
    <cellStyle name="Normal 5 17 20 2 5" xfId="36301" xr:uid="{00000000-0005-0000-0000-0000BF8D0000}"/>
    <cellStyle name="Normal 5 17 20 2 6" xfId="36302" xr:uid="{00000000-0005-0000-0000-0000C08D0000}"/>
    <cellStyle name="Normal 5 17 20 2 7" xfId="36303" xr:uid="{00000000-0005-0000-0000-0000C18D0000}"/>
    <cellStyle name="Normal 5 17 20 2 8" xfId="36304" xr:uid="{00000000-0005-0000-0000-0000C28D0000}"/>
    <cellStyle name="Normal 5 17 20 2 9" xfId="36305" xr:uid="{00000000-0005-0000-0000-0000C38D0000}"/>
    <cellStyle name="Normal 5 17 20 3" xfId="36306" xr:uid="{00000000-0005-0000-0000-0000C48D0000}"/>
    <cellStyle name="Normal 5 17 20 3 10" xfId="36307" xr:uid="{00000000-0005-0000-0000-0000C58D0000}"/>
    <cellStyle name="Normal 5 17 20 3 2" xfId="36308" xr:uid="{00000000-0005-0000-0000-0000C68D0000}"/>
    <cellStyle name="Normal 5 17 20 3 3" xfId="36309" xr:uid="{00000000-0005-0000-0000-0000C78D0000}"/>
    <cellStyle name="Normal 5 17 20 3 4" xfId="36310" xr:uid="{00000000-0005-0000-0000-0000C88D0000}"/>
    <cellStyle name="Normal 5 17 20 3 5" xfId="36311" xr:uid="{00000000-0005-0000-0000-0000C98D0000}"/>
    <cellStyle name="Normal 5 17 20 3 6" xfId="36312" xr:uid="{00000000-0005-0000-0000-0000CA8D0000}"/>
    <cellStyle name="Normal 5 17 20 3 7" xfId="36313" xr:uid="{00000000-0005-0000-0000-0000CB8D0000}"/>
    <cellStyle name="Normal 5 17 20 3 8" xfId="36314" xr:uid="{00000000-0005-0000-0000-0000CC8D0000}"/>
    <cellStyle name="Normal 5 17 20 3 9" xfId="36315" xr:uid="{00000000-0005-0000-0000-0000CD8D0000}"/>
    <cellStyle name="Normal 5 17 20 4" xfId="36316" xr:uid="{00000000-0005-0000-0000-0000CE8D0000}"/>
    <cellStyle name="Normal 5 17 20 4 10" xfId="36317" xr:uid="{00000000-0005-0000-0000-0000CF8D0000}"/>
    <cellStyle name="Normal 5 17 20 4 2" xfId="36318" xr:uid="{00000000-0005-0000-0000-0000D08D0000}"/>
    <cellStyle name="Normal 5 17 20 4 3" xfId="36319" xr:uid="{00000000-0005-0000-0000-0000D18D0000}"/>
    <cellStyle name="Normal 5 17 20 4 4" xfId="36320" xr:uid="{00000000-0005-0000-0000-0000D28D0000}"/>
    <cellStyle name="Normal 5 17 20 4 5" xfId="36321" xr:uid="{00000000-0005-0000-0000-0000D38D0000}"/>
    <cellStyle name="Normal 5 17 20 4 6" xfId="36322" xr:uid="{00000000-0005-0000-0000-0000D48D0000}"/>
    <cellStyle name="Normal 5 17 20 4 7" xfId="36323" xr:uid="{00000000-0005-0000-0000-0000D58D0000}"/>
    <cellStyle name="Normal 5 17 20 4 8" xfId="36324" xr:uid="{00000000-0005-0000-0000-0000D68D0000}"/>
    <cellStyle name="Normal 5 17 20 4 9" xfId="36325" xr:uid="{00000000-0005-0000-0000-0000D78D0000}"/>
    <cellStyle name="Normal 5 17 20 5" xfId="36326" xr:uid="{00000000-0005-0000-0000-0000D88D0000}"/>
    <cellStyle name="Normal 5 17 20 5 10" xfId="36327" xr:uid="{00000000-0005-0000-0000-0000D98D0000}"/>
    <cellStyle name="Normal 5 17 20 5 2" xfId="36328" xr:uid="{00000000-0005-0000-0000-0000DA8D0000}"/>
    <cellStyle name="Normal 5 17 20 5 3" xfId="36329" xr:uid="{00000000-0005-0000-0000-0000DB8D0000}"/>
    <cellStyle name="Normal 5 17 20 5 4" xfId="36330" xr:uid="{00000000-0005-0000-0000-0000DC8D0000}"/>
    <cellStyle name="Normal 5 17 20 5 5" xfId="36331" xr:uid="{00000000-0005-0000-0000-0000DD8D0000}"/>
    <cellStyle name="Normal 5 17 20 5 6" xfId="36332" xr:uid="{00000000-0005-0000-0000-0000DE8D0000}"/>
    <cellStyle name="Normal 5 17 20 5 7" xfId="36333" xr:uid="{00000000-0005-0000-0000-0000DF8D0000}"/>
    <cellStyle name="Normal 5 17 20 5 8" xfId="36334" xr:uid="{00000000-0005-0000-0000-0000E08D0000}"/>
    <cellStyle name="Normal 5 17 20 5 9" xfId="36335" xr:uid="{00000000-0005-0000-0000-0000E18D0000}"/>
    <cellStyle name="Normal 5 17 20 6" xfId="36336" xr:uid="{00000000-0005-0000-0000-0000E28D0000}"/>
    <cellStyle name="Normal 5 17 20 7" xfId="36337" xr:uid="{00000000-0005-0000-0000-0000E38D0000}"/>
    <cellStyle name="Normal 5 17 20 8" xfId="36338" xr:uid="{00000000-0005-0000-0000-0000E48D0000}"/>
    <cellStyle name="Normal 5 17 20 9" xfId="36339" xr:uid="{00000000-0005-0000-0000-0000E58D0000}"/>
    <cellStyle name="Normal 5 17 21" xfId="36340" xr:uid="{00000000-0005-0000-0000-0000E68D0000}"/>
    <cellStyle name="Normal 5 17 21 10" xfId="36341" xr:uid="{00000000-0005-0000-0000-0000E78D0000}"/>
    <cellStyle name="Normal 5 17 21 11" xfId="36342" xr:uid="{00000000-0005-0000-0000-0000E88D0000}"/>
    <cellStyle name="Normal 5 17 21 12" xfId="36343" xr:uid="{00000000-0005-0000-0000-0000E98D0000}"/>
    <cellStyle name="Normal 5 17 21 13" xfId="36344" xr:uid="{00000000-0005-0000-0000-0000EA8D0000}"/>
    <cellStyle name="Normal 5 17 21 14" xfId="36345" xr:uid="{00000000-0005-0000-0000-0000EB8D0000}"/>
    <cellStyle name="Normal 5 17 21 2" xfId="36346" xr:uid="{00000000-0005-0000-0000-0000EC8D0000}"/>
    <cellStyle name="Normal 5 17 21 2 10" xfId="36347" xr:uid="{00000000-0005-0000-0000-0000ED8D0000}"/>
    <cellStyle name="Normal 5 17 21 2 2" xfId="36348" xr:uid="{00000000-0005-0000-0000-0000EE8D0000}"/>
    <cellStyle name="Normal 5 17 21 2 3" xfId="36349" xr:uid="{00000000-0005-0000-0000-0000EF8D0000}"/>
    <cellStyle name="Normal 5 17 21 2 4" xfId="36350" xr:uid="{00000000-0005-0000-0000-0000F08D0000}"/>
    <cellStyle name="Normal 5 17 21 2 5" xfId="36351" xr:uid="{00000000-0005-0000-0000-0000F18D0000}"/>
    <cellStyle name="Normal 5 17 21 2 6" xfId="36352" xr:uid="{00000000-0005-0000-0000-0000F28D0000}"/>
    <cellStyle name="Normal 5 17 21 2 7" xfId="36353" xr:uid="{00000000-0005-0000-0000-0000F38D0000}"/>
    <cellStyle name="Normal 5 17 21 2 8" xfId="36354" xr:uid="{00000000-0005-0000-0000-0000F48D0000}"/>
    <cellStyle name="Normal 5 17 21 2 9" xfId="36355" xr:uid="{00000000-0005-0000-0000-0000F58D0000}"/>
    <cellStyle name="Normal 5 17 21 3" xfId="36356" xr:uid="{00000000-0005-0000-0000-0000F68D0000}"/>
    <cellStyle name="Normal 5 17 21 3 10" xfId="36357" xr:uid="{00000000-0005-0000-0000-0000F78D0000}"/>
    <cellStyle name="Normal 5 17 21 3 2" xfId="36358" xr:uid="{00000000-0005-0000-0000-0000F88D0000}"/>
    <cellStyle name="Normal 5 17 21 3 3" xfId="36359" xr:uid="{00000000-0005-0000-0000-0000F98D0000}"/>
    <cellStyle name="Normal 5 17 21 3 4" xfId="36360" xr:uid="{00000000-0005-0000-0000-0000FA8D0000}"/>
    <cellStyle name="Normal 5 17 21 3 5" xfId="36361" xr:uid="{00000000-0005-0000-0000-0000FB8D0000}"/>
    <cellStyle name="Normal 5 17 21 3 6" xfId="36362" xr:uid="{00000000-0005-0000-0000-0000FC8D0000}"/>
    <cellStyle name="Normal 5 17 21 3 7" xfId="36363" xr:uid="{00000000-0005-0000-0000-0000FD8D0000}"/>
    <cellStyle name="Normal 5 17 21 3 8" xfId="36364" xr:uid="{00000000-0005-0000-0000-0000FE8D0000}"/>
    <cellStyle name="Normal 5 17 21 3 9" xfId="36365" xr:uid="{00000000-0005-0000-0000-0000FF8D0000}"/>
    <cellStyle name="Normal 5 17 21 4" xfId="36366" xr:uid="{00000000-0005-0000-0000-0000008E0000}"/>
    <cellStyle name="Normal 5 17 21 4 10" xfId="36367" xr:uid="{00000000-0005-0000-0000-0000018E0000}"/>
    <cellStyle name="Normal 5 17 21 4 2" xfId="36368" xr:uid="{00000000-0005-0000-0000-0000028E0000}"/>
    <cellStyle name="Normal 5 17 21 4 3" xfId="36369" xr:uid="{00000000-0005-0000-0000-0000038E0000}"/>
    <cellStyle name="Normal 5 17 21 4 4" xfId="36370" xr:uid="{00000000-0005-0000-0000-0000048E0000}"/>
    <cellStyle name="Normal 5 17 21 4 5" xfId="36371" xr:uid="{00000000-0005-0000-0000-0000058E0000}"/>
    <cellStyle name="Normal 5 17 21 4 6" xfId="36372" xr:uid="{00000000-0005-0000-0000-0000068E0000}"/>
    <cellStyle name="Normal 5 17 21 4 7" xfId="36373" xr:uid="{00000000-0005-0000-0000-0000078E0000}"/>
    <cellStyle name="Normal 5 17 21 4 8" xfId="36374" xr:uid="{00000000-0005-0000-0000-0000088E0000}"/>
    <cellStyle name="Normal 5 17 21 4 9" xfId="36375" xr:uid="{00000000-0005-0000-0000-0000098E0000}"/>
    <cellStyle name="Normal 5 17 21 5" xfId="36376" xr:uid="{00000000-0005-0000-0000-00000A8E0000}"/>
    <cellStyle name="Normal 5 17 21 5 10" xfId="36377" xr:uid="{00000000-0005-0000-0000-00000B8E0000}"/>
    <cellStyle name="Normal 5 17 21 5 2" xfId="36378" xr:uid="{00000000-0005-0000-0000-00000C8E0000}"/>
    <cellStyle name="Normal 5 17 21 5 3" xfId="36379" xr:uid="{00000000-0005-0000-0000-00000D8E0000}"/>
    <cellStyle name="Normal 5 17 21 5 4" xfId="36380" xr:uid="{00000000-0005-0000-0000-00000E8E0000}"/>
    <cellStyle name="Normal 5 17 21 5 5" xfId="36381" xr:uid="{00000000-0005-0000-0000-00000F8E0000}"/>
    <cellStyle name="Normal 5 17 21 5 6" xfId="36382" xr:uid="{00000000-0005-0000-0000-0000108E0000}"/>
    <cellStyle name="Normal 5 17 21 5 7" xfId="36383" xr:uid="{00000000-0005-0000-0000-0000118E0000}"/>
    <cellStyle name="Normal 5 17 21 5 8" xfId="36384" xr:uid="{00000000-0005-0000-0000-0000128E0000}"/>
    <cellStyle name="Normal 5 17 21 5 9" xfId="36385" xr:uid="{00000000-0005-0000-0000-0000138E0000}"/>
    <cellStyle name="Normal 5 17 21 6" xfId="36386" xr:uid="{00000000-0005-0000-0000-0000148E0000}"/>
    <cellStyle name="Normal 5 17 21 7" xfId="36387" xr:uid="{00000000-0005-0000-0000-0000158E0000}"/>
    <cellStyle name="Normal 5 17 21 8" xfId="36388" xr:uid="{00000000-0005-0000-0000-0000168E0000}"/>
    <cellStyle name="Normal 5 17 21 9" xfId="36389" xr:uid="{00000000-0005-0000-0000-0000178E0000}"/>
    <cellStyle name="Normal 5 17 22" xfId="36390" xr:uid="{00000000-0005-0000-0000-0000188E0000}"/>
    <cellStyle name="Normal 5 17 22 10" xfId="36391" xr:uid="{00000000-0005-0000-0000-0000198E0000}"/>
    <cellStyle name="Normal 5 17 22 11" xfId="36392" xr:uid="{00000000-0005-0000-0000-00001A8E0000}"/>
    <cellStyle name="Normal 5 17 22 12" xfId="36393" xr:uid="{00000000-0005-0000-0000-00001B8E0000}"/>
    <cellStyle name="Normal 5 17 22 13" xfId="36394" xr:uid="{00000000-0005-0000-0000-00001C8E0000}"/>
    <cellStyle name="Normal 5 17 22 14" xfId="36395" xr:uid="{00000000-0005-0000-0000-00001D8E0000}"/>
    <cellStyle name="Normal 5 17 22 2" xfId="36396" xr:uid="{00000000-0005-0000-0000-00001E8E0000}"/>
    <cellStyle name="Normal 5 17 22 2 10" xfId="36397" xr:uid="{00000000-0005-0000-0000-00001F8E0000}"/>
    <cellStyle name="Normal 5 17 22 2 2" xfId="36398" xr:uid="{00000000-0005-0000-0000-0000208E0000}"/>
    <cellStyle name="Normal 5 17 22 2 3" xfId="36399" xr:uid="{00000000-0005-0000-0000-0000218E0000}"/>
    <cellStyle name="Normal 5 17 22 2 4" xfId="36400" xr:uid="{00000000-0005-0000-0000-0000228E0000}"/>
    <cellStyle name="Normal 5 17 22 2 5" xfId="36401" xr:uid="{00000000-0005-0000-0000-0000238E0000}"/>
    <cellStyle name="Normal 5 17 22 2 6" xfId="36402" xr:uid="{00000000-0005-0000-0000-0000248E0000}"/>
    <cellStyle name="Normal 5 17 22 2 7" xfId="36403" xr:uid="{00000000-0005-0000-0000-0000258E0000}"/>
    <cellStyle name="Normal 5 17 22 2 8" xfId="36404" xr:uid="{00000000-0005-0000-0000-0000268E0000}"/>
    <cellStyle name="Normal 5 17 22 2 9" xfId="36405" xr:uid="{00000000-0005-0000-0000-0000278E0000}"/>
    <cellStyle name="Normal 5 17 22 3" xfId="36406" xr:uid="{00000000-0005-0000-0000-0000288E0000}"/>
    <cellStyle name="Normal 5 17 22 3 10" xfId="36407" xr:uid="{00000000-0005-0000-0000-0000298E0000}"/>
    <cellStyle name="Normal 5 17 22 3 2" xfId="36408" xr:uid="{00000000-0005-0000-0000-00002A8E0000}"/>
    <cellStyle name="Normal 5 17 22 3 3" xfId="36409" xr:uid="{00000000-0005-0000-0000-00002B8E0000}"/>
    <cellStyle name="Normal 5 17 22 3 4" xfId="36410" xr:uid="{00000000-0005-0000-0000-00002C8E0000}"/>
    <cellStyle name="Normal 5 17 22 3 5" xfId="36411" xr:uid="{00000000-0005-0000-0000-00002D8E0000}"/>
    <cellStyle name="Normal 5 17 22 3 6" xfId="36412" xr:uid="{00000000-0005-0000-0000-00002E8E0000}"/>
    <cellStyle name="Normal 5 17 22 3 7" xfId="36413" xr:uid="{00000000-0005-0000-0000-00002F8E0000}"/>
    <cellStyle name="Normal 5 17 22 3 8" xfId="36414" xr:uid="{00000000-0005-0000-0000-0000308E0000}"/>
    <cellStyle name="Normal 5 17 22 3 9" xfId="36415" xr:uid="{00000000-0005-0000-0000-0000318E0000}"/>
    <cellStyle name="Normal 5 17 22 4" xfId="36416" xr:uid="{00000000-0005-0000-0000-0000328E0000}"/>
    <cellStyle name="Normal 5 17 22 4 10" xfId="36417" xr:uid="{00000000-0005-0000-0000-0000338E0000}"/>
    <cellStyle name="Normal 5 17 22 4 2" xfId="36418" xr:uid="{00000000-0005-0000-0000-0000348E0000}"/>
    <cellStyle name="Normal 5 17 22 4 3" xfId="36419" xr:uid="{00000000-0005-0000-0000-0000358E0000}"/>
    <cellStyle name="Normal 5 17 22 4 4" xfId="36420" xr:uid="{00000000-0005-0000-0000-0000368E0000}"/>
    <cellStyle name="Normal 5 17 22 4 5" xfId="36421" xr:uid="{00000000-0005-0000-0000-0000378E0000}"/>
    <cellStyle name="Normal 5 17 22 4 6" xfId="36422" xr:uid="{00000000-0005-0000-0000-0000388E0000}"/>
    <cellStyle name="Normal 5 17 22 4 7" xfId="36423" xr:uid="{00000000-0005-0000-0000-0000398E0000}"/>
    <cellStyle name="Normal 5 17 22 4 8" xfId="36424" xr:uid="{00000000-0005-0000-0000-00003A8E0000}"/>
    <cellStyle name="Normal 5 17 22 4 9" xfId="36425" xr:uid="{00000000-0005-0000-0000-00003B8E0000}"/>
    <cellStyle name="Normal 5 17 22 5" xfId="36426" xr:uid="{00000000-0005-0000-0000-00003C8E0000}"/>
    <cellStyle name="Normal 5 17 22 5 10" xfId="36427" xr:uid="{00000000-0005-0000-0000-00003D8E0000}"/>
    <cellStyle name="Normal 5 17 22 5 2" xfId="36428" xr:uid="{00000000-0005-0000-0000-00003E8E0000}"/>
    <cellStyle name="Normal 5 17 22 5 3" xfId="36429" xr:uid="{00000000-0005-0000-0000-00003F8E0000}"/>
    <cellStyle name="Normal 5 17 22 5 4" xfId="36430" xr:uid="{00000000-0005-0000-0000-0000408E0000}"/>
    <cellStyle name="Normal 5 17 22 5 5" xfId="36431" xr:uid="{00000000-0005-0000-0000-0000418E0000}"/>
    <cellStyle name="Normal 5 17 22 5 6" xfId="36432" xr:uid="{00000000-0005-0000-0000-0000428E0000}"/>
    <cellStyle name="Normal 5 17 22 5 7" xfId="36433" xr:uid="{00000000-0005-0000-0000-0000438E0000}"/>
    <cellStyle name="Normal 5 17 22 5 8" xfId="36434" xr:uid="{00000000-0005-0000-0000-0000448E0000}"/>
    <cellStyle name="Normal 5 17 22 5 9" xfId="36435" xr:uid="{00000000-0005-0000-0000-0000458E0000}"/>
    <cellStyle name="Normal 5 17 22 6" xfId="36436" xr:uid="{00000000-0005-0000-0000-0000468E0000}"/>
    <cellStyle name="Normal 5 17 22 7" xfId="36437" xr:uid="{00000000-0005-0000-0000-0000478E0000}"/>
    <cellStyle name="Normal 5 17 22 8" xfId="36438" xr:uid="{00000000-0005-0000-0000-0000488E0000}"/>
    <cellStyle name="Normal 5 17 22 9" xfId="36439" xr:uid="{00000000-0005-0000-0000-0000498E0000}"/>
    <cellStyle name="Normal 5 17 23" xfId="36440" xr:uid="{00000000-0005-0000-0000-00004A8E0000}"/>
    <cellStyle name="Normal 5 17 23 10" xfId="36441" xr:uid="{00000000-0005-0000-0000-00004B8E0000}"/>
    <cellStyle name="Normal 5 17 23 11" xfId="36442" xr:uid="{00000000-0005-0000-0000-00004C8E0000}"/>
    <cellStyle name="Normal 5 17 23 12" xfId="36443" xr:uid="{00000000-0005-0000-0000-00004D8E0000}"/>
    <cellStyle name="Normal 5 17 23 13" xfId="36444" xr:uid="{00000000-0005-0000-0000-00004E8E0000}"/>
    <cellStyle name="Normal 5 17 23 14" xfId="36445" xr:uid="{00000000-0005-0000-0000-00004F8E0000}"/>
    <cellStyle name="Normal 5 17 23 2" xfId="36446" xr:uid="{00000000-0005-0000-0000-0000508E0000}"/>
    <cellStyle name="Normal 5 17 23 2 10" xfId="36447" xr:uid="{00000000-0005-0000-0000-0000518E0000}"/>
    <cellStyle name="Normal 5 17 23 2 2" xfId="36448" xr:uid="{00000000-0005-0000-0000-0000528E0000}"/>
    <cellStyle name="Normal 5 17 23 2 3" xfId="36449" xr:uid="{00000000-0005-0000-0000-0000538E0000}"/>
    <cellStyle name="Normal 5 17 23 2 4" xfId="36450" xr:uid="{00000000-0005-0000-0000-0000548E0000}"/>
    <cellStyle name="Normal 5 17 23 2 5" xfId="36451" xr:uid="{00000000-0005-0000-0000-0000558E0000}"/>
    <cellStyle name="Normal 5 17 23 2 6" xfId="36452" xr:uid="{00000000-0005-0000-0000-0000568E0000}"/>
    <cellStyle name="Normal 5 17 23 2 7" xfId="36453" xr:uid="{00000000-0005-0000-0000-0000578E0000}"/>
    <cellStyle name="Normal 5 17 23 2 8" xfId="36454" xr:uid="{00000000-0005-0000-0000-0000588E0000}"/>
    <cellStyle name="Normal 5 17 23 2 9" xfId="36455" xr:uid="{00000000-0005-0000-0000-0000598E0000}"/>
    <cellStyle name="Normal 5 17 23 3" xfId="36456" xr:uid="{00000000-0005-0000-0000-00005A8E0000}"/>
    <cellStyle name="Normal 5 17 23 3 10" xfId="36457" xr:uid="{00000000-0005-0000-0000-00005B8E0000}"/>
    <cellStyle name="Normal 5 17 23 3 2" xfId="36458" xr:uid="{00000000-0005-0000-0000-00005C8E0000}"/>
    <cellStyle name="Normal 5 17 23 3 3" xfId="36459" xr:uid="{00000000-0005-0000-0000-00005D8E0000}"/>
    <cellStyle name="Normal 5 17 23 3 4" xfId="36460" xr:uid="{00000000-0005-0000-0000-00005E8E0000}"/>
    <cellStyle name="Normal 5 17 23 3 5" xfId="36461" xr:uid="{00000000-0005-0000-0000-00005F8E0000}"/>
    <cellStyle name="Normal 5 17 23 3 6" xfId="36462" xr:uid="{00000000-0005-0000-0000-0000608E0000}"/>
    <cellStyle name="Normal 5 17 23 3 7" xfId="36463" xr:uid="{00000000-0005-0000-0000-0000618E0000}"/>
    <cellStyle name="Normal 5 17 23 3 8" xfId="36464" xr:uid="{00000000-0005-0000-0000-0000628E0000}"/>
    <cellStyle name="Normal 5 17 23 3 9" xfId="36465" xr:uid="{00000000-0005-0000-0000-0000638E0000}"/>
    <cellStyle name="Normal 5 17 23 4" xfId="36466" xr:uid="{00000000-0005-0000-0000-0000648E0000}"/>
    <cellStyle name="Normal 5 17 23 4 10" xfId="36467" xr:uid="{00000000-0005-0000-0000-0000658E0000}"/>
    <cellStyle name="Normal 5 17 23 4 2" xfId="36468" xr:uid="{00000000-0005-0000-0000-0000668E0000}"/>
    <cellStyle name="Normal 5 17 23 4 3" xfId="36469" xr:uid="{00000000-0005-0000-0000-0000678E0000}"/>
    <cellStyle name="Normal 5 17 23 4 4" xfId="36470" xr:uid="{00000000-0005-0000-0000-0000688E0000}"/>
    <cellStyle name="Normal 5 17 23 4 5" xfId="36471" xr:uid="{00000000-0005-0000-0000-0000698E0000}"/>
    <cellStyle name="Normal 5 17 23 4 6" xfId="36472" xr:uid="{00000000-0005-0000-0000-00006A8E0000}"/>
    <cellStyle name="Normal 5 17 23 4 7" xfId="36473" xr:uid="{00000000-0005-0000-0000-00006B8E0000}"/>
    <cellStyle name="Normal 5 17 23 4 8" xfId="36474" xr:uid="{00000000-0005-0000-0000-00006C8E0000}"/>
    <cellStyle name="Normal 5 17 23 4 9" xfId="36475" xr:uid="{00000000-0005-0000-0000-00006D8E0000}"/>
    <cellStyle name="Normal 5 17 23 5" xfId="36476" xr:uid="{00000000-0005-0000-0000-00006E8E0000}"/>
    <cellStyle name="Normal 5 17 23 5 10" xfId="36477" xr:uid="{00000000-0005-0000-0000-00006F8E0000}"/>
    <cellStyle name="Normal 5 17 23 5 2" xfId="36478" xr:uid="{00000000-0005-0000-0000-0000708E0000}"/>
    <cellStyle name="Normal 5 17 23 5 3" xfId="36479" xr:uid="{00000000-0005-0000-0000-0000718E0000}"/>
    <cellStyle name="Normal 5 17 23 5 4" xfId="36480" xr:uid="{00000000-0005-0000-0000-0000728E0000}"/>
    <cellStyle name="Normal 5 17 23 5 5" xfId="36481" xr:uid="{00000000-0005-0000-0000-0000738E0000}"/>
    <cellStyle name="Normal 5 17 23 5 6" xfId="36482" xr:uid="{00000000-0005-0000-0000-0000748E0000}"/>
    <cellStyle name="Normal 5 17 23 5 7" xfId="36483" xr:uid="{00000000-0005-0000-0000-0000758E0000}"/>
    <cellStyle name="Normal 5 17 23 5 8" xfId="36484" xr:uid="{00000000-0005-0000-0000-0000768E0000}"/>
    <cellStyle name="Normal 5 17 23 5 9" xfId="36485" xr:uid="{00000000-0005-0000-0000-0000778E0000}"/>
    <cellStyle name="Normal 5 17 23 6" xfId="36486" xr:uid="{00000000-0005-0000-0000-0000788E0000}"/>
    <cellStyle name="Normal 5 17 23 7" xfId="36487" xr:uid="{00000000-0005-0000-0000-0000798E0000}"/>
    <cellStyle name="Normal 5 17 23 8" xfId="36488" xr:uid="{00000000-0005-0000-0000-00007A8E0000}"/>
    <cellStyle name="Normal 5 17 23 9" xfId="36489" xr:uid="{00000000-0005-0000-0000-00007B8E0000}"/>
    <cellStyle name="Normal 5 17 24" xfId="36490" xr:uid="{00000000-0005-0000-0000-00007C8E0000}"/>
    <cellStyle name="Normal 5 17 24 10" xfId="36491" xr:uid="{00000000-0005-0000-0000-00007D8E0000}"/>
    <cellStyle name="Normal 5 17 24 11" xfId="36492" xr:uid="{00000000-0005-0000-0000-00007E8E0000}"/>
    <cellStyle name="Normal 5 17 24 12" xfId="36493" xr:uid="{00000000-0005-0000-0000-00007F8E0000}"/>
    <cellStyle name="Normal 5 17 24 13" xfId="36494" xr:uid="{00000000-0005-0000-0000-0000808E0000}"/>
    <cellStyle name="Normal 5 17 24 14" xfId="36495" xr:uid="{00000000-0005-0000-0000-0000818E0000}"/>
    <cellStyle name="Normal 5 17 24 2" xfId="36496" xr:uid="{00000000-0005-0000-0000-0000828E0000}"/>
    <cellStyle name="Normal 5 17 24 2 10" xfId="36497" xr:uid="{00000000-0005-0000-0000-0000838E0000}"/>
    <cellStyle name="Normal 5 17 24 2 2" xfId="36498" xr:uid="{00000000-0005-0000-0000-0000848E0000}"/>
    <cellStyle name="Normal 5 17 24 2 3" xfId="36499" xr:uid="{00000000-0005-0000-0000-0000858E0000}"/>
    <cellStyle name="Normal 5 17 24 2 4" xfId="36500" xr:uid="{00000000-0005-0000-0000-0000868E0000}"/>
    <cellStyle name="Normal 5 17 24 2 5" xfId="36501" xr:uid="{00000000-0005-0000-0000-0000878E0000}"/>
    <cellStyle name="Normal 5 17 24 2 6" xfId="36502" xr:uid="{00000000-0005-0000-0000-0000888E0000}"/>
    <cellStyle name="Normal 5 17 24 2 7" xfId="36503" xr:uid="{00000000-0005-0000-0000-0000898E0000}"/>
    <cellStyle name="Normal 5 17 24 2 8" xfId="36504" xr:uid="{00000000-0005-0000-0000-00008A8E0000}"/>
    <cellStyle name="Normal 5 17 24 2 9" xfId="36505" xr:uid="{00000000-0005-0000-0000-00008B8E0000}"/>
    <cellStyle name="Normal 5 17 24 3" xfId="36506" xr:uid="{00000000-0005-0000-0000-00008C8E0000}"/>
    <cellStyle name="Normal 5 17 24 3 10" xfId="36507" xr:uid="{00000000-0005-0000-0000-00008D8E0000}"/>
    <cellStyle name="Normal 5 17 24 3 2" xfId="36508" xr:uid="{00000000-0005-0000-0000-00008E8E0000}"/>
    <cellStyle name="Normal 5 17 24 3 3" xfId="36509" xr:uid="{00000000-0005-0000-0000-00008F8E0000}"/>
    <cellStyle name="Normal 5 17 24 3 4" xfId="36510" xr:uid="{00000000-0005-0000-0000-0000908E0000}"/>
    <cellStyle name="Normal 5 17 24 3 5" xfId="36511" xr:uid="{00000000-0005-0000-0000-0000918E0000}"/>
    <cellStyle name="Normal 5 17 24 3 6" xfId="36512" xr:uid="{00000000-0005-0000-0000-0000928E0000}"/>
    <cellStyle name="Normal 5 17 24 3 7" xfId="36513" xr:uid="{00000000-0005-0000-0000-0000938E0000}"/>
    <cellStyle name="Normal 5 17 24 3 8" xfId="36514" xr:uid="{00000000-0005-0000-0000-0000948E0000}"/>
    <cellStyle name="Normal 5 17 24 3 9" xfId="36515" xr:uid="{00000000-0005-0000-0000-0000958E0000}"/>
    <cellStyle name="Normal 5 17 24 4" xfId="36516" xr:uid="{00000000-0005-0000-0000-0000968E0000}"/>
    <cellStyle name="Normal 5 17 24 4 10" xfId="36517" xr:uid="{00000000-0005-0000-0000-0000978E0000}"/>
    <cellStyle name="Normal 5 17 24 4 2" xfId="36518" xr:uid="{00000000-0005-0000-0000-0000988E0000}"/>
    <cellStyle name="Normal 5 17 24 4 3" xfId="36519" xr:uid="{00000000-0005-0000-0000-0000998E0000}"/>
    <cellStyle name="Normal 5 17 24 4 4" xfId="36520" xr:uid="{00000000-0005-0000-0000-00009A8E0000}"/>
    <cellStyle name="Normal 5 17 24 4 5" xfId="36521" xr:uid="{00000000-0005-0000-0000-00009B8E0000}"/>
    <cellStyle name="Normal 5 17 24 4 6" xfId="36522" xr:uid="{00000000-0005-0000-0000-00009C8E0000}"/>
    <cellStyle name="Normal 5 17 24 4 7" xfId="36523" xr:uid="{00000000-0005-0000-0000-00009D8E0000}"/>
    <cellStyle name="Normal 5 17 24 4 8" xfId="36524" xr:uid="{00000000-0005-0000-0000-00009E8E0000}"/>
    <cellStyle name="Normal 5 17 24 4 9" xfId="36525" xr:uid="{00000000-0005-0000-0000-00009F8E0000}"/>
    <cellStyle name="Normal 5 17 24 5" xfId="36526" xr:uid="{00000000-0005-0000-0000-0000A08E0000}"/>
    <cellStyle name="Normal 5 17 24 5 10" xfId="36527" xr:uid="{00000000-0005-0000-0000-0000A18E0000}"/>
    <cellStyle name="Normal 5 17 24 5 2" xfId="36528" xr:uid="{00000000-0005-0000-0000-0000A28E0000}"/>
    <cellStyle name="Normal 5 17 24 5 3" xfId="36529" xr:uid="{00000000-0005-0000-0000-0000A38E0000}"/>
    <cellStyle name="Normal 5 17 24 5 4" xfId="36530" xr:uid="{00000000-0005-0000-0000-0000A48E0000}"/>
    <cellStyle name="Normal 5 17 24 5 5" xfId="36531" xr:uid="{00000000-0005-0000-0000-0000A58E0000}"/>
    <cellStyle name="Normal 5 17 24 5 6" xfId="36532" xr:uid="{00000000-0005-0000-0000-0000A68E0000}"/>
    <cellStyle name="Normal 5 17 24 5 7" xfId="36533" xr:uid="{00000000-0005-0000-0000-0000A78E0000}"/>
    <cellStyle name="Normal 5 17 24 5 8" xfId="36534" xr:uid="{00000000-0005-0000-0000-0000A88E0000}"/>
    <cellStyle name="Normal 5 17 24 5 9" xfId="36535" xr:uid="{00000000-0005-0000-0000-0000A98E0000}"/>
    <cellStyle name="Normal 5 17 24 6" xfId="36536" xr:uid="{00000000-0005-0000-0000-0000AA8E0000}"/>
    <cellStyle name="Normal 5 17 24 7" xfId="36537" xr:uid="{00000000-0005-0000-0000-0000AB8E0000}"/>
    <cellStyle name="Normal 5 17 24 8" xfId="36538" xr:uid="{00000000-0005-0000-0000-0000AC8E0000}"/>
    <cellStyle name="Normal 5 17 24 9" xfId="36539" xr:uid="{00000000-0005-0000-0000-0000AD8E0000}"/>
    <cellStyle name="Normal 5 17 25" xfId="36540" xr:uid="{00000000-0005-0000-0000-0000AE8E0000}"/>
    <cellStyle name="Normal 5 17 25 10" xfId="36541" xr:uid="{00000000-0005-0000-0000-0000AF8E0000}"/>
    <cellStyle name="Normal 5 17 25 11" xfId="36542" xr:uid="{00000000-0005-0000-0000-0000B08E0000}"/>
    <cellStyle name="Normal 5 17 25 12" xfId="36543" xr:uid="{00000000-0005-0000-0000-0000B18E0000}"/>
    <cellStyle name="Normal 5 17 25 13" xfId="36544" xr:uid="{00000000-0005-0000-0000-0000B28E0000}"/>
    <cellStyle name="Normal 5 17 25 14" xfId="36545" xr:uid="{00000000-0005-0000-0000-0000B38E0000}"/>
    <cellStyle name="Normal 5 17 25 2" xfId="36546" xr:uid="{00000000-0005-0000-0000-0000B48E0000}"/>
    <cellStyle name="Normal 5 17 25 2 10" xfId="36547" xr:uid="{00000000-0005-0000-0000-0000B58E0000}"/>
    <cellStyle name="Normal 5 17 25 2 2" xfId="36548" xr:uid="{00000000-0005-0000-0000-0000B68E0000}"/>
    <cellStyle name="Normal 5 17 25 2 3" xfId="36549" xr:uid="{00000000-0005-0000-0000-0000B78E0000}"/>
    <cellStyle name="Normal 5 17 25 2 4" xfId="36550" xr:uid="{00000000-0005-0000-0000-0000B88E0000}"/>
    <cellStyle name="Normal 5 17 25 2 5" xfId="36551" xr:uid="{00000000-0005-0000-0000-0000B98E0000}"/>
    <cellStyle name="Normal 5 17 25 2 6" xfId="36552" xr:uid="{00000000-0005-0000-0000-0000BA8E0000}"/>
    <cellStyle name="Normal 5 17 25 2 7" xfId="36553" xr:uid="{00000000-0005-0000-0000-0000BB8E0000}"/>
    <cellStyle name="Normal 5 17 25 2 8" xfId="36554" xr:uid="{00000000-0005-0000-0000-0000BC8E0000}"/>
    <cellStyle name="Normal 5 17 25 2 9" xfId="36555" xr:uid="{00000000-0005-0000-0000-0000BD8E0000}"/>
    <cellStyle name="Normal 5 17 25 3" xfId="36556" xr:uid="{00000000-0005-0000-0000-0000BE8E0000}"/>
    <cellStyle name="Normal 5 17 25 3 10" xfId="36557" xr:uid="{00000000-0005-0000-0000-0000BF8E0000}"/>
    <cellStyle name="Normal 5 17 25 3 2" xfId="36558" xr:uid="{00000000-0005-0000-0000-0000C08E0000}"/>
    <cellStyle name="Normal 5 17 25 3 3" xfId="36559" xr:uid="{00000000-0005-0000-0000-0000C18E0000}"/>
    <cellStyle name="Normal 5 17 25 3 4" xfId="36560" xr:uid="{00000000-0005-0000-0000-0000C28E0000}"/>
    <cellStyle name="Normal 5 17 25 3 5" xfId="36561" xr:uid="{00000000-0005-0000-0000-0000C38E0000}"/>
    <cellStyle name="Normal 5 17 25 3 6" xfId="36562" xr:uid="{00000000-0005-0000-0000-0000C48E0000}"/>
    <cellStyle name="Normal 5 17 25 3 7" xfId="36563" xr:uid="{00000000-0005-0000-0000-0000C58E0000}"/>
    <cellStyle name="Normal 5 17 25 3 8" xfId="36564" xr:uid="{00000000-0005-0000-0000-0000C68E0000}"/>
    <cellStyle name="Normal 5 17 25 3 9" xfId="36565" xr:uid="{00000000-0005-0000-0000-0000C78E0000}"/>
    <cellStyle name="Normal 5 17 25 4" xfId="36566" xr:uid="{00000000-0005-0000-0000-0000C88E0000}"/>
    <cellStyle name="Normal 5 17 25 4 10" xfId="36567" xr:uid="{00000000-0005-0000-0000-0000C98E0000}"/>
    <cellStyle name="Normal 5 17 25 4 2" xfId="36568" xr:uid="{00000000-0005-0000-0000-0000CA8E0000}"/>
    <cellStyle name="Normal 5 17 25 4 3" xfId="36569" xr:uid="{00000000-0005-0000-0000-0000CB8E0000}"/>
    <cellStyle name="Normal 5 17 25 4 4" xfId="36570" xr:uid="{00000000-0005-0000-0000-0000CC8E0000}"/>
    <cellStyle name="Normal 5 17 25 4 5" xfId="36571" xr:uid="{00000000-0005-0000-0000-0000CD8E0000}"/>
    <cellStyle name="Normal 5 17 25 4 6" xfId="36572" xr:uid="{00000000-0005-0000-0000-0000CE8E0000}"/>
    <cellStyle name="Normal 5 17 25 4 7" xfId="36573" xr:uid="{00000000-0005-0000-0000-0000CF8E0000}"/>
    <cellStyle name="Normal 5 17 25 4 8" xfId="36574" xr:uid="{00000000-0005-0000-0000-0000D08E0000}"/>
    <cellStyle name="Normal 5 17 25 4 9" xfId="36575" xr:uid="{00000000-0005-0000-0000-0000D18E0000}"/>
    <cellStyle name="Normal 5 17 25 5" xfId="36576" xr:uid="{00000000-0005-0000-0000-0000D28E0000}"/>
    <cellStyle name="Normal 5 17 25 5 10" xfId="36577" xr:uid="{00000000-0005-0000-0000-0000D38E0000}"/>
    <cellStyle name="Normal 5 17 25 5 2" xfId="36578" xr:uid="{00000000-0005-0000-0000-0000D48E0000}"/>
    <cellStyle name="Normal 5 17 25 5 3" xfId="36579" xr:uid="{00000000-0005-0000-0000-0000D58E0000}"/>
    <cellStyle name="Normal 5 17 25 5 4" xfId="36580" xr:uid="{00000000-0005-0000-0000-0000D68E0000}"/>
    <cellStyle name="Normal 5 17 25 5 5" xfId="36581" xr:uid="{00000000-0005-0000-0000-0000D78E0000}"/>
    <cellStyle name="Normal 5 17 25 5 6" xfId="36582" xr:uid="{00000000-0005-0000-0000-0000D88E0000}"/>
    <cellStyle name="Normal 5 17 25 5 7" xfId="36583" xr:uid="{00000000-0005-0000-0000-0000D98E0000}"/>
    <cellStyle name="Normal 5 17 25 5 8" xfId="36584" xr:uid="{00000000-0005-0000-0000-0000DA8E0000}"/>
    <cellStyle name="Normal 5 17 25 5 9" xfId="36585" xr:uid="{00000000-0005-0000-0000-0000DB8E0000}"/>
    <cellStyle name="Normal 5 17 25 6" xfId="36586" xr:uid="{00000000-0005-0000-0000-0000DC8E0000}"/>
    <cellStyle name="Normal 5 17 25 7" xfId="36587" xr:uid="{00000000-0005-0000-0000-0000DD8E0000}"/>
    <cellStyle name="Normal 5 17 25 8" xfId="36588" xr:uid="{00000000-0005-0000-0000-0000DE8E0000}"/>
    <cellStyle name="Normal 5 17 25 9" xfId="36589" xr:uid="{00000000-0005-0000-0000-0000DF8E0000}"/>
    <cellStyle name="Normal 5 17 26" xfId="36590" xr:uid="{00000000-0005-0000-0000-0000E08E0000}"/>
    <cellStyle name="Normal 5 17 26 10" xfId="36591" xr:uid="{00000000-0005-0000-0000-0000E18E0000}"/>
    <cellStyle name="Normal 5 17 26 11" xfId="36592" xr:uid="{00000000-0005-0000-0000-0000E28E0000}"/>
    <cellStyle name="Normal 5 17 26 12" xfId="36593" xr:uid="{00000000-0005-0000-0000-0000E38E0000}"/>
    <cellStyle name="Normal 5 17 26 13" xfId="36594" xr:uid="{00000000-0005-0000-0000-0000E48E0000}"/>
    <cellStyle name="Normal 5 17 26 14" xfId="36595" xr:uid="{00000000-0005-0000-0000-0000E58E0000}"/>
    <cellStyle name="Normal 5 17 26 2" xfId="36596" xr:uid="{00000000-0005-0000-0000-0000E68E0000}"/>
    <cellStyle name="Normal 5 17 26 2 10" xfId="36597" xr:uid="{00000000-0005-0000-0000-0000E78E0000}"/>
    <cellStyle name="Normal 5 17 26 2 2" xfId="36598" xr:uid="{00000000-0005-0000-0000-0000E88E0000}"/>
    <cellStyle name="Normal 5 17 26 2 3" xfId="36599" xr:uid="{00000000-0005-0000-0000-0000E98E0000}"/>
    <cellStyle name="Normal 5 17 26 2 4" xfId="36600" xr:uid="{00000000-0005-0000-0000-0000EA8E0000}"/>
    <cellStyle name="Normal 5 17 26 2 5" xfId="36601" xr:uid="{00000000-0005-0000-0000-0000EB8E0000}"/>
    <cellStyle name="Normal 5 17 26 2 6" xfId="36602" xr:uid="{00000000-0005-0000-0000-0000EC8E0000}"/>
    <cellStyle name="Normal 5 17 26 2 7" xfId="36603" xr:uid="{00000000-0005-0000-0000-0000ED8E0000}"/>
    <cellStyle name="Normal 5 17 26 2 8" xfId="36604" xr:uid="{00000000-0005-0000-0000-0000EE8E0000}"/>
    <cellStyle name="Normal 5 17 26 2 9" xfId="36605" xr:uid="{00000000-0005-0000-0000-0000EF8E0000}"/>
    <cellStyle name="Normal 5 17 26 3" xfId="36606" xr:uid="{00000000-0005-0000-0000-0000F08E0000}"/>
    <cellStyle name="Normal 5 17 26 3 10" xfId="36607" xr:uid="{00000000-0005-0000-0000-0000F18E0000}"/>
    <cellStyle name="Normal 5 17 26 3 2" xfId="36608" xr:uid="{00000000-0005-0000-0000-0000F28E0000}"/>
    <cellStyle name="Normal 5 17 26 3 3" xfId="36609" xr:uid="{00000000-0005-0000-0000-0000F38E0000}"/>
    <cellStyle name="Normal 5 17 26 3 4" xfId="36610" xr:uid="{00000000-0005-0000-0000-0000F48E0000}"/>
    <cellStyle name="Normal 5 17 26 3 5" xfId="36611" xr:uid="{00000000-0005-0000-0000-0000F58E0000}"/>
    <cellStyle name="Normal 5 17 26 3 6" xfId="36612" xr:uid="{00000000-0005-0000-0000-0000F68E0000}"/>
    <cellStyle name="Normal 5 17 26 3 7" xfId="36613" xr:uid="{00000000-0005-0000-0000-0000F78E0000}"/>
    <cellStyle name="Normal 5 17 26 3 8" xfId="36614" xr:uid="{00000000-0005-0000-0000-0000F88E0000}"/>
    <cellStyle name="Normal 5 17 26 3 9" xfId="36615" xr:uid="{00000000-0005-0000-0000-0000F98E0000}"/>
    <cellStyle name="Normal 5 17 26 4" xfId="36616" xr:uid="{00000000-0005-0000-0000-0000FA8E0000}"/>
    <cellStyle name="Normal 5 17 26 4 10" xfId="36617" xr:uid="{00000000-0005-0000-0000-0000FB8E0000}"/>
    <cellStyle name="Normal 5 17 26 4 2" xfId="36618" xr:uid="{00000000-0005-0000-0000-0000FC8E0000}"/>
    <cellStyle name="Normal 5 17 26 4 3" xfId="36619" xr:uid="{00000000-0005-0000-0000-0000FD8E0000}"/>
    <cellStyle name="Normal 5 17 26 4 4" xfId="36620" xr:uid="{00000000-0005-0000-0000-0000FE8E0000}"/>
    <cellStyle name="Normal 5 17 26 4 5" xfId="36621" xr:uid="{00000000-0005-0000-0000-0000FF8E0000}"/>
    <cellStyle name="Normal 5 17 26 4 6" xfId="36622" xr:uid="{00000000-0005-0000-0000-0000008F0000}"/>
    <cellStyle name="Normal 5 17 26 4 7" xfId="36623" xr:uid="{00000000-0005-0000-0000-0000018F0000}"/>
    <cellStyle name="Normal 5 17 26 4 8" xfId="36624" xr:uid="{00000000-0005-0000-0000-0000028F0000}"/>
    <cellStyle name="Normal 5 17 26 4 9" xfId="36625" xr:uid="{00000000-0005-0000-0000-0000038F0000}"/>
    <cellStyle name="Normal 5 17 26 5" xfId="36626" xr:uid="{00000000-0005-0000-0000-0000048F0000}"/>
    <cellStyle name="Normal 5 17 26 5 10" xfId="36627" xr:uid="{00000000-0005-0000-0000-0000058F0000}"/>
    <cellStyle name="Normal 5 17 26 5 2" xfId="36628" xr:uid="{00000000-0005-0000-0000-0000068F0000}"/>
    <cellStyle name="Normal 5 17 26 5 3" xfId="36629" xr:uid="{00000000-0005-0000-0000-0000078F0000}"/>
    <cellStyle name="Normal 5 17 26 5 4" xfId="36630" xr:uid="{00000000-0005-0000-0000-0000088F0000}"/>
    <cellStyle name="Normal 5 17 26 5 5" xfId="36631" xr:uid="{00000000-0005-0000-0000-0000098F0000}"/>
    <cellStyle name="Normal 5 17 26 5 6" xfId="36632" xr:uid="{00000000-0005-0000-0000-00000A8F0000}"/>
    <cellStyle name="Normal 5 17 26 5 7" xfId="36633" xr:uid="{00000000-0005-0000-0000-00000B8F0000}"/>
    <cellStyle name="Normal 5 17 26 5 8" xfId="36634" xr:uid="{00000000-0005-0000-0000-00000C8F0000}"/>
    <cellStyle name="Normal 5 17 26 5 9" xfId="36635" xr:uid="{00000000-0005-0000-0000-00000D8F0000}"/>
    <cellStyle name="Normal 5 17 26 6" xfId="36636" xr:uid="{00000000-0005-0000-0000-00000E8F0000}"/>
    <cellStyle name="Normal 5 17 26 7" xfId="36637" xr:uid="{00000000-0005-0000-0000-00000F8F0000}"/>
    <cellStyle name="Normal 5 17 26 8" xfId="36638" xr:uid="{00000000-0005-0000-0000-0000108F0000}"/>
    <cellStyle name="Normal 5 17 26 9" xfId="36639" xr:uid="{00000000-0005-0000-0000-0000118F0000}"/>
    <cellStyle name="Normal 5 17 27" xfId="36640" xr:uid="{00000000-0005-0000-0000-0000128F0000}"/>
    <cellStyle name="Normal 5 17 27 10" xfId="36641" xr:uid="{00000000-0005-0000-0000-0000138F0000}"/>
    <cellStyle name="Normal 5 17 27 11" xfId="36642" xr:uid="{00000000-0005-0000-0000-0000148F0000}"/>
    <cellStyle name="Normal 5 17 27 12" xfId="36643" xr:uid="{00000000-0005-0000-0000-0000158F0000}"/>
    <cellStyle name="Normal 5 17 27 13" xfId="36644" xr:uid="{00000000-0005-0000-0000-0000168F0000}"/>
    <cellStyle name="Normal 5 17 27 14" xfId="36645" xr:uid="{00000000-0005-0000-0000-0000178F0000}"/>
    <cellStyle name="Normal 5 17 27 2" xfId="36646" xr:uid="{00000000-0005-0000-0000-0000188F0000}"/>
    <cellStyle name="Normal 5 17 27 2 10" xfId="36647" xr:uid="{00000000-0005-0000-0000-0000198F0000}"/>
    <cellStyle name="Normal 5 17 27 2 2" xfId="36648" xr:uid="{00000000-0005-0000-0000-00001A8F0000}"/>
    <cellStyle name="Normal 5 17 27 2 3" xfId="36649" xr:uid="{00000000-0005-0000-0000-00001B8F0000}"/>
    <cellStyle name="Normal 5 17 27 2 4" xfId="36650" xr:uid="{00000000-0005-0000-0000-00001C8F0000}"/>
    <cellStyle name="Normal 5 17 27 2 5" xfId="36651" xr:uid="{00000000-0005-0000-0000-00001D8F0000}"/>
    <cellStyle name="Normal 5 17 27 2 6" xfId="36652" xr:uid="{00000000-0005-0000-0000-00001E8F0000}"/>
    <cellStyle name="Normal 5 17 27 2 7" xfId="36653" xr:uid="{00000000-0005-0000-0000-00001F8F0000}"/>
    <cellStyle name="Normal 5 17 27 2 8" xfId="36654" xr:uid="{00000000-0005-0000-0000-0000208F0000}"/>
    <cellStyle name="Normal 5 17 27 2 9" xfId="36655" xr:uid="{00000000-0005-0000-0000-0000218F0000}"/>
    <cellStyle name="Normal 5 17 27 3" xfId="36656" xr:uid="{00000000-0005-0000-0000-0000228F0000}"/>
    <cellStyle name="Normal 5 17 27 3 10" xfId="36657" xr:uid="{00000000-0005-0000-0000-0000238F0000}"/>
    <cellStyle name="Normal 5 17 27 3 2" xfId="36658" xr:uid="{00000000-0005-0000-0000-0000248F0000}"/>
    <cellStyle name="Normal 5 17 27 3 3" xfId="36659" xr:uid="{00000000-0005-0000-0000-0000258F0000}"/>
    <cellStyle name="Normal 5 17 27 3 4" xfId="36660" xr:uid="{00000000-0005-0000-0000-0000268F0000}"/>
    <cellStyle name="Normal 5 17 27 3 5" xfId="36661" xr:uid="{00000000-0005-0000-0000-0000278F0000}"/>
    <cellStyle name="Normal 5 17 27 3 6" xfId="36662" xr:uid="{00000000-0005-0000-0000-0000288F0000}"/>
    <cellStyle name="Normal 5 17 27 3 7" xfId="36663" xr:uid="{00000000-0005-0000-0000-0000298F0000}"/>
    <cellStyle name="Normal 5 17 27 3 8" xfId="36664" xr:uid="{00000000-0005-0000-0000-00002A8F0000}"/>
    <cellStyle name="Normal 5 17 27 3 9" xfId="36665" xr:uid="{00000000-0005-0000-0000-00002B8F0000}"/>
    <cellStyle name="Normal 5 17 27 4" xfId="36666" xr:uid="{00000000-0005-0000-0000-00002C8F0000}"/>
    <cellStyle name="Normal 5 17 27 4 10" xfId="36667" xr:uid="{00000000-0005-0000-0000-00002D8F0000}"/>
    <cellStyle name="Normal 5 17 27 4 2" xfId="36668" xr:uid="{00000000-0005-0000-0000-00002E8F0000}"/>
    <cellStyle name="Normal 5 17 27 4 3" xfId="36669" xr:uid="{00000000-0005-0000-0000-00002F8F0000}"/>
    <cellStyle name="Normal 5 17 27 4 4" xfId="36670" xr:uid="{00000000-0005-0000-0000-0000308F0000}"/>
    <cellStyle name="Normal 5 17 27 4 5" xfId="36671" xr:uid="{00000000-0005-0000-0000-0000318F0000}"/>
    <cellStyle name="Normal 5 17 27 4 6" xfId="36672" xr:uid="{00000000-0005-0000-0000-0000328F0000}"/>
    <cellStyle name="Normal 5 17 27 4 7" xfId="36673" xr:uid="{00000000-0005-0000-0000-0000338F0000}"/>
    <cellStyle name="Normal 5 17 27 4 8" xfId="36674" xr:uid="{00000000-0005-0000-0000-0000348F0000}"/>
    <cellStyle name="Normal 5 17 27 4 9" xfId="36675" xr:uid="{00000000-0005-0000-0000-0000358F0000}"/>
    <cellStyle name="Normal 5 17 27 5" xfId="36676" xr:uid="{00000000-0005-0000-0000-0000368F0000}"/>
    <cellStyle name="Normal 5 17 27 5 10" xfId="36677" xr:uid="{00000000-0005-0000-0000-0000378F0000}"/>
    <cellStyle name="Normal 5 17 27 5 2" xfId="36678" xr:uid="{00000000-0005-0000-0000-0000388F0000}"/>
    <cellStyle name="Normal 5 17 27 5 3" xfId="36679" xr:uid="{00000000-0005-0000-0000-0000398F0000}"/>
    <cellStyle name="Normal 5 17 27 5 4" xfId="36680" xr:uid="{00000000-0005-0000-0000-00003A8F0000}"/>
    <cellStyle name="Normal 5 17 27 5 5" xfId="36681" xr:uid="{00000000-0005-0000-0000-00003B8F0000}"/>
    <cellStyle name="Normal 5 17 27 5 6" xfId="36682" xr:uid="{00000000-0005-0000-0000-00003C8F0000}"/>
    <cellStyle name="Normal 5 17 27 5 7" xfId="36683" xr:uid="{00000000-0005-0000-0000-00003D8F0000}"/>
    <cellStyle name="Normal 5 17 27 5 8" xfId="36684" xr:uid="{00000000-0005-0000-0000-00003E8F0000}"/>
    <cellStyle name="Normal 5 17 27 5 9" xfId="36685" xr:uid="{00000000-0005-0000-0000-00003F8F0000}"/>
    <cellStyle name="Normal 5 17 27 6" xfId="36686" xr:uid="{00000000-0005-0000-0000-0000408F0000}"/>
    <cellStyle name="Normal 5 17 27 7" xfId="36687" xr:uid="{00000000-0005-0000-0000-0000418F0000}"/>
    <cellStyle name="Normal 5 17 27 8" xfId="36688" xr:uid="{00000000-0005-0000-0000-0000428F0000}"/>
    <cellStyle name="Normal 5 17 27 9" xfId="36689" xr:uid="{00000000-0005-0000-0000-0000438F0000}"/>
    <cellStyle name="Normal 5 17 28" xfId="36690" xr:uid="{00000000-0005-0000-0000-0000448F0000}"/>
    <cellStyle name="Normal 5 17 28 10" xfId="36691" xr:uid="{00000000-0005-0000-0000-0000458F0000}"/>
    <cellStyle name="Normal 5 17 28 11" xfId="36692" xr:uid="{00000000-0005-0000-0000-0000468F0000}"/>
    <cellStyle name="Normal 5 17 28 12" xfId="36693" xr:uid="{00000000-0005-0000-0000-0000478F0000}"/>
    <cellStyle name="Normal 5 17 28 13" xfId="36694" xr:uid="{00000000-0005-0000-0000-0000488F0000}"/>
    <cellStyle name="Normal 5 17 28 14" xfId="36695" xr:uid="{00000000-0005-0000-0000-0000498F0000}"/>
    <cellStyle name="Normal 5 17 28 2" xfId="36696" xr:uid="{00000000-0005-0000-0000-00004A8F0000}"/>
    <cellStyle name="Normal 5 17 28 2 10" xfId="36697" xr:uid="{00000000-0005-0000-0000-00004B8F0000}"/>
    <cellStyle name="Normal 5 17 28 2 2" xfId="36698" xr:uid="{00000000-0005-0000-0000-00004C8F0000}"/>
    <cellStyle name="Normal 5 17 28 2 3" xfId="36699" xr:uid="{00000000-0005-0000-0000-00004D8F0000}"/>
    <cellStyle name="Normal 5 17 28 2 4" xfId="36700" xr:uid="{00000000-0005-0000-0000-00004E8F0000}"/>
    <cellStyle name="Normal 5 17 28 2 5" xfId="36701" xr:uid="{00000000-0005-0000-0000-00004F8F0000}"/>
    <cellStyle name="Normal 5 17 28 2 6" xfId="36702" xr:uid="{00000000-0005-0000-0000-0000508F0000}"/>
    <cellStyle name="Normal 5 17 28 2 7" xfId="36703" xr:uid="{00000000-0005-0000-0000-0000518F0000}"/>
    <cellStyle name="Normal 5 17 28 2 8" xfId="36704" xr:uid="{00000000-0005-0000-0000-0000528F0000}"/>
    <cellStyle name="Normal 5 17 28 2 9" xfId="36705" xr:uid="{00000000-0005-0000-0000-0000538F0000}"/>
    <cellStyle name="Normal 5 17 28 3" xfId="36706" xr:uid="{00000000-0005-0000-0000-0000548F0000}"/>
    <cellStyle name="Normal 5 17 28 3 10" xfId="36707" xr:uid="{00000000-0005-0000-0000-0000558F0000}"/>
    <cellStyle name="Normal 5 17 28 3 2" xfId="36708" xr:uid="{00000000-0005-0000-0000-0000568F0000}"/>
    <cellStyle name="Normal 5 17 28 3 3" xfId="36709" xr:uid="{00000000-0005-0000-0000-0000578F0000}"/>
    <cellStyle name="Normal 5 17 28 3 4" xfId="36710" xr:uid="{00000000-0005-0000-0000-0000588F0000}"/>
    <cellStyle name="Normal 5 17 28 3 5" xfId="36711" xr:uid="{00000000-0005-0000-0000-0000598F0000}"/>
    <cellStyle name="Normal 5 17 28 3 6" xfId="36712" xr:uid="{00000000-0005-0000-0000-00005A8F0000}"/>
    <cellStyle name="Normal 5 17 28 3 7" xfId="36713" xr:uid="{00000000-0005-0000-0000-00005B8F0000}"/>
    <cellStyle name="Normal 5 17 28 3 8" xfId="36714" xr:uid="{00000000-0005-0000-0000-00005C8F0000}"/>
    <cellStyle name="Normal 5 17 28 3 9" xfId="36715" xr:uid="{00000000-0005-0000-0000-00005D8F0000}"/>
    <cellStyle name="Normal 5 17 28 4" xfId="36716" xr:uid="{00000000-0005-0000-0000-00005E8F0000}"/>
    <cellStyle name="Normal 5 17 28 4 10" xfId="36717" xr:uid="{00000000-0005-0000-0000-00005F8F0000}"/>
    <cellStyle name="Normal 5 17 28 4 2" xfId="36718" xr:uid="{00000000-0005-0000-0000-0000608F0000}"/>
    <cellStyle name="Normal 5 17 28 4 3" xfId="36719" xr:uid="{00000000-0005-0000-0000-0000618F0000}"/>
    <cellStyle name="Normal 5 17 28 4 4" xfId="36720" xr:uid="{00000000-0005-0000-0000-0000628F0000}"/>
    <cellStyle name="Normal 5 17 28 4 5" xfId="36721" xr:uid="{00000000-0005-0000-0000-0000638F0000}"/>
    <cellStyle name="Normal 5 17 28 4 6" xfId="36722" xr:uid="{00000000-0005-0000-0000-0000648F0000}"/>
    <cellStyle name="Normal 5 17 28 4 7" xfId="36723" xr:uid="{00000000-0005-0000-0000-0000658F0000}"/>
    <cellStyle name="Normal 5 17 28 4 8" xfId="36724" xr:uid="{00000000-0005-0000-0000-0000668F0000}"/>
    <cellStyle name="Normal 5 17 28 4 9" xfId="36725" xr:uid="{00000000-0005-0000-0000-0000678F0000}"/>
    <cellStyle name="Normal 5 17 28 5" xfId="36726" xr:uid="{00000000-0005-0000-0000-0000688F0000}"/>
    <cellStyle name="Normal 5 17 28 5 10" xfId="36727" xr:uid="{00000000-0005-0000-0000-0000698F0000}"/>
    <cellStyle name="Normal 5 17 28 5 2" xfId="36728" xr:uid="{00000000-0005-0000-0000-00006A8F0000}"/>
    <cellStyle name="Normal 5 17 28 5 3" xfId="36729" xr:uid="{00000000-0005-0000-0000-00006B8F0000}"/>
    <cellStyle name="Normal 5 17 28 5 4" xfId="36730" xr:uid="{00000000-0005-0000-0000-00006C8F0000}"/>
    <cellStyle name="Normal 5 17 28 5 5" xfId="36731" xr:uid="{00000000-0005-0000-0000-00006D8F0000}"/>
    <cellStyle name="Normal 5 17 28 5 6" xfId="36732" xr:uid="{00000000-0005-0000-0000-00006E8F0000}"/>
    <cellStyle name="Normal 5 17 28 5 7" xfId="36733" xr:uid="{00000000-0005-0000-0000-00006F8F0000}"/>
    <cellStyle name="Normal 5 17 28 5 8" xfId="36734" xr:uid="{00000000-0005-0000-0000-0000708F0000}"/>
    <cellStyle name="Normal 5 17 28 5 9" xfId="36735" xr:uid="{00000000-0005-0000-0000-0000718F0000}"/>
    <cellStyle name="Normal 5 17 28 6" xfId="36736" xr:uid="{00000000-0005-0000-0000-0000728F0000}"/>
    <cellStyle name="Normal 5 17 28 7" xfId="36737" xr:uid="{00000000-0005-0000-0000-0000738F0000}"/>
    <cellStyle name="Normal 5 17 28 8" xfId="36738" xr:uid="{00000000-0005-0000-0000-0000748F0000}"/>
    <cellStyle name="Normal 5 17 28 9" xfId="36739" xr:uid="{00000000-0005-0000-0000-0000758F0000}"/>
    <cellStyle name="Normal 5 17 29" xfId="36740" xr:uid="{00000000-0005-0000-0000-0000768F0000}"/>
    <cellStyle name="Normal 5 17 29 10" xfId="36741" xr:uid="{00000000-0005-0000-0000-0000778F0000}"/>
    <cellStyle name="Normal 5 17 29 11" xfId="36742" xr:uid="{00000000-0005-0000-0000-0000788F0000}"/>
    <cellStyle name="Normal 5 17 29 12" xfId="36743" xr:uid="{00000000-0005-0000-0000-0000798F0000}"/>
    <cellStyle name="Normal 5 17 29 13" xfId="36744" xr:uid="{00000000-0005-0000-0000-00007A8F0000}"/>
    <cellStyle name="Normal 5 17 29 14" xfId="36745" xr:uid="{00000000-0005-0000-0000-00007B8F0000}"/>
    <cellStyle name="Normal 5 17 29 2" xfId="36746" xr:uid="{00000000-0005-0000-0000-00007C8F0000}"/>
    <cellStyle name="Normal 5 17 29 2 10" xfId="36747" xr:uid="{00000000-0005-0000-0000-00007D8F0000}"/>
    <cellStyle name="Normal 5 17 29 2 2" xfId="36748" xr:uid="{00000000-0005-0000-0000-00007E8F0000}"/>
    <cellStyle name="Normal 5 17 29 2 3" xfId="36749" xr:uid="{00000000-0005-0000-0000-00007F8F0000}"/>
    <cellStyle name="Normal 5 17 29 2 4" xfId="36750" xr:uid="{00000000-0005-0000-0000-0000808F0000}"/>
    <cellStyle name="Normal 5 17 29 2 5" xfId="36751" xr:uid="{00000000-0005-0000-0000-0000818F0000}"/>
    <cellStyle name="Normal 5 17 29 2 6" xfId="36752" xr:uid="{00000000-0005-0000-0000-0000828F0000}"/>
    <cellStyle name="Normal 5 17 29 2 7" xfId="36753" xr:uid="{00000000-0005-0000-0000-0000838F0000}"/>
    <cellStyle name="Normal 5 17 29 2 8" xfId="36754" xr:uid="{00000000-0005-0000-0000-0000848F0000}"/>
    <cellStyle name="Normal 5 17 29 2 9" xfId="36755" xr:uid="{00000000-0005-0000-0000-0000858F0000}"/>
    <cellStyle name="Normal 5 17 29 3" xfId="36756" xr:uid="{00000000-0005-0000-0000-0000868F0000}"/>
    <cellStyle name="Normal 5 17 29 3 10" xfId="36757" xr:uid="{00000000-0005-0000-0000-0000878F0000}"/>
    <cellStyle name="Normal 5 17 29 3 2" xfId="36758" xr:uid="{00000000-0005-0000-0000-0000888F0000}"/>
    <cellStyle name="Normal 5 17 29 3 3" xfId="36759" xr:uid="{00000000-0005-0000-0000-0000898F0000}"/>
    <cellStyle name="Normal 5 17 29 3 4" xfId="36760" xr:uid="{00000000-0005-0000-0000-00008A8F0000}"/>
    <cellStyle name="Normal 5 17 29 3 5" xfId="36761" xr:uid="{00000000-0005-0000-0000-00008B8F0000}"/>
    <cellStyle name="Normal 5 17 29 3 6" xfId="36762" xr:uid="{00000000-0005-0000-0000-00008C8F0000}"/>
    <cellStyle name="Normal 5 17 29 3 7" xfId="36763" xr:uid="{00000000-0005-0000-0000-00008D8F0000}"/>
    <cellStyle name="Normal 5 17 29 3 8" xfId="36764" xr:uid="{00000000-0005-0000-0000-00008E8F0000}"/>
    <cellStyle name="Normal 5 17 29 3 9" xfId="36765" xr:uid="{00000000-0005-0000-0000-00008F8F0000}"/>
    <cellStyle name="Normal 5 17 29 4" xfId="36766" xr:uid="{00000000-0005-0000-0000-0000908F0000}"/>
    <cellStyle name="Normal 5 17 29 4 10" xfId="36767" xr:uid="{00000000-0005-0000-0000-0000918F0000}"/>
    <cellStyle name="Normal 5 17 29 4 2" xfId="36768" xr:uid="{00000000-0005-0000-0000-0000928F0000}"/>
    <cellStyle name="Normal 5 17 29 4 3" xfId="36769" xr:uid="{00000000-0005-0000-0000-0000938F0000}"/>
    <cellStyle name="Normal 5 17 29 4 4" xfId="36770" xr:uid="{00000000-0005-0000-0000-0000948F0000}"/>
    <cellStyle name="Normal 5 17 29 4 5" xfId="36771" xr:uid="{00000000-0005-0000-0000-0000958F0000}"/>
    <cellStyle name="Normal 5 17 29 4 6" xfId="36772" xr:uid="{00000000-0005-0000-0000-0000968F0000}"/>
    <cellStyle name="Normal 5 17 29 4 7" xfId="36773" xr:uid="{00000000-0005-0000-0000-0000978F0000}"/>
    <cellStyle name="Normal 5 17 29 4 8" xfId="36774" xr:uid="{00000000-0005-0000-0000-0000988F0000}"/>
    <cellStyle name="Normal 5 17 29 4 9" xfId="36775" xr:uid="{00000000-0005-0000-0000-0000998F0000}"/>
    <cellStyle name="Normal 5 17 29 5" xfId="36776" xr:uid="{00000000-0005-0000-0000-00009A8F0000}"/>
    <cellStyle name="Normal 5 17 29 5 10" xfId="36777" xr:uid="{00000000-0005-0000-0000-00009B8F0000}"/>
    <cellStyle name="Normal 5 17 29 5 2" xfId="36778" xr:uid="{00000000-0005-0000-0000-00009C8F0000}"/>
    <cellStyle name="Normal 5 17 29 5 3" xfId="36779" xr:uid="{00000000-0005-0000-0000-00009D8F0000}"/>
    <cellStyle name="Normal 5 17 29 5 4" xfId="36780" xr:uid="{00000000-0005-0000-0000-00009E8F0000}"/>
    <cellStyle name="Normal 5 17 29 5 5" xfId="36781" xr:uid="{00000000-0005-0000-0000-00009F8F0000}"/>
    <cellStyle name="Normal 5 17 29 5 6" xfId="36782" xr:uid="{00000000-0005-0000-0000-0000A08F0000}"/>
    <cellStyle name="Normal 5 17 29 5 7" xfId="36783" xr:uid="{00000000-0005-0000-0000-0000A18F0000}"/>
    <cellStyle name="Normal 5 17 29 5 8" xfId="36784" xr:uid="{00000000-0005-0000-0000-0000A28F0000}"/>
    <cellStyle name="Normal 5 17 29 5 9" xfId="36785" xr:uid="{00000000-0005-0000-0000-0000A38F0000}"/>
    <cellStyle name="Normal 5 17 29 6" xfId="36786" xr:uid="{00000000-0005-0000-0000-0000A48F0000}"/>
    <cellStyle name="Normal 5 17 29 7" xfId="36787" xr:uid="{00000000-0005-0000-0000-0000A58F0000}"/>
    <cellStyle name="Normal 5 17 29 8" xfId="36788" xr:uid="{00000000-0005-0000-0000-0000A68F0000}"/>
    <cellStyle name="Normal 5 17 29 9" xfId="36789" xr:uid="{00000000-0005-0000-0000-0000A78F0000}"/>
    <cellStyle name="Normal 5 17 3" xfId="36790" xr:uid="{00000000-0005-0000-0000-0000A88F0000}"/>
    <cellStyle name="Normal 5 17 3 10" xfId="36791" xr:uid="{00000000-0005-0000-0000-0000A98F0000}"/>
    <cellStyle name="Normal 5 17 3 11" xfId="36792" xr:uid="{00000000-0005-0000-0000-0000AA8F0000}"/>
    <cellStyle name="Normal 5 17 3 12" xfId="36793" xr:uid="{00000000-0005-0000-0000-0000AB8F0000}"/>
    <cellStyle name="Normal 5 17 3 13" xfId="36794" xr:uid="{00000000-0005-0000-0000-0000AC8F0000}"/>
    <cellStyle name="Normal 5 17 3 14" xfId="36795" xr:uid="{00000000-0005-0000-0000-0000AD8F0000}"/>
    <cellStyle name="Normal 5 17 3 2" xfId="36796" xr:uid="{00000000-0005-0000-0000-0000AE8F0000}"/>
    <cellStyle name="Normal 5 17 3 2 10" xfId="36797" xr:uid="{00000000-0005-0000-0000-0000AF8F0000}"/>
    <cellStyle name="Normal 5 17 3 2 2" xfId="36798" xr:uid="{00000000-0005-0000-0000-0000B08F0000}"/>
    <cellStyle name="Normal 5 17 3 2 3" xfId="36799" xr:uid="{00000000-0005-0000-0000-0000B18F0000}"/>
    <cellStyle name="Normal 5 17 3 2 4" xfId="36800" xr:uid="{00000000-0005-0000-0000-0000B28F0000}"/>
    <cellStyle name="Normal 5 17 3 2 5" xfId="36801" xr:uid="{00000000-0005-0000-0000-0000B38F0000}"/>
    <cellStyle name="Normal 5 17 3 2 6" xfId="36802" xr:uid="{00000000-0005-0000-0000-0000B48F0000}"/>
    <cellStyle name="Normal 5 17 3 2 7" xfId="36803" xr:uid="{00000000-0005-0000-0000-0000B58F0000}"/>
    <cellStyle name="Normal 5 17 3 2 8" xfId="36804" xr:uid="{00000000-0005-0000-0000-0000B68F0000}"/>
    <cellStyle name="Normal 5 17 3 2 9" xfId="36805" xr:uid="{00000000-0005-0000-0000-0000B78F0000}"/>
    <cellStyle name="Normal 5 17 3 3" xfId="36806" xr:uid="{00000000-0005-0000-0000-0000B88F0000}"/>
    <cellStyle name="Normal 5 17 3 3 10" xfId="36807" xr:uid="{00000000-0005-0000-0000-0000B98F0000}"/>
    <cellStyle name="Normal 5 17 3 3 2" xfId="36808" xr:uid="{00000000-0005-0000-0000-0000BA8F0000}"/>
    <cellStyle name="Normal 5 17 3 3 3" xfId="36809" xr:uid="{00000000-0005-0000-0000-0000BB8F0000}"/>
    <cellStyle name="Normal 5 17 3 3 4" xfId="36810" xr:uid="{00000000-0005-0000-0000-0000BC8F0000}"/>
    <cellStyle name="Normal 5 17 3 3 5" xfId="36811" xr:uid="{00000000-0005-0000-0000-0000BD8F0000}"/>
    <cellStyle name="Normal 5 17 3 3 6" xfId="36812" xr:uid="{00000000-0005-0000-0000-0000BE8F0000}"/>
    <cellStyle name="Normal 5 17 3 3 7" xfId="36813" xr:uid="{00000000-0005-0000-0000-0000BF8F0000}"/>
    <cellStyle name="Normal 5 17 3 3 8" xfId="36814" xr:uid="{00000000-0005-0000-0000-0000C08F0000}"/>
    <cellStyle name="Normal 5 17 3 3 9" xfId="36815" xr:uid="{00000000-0005-0000-0000-0000C18F0000}"/>
    <cellStyle name="Normal 5 17 3 4" xfId="36816" xr:uid="{00000000-0005-0000-0000-0000C28F0000}"/>
    <cellStyle name="Normal 5 17 3 4 10" xfId="36817" xr:uid="{00000000-0005-0000-0000-0000C38F0000}"/>
    <cellStyle name="Normal 5 17 3 4 2" xfId="36818" xr:uid="{00000000-0005-0000-0000-0000C48F0000}"/>
    <cellStyle name="Normal 5 17 3 4 3" xfId="36819" xr:uid="{00000000-0005-0000-0000-0000C58F0000}"/>
    <cellStyle name="Normal 5 17 3 4 4" xfId="36820" xr:uid="{00000000-0005-0000-0000-0000C68F0000}"/>
    <cellStyle name="Normal 5 17 3 4 5" xfId="36821" xr:uid="{00000000-0005-0000-0000-0000C78F0000}"/>
    <cellStyle name="Normal 5 17 3 4 6" xfId="36822" xr:uid="{00000000-0005-0000-0000-0000C88F0000}"/>
    <cellStyle name="Normal 5 17 3 4 7" xfId="36823" xr:uid="{00000000-0005-0000-0000-0000C98F0000}"/>
    <cellStyle name="Normal 5 17 3 4 8" xfId="36824" xr:uid="{00000000-0005-0000-0000-0000CA8F0000}"/>
    <cellStyle name="Normal 5 17 3 4 9" xfId="36825" xr:uid="{00000000-0005-0000-0000-0000CB8F0000}"/>
    <cellStyle name="Normal 5 17 3 5" xfId="36826" xr:uid="{00000000-0005-0000-0000-0000CC8F0000}"/>
    <cellStyle name="Normal 5 17 3 5 10" xfId="36827" xr:uid="{00000000-0005-0000-0000-0000CD8F0000}"/>
    <cellStyle name="Normal 5 17 3 5 2" xfId="36828" xr:uid="{00000000-0005-0000-0000-0000CE8F0000}"/>
    <cellStyle name="Normal 5 17 3 5 3" xfId="36829" xr:uid="{00000000-0005-0000-0000-0000CF8F0000}"/>
    <cellStyle name="Normal 5 17 3 5 4" xfId="36830" xr:uid="{00000000-0005-0000-0000-0000D08F0000}"/>
    <cellStyle name="Normal 5 17 3 5 5" xfId="36831" xr:uid="{00000000-0005-0000-0000-0000D18F0000}"/>
    <cellStyle name="Normal 5 17 3 5 6" xfId="36832" xr:uid="{00000000-0005-0000-0000-0000D28F0000}"/>
    <cellStyle name="Normal 5 17 3 5 7" xfId="36833" xr:uid="{00000000-0005-0000-0000-0000D38F0000}"/>
    <cellStyle name="Normal 5 17 3 5 8" xfId="36834" xr:uid="{00000000-0005-0000-0000-0000D48F0000}"/>
    <cellStyle name="Normal 5 17 3 5 9" xfId="36835" xr:uid="{00000000-0005-0000-0000-0000D58F0000}"/>
    <cellStyle name="Normal 5 17 3 6" xfId="36836" xr:uid="{00000000-0005-0000-0000-0000D68F0000}"/>
    <cellStyle name="Normal 5 17 3 7" xfId="36837" xr:uid="{00000000-0005-0000-0000-0000D78F0000}"/>
    <cellStyle name="Normal 5 17 3 8" xfId="36838" xr:uid="{00000000-0005-0000-0000-0000D88F0000}"/>
    <cellStyle name="Normal 5 17 3 9" xfId="36839" xr:uid="{00000000-0005-0000-0000-0000D98F0000}"/>
    <cellStyle name="Normal 5 17 30" xfId="36840" xr:uid="{00000000-0005-0000-0000-0000DA8F0000}"/>
    <cellStyle name="Normal 5 17 30 10" xfId="36841" xr:uid="{00000000-0005-0000-0000-0000DB8F0000}"/>
    <cellStyle name="Normal 5 17 30 11" xfId="36842" xr:uid="{00000000-0005-0000-0000-0000DC8F0000}"/>
    <cellStyle name="Normal 5 17 30 12" xfId="36843" xr:uid="{00000000-0005-0000-0000-0000DD8F0000}"/>
    <cellStyle name="Normal 5 17 30 13" xfId="36844" xr:uid="{00000000-0005-0000-0000-0000DE8F0000}"/>
    <cellStyle name="Normal 5 17 30 14" xfId="36845" xr:uid="{00000000-0005-0000-0000-0000DF8F0000}"/>
    <cellStyle name="Normal 5 17 30 2" xfId="36846" xr:uid="{00000000-0005-0000-0000-0000E08F0000}"/>
    <cellStyle name="Normal 5 17 30 2 10" xfId="36847" xr:uid="{00000000-0005-0000-0000-0000E18F0000}"/>
    <cellStyle name="Normal 5 17 30 2 2" xfId="36848" xr:uid="{00000000-0005-0000-0000-0000E28F0000}"/>
    <cellStyle name="Normal 5 17 30 2 3" xfId="36849" xr:uid="{00000000-0005-0000-0000-0000E38F0000}"/>
    <cellStyle name="Normal 5 17 30 2 4" xfId="36850" xr:uid="{00000000-0005-0000-0000-0000E48F0000}"/>
    <cellStyle name="Normal 5 17 30 2 5" xfId="36851" xr:uid="{00000000-0005-0000-0000-0000E58F0000}"/>
    <cellStyle name="Normal 5 17 30 2 6" xfId="36852" xr:uid="{00000000-0005-0000-0000-0000E68F0000}"/>
    <cellStyle name="Normal 5 17 30 2 7" xfId="36853" xr:uid="{00000000-0005-0000-0000-0000E78F0000}"/>
    <cellStyle name="Normal 5 17 30 2 8" xfId="36854" xr:uid="{00000000-0005-0000-0000-0000E88F0000}"/>
    <cellStyle name="Normal 5 17 30 2 9" xfId="36855" xr:uid="{00000000-0005-0000-0000-0000E98F0000}"/>
    <cellStyle name="Normal 5 17 30 3" xfId="36856" xr:uid="{00000000-0005-0000-0000-0000EA8F0000}"/>
    <cellStyle name="Normal 5 17 30 3 10" xfId="36857" xr:uid="{00000000-0005-0000-0000-0000EB8F0000}"/>
    <cellStyle name="Normal 5 17 30 3 2" xfId="36858" xr:uid="{00000000-0005-0000-0000-0000EC8F0000}"/>
    <cellStyle name="Normal 5 17 30 3 3" xfId="36859" xr:uid="{00000000-0005-0000-0000-0000ED8F0000}"/>
    <cellStyle name="Normal 5 17 30 3 4" xfId="36860" xr:uid="{00000000-0005-0000-0000-0000EE8F0000}"/>
    <cellStyle name="Normal 5 17 30 3 5" xfId="36861" xr:uid="{00000000-0005-0000-0000-0000EF8F0000}"/>
    <cellStyle name="Normal 5 17 30 3 6" xfId="36862" xr:uid="{00000000-0005-0000-0000-0000F08F0000}"/>
    <cellStyle name="Normal 5 17 30 3 7" xfId="36863" xr:uid="{00000000-0005-0000-0000-0000F18F0000}"/>
    <cellStyle name="Normal 5 17 30 3 8" xfId="36864" xr:uid="{00000000-0005-0000-0000-0000F28F0000}"/>
    <cellStyle name="Normal 5 17 30 3 9" xfId="36865" xr:uid="{00000000-0005-0000-0000-0000F38F0000}"/>
    <cellStyle name="Normal 5 17 30 4" xfId="36866" xr:uid="{00000000-0005-0000-0000-0000F48F0000}"/>
    <cellStyle name="Normal 5 17 30 4 10" xfId="36867" xr:uid="{00000000-0005-0000-0000-0000F58F0000}"/>
    <cellStyle name="Normal 5 17 30 4 2" xfId="36868" xr:uid="{00000000-0005-0000-0000-0000F68F0000}"/>
    <cellStyle name="Normal 5 17 30 4 3" xfId="36869" xr:uid="{00000000-0005-0000-0000-0000F78F0000}"/>
    <cellStyle name="Normal 5 17 30 4 4" xfId="36870" xr:uid="{00000000-0005-0000-0000-0000F88F0000}"/>
    <cellStyle name="Normal 5 17 30 4 5" xfId="36871" xr:uid="{00000000-0005-0000-0000-0000F98F0000}"/>
    <cellStyle name="Normal 5 17 30 4 6" xfId="36872" xr:uid="{00000000-0005-0000-0000-0000FA8F0000}"/>
    <cellStyle name="Normal 5 17 30 4 7" xfId="36873" xr:uid="{00000000-0005-0000-0000-0000FB8F0000}"/>
    <cellStyle name="Normal 5 17 30 4 8" xfId="36874" xr:uid="{00000000-0005-0000-0000-0000FC8F0000}"/>
    <cellStyle name="Normal 5 17 30 4 9" xfId="36875" xr:uid="{00000000-0005-0000-0000-0000FD8F0000}"/>
    <cellStyle name="Normal 5 17 30 5" xfId="36876" xr:uid="{00000000-0005-0000-0000-0000FE8F0000}"/>
    <cellStyle name="Normal 5 17 30 5 10" xfId="36877" xr:uid="{00000000-0005-0000-0000-0000FF8F0000}"/>
    <cellStyle name="Normal 5 17 30 5 2" xfId="36878" xr:uid="{00000000-0005-0000-0000-000000900000}"/>
    <cellStyle name="Normal 5 17 30 5 3" xfId="36879" xr:uid="{00000000-0005-0000-0000-000001900000}"/>
    <cellStyle name="Normal 5 17 30 5 4" xfId="36880" xr:uid="{00000000-0005-0000-0000-000002900000}"/>
    <cellStyle name="Normal 5 17 30 5 5" xfId="36881" xr:uid="{00000000-0005-0000-0000-000003900000}"/>
    <cellStyle name="Normal 5 17 30 5 6" xfId="36882" xr:uid="{00000000-0005-0000-0000-000004900000}"/>
    <cellStyle name="Normal 5 17 30 5 7" xfId="36883" xr:uid="{00000000-0005-0000-0000-000005900000}"/>
    <cellStyle name="Normal 5 17 30 5 8" xfId="36884" xr:uid="{00000000-0005-0000-0000-000006900000}"/>
    <cellStyle name="Normal 5 17 30 5 9" xfId="36885" xr:uid="{00000000-0005-0000-0000-000007900000}"/>
    <cellStyle name="Normal 5 17 30 6" xfId="36886" xr:uid="{00000000-0005-0000-0000-000008900000}"/>
    <cellStyle name="Normal 5 17 30 7" xfId="36887" xr:uid="{00000000-0005-0000-0000-000009900000}"/>
    <cellStyle name="Normal 5 17 30 8" xfId="36888" xr:uid="{00000000-0005-0000-0000-00000A900000}"/>
    <cellStyle name="Normal 5 17 30 9" xfId="36889" xr:uid="{00000000-0005-0000-0000-00000B900000}"/>
    <cellStyle name="Normal 5 17 31" xfId="36890" xr:uid="{00000000-0005-0000-0000-00000C900000}"/>
    <cellStyle name="Normal 5 17 31 10" xfId="36891" xr:uid="{00000000-0005-0000-0000-00000D900000}"/>
    <cellStyle name="Normal 5 17 31 11" xfId="36892" xr:uid="{00000000-0005-0000-0000-00000E900000}"/>
    <cellStyle name="Normal 5 17 31 12" xfId="36893" xr:uid="{00000000-0005-0000-0000-00000F900000}"/>
    <cellStyle name="Normal 5 17 31 13" xfId="36894" xr:uid="{00000000-0005-0000-0000-000010900000}"/>
    <cellStyle name="Normal 5 17 31 14" xfId="36895" xr:uid="{00000000-0005-0000-0000-000011900000}"/>
    <cellStyle name="Normal 5 17 31 2" xfId="36896" xr:uid="{00000000-0005-0000-0000-000012900000}"/>
    <cellStyle name="Normal 5 17 31 2 10" xfId="36897" xr:uid="{00000000-0005-0000-0000-000013900000}"/>
    <cellStyle name="Normal 5 17 31 2 2" xfId="36898" xr:uid="{00000000-0005-0000-0000-000014900000}"/>
    <cellStyle name="Normal 5 17 31 2 3" xfId="36899" xr:uid="{00000000-0005-0000-0000-000015900000}"/>
    <cellStyle name="Normal 5 17 31 2 4" xfId="36900" xr:uid="{00000000-0005-0000-0000-000016900000}"/>
    <cellStyle name="Normal 5 17 31 2 5" xfId="36901" xr:uid="{00000000-0005-0000-0000-000017900000}"/>
    <cellStyle name="Normal 5 17 31 2 6" xfId="36902" xr:uid="{00000000-0005-0000-0000-000018900000}"/>
    <cellStyle name="Normal 5 17 31 2 7" xfId="36903" xr:uid="{00000000-0005-0000-0000-000019900000}"/>
    <cellStyle name="Normal 5 17 31 2 8" xfId="36904" xr:uid="{00000000-0005-0000-0000-00001A900000}"/>
    <cellStyle name="Normal 5 17 31 2 9" xfId="36905" xr:uid="{00000000-0005-0000-0000-00001B900000}"/>
    <cellStyle name="Normal 5 17 31 3" xfId="36906" xr:uid="{00000000-0005-0000-0000-00001C900000}"/>
    <cellStyle name="Normal 5 17 31 3 10" xfId="36907" xr:uid="{00000000-0005-0000-0000-00001D900000}"/>
    <cellStyle name="Normal 5 17 31 3 2" xfId="36908" xr:uid="{00000000-0005-0000-0000-00001E900000}"/>
    <cellStyle name="Normal 5 17 31 3 3" xfId="36909" xr:uid="{00000000-0005-0000-0000-00001F900000}"/>
    <cellStyle name="Normal 5 17 31 3 4" xfId="36910" xr:uid="{00000000-0005-0000-0000-000020900000}"/>
    <cellStyle name="Normal 5 17 31 3 5" xfId="36911" xr:uid="{00000000-0005-0000-0000-000021900000}"/>
    <cellStyle name="Normal 5 17 31 3 6" xfId="36912" xr:uid="{00000000-0005-0000-0000-000022900000}"/>
    <cellStyle name="Normal 5 17 31 3 7" xfId="36913" xr:uid="{00000000-0005-0000-0000-000023900000}"/>
    <cellStyle name="Normal 5 17 31 3 8" xfId="36914" xr:uid="{00000000-0005-0000-0000-000024900000}"/>
    <cellStyle name="Normal 5 17 31 3 9" xfId="36915" xr:uid="{00000000-0005-0000-0000-000025900000}"/>
    <cellStyle name="Normal 5 17 31 4" xfId="36916" xr:uid="{00000000-0005-0000-0000-000026900000}"/>
    <cellStyle name="Normal 5 17 31 4 10" xfId="36917" xr:uid="{00000000-0005-0000-0000-000027900000}"/>
    <cellStyle name="Normal 5 17 31 4 2" xfId="36918" xr:uid="{00000000-0005-0000-0000-000028900000}"/>
    <cellStyle name="Normal 5 17 31 4 3" xfId="36919" xr:uid="{00000000-0005-0000-0000-000029900000}"/>
    <cellStyle name="Normal 5 17 31 4 4" xfId="36920" xr:uid="{00000000-0005-0000-0000-00002A900000}"/>
    <cellStyle name="Normal 5 17 31 4 5" xfId="36921" xr:uid="{00000000-0005-0000-0000-00002B900000}"/>
    <cellStyle name="Normal 5 17 31 4 6" xfId="36922" xr:uid="{00000000-0005-0000-0000-00002C900000}"/>
    <cellStyle name="Normal 5 17 31 4 7" xfId="36923" xr:uid="{00000000-0005-0000-0000-00002D900000}"/>
    <cellStyle name="Normal 5 17 31 4 8" xfId="36924" xr:uid="{00000000-0005-0000-0000-00002E900000}"/>
    <cellStyle name="Normal 5 17 31 4 9" xfId="36925" xr:uid="{00000000-0005-0000-0000-00002F900000}"/>
    <cellStyle name="Normal 5 17 31 5" xfId="36926" xr:uid="{00000000-0005-0000-0000-000030900000}"/>
    <cellStyle name="Normal 5 17 31 5 10" xfId="36927" xr:uid="{00000000-0005-0000-0000-000031900000}"/>
    <cellStyle name="Normal 5 17 31 5 2" xfId="36928" xr:uid="{00000000-0005-0000-0000-000032900000}"/>
    <cellStyle name="Normal 5 17 31 5 3" xfId="36929" xr:uid="{00000000-0005-0000-0000-000033900000}"/>
    <cellStyle name="Normal 5 17 31 5 4" xfId="36930" xr:uid="{00000000-0005-0000-0000-000034900000}"/>
    <cellStyle name="Normal 5 17 31 5 5" xfId="36931" xr:uid="{00000000-0005-0000-0000-000035900000}"/>
    <cellStyle name="Normal 5 17 31 5 6" xfId="36932" xr:uid="{00000000-0005-0000-0000-000036900000}"/>
    <cellStyle name="Normal 5 17 31 5 7" xfId="36933" xr:uid="{00000000-0005-0000-0000-000037900000}"/>
    <cellStyle name="Normal 5 17 31 5 8" xfId="36934" xr:uid="{00000000-0005-0000-0000-000038900000}"/>
    <cellStyle name="Normal 5 17 31 5 9" xfId="36935" xr:uid="{00000000-0005-0000-0000-000039900000}"/>
    <cellStyle name="Normal 5 17 31 6" xfId="36936" xr:uid="{00000000-0005-0000-0000-00003A900000}"/>
    <cellStyle name="Normal 5 17 31 7" xfId="36937" xr:uid="{00000000-0005-0000-0000-00003B900000}"/>
    <cellStyle name="Normal 5 17 31 8" xfId="36938" xr:uid="{00000000-0005-0000-0000-00003C900000}"/>
    <cellStyle name="Normal 5 17 31 9" xfId="36939" xr:uid="{00000000-0005-0000-0000-00003D900000}"/>
    <cellStyle name="Normal 5 17 32" xfId="36940" xr:uid="{00000000-0005-0000-0000-00003E900000}"/>
    <cellStyle name="Normal 5 17 32 10" xfId="36941" xr:uid="{00000000-0005-0000-0000-00003F900000}"/>
    <cellStyle name="Normal 5 17 32 11" xfId="36942" xr:uid="{00000000-0005-0000-0000-000040900000}"/>
    <cellStyle name="Normal 5 17 32 12" xfId="36943" xr:uid="{00000000-0005-0000-0000-000041900000}"/>
    <cellStyle name="Normal 5 17 32 13" xfId="36944" xr:uid="{00000000-0005-0000-0000-000042900000}"/>
    <cellStyle name="Normal 5 17 32 14" xfId="36945" xr:uid="{00000000-0005-0000-0000-000043900000}"/>
    <cellStyle name="Normal 5 17 32 2" xfId="36946" xr:uid="{00000000-0005-0000-0000-000044900000}"/>
    <cellStyle name="Normal 5 17 32 2 10" xfId="36947" xr:uid="{00000000-0005-0000-0000-000045900000}"/>
    <cellStyle name="Normal 5 17 32 2 2" xfId="36948" xr:uid="{00000000-0005-0000-0000-000046900000}"/>
    <cellStyle name="Normal 5 17 32 2 3" xfId="36949" xr:uid="{00000000-0005-0000-0000-000047900000}"/>
    <cellStyle name="Normal 5 17 32 2 4" xfId="36950" xr:uid="{00000000-0005-0000-0000-000048900000}"/>
    <cellStyle name="Normal 5 17 32 2 5" xfId="36951" xr:uid="{00000000-0005-0000-0000-000049900000}"/>
    <cellStyle name="Normal 5 17 32 2 6" xfId="36952" xr:uid="{00000000-0005-0000-0000-00004A900000}"/>
    <cellStyle name="Normal 5 17 32 2 7" xfId="36953" xr:uid="{00000000-0005-0000-0000-00004B900000}"/>
    <cellStyle name="Normal 5 17 32 2 8" xfId="36954" xr:uid="{00000000-0005-0000-0000-00004C900000}"/>
    <cellStyle name="Normal 5 17 32 2 9" xfId="36955" xr:uid="{00000000-0005-0000-0000-00004D900000}"/>
    <cellStyle name="Normal 5 17 32 3" xfId="36956" xr:uid="{00000000-0005-0000-0000-00004E900000}"/>
    <cellStyle name="Normal 5 17 32 3 10" xfId="36957" xr:uid="{00000000-0005-0000-0000-00004F900000}"/>
    <cellStyle name="Normal 5 17 32 3 2" xfId="36958" xr:uid="{00000000-0005-0000-0000-000050900000}"/>
    <cellStyle name="Normal 5 17 32 3 3" xfId="36959" xr:uid="{00000000-0005-0000-0000-000051900000}"/>
    <cellStyle name="Normal 5 17 32 3 4" xfId="36960" xr:uid="{00000000-0005-0000-0000-000052900000}"/>
    <cellStyle name="Normal 5 17 32 3 5" xfId="36961" xr:uid="{00000000-0005-0000-0000-000053900000}"/>
    <cellStyle name="Normal 5 17 32 3 6" xfId="36962" xr:uid="{00000000-0005-0000-0000-000054900000}"/>
    <cellStyle name="Normal 5 17 32 3 7" xfId="36963" xr:uid="{00000000-0005-0000-0000-000055900000}"/>
    <cellStyle name="Normal 5 17 32 3 8" xfId="36964" xr:uid="{00000000-0005-0000-0000-000056900000}"/>
    <cellStyle name="Normal 5 17 32 3 9" xfId="36965" xr:uid="{00000000-0005-0000-0000-000057900000}"/>
    <cellStyle name="Normal 5 17 32 4" xfId="36966" xr:uid="{00000000-0005-0000-0000-000058900000}"/>
    <cellStyle name="Normal 5 17 32 4 10" xfId="36967" xr:uid="{00000000-0005-0000-0000-000059900000}"/>
    <cellStyle name="Normal 5 17 32 4 2" xfId="36968" xr:uid="{00000000-0005-0000-0000-00005A900000}"/>
    <cellStyle name="Normal 5 17 32 4 3" xfId="36969" xr:uid="{00000000-0005-0000-0000-00005B900000}"/>
    <cellStyle name="Normal 5 17 32 4 4" xfId="36970" xr:uid="{00000000-0005-0000-0000-00005C900000}"/>
    <cellStyle name="Normal 5 17 32 4 5" xfId="36971" xr:uid="{00000000-0005-0000-0000-00005D900000}"/>
    <cellStyle name="Normal 5 17 32 4 6" xfId="36972" xr:uid="{00000000-0005-0000-0000-00005E900000}"/>
    <cellStyle name="Normal 5 17 32 4 7" xfId="36973" xr:uid="{00000000-0005-0000-0000-00005F900000}"/>
    <cellStyle name="Normal 5 17 32 4 8" xfId="36974" xr:uid="{00000000-0005-0000-0000-000060900000}"/>
    <cellStyle name="Normal 5 17 32 4 9" xfId="36975" xr:uid="{00000000-0005-0000-0000-000061900000}"/>
    <cellStyle name="Normal 5 17 32 5" xfId="36976" xr:uid="{00000000-0005-0000-0000-000062900000}"/>
    <cellStyle name="Normal 5 17 32 5 10" xfId="36977" xr:uid="{00000000-0005-0000-0000-000063900000}"/>
    <cellStyle name="Normal 5 17 32 5 2" xfId="36978" xr:uid="{00000000-0005-0000-0000-000064900000}"/>
    <cellStyle name="Normal 5 17 32 5 3" xfId="36979" xr:uid="{00000000-0005-0000-0000-000065900000}"/>
    <cellStyle name="Normal 5 17 32 5 4" xfId="36980" xr:uid="{00000000-0005-0000-0000-000066900000}"/>
    <cellStyle name="Normal 5 17 32 5 5" xfId="36981" xr:uid="{00000000-0005-0000-0000-000067900000}"/>
    <cellStyle name="Normal 5 17 32 5 6" xfId="36982" xr:uid="{00000000-0005-0000-0000-000068900000}"/>
    <cellStyle name="Normal 5 17 32 5 7" xfId="36983" xr:uid="{00000000-0005-0000-0000-000069900000}"/>
    <cellStyle name="Normal 5 17 32 5 8" xfId="36984" xr:uid="{00000000-0005-0000-0000-00006A900000}"/>
    <cellStyle name="Normal 5 17 32 5 9" xfId="36985" xr:uid="{00000000-0005-0000-0000-00006B900000}"/>
    <cellStyle name="Normal 5 17 32 6" xfId="36986" xr:uid="{00000000-0005-0000-0000-00006C900000}"/>
    <cellStyle name="Normal 5 17 32 7" xfId="36987" xr:uid="{00000000-0005-0000-0000-00006D900000}"/>
    <cellStyle name="Normal 5 17 32 8" xfId="36988" xr:uid="{00000000-0005-0000-0000-00006E900000}"/>
    <cellStyle name="Normal 5 17 32 9" xfId="36989" xr:uid="{00000000-0005-0000-0000-00006F900000}"/>
    <cellStyle name="Normal 5 17 33" xfId="36990" xr:uid="{00000000-0005-0000-0000-000070900000}"/>
    <cellStyle name="Normal 5 17 33 10" xfId="36991" xr:uid="{00000000-0005-0000-0000-000071900000}"/>
    <cellStyle name="Normal 5 17 33 11" xfId="36992" xr:uid="{00000000-0005-0000-0000-000072900000}"/>
    <cellStyle name="Normal 5 17 33 12" xfId="36993" xr:uid="{00000000-0005-0000-0000-000073900000}"/>
    <cellStyle name="Normal 5 17 33 13" xfId="36994" xr:uid="{00000000-0005-0000-0000-000074900000}"/>
    <cellStyle name="Normal 5 17 33 14" xfId="36995" xr:uid="{00000000-0005-0000-0000-000075900000}"/>
    <cellStyle name="Normal 5 17 33 2" xfId="36996" xr:uid="{00000000-0005-0000-0000-000076900000}"/>
    <cellStyle name="Normal 5 17 33 2 10" xfId="36997" xr:uid="{00000000-0005-0000-0000-000077900000}"/>
    <cellStyle name="Normal 5 17 33 2 2" xfId="36998" xr:uid="{00000000-0005-0000-0000-000078900000}"/>
    <cellStyle name="Normal 5 17 33 2 3" xfId="36999" xr:uid="{00000000-0005-0000-0000-000079900000}"/>
    <cellStyle name="Normal 5 17 33 2 4" xfId="37000" xr:uid="{00000000-0005-0000-0000-00007A900000}"/>
    <cellStyle name="Normal 5 17 33 2 5" xfId="37001" xr:uid="{00000000-0005-0000-0000-00007B900000}"/>
    <cellStyle name="Normal 5 17 33 2 6" xfId="37002" xr:uid="{00000000-0005-0000-0000-00007C900000}"/>
    <cellStyle name="Normal 5 17 33 2 7" xfId="37003" xr:uid="{00000000-0005-0000-0000-00007D900000}"/>
    <cellStyle name="Normal 5 17 33 2 8" xfId="37004" xr:uid="{00000000-0005-0000-0000-00007E900000}"/>
    <cellStyle name="Normal 5 17 33 2 9" xfId="37005" xr:uid="{00000000-0005-0000-0000-00007F900000}"/>
    <cellStyle name="Normal 5 17 33 3" xfId="37006" xr:uid="{00000000-0005-0000-0000-000080900000}"/>
    <cellStyle name="Normal 5 17 33 3 10" xfId="37007" xr:uid="{00000000-0005-0000-0000-000081900000}"/>
    <cellStyle name="Normal 5 17 33 3 2" xfId="37008" xr:uid="{00000000-0005-0000-0000-000082900000}"/>
    <cellStyle name="Normal 5 17 33 3 3" xfId="37009" xr:uid="{00000000-0005-0000-0000-000083900000}"/>
    <cellStyle name="Normal 5 17 33 3 4" xfId="37010" xr:uid="{00000000-0005-0000-0000-000084900000}"/>
    <cellStyle name="Normal 5 17 33 3 5" xfId="37011" xr:uid="{00000000-0005-0000-0000-000085900000}"/>
    <cellStyle name="Normal 5 17 33 3 6" xfId="37012" xr:uid="{00000000-0005-0000-0000-000086900000}"/>
    <cellStyle name="Normal 5 17 33 3 7" xfId="37013" xr:uid="{00000000-0005-0000-0000-000087900000}"/>
    <cellStyle name="Normal 5 17 33 3 8" xfId="37014" xr:uid="{00000000-0005-0000-0000-000088900000}"/>
    <cellStyle name="Normal 5 17 33 3 9" xfId="37015" xr:uid="{00000000-0005-0000-0000-000089900000}"/>
    <cellStyle name="Normal 5 17 33 4" xfId="37016" xr:uid="{00000000-0005-0000-0000-00008A900000}"/>
    <cellStyle name="Normal 5 17 33 4 10" xfId="37017" xr:uid="{00000000-0005-0000-0000-00008B900000}"/>
    <cellStyle name="Normal 5 17 33 4 2" xfId="37018" xr:uid="{00000000-0005-0000-0000-00008C900000}"/>
    <cellStyle name="Normal 5 17 33 4 3" xfId="37019" xr:uid="{00000000-0005-0000-0000-00008D900000}"/>
    <cellStyle name="Normal 5 17 33 4 4" xfId="37020" xr:uid="{00000000-0005-0000-0000-00008E900000}"/>
    <cellStyle name="Normal 5 17 33 4 5" xfId="37021" xr:uid="{00000000-0005-0000-0000-00008F900000}"/>
    <cellStyle name="Normal 5 17 33 4 6" xfId="37022" xr:uid="{00000000-0005-0000-0000-000090900000}"/>
    <cellStyle name="Normal 5 17 33 4 7" xfId="37023" xr:uid="{00000000-0005-0000-0000-000091900000}"/>
    <cellStyle name="Normal 5 17 33 4 8" xfId="37024" xr:uid="{00000000-0005-0000-0000-000092900000}"/>
    <cellStyle name="Normal 5 17 33 4 9" xfId="37025" xr:uid="{00000000-0005-0000-0000-000093900000}"/>
    <cellStyle name="Normal 5 17 33 5" xfId="37026" xr:uid="{00000000-0005-0000-0000-000094900000}"/>
    <cellStyle name="Normal 5 17 33 5 10" xfId="37027" xr:uid="{00000000-0005-0000-0000-000095900000}"/>
    <cellStyle name="Normal 5 17 33 5 2" xfId="37028" xr:uid="{00000000-0005-0000-0000-000096900000}"/>
    <cellStyle name="Normal 5 17 33 5 3" xfId="37029" xr:uid="{00000000-0005-0000-0000-000097900000}"/>
    <cellStyle name="Normal 5 17 33 5 4" xfId="37030" xr:uid="{00000000-0005-0000-0000-000098900000}"/>
    <cellStyle name="Normal 5 17 33 5 5" xfId="37031" xr:uid="{00000000-0005-0000-0000-000099900000}"/>
    <cellStyle name="Normal 5 17 33 5 6" xfId="37032" xr:uid="{00000000-0005-0000-0000-00009A900000}"/>
    <cellStyle name="Normal 5 17 33 5 7" xfId="37033" xr:uid="{00000000-0005-0000-0000-00009B900000}"/>
    <cellStyle name="Normal 5 17 33 5 8" xfId="37034" xr:uid="{00000000-0005-0000-0000-00009C900000}"/>
    <cellStyle name="Normal 5 17 33 5 9" xfId="37035" xr:uid="{00000000-0005-0000-0000-00009D900000}"/>
    <cellStyle name="Normal 5 17 33 6" xfId="37036" xr:uid="{00000000-0005-0000-0000-00009E900000}"/>
    <cellStyle name="Normal 5 17 33 7" xfId="37037" xr:uid="{00000000-0005-0000-0000-00009F900000}"/>
    <cellStyle name="Normal 5 17 33 8" xfId="37038" xr:uid="{00000000-0005-0000-0000-0000A0900000}"/>
    <cellStyle name="Normal 5 17 33 9" xfId="37039" xr:uid="{00000000-0005-0000-0000-0000A1900000}"/>
    <cellStyle name="Normal 5 17 34" xfId="37040" xr:uid="{00000000-0005-0000-0000-0000A2900000}"/>
    <cellStyle name="Normal 5 17 34 10" xfId="37041" xr:uid="{00000000-0005-0000-0000-0000A3900000}"/>
    <cellStyle name="Normal 5 17 34 11" xfId="37042" xr:uid="{00000000-0005-0000-0000-0000A4900000}"/>
    <cellStyle name="Normal 5 17 34 12" xfId="37043" xr:uid="{00000000-0005-0000-0000-0000A5900000}"/>
    <cellStyle name="Normal 5 17 34 13" xfId="37044" xr:uid="{00000000-0005-0000-0000-0000A6900000}"/>
    <cellStyle name="Normal 5 17 34 14" xfId="37045" xr:uid="{00000000-0005-0000-0000-0000A7900000}"/>
    <cellStyle name="Normal 5 17 34 2" xfId="37046" xr:uid="{00000000-0005-0000-0000-0000A8900000}"/>
    <cellStyle name="Normal 5 17 34 2 10" xfId="37047" xr:uid="{00000000-0005-0000-0000-0000A9900000}"/>
    <cellStyle name="Normal 5 17 34 2 2" xfId="37048" xr:uid="{00000000-0005-0000-0000-0000AA900000}"/>
    <cellStyle name="Normal 5 17 34 2 3" xfId="37049" xr:uid="{00000000-0005-0000-0000-0000AB900000}"/>
    <cellStyle name="Normal 5 17 34 2 4" xfId="37050" xr:uid="{00000000-0005-0000-0000-0000AC900000}"/>
    <cellStyle name="Normal 5 17 34 2 5" xfId="37051" xr:uid="{00000000-0005-0000-0000-0000AD900000}"/>
    <cellStyle name="Normal 5 17 34 2 6" xfId="37052" xr:uid="{00000000-0005-0000-0000-0000AE900000}"/>
    <cellStyle name="Normal 5 17 34 2 7" xfId="37053" xr:uid="{00000000-0005-0000-0000-0000AF900000}"/>
    <cellStyle name="Normal 5 17 34 2 8" xfId="37054" xr:uid="{00000000-0005-0000-0000-0000B0900000}"/>
    <cellStyle name="Normal 5 17 34 2 9" xfId="37055" xr:uid="{00000000-0005-0000-0000-0000B1900000}"/>
    <cellStyle name="Normal 5 17 34 3" xfId="37056" xr:uid="{00000000-0005-0000-0000-0000B2900000}"/>
    <cellStyle name="Normal 5 17 34 3 10" xfId="37057" xr:uid="{00000000-0005-0000-0000-0000B3900000}"/>
    <cellStyle name="Normal 5 17 34 3 2" xfId="37058" xr:uid="{00000000-0005-0000-0000-0000B4900000}"/>
    <cellStyle name="Normal 5 17 34 3 3" xfId="37059" xr:uid="{00000000-0005-0000-0000-0000B5900000}"/>
    <cellStyle name="Normal 5 17 34 3 4" xfId="37060" xr:uid="{00000000-0005-0000-0000-0000B6900000}"/>
    <cellStyle name="Normal 5 17 34 3 5" xfId="37061" xr:uid="{00000000-0005-0000-0000-0000B7900000}"/>
    <cellStyle name="Normal 5 17 34 3 6" xfId="37062" xr:uid="{00000000-0005-0000-0000-0000B8900000}"/>
    <cellStyle name="Normal 5 17 34 3 7" xfId="37063" xr:uid="{00000000-0005-0000-0000-0000B9900000}"/>
    <cellStyle name="Normal 5 17 34 3 8" xfId="37064" xr:uid="{00000000-0005-0000-0000-0000BA900000}"/>
    <cellStyle name="Normal 5 17 34 3 9" xfId="37065" xr:uid="{00000000-0005-0000-0000-0000BB900000}"/>
    <cellStyle name="Normal 5 17 34 4" xfId="37066" xr:uid="{00000000-0005-0000-0000-0000BC900000}"/>
    <cellStyle name="Normal 5 17 34 4 10" xfId="37067" xr:uid="{00000000-0005-0000-0000-0000BD900000}"/>
    <cellStyle name="Normal 5 17 34 4 2" xfId="37068" xr:uid="{00000000-0005-0000-0000-0000BE900000}"/>
    <cellStyle name="Normal 5 17 34 4 3" xfId="37069" xr:uid="{00000000-0005-0000-0000-0000BF900000}"/>
    <cellStyle name="Normal 5 17 34 4 4" xfId="37070" xr:uid="{00000000-0005-0000-0000-0000C0900000}"/>
    <cellStyle name="Normal 5 17 34 4 5" xfId="37071" xr:uid="{00000000-0005-0000-0000-0000C1900000}"/>
    <cellStyle name="Normal 5 17 34 4 6" xfId="37072" xr:uid="{00000000-0005-0000-0000-0000C2900000}"/>
    <cellStyle name="Normal 5 17 34 4 7" xfId="37073" xr:uid="{00000000-0005-0000-0000-0000C3900000}"/>
    <cellStyle name="Normal 5 17 34 4 8" xfId="37074" xr:uid="{00000000-0005-0000-0000-0000C4900000}"/>
    <cellStyle name="Normal 5 17 34 4 9" xfId="37075" xr:uid="{00000000-0005-0000-0000-0000C5900000}"/>
    <cellStyle name="Normal 5 17 34 5" xfId="37076" xr:uid="{00000000-0005-0000-0000-0000C6900000}"/>
    <cellStyle name="Normal 5 17 34 5 10" xfId="37077" xr:uid="{00000000-0005-0000-0000-0000C7900000}"/>
    <cellStyle name="Normal 5 17 34 5 2" xfId="37078" xr:uid="{00000000-0005-0000-0000-0000C8900000}"/>
    <cellStyle name="Normal 5 17 34 5 3" xfId="37079" xr:uid="{00000000-0005-0000-0000-0000C9900000}"/>
    <cellStyle name="Normal 5 17 34 5 4" xfId="37080" xr:uid="{00000000-0005-0000-0000-0000CA900000}"/>
    <cellStyle name="Normal 5 17 34 5 5" xfId="37081" xr:uid="{00000000-0005-0000-0000-0000CB900000}"/>
    <cellStyle name="Normal 5 17 34 5 6" xfId="37082" xr:uid="{00000000-0005-0000-0000-0000CC900000}"/>
    <cellStyle name="Normal 5 17 34 5 7" xfId="37083" xr:uid="{00000000-0005-0000-0000-0000CD900000}"/>
    <cellStyle name="Normal 5 17 34 5 8" xfId="37084" xr:uid="{00000000-0005-0000-0000-0000CE900000}"/>
    <cellStyle name="Normal 5 17 34 5 9" xfId="37085" xr:uid="{00000000-0005-0000-0000-0000CF900000}"/>
    <cellStyle name="Normal 5 17 34 6" xfId="37086" xr:uid="{00000000-0005-0000-0000-0000D0900000}"/>
    <cellStyle name="Normal 5 17 34 7" xfId="37087" xr:uid="{00000000-0005-0000-0000-0000D1900000}"/>
    <cellStyle name="Normal 5 17 34 8" xfId="37088" xr:uid="{00000000-0005-0000-0000-0000D2900000}"/>
    <cellStyle name="Normal 5 17 34 9" xfId="37089" xr:uid="{00000000-0005-0000-0000-0000D3900000}"/>
    <cellStyle name="Normal 5 17 35" xfId="37090" xr:uid="{00000000-0005-0000-0000-0000D4900000}"/>
    <cellStyle name="Normal 5 17 35 10" xfId="37091" xr:uid="{00000000-0005-0000-0000-0000D5900000}"/>
    <cellStyle name="Normal 5 17 35 2" xfId="37092" xr:uid="{00000000-0005-0000-0000-0000D6900000}"/>
    <cellStyle name="Normal 5 17 35 3" xfId="37093" xr:uid="{00000000-0005-0000-0000-0000D7900000}"/>
    <cellStyle name="Normal 5 17 35 4" xfId="37094" xr:uid="{00000000-0005-0000-0000-0000D8900000}"/>
    <cellStyle name="Normal 5 17 35 5" xfId="37095" xr:uid="{00000000-0005-0000-0000-0000D9900000}"/>
    <cellStyle name="Normal 5 17 35 6" xfId="37096" xr:uid="{00000000-0005-0000-0000-0000DA900000}"/>
    <cellStyle name="Normal 5 17 35 7" xfId="37097" xr:uid="{00000000-0005-0000-0000-0000DB900000}"/>
    <cellStyle name="Normal 5 17 35 8" xfId="37098" xr:uid="{00000000-0005-0000-0000-0000DC900000}"/>
    <cellStyle name="Normal 5 17 35 9" xfId="37099" xr:uid="{00000000-0005-0000-0000-0000DD900000}"/>
    <cellStyle name="Normal 5 17 36" xfId="37100" xr:uid="{00000000-0005-0000-0000-0000DE900000}"/>
    <cellStyle name="Normal 5 17 36 10" xfId="37101" xr:uid="{00000000-0005-0000-0000-0000DF900000}"/>
    <cellStyle name="Normal 5 17 36 2" xfId="37102" xr:uid="{00000000-0005-0000-0000-0000E0900000}"/>
    <cellStyle name="Normal 5 17 36 3" xfId="37103" xr:uid="{00000000-0005-0000-0000-0000E1900000}"/>
    <cellStyle name="Normal 5 17 36 4" xfId="37104" xr:uid="{00000000-0005-0000-0000-0000E2900000}"/>
    <cellStyle name="Normal 5 17 36 5" xfId="37105" xr:uid="{00000000-0005-0000-0000-0000E3900000}"/>
    <cellStyle name="Normal 5 17 36 6" xfId="37106" xr:uid="{00000000-0005-0000-0000-0000E4900000}"/>
    <cellStyle name="Normal 5 17 36 7" xfId="37107" xr:uid="{00000000-0005-0000-0000-0000E5900000}"/>
    <cellStyle name="Normal 5 17 36 8" xfId="37108" xr:uid="{00000000-0005-0000-0000-0000E6900000}"/>
    <cellStyle name="Normal 5 17 36 9" xfId="37109" xr:uid="{00000000-0005-0000-0000-0000E7900000}"/>
    <cellStyle name="Normal 5 17 37" xfId="37110" xr:uid="{00000000-0005-0000-0000-0000E8900000}"/>
    <cellStyle name="Normal 5 17 37 10" xfId="37111" xr:uid="{00000000-0005-0000-0000-0000E9900000}"/>
    <cellStyle name="Normal 5 17 37 2" xfId="37112" xr:uid="{00000000-0005-0000-0000-0000EA900000}"/>
    <cellStyle name="Normal 5 17 37 3" xfId="37113" xr:uid="{00000000-0005-0000-0000-0000EB900000}"/>
    <cellStyle name="Normal 5 17 37 4" xfId="37114" xr:uid="{00000000-0005-0000-0000-0000EC900000}"/>
    <cellStyle name="Normal 5 17 37 5" xfId="37115" xr:uid="{00000000-0005-0000-0000-0000ED900000}"/>
    <cellStyle name="Normal 5 17 37 6" xfId="37116" xr:uid="{00000000-0005-0000-0000-0000EE900000}"/>
    <cellStyle name="Normal 5 17 37 7" xfId="37117" xr:uid="{00000000-0005-0000-0000-0000EF900000}"/>
    <cellStyle name="Normal 5 17 37 8" xfId="37118" xr:uid="{00000000-0005-0000-0000-0000F0900000}"/>
    <cellStyle name="Normal 5 17 37 9" xfId="37119" xr:uid="{00000000-0005-0000-0000-0000F1900000}"/>
    <cellStyle name="Normal 5 17 38" xfId="37120" xr:uid="{00000000-0005-0000-0000-0000F2900000}"/>
    <cellStyle name="Normal 5 17 38 10" xfId="37121" xr:uid="{00000000-0005-0000-0000-0000F3900000}"/>
    <cellStyle name="Normal 5 17 38 2" xfId="37122" xr:uid="{00000000-0005-0000-0000-0000F4900000}"/>
    <cellStyle name="Normal 5 17 38 3" xfId="37123" xr:uid="{00000000-0005-0000-0000-0000F5900000}"/>
    <cellStyle name="Normal 5 17 38 4" xfId="37124" xr:uid="{00000000-0005-0000-0000-0000F6900000}"/>
    <cellStyle name="Normal 5 17 38 5" xfId="37125" xr:uid="{00000000-0005-0000-0000-0000F7900000}"/>
    <cellStyle name="Normal 5 17 38 6" xfId="37126" xr:uid="{00000000-0005-0000-0000-0000F8900000}"/>
    <cellStyle name="Normal 5 17 38 7" xfId="37127" xr:uid="{00000000-0005-0000-0000-0000F9900000}"/>
    <cellStyle name="Normal 5 17 38 8" xfId="37128" xr:uid="{00000000-0005-0000-0000-0000FA900000}"/>
    <cellStyle name="Normal 5 17 38 9" xfId="37129" xr:uid="{00000000-0005-0000-0000-0000FB900000}"/>
    <cellStyle name="Normal 5 17 39" xfId="37130" xr:uid="{00000000-0005-0000-0000-0000FC900000}"/>
    <cellStyle name="Normal 5 17 4" xfId="37131" xr:uid="{00000000-0005-0000-0000-0000FD900000}"/>
    <cellStyle name="Normal 5 17 4 10" xfId="37132" xr:uid="{00000000-0005-0000-0000-0000FE900000}"/>
    <cellStyle name="Normal 5 17 4 11" xfId="37133" xr:uid="{00000000-0005-0000-0000-0000FF900000}"/>
    <cellStyle name="Normal 5 17 4 12" xfId="37134" xr:uid="{00000000-0005-0000-0000-000000910000}"/>
    <cellStyle name="Normal 5 17 4 13" xfId="37135" xr:uid="{00000000-0005-0000-0000-000001910000}"/>
    <cellStyle name="Normal 5 17 4 14" xfId="37136" xr:uid="{00000000-0005-0000-0000-000002910000}"/>
    <cellStyle name="Normal 5 17 4 2" xfId="37137" xr:uid="{00000000-0005-0000-0000-000003910000}"/>
    <cellStyle name="Normal 5 17 4 2 10" xfId="37138" xr:uid="{00000000-0005-0000-0000-000004910000}"/>
    <cellStyle name="Normal 5 17 4 2 2" xfId="37139" xr:uid="{00000000-0005-0000-0000-000005910000}"/>
    <cellStyle name="Normal 5 17 4 2 3" xfId="37140" xr:uid="{00000000-0005-0000-0000-000006910000}"/>
    <cellStyle name="Normal 5 17 4 2 4" xfId="37141" xr:uid="{00000000-0005-0000-0000-000007910000}"/>
    <cellStyle name="Normal 5 17 4 2 5" xfId="37142" xr:uid="{00000000-0005-0000-0000-000008910000}"/>
    <cellStyle name="Normal 5 17 4 2 6" xfId="37143" xr:uid="{00000000-0005-0000-0000-000009910000}"/>
    <cellStyle name="Normal 5 17 4 2 7" xfId="37144" xr:uid="{00000000-0005-0000-0000-00000A910000}"/>
    <cellStyle name="Normal 5 17 4 2 8" xfId="37145" xr:uid="{00000000-0005-0000-0000-00000B910000}"/>
    <cellStyle name="Normal 5 17 4 2 9" xfId="37146" xr:uid="{00000000-0005-0000-0000-00000C910000}"/>
    <cellStyle name="Normal 5 17 4 3" xfId="37147" xr:uid="{00000000-0005-0000-0000-00000D910000}"/>
    <cellStyle name="Normal 5 17 4 3 10" xfId="37148" xr:uid="{00000000-0005-0000-0000-00000E910000}"/>
    <cellStyle name="Normal 5 17 4 3 2" xfId="37149" xr:uid="{00000000-0005-0000-0000-00000F910000}"/>
    <cellStyle name="Normal 5 17 4 3 3" xfId="37150" xr:uid="{00000000-0005-0000-0000-000010910000}"/>
    <cellStyle name="Normal 5 17 4 3 4" xfId="37151" xr:uid="{00000000-0005-0000-0000-000011910000}"/>
    <cellStyle name="Normal 5 17 4 3 5" xfId="37152" xr:uid="{00000000-0005-0000-0000-000012910000}"/>
    <cellStyle name="Normal 5 17 4 3 6" xfId="37153" xr:uid="{00000000-0005-0000-0000-000013910000}"/>
    <cellStyle name="Normal 5 17 4 3 7" xfId="37154" xr:uid="{00000000-0005-0000-0000-000014910000}"/>
    <cellStyle name="Normal 5 17 4 3 8" xfId="37155" xr:uid="{00000000-0005-0000-0000-000015910000}"/>
    <cellStyle name="Normal 5 17 4 3 9" xfId="37156" xr:uid="{00000000-0005-0000-0000-000016910000}"/>
    <cellStyle name="Normal 5 17 4 4" xfId="37157" xr:uid="{00000000-0005-0000-0000-000017910000}"/>
    <cellStyle name="Normal 5 17 4 4 10" xfId="37158" xr:uid="{00000000-0005-0000-0000-000018910000}"/>
    <cellStyle name="Normal 5 17 4 4 2" xfId="37159" xr:uid="{00000000-0005-0000-0000-000019910000}"/>
    <cellStyle name="Normal 5 17 4 4 3" xfId="37160" xr:uid="{00000000-0005-0000-0000-00001A910000}"/>
    <cellStyle name="Normal 5 17 4 4 4" xfId="37161" xr:uid="{00000000-0005-0000-0000-00001B910000}"/>
    <cellStyle name="Normal 5 17 4 4 5" xfId="37162" xr:uid="{00000000-0005-0000-0000-00001C910000}"/>
    <cellStyle name="Normal 5 17 4 4 6" xfId="37163" xr:uid="{00000000-0005-0000-0000-00001D910000}"/>
    <cellStyle name="Normal 5 17 4 4 7" xfId="37164" xr:uid="{00000000-0005-0000-0000-00001E910000}"/>
    <cellStyle name="Normal 5 17 4 4 8" xfId="37165" xr:uid="{00000000-0005-0000-0000-00001F910000}"/>
    <cellStyle name="Normal 5 17 4 4 9" xfId="37166" xr:uid="{00000000-0005-0000-0000-000020910000}"/>
    <cellStyle name="Normal 5 17 4 5" xfId="37167" xr:uid="{00000000-0005-0000-0000-000021910000}"/>
    <cellStyle name="Normal 5 17 4 5 10" xfId="37168" xr:uid="{00000000-0005-0000-0000-000022910000}"/>
    <cellStyle name="Normal 5 17 4 5 2" xfId="37169" xr:uid="{00000000-0005-0000-0000-000023910000}"/>
    <cellStyle name="Normal 5 17 4 5 3" xfId="37170" xr:uid="{00000000-0005-0000-0000-000024910000}"/>
    <cellStyle name="Normal 5 17 4 5 4" xfId="37171" xr:uid="{00000000-0005-0000-0000-000025910000}"/>
    <cellStyle name="Normal 5 17 4 5 5" xfId="37172" xr:uid="{00000000-0005-0000-0000-000026910000}"/>
    <cellStyle name="Normal 5 17 4 5 6" xfId="37173" xr:uid="{00000000-0005-0000-0000-000027910000}"/>
    <cellStyle name="Normal 5 17 4 5 7" xfId="37174" xr:uid="{00000000-0005-0000-0000-000028910000}"/>
    <cellStyle name="Normal 5 17 4 5 8" xfId="37175" xr:uid="{00000000-0005-0000-0000-000029910000}"/>
    <cellStyle name="Normal 5 17 4 5 9" xfId="37176" xr:uid="{00000000-0005-0000-0000-00002A910000}"/>
    <cellStyle name="Normal 5 17 4 6" xfId="37177" xr:uid="{00000000-0005-0000-0000-00002B910000}"/>
    <cellStyle name="Normal 5 17 4 7" xfId="37178" xr:uid="{00000000-0005-0000-0000-00002C910000}"/>
    <cellStyle name="Normal 5 17 4 8" xfId="37179" xr:uid="{00000000-0005-0000-0000-00002D910000}"/>
    <cellStyle name="Normal 5 17 4 9" xfId="37180" xr:uid="{00000000-0005-0000-0000-00002E910000}"/>
    <cellStyle name="Normal 5 17 40" xfId="37181" xr:uid="{00000000-0005-0000-0000-00002F910000}"/>
    <cellStyle name="Normal 5 17 41" xfId="37182" xr:uid="{00000000-0005-0000-0000-000030910000}"/>
    <cellStyle name="Normal 5 17 42" xfId="37183" xr:uid="{00000000-0005-0000-0000-000031910000}"/>
    <cellStyle name="Normal 5 17 43" xfId="37184" xr:uid="{00000000-0005-0000-0000-000032910000}"/>
    <cellStyle name="Normal 5 17 44" xfId="37185" xr:uid="{00000000-0005-0000-0000-000033910000}"/>
    <cellStyle name="Normal 5 17 45" xfId="37186" xr:uid="{00000000-0005-0000-0000-000034910000}"/>
    <cellStyle name="Normal 5 17 46" xfId="37187" xr:uid="{00000000-0005-0000-0000-000035910000}"/>
    <cellStyle name="Normal 5 17 47" xfId="37188" xr:uid="{00000000-0005-0000-0000-000036910000}"/>
    <cellStyle name="Normal 5 17 48" xfId="37189" xr:uid="{00000000-0005-0000-0000-000037910000}"/>
    <cellStyle name="Normal 5 17 49" xfId="37190" xr:uid="{00000000-0005-0000-0000-000038910000}"/>
    <cellStyle name="Normal 5 17 5" xfId="37191" xr:uid="{00000000-0005-0000-0000-000039910000}"/>
    <cellStyle name="Normal 5 17 5 10" xfId="37192" xr:uid="{00000000-0005-0000-0000-00003A910000}"/>
    <cellStyle name="Normal 5 17 5 11" xfId="37193" xr:uid="{00000000-0005-0000-0000-00003B910000}"/>
    <cellStyle name="Normal 5 17 5 12" xfId="37194" xr:uid="{00000000-0005-0000-0000-00003C910000}"/>
    <cellStyle name="Normal 5 17 5 13" xfId="37195" xr:uid="{00000000-0005-0000-0000-00003D910000}"/>
    <cellStyle name="Normal 5 17 5 14" xfId="37196" xr:uid="{00000000-0005-0000-0000-00003E910000}"/>
    <cellStyle name="Normal 5 17 5 2" xfId="37197" xr:uid="{00000000-0005-0000-0000-00003F910000}"/>
    <cellStyle name="Normal 5 17 5 2 10" xfId="37198" xr:uid="{00000000-0005-0000-0000-000040910000}"/>
    <cellStyle name="Normal 5 17 5 2 2" xfId="37199" xr:uid="{00000000-0005-0000-0000-000041910000}"/>
    <cellStyle name="Normal 5 17 5 2 3" xfId="37200" xr:uid="{00000000-0005-0000-0000-000042910000}"/>
    <cellStyle name="Normal 5 17 5 2 4" xfId="37201" xr:uid="{00000000-0005-0000-0000-000043910000}"/>
    <cellStyle name="Normal 5 17 5 2 5" xfId="37202" xr:uid="{00000000-0005-0000-0000-000044910000}"/>
    <cellStyle name="Normal 5 17 5 2 6" xfId="37203" xr:uid="{00000000-0005-0000-0000-000045910000}"/>
    <cellStyle name="Normal 5 17 5 2 7" xfId="37204" xr:uid="{00000000-0005-0000-0000-000046910000}"/>
    <cellStyle name="Normal 5 17 5 2 8" xfId="37205" xr:uid="{00000000-0005-0000-0000-000047910000}"/>
    <cellStyle name="Normal 5 17 5 2 9" xfId="37206" xr:uid="{00000000-0005-0000-0000-000048910000}"/>
    <cellStyle name="Normal 5 17 5 3" xfId="37207" xr:uid="{00000000-0005-0000-0000-000049910000}"/>
    <cellStyle name="Normal 5 17 5 3 10" xfId="37208" xr:uid="{00000000-0005-0000-0000-00004A910000}"/>
    <cellStyle name="Normal 5 17 5 3 2" xfId="37209" xr:uid="{00000000-0005-0000-0000-00004B910000}"/>
    <cellStyle name="Normal 5 17 5 3 3" xfId="37210" xr:uid="{00000000-0005-0000-0000-00004C910000}"/>
    <cellStyle name="Normal 5 17 5 3 4" xfId="37211" xr:uid="{00000000-0005-0000-0000-00004D910000}"/>
    <cellStyle name="Normal 5 17 5 3 5" xfId="37212" xr:uid="{00000000-0005-0000-0000-00004E910000}"/>
    <cellStyle name="Normal 5 17 5 3 6" xfId="37213" xr:uid="{00000000-0005-0000-0000-00004F910000}"/>
    <cellStyle name="Normal 5 17 5 3 7" xfId="37214" xr:uid="{00000000-0005-0000-0000-000050910000}"/>
    <cellStyle name="Normal 5 17 5 3 8" xfId="37215" xr:uid="{00000000-0005-0000-0000-000051910000}"/>
    <cellStyle name="Normal 5 17 5 3 9" xfId="37216" xr:uid="{00000000-0005-0000-0000-000052910000}"/>
    <cellStyle name="Normal 5 17 5 4" xfId="37217" xr:uid="{00000000-0005-0000-0000-000053910000}"/>
    <cellStyle name="Normal 5 17 5 4 10" xfId="37218" xr:uid="{00000000-0005-0000-0000-000054910000}"/>
    <cellStyle name="Normal 5 17 5 4 2" xfId="37219" xr:uid="{00000000-0005-0000-0000-000055910000}"/>
    <cellStyle name="Normal 5 17 5 4 3" xfId="37220" xr:uid="{00000000-0005-0000-0000-000056910000}"/>
    <cellStyle name="Normal 5 17 5 4 4" xfId="37221" xr:uid="{00000000-0005-0000-0000-000057910000}"/>
    <cellStyle name="Normal 5 17 5 4 5" xfId="37222" xr:uid="{00000000-0005-0000-0000-000058910000}"/>
    <cellStyle name="Normal 5 17 5 4 6" xfId="37223" xr:uid="{00000000-0005-0000-0000-000059910000}"/>
    <cellStyle name="Normal 5 17 5 4 7" xfId="37224" xr:uid="{00000000-0005-0000-0000-00005A910000}"/>
    <cellStyle name="Normal 5 17 5 4 8" xfId="37225" xr:uid="{00000000-0005-0000-0000-00005B910000}"/>
    <cellStyle name="Normal 5 17 5 4 9" xfId="37226" xr:uid="{00000000-0005-0000-0000-00005C910000}"/>
    <cellStyle name="Normal 5 17 5 5" xfId="37227" xr:uid="{00000000-0005-0000-0000-00005D910000}"/>
    <cellStyle name="Normal 5 17 5 5 10" xfId="37228" xr:uid="{00000000-0005-0000-0000-00005E910000}"/>
    <cellStyle name="Normal 5 17 5 5 2" xfId="37229" xr:uid="{00000000-0005-0000-0000-00005F910000}"/>
    <cellStyle name="Normal 5 17 5 5 3" xfId="37230" xr:uid="{00000000-0005-0000-0000-000060910000}"/>
    <cellStyle name="Normal 5 17 5 5 4" xfId="37231" xr:uid="{00000000-0005-0000-0000-000061910000}"/>
    <cellStyle name="Normal 5 17 5 5 5" xfId="37232" xr:uid="{00000000-0005-0000-0000-000062910000}"/>
    <cellStyle name="Normal 5 17 5 5 6" xfId="37233" xr:uid="{00000000-0005-0000-0000-000063910000}"/>
    <cellStyle name="Normal 5 17 5 5 7" xfId="37234" xr:uid="{00000000-0005-0000-0000-000064910000}"/>
    <cellStyle name="Normal 5 17 5 5 8" xfId="37235" xr:uid="{00000000-0005-0000-0000-000065910000}"/>
    <cellStyle name="Normal 5 17 5 5 9" xfId="37236" xr:uid="{00000000-0005-0000-0000-000066910000}"/>
    <cellStyle name="Normal 5 17 5 6" xfId="37237" xr:uid="{00000000-0005-0000-0000-000067910000}"/>
    <cellStyle name="Normal 5 17 5 7" xfId="37238" xr:uid="{00000000-0005-0000-0000-000068910000}"/>
    <cellStyle name="Normal 5 17 5 8" xfId="37239" xr:uid="{00000000-0005-0000-0000-000069910000}"/>
    <cellStyle name="Normal 5 17 5 9" xfId="37240" xr:uid="{00000000-0005-0000-0000-00006A910000}"/>
    <cellStyle name="Normal 5 17 6" xfId="37241" xr:uid="{00000000-0005-0000-0000-00006B910000}"/>
    <cellStyle name="Normal 5 17 6 10" xfId="37242" xr:uid="{00000000-0005-0000-0000-00006C910000}"/>
    <cellStyle name="Normal 5 17 6 11" xfId="37243" xr:uid="{00000000-0005-0000-0000-00006D910000}"/>
    <cellStyle name="Normal 5 17 6 12" xfId="37244" xr:uid="{00000000-0005-0000-0000-00006E910000}"/>
    <cellStyle name="Normal 5 17 6 13" xfId="37245" xr:uid="{00000000-0005-0000-0000-00006F910000}"/>
    <cellStyle name="Normal 5 17 6 14" xfId="37246" xr:uid="{00000000-0005-0000-0000-000070910000}"/>
    <cellStyle name="Normal 5 17 6 2" xfId="37247" xr:uid="{00000000-0005-0000-0000-000071910000}"/>
    <cellStyle name="Normal 5 17 6 2 10" xfId="37248" xr:uid="{00000000-0005-0000-0000-000072910000}"/>
    <cellStyle name="Normal 5 17 6 2 2" xfId="37249" xr:uid="{00000000-0005-0000-0000-000073910000}"/>
    <cellStyle name="Normal 5 17 6 2 3" xfId="37250" xr:uid="{00000000-0005-0000-0000-000074910000}"/>
    <cellStyle name="Normal 5 17 6 2 4" xfId="37251" xr:uid="{00000000-0005-0000-0000-000075910000}"/>
    <cellStyle name="Normal 5 17 6 2 5" xfId="37252" xr:uid="{00000000-0005-0000-0000-000076910000}"/>
    <cellStyle name="Normal 5 17 6 2 6" xfId="37253" xr:uid="{00000000-0005-0000-0000-000077910000}"/>
    <cellStyle name="Normal 5 17 6 2 7" xfId="37254" xr:uid="{00000000-0005-0000-0000-000078910000}"/>
    <cellStyle name="Normal 5 17 6 2 8" xfId="37255" xr:uid="{00000000-0005-0000-0000-000079910000}"/>
    <cellStyle name="Normal 5 17 6 2 9" xfId="37256" xr:uid="{00000000-0005-0000-0000-00007A910000}"/>
    <cellStyle name="Normal 5 17 6 3" xfId="37257" xr:uid="{00000000-0005-0000-0000-00007B910000}"/>
    <cellStyle name="Normal 5 17 6 3 10" xfId="37258" xr:uid="{00000000-0005-0000-0000-00007C910000}"/>
    <cellStyle name="Normal 5 17 6 3 2" xfId="37259" xr:uid="{00000000-0005-0000-0000-00007D910000}"/>
    <cellStyle name="Normal 5 17 6 3 3" xfId="37260" xr:uid="{00000000-0005-0000-0000-00007E910000}"/>
    <cellStyle name="Normal 5 17 6 3 4" xfId="37261" xr:uid="{00000000-0005-0000-0000-00007F910000}"/>
    <cellStyle name="Normal 5 17 6 3 5" xfId="37262" xr:uid="{00000000-0005-0000-0000-000080910000}"/>
    <cellStyle name="Normal 5 17 6 3 6" xfId="37263" xr:uid="{00000000-0005-0000-0000-000081910000}"/>
    <cellStyle name="Normal 5 17 6 3 7" xfId="37264" xr:uid="{00000000-0005-0000-0000-000082910000}"/>
    <cellStyle name="Normal 5 17 6 3 8" xfId="37265" xr:uid="{00000000-0005-0000-0000-000083910000}"/>
    <cellStyle name="Normal 5 17 6 3 9" xfId="37266" xr:uid="{00000000-0005-0000-0000-000084910000}"/>
    <cellStyle name="Normal 5 17 6 4" xfId="37267" xr:uid="{00000000-0005-0000-0000-000085910000}"/>
    <cellStyle name="Normal 5 17 6 4 10" xfId="37268" xr:uid="{00000000-0005-0000-0000-000086910000}"/>
    <cellStyle name="Normal 5 17 6 4 2" xfId="37269" xr:uid="{00000000-0005-0000-0000-000087910000}"/>
    <cellStyle name="Normal 5 17 6 4 3" xfId="37270" xr:uid="{00000000-0005-0000-0000-000088910000}"/>
    <cellStyle name="Normal 5 17 6 4 4" xfId="37271" xr:uid="{00000000-0005-0000-0000-000089910000}"/>
    <cellStyle name="Normal 5 17 6 4 5" xfId="37272" xr:uid="{00000000-0005-0000-0000-00008A910000}"/>
    <cellStyle name="Normal 5 17 6 4 6" xfId="37273" xr:uid="{00000000-0005-0000-0000-00008B910000}"/>
    <cellStyle name="Normal 5 17 6 4 7" xfId="37274" xr:uid="{00000000-0005-0000-0000-00008C910000}"/>
    <cellStyle name="Normal 5 17 6 4 8" xfId="37275" xr:uid="{00000000-0005-0000-0000-00008D910000}"/>
    <cellStyle name="Normal 5 17 6 4 9" xfId="37276" xr:uid="{00000000-0005-0000-0000-00008E910000}"/>
    <cellStyle name="Normal 5 17 6 5" xfId="37277" xr:uid="{00000000-0005-0000-0000-00008F910000}"/>
    <cellStyle name="Normal 5 17 6 5 10" xfId="37278" xr:uid="{00000000-0005-0000-0000-000090910000}"/>
    <cellStyle name="Normal 5 17 6 5 2" xfId="37279" xr:uid="{00000000-0005-0000-0000-000091910000}"/>
    <cellStyle name="Normal 5 17 6 5 3" xfId="37280" xr:uid="{00000000-0005-0000-0000-000092910000}"/>
    <cellStyle name="Normal 5 17 6 5 4" xfId="37281" xr:uid="{00000000-0005-0000-0000-000093910000}"/>
    <cellStyle name="Normal 5 17 6 5 5" xfId="37282" xr:uid="{00000000-0005-0000-0000-000094910000}"/>
    <cellStyle name="Normal 5 17 6 5 6" xfId="37283" xr:uid="{00000000-0005-0000-0000-000095910000}"/>
    <cellStyle name="Normal 5 17 6 5 7" xfId="37284" xr:uid="{00000000-0005-0000-0000-000096910000}"/>
    <cellStyle name="Normal 5 17 6 5 8" xfId="37285" xr:uid="{00000000-0005-0000-0000-000097910000}"/>
    <cellStyle name="Normal 5 17 6 5 9" xfId="37286" xr:uid="{00000000-0005-0000-0000-000098910000}"/>
    <cellStyle name="Normal 5 17 6 6" xfId="37287" xr:uid="{00000000-0005-0000-0000-000099910000}"/>
    <cellStyle name="Normal 5 17 6 7" xfId="37288" xr:uid="{00000000-0005-0000-0000-00009A910000}"/>
    <cellStyle name="Normal 5 17 6 8" xfId="37289" xr:uid="{00000000-0005-0000-0000-00009B910000}"/>
    <cellStyle name="Normal 5 17 6 9" xfId="37290" xr:uid="{00000000-0005-0000-0000-00009C910000}"/>
    <cellStyle name="Normal 5 17 7" xfId="37291" xr:uid="{00000000-0005-0000-0000-00009D910000}"/>
    <cellStyle name="Normal 5 17 7 10" xfId="37292" xr:uid="{00000000-0005-0000-0000-00009E910000}"/>
    <cellStyle name="Normal 5 17 7 11" xfId="37293" xr:uid="{00000000-0005-0000-0000-00009F910000}"/>
    <cellStyle name="Normal 5 17 7 12" xfId="37294" xr:uid="{00000000-0005-0000-0000-0000A0910000}"/>
    <cellStyle name="Normal 5 17 7 13" xfId="37295" xr:uid="{00000000-0005-0000-0000-0000A1910000}"/>
    <cellStyle name="Normal 5 17 7 14" xfId="37296" xr:uid="{00000000-0005-0000-0000-0000A2910000}"/>
    <cellStyle name="Normal 5 17 7 2" xfId="37297" xr:uid="{00000000-0005-0000-0000-0000A3910000}"/>
    <cellStyle name="Normal 5 17 7 2 10" xfId="37298" xr:uid="{00000000-0005-0000-0000-0000A4910000}"/>
    <cellStyle name="Normal 5 17 7 2 2" xfId="37299" xr:uid="{00000000-0005-0000-0000-0000A5910000}"/>
    <cellStyle name="Normal 5 17 7 2 3" xfId="37300" xr:uid="{00000000-0005-0000-0000-0000A6910000}"/>
    <cellStyle name="Normal 5 17 7 2 4" xfId="37301" xr:uid="{00000000-0005-0000-0000-0000A7910000}"/>
    <cellStyle name="Normal 5 17 7 2 5" xfId="37302" xr:uid="{00000000-0005-0000-0000-0000A8910000}"/>
    <cellStyle name="Normal 5 17 7 2 6" xfId="37303" xr:uid="{00000000-0005-0000-0000-0000A9910000}"/>
    <cellStyle name="Normal 5 17 7 2 7" xfId="37304" xr:uid="{00000000-0005-0000-0000-0000AA910000}"/>
    <cellStyle name="Normal 5 17 7 2 8" xfId="37305" xr:uid="{00000000-0005-0000-0000-0000AB910000}"/>
    <cellStyle name="Normal 5 17 7 2 9" xfId="37306" xr:uid="{00000000-0005-0000-0000-0000AC910000}"/>
    <cellStyle name="Normal 5 17 7 3" xfId="37307" xr:uid="{00000000-0005-0000-0000-0000AD910000}"/>
    <cellStyle name="Normal 5 17 7 3 10" xfId="37308" xr:uid="{00000000-0005-0000-0000-0000AE910000}"/>
    <cellStyle name="Normal 5 17 7 3 2" xfId="37309" xr:uid="{00000000-0005-0000-0000-0000AF910000}"/>
    <cellStyle name="Normal 5 17 7 3 3" xfId="37310" xr:uid="{00000000-0005-0000-0000-0000B0910000}"/>
    <cellStyle name="Normal 5 17 7 3 4" xfId="37311" xr:uid="{00000000-0005-0000-0000-0000B1910000}"/>
    <cellStyle name="Normal 5 17 7 3 5" xfId="37312" xr:uid="{00000000-0005-0000-0000-0000B2910000}"/>
    <cellStyle name="Normal 5 17 7 3 6" xfId="37313" xr:uid="{00000000-0005-0000-0000-0000B3910000}"/>
    <cellStyle name="Normal 5 17 7 3 7" xfId="37314" xr:uid="{00000000-0005-0000-0000-0000B4910000}"/>
    <cellStyle name="Normal 5 17 7 3 8" xfId="37315" xr:uid="{00000000-0005-0000-0000-0000B5910000}"/>
    <cellStyle name="Normal 5 17 7 3 9" xfId="37316" xr:uid="{00000000-0005-0000-0000-0000B6910000}"/>
    <cellStyle name="Normal 5 17 7 4" xfId="37317" xr:uid="{00000000-0005-0000-0000-0000B7910000}"/>
    <cellStyle name="Normal 5 17 7 4 10" xfId="37318" xr:uid="{00000000-0005-0000-0000-0000B8910000}"/>
    <cellStyle name="Normal 5 17 7 4 2" xfId="37319" xr:uid="{00000000-0005-0000-0000-0000B9910000}"/>
    <cellStyle name="Normal 5 17 7 4 3" xfId="37320" xr:uid="{00000000-0005-0000-0000-0000BA910000}"/>
    <cellStyle name="Normal 5 17 7 4 4" xfId="37321" xr:uid="{00000000-0005-0000-0000-0000BB910000}"/>
    <cellStyle name="Normal 5 17 7 4 5" xfId="37322" xr:uid="{00000000-0005-0000-0000-0000BC910000}"/>
    <cellStyle name="Normal 5 17 7 4 6" xfId="37323" xr:uid="{00000000-0005-0000-0000-0000BD910000}"/>
    <cellStyle name="Normal 5 17 7 4 7" xfId="37324" xr:uid="{00000000-0005-0000-0000-0000BE910000}"/>
    <cellStyle name="Normal 5 17 7 4 8" xfId="37325" xr:uid="{00000000-0005-0000-0000-0000BF910000}"/>
    <cellStyle name="Normal 5 17 7 4 9" xfId="37326" xr:uid="{00000000-0005-0000-0000-0000C0910000}"/>
    <cellStyle name="Normal 5 17 7 5" xfId="37327" xr:uid="{00000000-0005-0000-0000-0000C1910000}"/>
    <cellStyle name="Normal 5 17 7 5 10" xfId="37328" xr:uid="{00000000-0005-0000-0000-0000C2910000}"/>
    <cellStyle name="Normal 5 17 7 5 2" xfId="37329" xr:uid="{00000000-0005-0000-0000-0000C3910000}"/>
    <cellStyle name="Normal 5 17 7 5 3" xfId="37330" xr:uid="{00000000-0005-0000-0000-0000C4910000}"/>
    <cellStyle name="Normal 5 17 7 5 4" xfId="37331" xr:uid="{00000000-0005-0000-0000-0000C5910000}"/>
    <cellStyle name="Normal 5 17 7 5 5" xfId="37332" xr:uid="{00000000-0005-0000-0000-0000C6910000}"/>
    <cellStyle name="Normal 5 17 7 5 6" xfId="37333" xr:uid="{00000000-0005-0000-0000-0000C7910000}"/>
    <cellStyle name="Normal 5 17 7 5 7" xfId="37334" xr:uid="{00000000-0005-0000-0000-0000C8910000}"/>
    <cellStyle name="Normal 5 17 7 5 8" xfId="37335" xr:uid="{00000000-0005-0000-0000-0000C9910000}"/>
    <cellStyle name="Normal 5 17 7 5 9" xfId="37336" xr:uid="{00000000-0005-0000-0000-0000CA910000}"/>
    <cellStyle name="Normal 5 17 7 6" xfId="37337" xr:uid="{00000000-0005-0000-0000-0000CB910000}"/>
    <cellStyle name="Normal 5 17 7 7" xfId="37338" xr:uid="{00000000-0005-0000-0000-0000CC910000}"/>
    <cellStyle name="Normal 5 17 7 8" xfId="37339" xr:uid="{00000000-0005-0000-0000-0000CD910000}"/>
    <cellStyle name="Normal 5 17 7 9" xfId="37340" xr:uid="{00000000-0005-0000-0000-0000CE910000}"/>
    <cellStyle name="Normal 5 17 8" xfId="37341" xr:uid="{00000000-0005-0000-0000-0000CF910000}"/>
    <cellStyle name="Normal 5 17 8 10" xfId="37342" xr:uid="{00000000-0005-0000-0000-0000D0910000}"/>
    <cellStyle name="Normal 5 17 8 11" xfId="37343" xr:uid="{00000000-0005-0000-0000-0000D1910000}"/>
    <cellStyle name="Normal 5 17 8 12" xfId="37344" xr:uid="{00000000-0005-0000-0000-0000D2910000}"/>
    <cellStyle name="Normal 5 17 8 13" xfId="37345" xr:uid="{00000000-0005-0000-0000-0000D3910000}"/>
    <cellStyle name="Normal 5 17 8 14" xfId="37346" xr:uid="{00000000-0005-0000-0000-0000D4910000}"/>
    <cellStyle name="Normal 5 17 8 2" xfId="37347" xr:uid="{00000000-0005-0000-0000-0000D5910000}"/>
    <cellStyle name="Normal 5 17 8 2 10" xfId="37348" xr:uid="{00000000-0005-0000-0000-0000D6910000}"/>
    <cellStyle name="Normal 5 17 8 2 2" xfId="37349" xr:uid="{00000000-0005-0000-0000-0000D7910000}"/>
    <cellStyle name="Normal 5 17 8 2 3" xfId="37350" xr:uid="{00000000-0005-0000-0000-0000D8910000}"/>
    <cellStyle name="Normal 5 17 8 2 4" xfId="37351" xr:uid="{00000000-0005-0000-0000-0000D9910000}"/>
    <cellStyle name="Normal 5 17 8 2 5" xfId="37352" xr:uid="{00000000-0005-0000-0000-0000DA910000}"/>
    <cellStyle name="Normal 5 17 8 2 6" xfId="37353" xr:uid="{00000000-0005-0000-0000-0000DB910000}"/>
    <cellStyle name="Normal 5 17 8 2 7" xfId="37354" xr:uid="{00000000-0005-0000-0000-0000DC910000}"/>
    <cellStyle name="Normal 5 17 8 2 8" xfId="37355" xr:uid="{00000000-0005-0000-0000-0000DD910000}"/>
    <cellStyle name="Normal 5 17 8 2 9" xfId="37356" xr:uid="{00000000-0005-0000-0000-0000DE910000}"/>
    <cellStyle name="Normal 5 17 8 3" xfId="37357" xr:uid="{00000000-0005-0000-0000-0000DF910000}"/>
    <cellStyle name="Normal 5 17 8 3 10" xfId="37358" xr:uid="{00000000-0005-0000-0000-0000E0910000}"/>
    <cellStyle name="Normal 5 17 8 3 2" xfId="37359" xr:uid="{00000000-0005-0000-0000-0000E1910000}"/>
    <cellStyle name="Normal 5 17 8 3 3" xfId="37360" xr:uid="{00000000-0005-0000-0000-0000E2910000}"/>
    <cellStyle name="Normal 5 17 8 3 4" xfId="37361" xr:uid="{00000000-0005-0000-0000-0000E3910000}"/>
    <cellStyle name="Normal 5 17 8 3 5" xfId="37362" xr:uid="{00000000-0005-0000-0000-0000E4910000}"/>
    <cellStyle name="Normal 5 17 8 3 6" xfId="37363" xr:uid="{00000000-0005-0000-0000-0000E5910000}"/>
    <cellStyle name="Normal 5 17 8 3 7" xfId="37364" xr:uid="{00000000-0005-0000-0000-0000E6910000}"/>
    <cellStyle name="Normal 5 17 8 3 8" xfId="37365" xr:uid="{00000000-0005-0000-0000-0000E7910000}"/>
    <cellStyle name="Normal 5 17 8 3 9" xfId="37366" xr:uid="{00000000-0005-0000-0000-0000E8910000}"/>
    <cellStyle name="Normal 5 17 8 4" xfId="37367" xr:uid="{00000000-0005-0000-0000-0000E9910000}"/>
    <cellStyle name="Normal 5 17 8 4 10" xfId="37368" xr:uid="{00000000-0005-0000-0000-0000EA910000}"/>
    <cellStyle name="Normal 5 17 8 4 2" xfId="37369" xr:uid="{00000000-0005-0000-0000-0000EB910000}"/>
    <cellStyle name="Normal 5 17 8 4 3" xfId="37370" xr:uid="{00000000-0005-0000-0000-0000EC910000}"/>
    <cellStyle name="Normal 5 17 8 4 4" xfId="37371" xr:uid="{00000000-0005-0000-0000-0000ED910000}"/>
    <cellStyle name="Normal 5 17 8 4 5" xfId="37372" xr:uid="{00000000-0005-0000-0000-0000EE910000}"/>
    <cellStyle name="Normal 5 17 8 4 6" xfId="37373" xr:uid="{00000000-0005-0000-0000-0000EF910000}"/>
    <cellStyle name="Normal 5 17 8 4 7" xfId="37374" xr:uid="{00000000-0005-0000-0000-0000F0910000}"/>
    <cellStyle name="Normal 5 17 8 4 8" xfId="37375" xr:uid="{00000000-0005-0000-0000-0000F1910000}"/>
    <cellStyle name="Normal 5 17 8 4 9" xfId="37376" xr:uid="{00000000-0005-0000-0000-0000F2910000}"/>
    <cellStyle name="Normal 5 17 8 5" xfId="37377" xr:uid="{00000000-0005-0000-0000-0000F3910000}"/>
    <cellStyle name="Normal 5 17 8 5 10" xfId="37378" xr:uid="{00000000-0005-0000-0000-0000F4910000}"/>
    <cellStyle name="Normal 5 17 8 5 2" xfId="37379" xr:uid="{00000000-0005-0000-0000-0000F5910000}"/>
    <cellStyle name="Normal 5 17 8 5 3" xfId="37380" xr:uid="{00000000-0005-0000-0000-0000F6910000}"/>
    <cellStyle name="Normal 5 17 8 5 4" xfId="37381" xr:uid="{00000000-0005-0000-0000-0000F7910000}"/>
    <cellStyle name="Normal 5 17 8 5 5" xfId="37382" xr:uid="{00000000-0005-0000-0000-0000F8910000}"/>
    <cellStyle name="Normal 5 17 8 5 6" xfId="37383" xr:uid="{00000000-0005-0000-0000-0000F9910000}"/>
    <cellStyle name="Normal 5 17 8 5 7" xfId="37384" xr:uid="{00000000-0005-0000-0000-0000FA910000}"/>
    <cellStyle name="Normal 5 17 8 5 8" xfId="37385" xr:uid="{00000000-0005-0000-0000-0000FB910000}"/>
    <cellStyle name="Normal 5 17 8 5 9" xfId="37386" xr:uid="{00000000-0005-0000-0000-0000FC910000}"/>
    <cellStyle name="Normal 5 17 8 6" xfId="37387" xr:uid="{00000000-0005-0000-0000-0000FD910000}"/>
    <cellStyle name="Normal 5 17 8 7" xfId="37388" xr:uid="{00000000-0005-0000-0000-0000FE910000}"/>
    <cellStyle name="Normal 5 17 8 8" xfId="37389" xr:uid="{00000000-0005-0000-0000-0000FF910000}"/>
    <cellStyle name="Normal 5 17 8 9" xfId="37390" xr:uid="{00000000-0005-0000-0000-000000920000}"/>
    <cellStyle name="Normal 5 17 9" xfId="37391" xr:uid="{00000000-0005-0000-0000-000001920000}"/>
    <cellStyle name="Normal 5 17 9 10" xfId="37392" xr:uid="{00000000-0005-0000-0000-000002920000}"/>
    <cellStyle name="Normal 5 17 9 11" xfId="37393" xr:uid="{00000000-0005-0000-0000-000003920000}"/>
    <cellStyle name="Normal 5 17 9 12" xfId="37394" xr:uid="{00000000-0005-0000-0000-000004920000}"/>
    <cellStyle name="Normal 5 17 9 13" xfId="37395" xr:uid="{00000000-0005-0000-0000-000005920000}"/>
    <cellStyle name="Normal 5 17 9 14" xfId="37396" xr:uid="{00000000-0005-0000-0000-000006920000}"/>
    <cellStyle name="Normal 5 17 9 2" xfId="37397" xr:uid="{00000000-0005-0000-0000-000007920000}"/>
    <cellStyle name="Normal 5 17 9 2 10" xfId="37398" xr:uid="{00000000-0005-0000-0000-000008920000}"/>
    <cellStyle name="Normal 5 17 9 2 2" xfId="37399" xr:uid="{00000000-0005-0000-0000-000009920000}"/>
    <cellStyle name="Normal 5 17 9 2 3" xfId="37400" xr:uid="{00000000-0005-0000-0000-00000A920000}"/>
    <cellStyle name="Normal 5 17 9 2 4" xfId="37401" xr:uid="{00000000-0005-0000-0000-00000B920000}"/>
    <cellStyle name="Normal 5 17 9 2 5" xfId="37402" xr:uid="{00000000-0005-0000-0000-00000C920000}"/>
    <cellStyle name="Normal 5 17 9 2 6" xfId="37403" xr:uid="{00000000-0005-0000-0000-00000D920000}"/>
    <cellStyle name="Normal 5 17 9 2 7" xfId="37404" xr:uid="{00000000-0005-0000-0000-00000E920000}"/>
    <cellStyle name="Normal 5 17 9 2 8" xfId="37405" xr:uid="{00000000-0005-0000-0000-00000F920000}"/>
    <cellStyle name="Normal 5 17 9 2 9" xfId="37406" xr:uid="{00000000-0005-0000-0000-000010920000}"/>
    <cellStyle name="Normal 5 17 9 3" xfId="37407" xr:uid="{00000000-0005-0000-0000-000011920000}"/>
    <cellStyle name="Normal 5 17 9 3 10" xfId="37408" xr:uid="{00000000-0005-0000-0000-000012920000}"/>
    <cellStyle name="Normal 5 17 9 3 2" xfId="37409" xr:uid="{00000000-0005-0000-0000-000013920000}"/>
    <cellStyle name="Normal 5 17 9 3 3" xfId="37410" xr:uid="{00000000-0005-0000-0000-000014920000}"/>
    <cellStyle name="Normal 5 17 9 3 4" xfId="37411" xr:uid="{00000000-0005-0000-0000-000015920000}"/>
    <cellStyle name="Normal 5 17 9 3 5" xfId="37412" xr:uid="{00000000-0005-0000-0000-000016920000}"/>
    <cellStyle name="Normal 5 17 9 3 6" xfId="37413" xr:uid="{00000000-0005-0000-0000-000017920000}"/>
    <cellStyle name="Normal 5 17 9 3 7" xfId="37414" xr:uid="{00000000-0005-0000-0000-000018920000}"/>
    <cellStyle name="Normal 5 17 9 3 8" xfId="37415" xr:uid="{00000000-0005-0000-0000-000019920000}"/>
    <cellStyle name="Normal 5 17 9 3 9" xfId="37416" xr:uid="{00000000-0005-0000-0000-00001A920000}"/>
    <cellStyle name="Normal 5 17 9 4" xfId="37417" xr:uid="{00000000-0005-0000-0000-00001B920000}"/>
    <cellStyle name="Normal 5 17 9 4 10" xfId="37418" xr:uid="{00000000-0005-0000-0000-00001C920000}"/>
    <cellStyle name="Normal 5 17 9 4 2" xfId="37419" xr:uid="{00000000-0005-0000-0000-00001D920000}"/>
    <cellStyle name="Normal 5 17 9 4 3" xfId="37420" xr:uid="{00000000-0005-0000-0000-00001E920000}"/>
    <cellStyle name="Normal 5 17 9 4 4" xfId="37421" xr:uid="{00000000-0005-0000-0000-00001F920000}"/>
    <cellStyle name="Normal 5 17 9 4 5" xfId="37422" xr:uid="{00000000-0005-0000-0000-000020920000}"/>
    <cellStyle name="Normal 5 17 9 4 6" xfId="37423" xr:uid="{00000000-0005-0000-0000-000021920000}"/>
    <cellStyle name="Normal 5 17 9 4 7" xfId="37424" xr:uid="{00000000-0005-0000-0000-000022920000}"/>
    <cellStyle name="Normal 5 17 9 4 8" xfId="37425" xr:uid="{00000000-0005-0000-0000-000023920000}"/>
    <cellStyle name="Normal 5 17 9 4 9" xfId="37426" xr:uid="{00000000-0005-0000-0000-000024920000}"/>
    <cellStyle name="Normal 5 17 9 5" xfId="37427" xr:uid="{00000000-0005-0000-0000-000025920000}"/>
    <cellStyle name="Normal 5 17 9 5 10" xfId="37428" xr:uid="{00000000-0005-0000-0000-000026920000}"/>
    <cellStyle name="Normal 5 17 9 5 2" xfId="37429" xr:uid="{00000000-0005-0000-0000-000027920000}"/>
    <cellStyle name="Normal 5 17 9 5 3" xfId="37430" xr:uid="{00000000-0005-0000-0000-000028920000}"/>
    <cellStyle name="Normal 5 17 9 5 4" xfId="37431" xr:uid="{00000000-0005-0000-0000-000029920000}"/>
    <cellStyle name="Normal 5 17 9 5 5" xfId="37432" xr:uid="{00000000-0005-0000-0000-00002A920000}"/>
    <cellStyle name="Normal 5 17 9 5 6" xfId="37433" xr:uid="{00000000-0005-0000-0000-00002B920000}"/>
    <cellStyle name="Normal 5 17 9 5 7" xfId="37434" xr:uid="{00000000-0005-0000-0000-00002C920000}"/>
    <cellStyle name="Normal 5 17 9 5 8" xfId="37435" xr:uid="{00000000-0005-0000-0000-00002D920000}"/>
    <cellStyle name="Normal 5 17 9 5 9" xfId="37436" xr:uid="{00000000-0005-0000-0000-00002E920000}"/>
    <cellStyle name="Normal 5 17 9 6" xfId="37437" xr:uid="{00000000-0005-0000-0000-00002F920000}"/>
    <cellStyle name="Normal 5 17 9 7" xfId="37438" xr:uid="{00000000-0005-0000-0000-000030920000}"/>
    <cellStyle name="Normal 5 17 9 8" xfId="37439" xr:uid="{00000000-0005-0000-0000-000031920000}"/>
    <cellStyle name="Normal 5 17 9 9" xfId="37440" xr:uid="{00000000-0005-0000-0000-000032920000}"/>
    <cellStyle name="Normal 5 18" xfId="37441" xr:uid="{00000000-0005-0000-0000-000033920000}"/>
    <cellStyle name="Normal 5 18 2" xfId="37442" xr:uid="{00000000-0005-0000-0000-000034920000}"/>
    <cellStyle name="Normal 5 18 2 2" xfId="37443" xr:uid="{00000000-0005-0000-0000-000035920000}"/>
    <cellStyle name="Normal 5 18 3" xfId="37444" xr:uid="{00000000-0005-0000-0000-000036920000}"/>
    <cellStyle name="Normal 5 18 4" xfId="37445" xr:uid="{00000000-0005-0000-0000-000037920000}"/>
    <cellStyle name="Normal 5 19" xfId="37446" xr:uid="{00000000-0005-0000-0000-000038920000}"/>
    <cellStyle name="Normal 5 19 2" xfId="37447" xr:uid="{00000000-0005-0000-0000-000039920000}"/>
    <cellStyle name="Normal 5 19 2 2" xfId="37448" xr:uid="{00000000-0005-0000-0000-00003A920000}"/>
    <cellStyle name="Normal 5 19 3" xfId="37449" xr:uid="{00000000-0005-0000-0000-00003B920000}"/>
    <cellStyle name="Normal 5 19 4" xfId="37450" xr:uid="{00000000-0005-0000-0000-00003C920000}"/>
    <cellStyle name="Normal 5 2" xfId="28" xr:uid="{00000000-0005-0000-0000-00003D920000}"/>
    <cellStyle name="Normal 5 2 10" xfId="37452" xr:uid="{00000000-0005-0000-0000-00003E920000}"/>
    <cellStyle name="Normal 5 2 11" xfId="37453" xr:uid="{00000000-0005-0000-0000-00003F920000}"/>
    <cellStyle name="Normal 5 2 12" xfId="37454" xr:uid="{00000000-0005-0000-0000-000040920000}"/>
    <cellStyle name="Normal 5 2 13" xfId="37455" xr:uid="{00000000-0005-0000-0000-000041920000}"/>
    <cellStyle name="Normal 5 2 14" xfId="37456" xr:uid="{00000000-0005-0000-0000-000042920000}"/>
    <cellStyle name="Normal 5 2 15" xfId="37457" xr:uid="{00000000-0005-0000-0000-000043920000}"/>
    <cellStyle name="Normal 5 2 16" xfId="37458" xr:uid="{00000000-0005-0000-0000-000044920000}"/>
    <cellStyle name="Normal 5 2 17" xfId="37459" xr:uid="{00000000-0005-0000-0000-000045920000}"/>
    <cellStyle name="Normal 5 2 18" xfId="37460" xr:uid="{00000000-0005-0000-0000-000046920000}"/>
    <cellStyle name="Normal 5 2 19" xfId="37461" xr:uid="{00000000-0005-0000-0000-000047920000}"/>
    <cellStyle name="Normal 5 2 2" xfId="62" xr:uid="{00000000-0005-0000-0000-000048920000}"/>
    <cellStyle name="Normal 5 2 2 2" xfId="37463" xr:uid="{00000000-0005-0000-0000-000049920000}"/>
    <cellStyle name="Normal 5 2 2 2 2" xfId="37464" xr:uid="{00000000-0005-0000-0000-00004A920000}"/>
    <cellStyle name="Normal 5 2 2 3" xfId="37462" xr:uid="{00000000-0005-0000-0000-00004B920000}"/>
    <cellStyle name="Normal 5 2 20" xfId="37465" xr:uid="{00000000-0005-0000-0000-00004C920000}"/>
    <cellStyle name="Normal 5 2 21" xfId="37466" xr:uid="{00000000-0005-0000-0000-00004D920000}"/>
    <cellStyle name="Normal 5 2 22" xfId="37467" xr:uid="{00000000-0005-0000-0000-00004E920000}"/>
    <cellStyle name="Normal 5 2 23" xfId="37468" xr:uid="{00000000-0005-0000-0000-00004F920000}"/>
    <cellStyle name="Normal 5 2 24" xfId="37469" xr:uid="{00000000-0005-0000-0000-000050920000}"/>
    <cellStyle name="Normal 5 2 25" xfId="37470" xr:uid="{00000000-0005-0000-0000-000051920000}"/>
    <cellStyle name="Normal 5 2 26" xfId="37471" xr:uid="{00000000-0005-0000-0000-000052920000}"/>
    <cellStyle name="Normal 5 2 27" xfId="37472" xr:uid="{00000000-0005-0000-0000-000053920000}"/>
    <cellStyle name="Normal 5 2 28" xfId="37473" xr:uid="{00000000-0005-0000-0000-000054920000}"/>
    <cellStyle name="Normal 5 2 29" xfId="37474" xr:uid="{00000000-0005-0000-0000-000055920000}"/>
    <cellStyle name="Normal 5 2 3" xfId="37475" xr:uid="{00000000-0005-0000-0000-000056920000}"/>
    <cellStyle name="Normal 5 2 30" xfId="37476" xr:uid="{00000000-0005-0000-0000-000057920000}"/>
    <cellStyle name="Normal 5 2 31" xfId="37477" xr:uid="{00000000-0005-0000-0000-000058920000}"/>
    <cellStyle name="Normal 5 2 32" xfId="37478" xr:uid="{00000000-0005-0000-0000-000059920000}"/>
    <cellStyle name="Normal 5 2 33" xfId="37479" xr:uid="{00000000-0005-0000-0000-00005A920000}"/>
    <cellStyle name="Normal 5 2 34" xfId="37480" xr:uid="{00000000-0005-0000-0000-00005B920000}"/>
    <cellStyle name="Normal 5 2 35" xfId="37481" xr:uid="{00000000-0005-0000-0000-00005C920000}"/>
    <cellStyle name="Normal 5 2 36" xfId="37482" xr:uid="{00000000-0005-0000-0000-00005D920000}"/>
    <cellStyle name="Normal 5 2 37" xfId="37483" xr:uid="{00000000-0005-0000-0000-00005E920000}"/>
    <cellStyle name="Normal 5 2 38" xfId="37484" xr:uid="{00000000-0005-0000-0000-00005F920000}"/>
    <cellStyle name="Normal 5 2 39" xfId="37485" xr:uid="{00000000-0005-0000-0000-000060920000}"/>
    <cellStyle name="Normal 5 2 4" xfId="37486" xr:uid="{00000000-0005-0000-0000-000061920000}"/>
    <cellStyle name="Normal 5 2 40" xfId="37487" xr:uid="{00000000-0005-0000-0000-000062920000}"/>
    <cellStyle name="Normal 5 2 41" xfId="37488" xr:uid="{00000000-0005-0000-0000-000063920000}"/>
    <cellStyle name="Normal 5 2 42" xfId="37489" xr:uid="{00000000-0005-0000-0000-000064920000}"/>
    <cellStyle name="Normal 5 2 43" xfId="37490" xr:uid="{00000000-0005-0000-0000-000065920000}"/>
    <cellStyle name="Normal 5 2 44" xfId="37491" xr:uid="{00000000-0005-0000-0000-000066920000}"/>
    <cellStyle name="Normal 5 2 45" xfId="37492" xr:uid="{00000000-0005-0000-0000-000067920000}"/>
    <cellStyle name="Normal 5 2 46" xfId="37493" xr:uid="{00000000-0005-0000-0000-000068920000}"/>
    <cellStyle name="Normal 5 2 47" xfId="37494" xr:uid="{00000000-0005-0000-0000-000069920000}"/>
    <cellStyle name="Normal 5 2 48" xfId="37495" xr:uid="{00000000-0005-0000-0000-00006A920000}"/>
    <cellStyle name="Normal 5 2 49" xfId="37496" xr:uid="{00000000-0005-0000-0000-00006B920000}"/>
    <cellStyle name="Normal 5 2 5" xfId="37497" xr:uid="{00000000-0005-0000-0000-00006C920000}"/>
    <cellStyle name="Normal 5 2 50" xfId="37498" xr:uid="{00000000-0005-0000-0000-00006D920000}"/>
    <cellStyle name="Normal 5 2 51" xfId="37499" xr:uid="{00000000-0005-0000-0000-00006E920000}"/>
    <cellStyle name="Normal 5 2 52" xfId="37500" xr:uid="{00000000-0005-0000-0000-00006F920000}"/>
    <cellStyle name="Normal 5 2 53" xfId="37501" xr:uid="{00000000-0005-0000-0000-000070920000}"/>
    <cellStyle name="Normal 5 2 54" xfId="37502" xr:uid="{00000000-0005-0000-0000-000071920000}"/>
    <cellStyle name="Normal 5 2 55" xfId="37503" xr:uid="{00000000-0005-0000-0000-000072920000}"/>
    <cellStyle name="Normal 5 2 56" xfId="37504" xr:uid="{00000000-0005-0000-0000-000073920000}"/>
    <cellStyle name="Normal 5 2 57" xfId="37505" xr:uid="{00000000-0005-0000-0000-000074920000}"/>
    <cellStyle name="Normal 5 2 58" xfId="37506" xr:uid="{00000000-0005-0000-0000-000075920000}"/>
    <cellStyle name="Normal 5 2 59" xfId="37507" xr:uid="{00000000-0005-0000-0000-000076920000}"/>
    <cellStyle name="Normal 5 2 6" xfId="37508" xr:uid="{00000000-0005-0000-0000-000077920000}"/>
    <cellStyle name="Normal 5 2 60" xfId="37509" xr:uid="{00000000-0005-0000-0000-000078920000}"/>
    <cellStyle name="Normal 5 2 61" xfId="37510" xr:uid="{00000000-0005-0000-0000-000079920000}"/>
    <cellStyle name="Normal 5 2 62" xfId="37511" xr:uid="{00000000-0005-0000-0000-00007A920000}"/>
    <cellStyle name="Normal 5 2 63" xfId="37512" xr:uid="{00000000-0005-0000-0000-00007B920000}"/>
    <cellStyle name="Normal 5 2 64" xfId="37513" xr:uid="{00000000-0005-0000-0000-00007C920000}"/>
    <cellStyle name="Normal 5 2 65" xfId="37514" xr:uid="{00000000-0005-0000-0000-00007D920000}"/>
    <cellStyle name="Normal 5 2 66" xfId="37515" xr:uid="{00000000-0005-0000-0000-00007E920000}"/>
    <cellStyle name="Normal 5 2 67" xfId="37516" xr:uid="{00000000-0005-0000-0000-00007F920000}"/>
    <cellStyle name="Normal 5 2 68" xfId="37517" xr:uid="{00000000-0005-0000-0000-000080920000}"/>
    <cellStyle name="Normal 5 2 69" xfId="37518" xr:uid="{00000000-0005-0000-0000-000081920000}"/>
    <cellStyle name="Normal 5 2 7" xfId="37519" xr:uid="{00000000-0005-0000-0000-000082920000}"/>
    <cellStyle name="Normal 5 2 70" xfId="37520" xr:uid="{00000000-0005-0000-0000-000083920000}"/>
    <cellStyle name="Normal 5 2 71" xfId="37521" xr:uid="{00000000-0005-0000-0000-000084920000}"/>
    <cellStyle name="Normal 5 2 72" xfId="37522" xr:uid="{00000000-0005-0000-0000-000085920000}"/>
    <cellStyle name="Normal 5 2 73" xfId="37523" xr:uid="{00000000-0005-0000-0000-000086920000}"/>
    <cellStyle name="Normal 5 2 74" xfId="37524" xr:uid="{00000000-0005-0000-0000-000087920000}"/>
    <cellStyle name="Normal 5 2 75" xfId="37525" xr:uid="{00000000-0005-0000-0000-000088920000}"/>
    <cellStyle name="Normal 5 2 76" xfId="37526" xr:uid="{00000000-0005-0000-0000-000089920000}"/>
    <cellStyle name="Normal 5 2 77" xfId="37527" xr:uid="{00000000-0005-0000-0000-00008A920000}"/>
    <cellStyle name="Normal 5 2 78" xfId="37528" xr:uid="{00000000-0005-0000-0000-00008B920000}"/>
    <cellStyle name="Normal 5 2 79" xfId="37529" xr:uid="{00000000-0005-0000-0000-00008C920000}"/>
    <cellStyle name="Normal 5 2 8" xfId="37530" xr:uid="{00000000-0005-0000-0000-00008D920000}"/>
    <cellStyle name="Normal 5 2 80" xfId="37531" xr:uid="{00000000-0005-0000-0000-00008E920000}"/>
    <cellStyle name="Normal 5 2 81" xfId="37532" xr:uid="{00000000-0005-0000-0000-00008F920000}"/>
    <cellStyle name="Normal 5 2 82" xfId="37533" xr:uid="{00000000-0005-0000-0000-000090920000}"/>
    <cellStyle name="Normal 5 2 83" xfId="37451" xr:uid="{00000000-0005-0000-0000-000091920000}"/>
    <cellStyle name="Normal 5 2 9" xfId="37534" xr:uid="{00000000-0005-0000-0000-000092920000}"/>
    <cellStyle name="Normal 5 2_Enlaces" xfId="37535" xr:uid="{00000000-0005-0000-0000-000093920000}"/>
    <cellStyle name="Normal 5 20" xfId="37536" xr:uid="{00000000-0005-0000-0000-000094920000}"/>
    <cellStyle name="Normal 5 20 2" xfId="37537" xr:uid="{00000000-0005-0000-0000-000095920000}"/>
    <cellStyle name="Normal 5 20 2 2" xfId="37538" xr:uid="{00000000-0005-0000-0000-000096920000}"/>
    <cellStyle name="Normal 5 20 3" xfId="37539" xr:uid="{00000000-0005-0000-0000-000097920000}"/>
    <cellStyle name="Normal 5 20 4" xfId="37540" xr:uid="{00000000-0005-0000-0000-000098920000}"/>
    <cellStyle name="Normal 5 21" xfId="37541" xr:uid="{00000000-0005-0000-0000-000099920000}"/>
    <cellStyle name="Normal 5 21 2" xfId="37542" xr:uid="{00000000-0005-0000-0000-00009A920000}"/>
    <cellStyle name="Normal 5 21 2 2" xfId="37543" xr:uid="{00000000-0005-0000-0000-00009B920000}"/>
    <cellStyle name="Normal 5 21 3" xfId="37544" xr:uid="{00000000-0005-0000-0000-00009C920000}"/>
    <cellStyle name="Normal 5 21 4" xfId="37545" xr:uid="{00000000-0005-0000-0000-00009D920000}"/>
    <cellStyle name="Normal 5 22" xfId="37546" xr:uid="{00000000-0005-0000-0000-00009E920000}"/>
    <cellStyle name="Normal 5 22 2" xfId="37547" xr:uid="{00000000-0005-0000-0000-00009F920000}"/>
    <cellStyle name="Normal 5 22 3" xfId="37548" xr:uid="{00000000-0005-0000-0000-0000A0920000}"/>
    <cellStyle name="Normal 5 23" xfId="37549" xr:uid="{00000000-0005-0000-0000-0000A1920000}"/>
    <cellStyle name="Normal 5 24" xfId="37550" xr:uid="{00000000-0005-0000-0000-0000A2920000}"/>
    <cellStyle name="Normal 5 25" xfId="37551" xr:uid="{00000000-0005-0000-0000-0000A3920000}"/>
    <cellStyle name="Normal 5 26" xfId="37552" xr:uid="{00000000-0005-0000-0000-0000A4920000}"/>
    <cellStyle name="Normal 5 27" xfId="37553" xr:uid="{00000000-0005-0000-0000-0000A5920000}"/>
    <cellStyle name="Normal 5 28" xfId="37554" xr:uid="{00000000-0005-0000-0000-0000A6920000}"/>
    <cellStyle name="Normal 5 29" xfId="37555" xr:uid="{00000000-0005-0000-0000-0000A7920000}"/>
    <cellStyle name="Normal 5 3" xfId="63" xr:uid="{00000000-0005-0000-0000-0000A8920000}"/>
    <cellStyle name="Normal 5 3 10" xfId="37557" xr:uid="{00000000-0005-0000-0000-0000A9920000}"/>
    <cellStyle name="Normal 5 3 11" xfId="37558" xr:uid="{00000000-0005-0000-0000-0000AA920000}"/>
    <cellStyle name="Normal 5 3 12" xfId="37559" xr:uid="{00000000-0005-0000-0000-0000AB920000}"/>
    <cellStyle name="Normal 5 3 13" xfId="37556" xr:uid="{00000000-0005-0000-0000-0000AC920000}"/>
    <cellStyle name="Normal 5 3 2" xfId="37560" xr:uid="{00000000-0005-0000-0000-0000AD920000}"/>
    <cellStyle name="Normal 5 3 3" xfId="37561" xr:uid="{00000000-0005-0000-0000-0000AE920000}"/>
    <cellStyle name="Normal 5 3 4" xfId="37562" xr:uid="{00000000-0005-0000-0000-0000AF920000}"/>
    <cellStyle name="Normal 5 3 4 2" xfId="37563" xr:uid="{00000000-0005-0000-0000-0000B0920000}"/>
    <cellStyle name="Normal 5 3 4 2 2" xfId="37564" xr:uid="{00000000-0005-0000-0000-0000B1920000}"/>
    <cellStyle name="Normal 5 3 4 3" xfId="37565" xr:uid="{00000000-0005-0000-0000-0000B2920000}"/>
    <cellStyle name="Normal 5 3 5" xfId="37566" xr:uid="{00000000-0005-0000-0000-0000B3920000}"/>
    <cellStyle name="Normal 5 3 6" xfId="37567" xr:uid="{00000000-0005-0000-0000-0000B4920000}"/>
    <cellStyle name="Normal 5 3 7" xfId="37568" xr:uid="{00000000-0005-0000-0000-0000B5920000}"/>
    <cellStyle name="Normal 5 3 7 2" xfId="37569" xr:uid="{00000000-0005-0000-0000-0000B6920000}"/>
    <cellStyle name="Normal 5 3 8" xfId="37570" xr:uid="{00000000-0005-0000-0000-0000B7920000}"/>
    <cellStyle name="Normal 5 3 9" xfId="37571" xr:uid="{00000000-0005-0000-0000-0000B8920000}"/>
    <cellStyle name="Normal 5 3_Implem" xfId="37572" xr:uid="{00000000-0005-0000-0000-0000B9920000}"/>
    <cellStyle name="Normal 5 30" xfId="37573" xr:uid="{00000000-0005-0000-0000-0000BA920000}"/>
    <cellStyle name="Normal 5 31" xfId="37574" xr:uid="{00000000-0005-0000-0000-0000BB920000}"/>
    <cellStyle name="Normal 5 32" xfId="37575" xr:uid="{00000000-0005-0000-0000-0000BC920000}"/>
    <cellStyle name="Normal 5 33" xfId="37576" xr:uid="{00000000-0005-0000-0000-0000BD920000}"/>
    <cellStyle name="Normal 5 34" xfId="37577" xr:uid="{00000000-0005-0000-0000-0000BE920000}"/>
    <cellStyle name="Normal 5 35" xfId="37578" xr:uid="{00000000-0005-0000-0000-0000BF920000}"/>
    <cellStyle name="Normal 5 36" xfId="37579" xr:uid="{00000000-0005-0000-0000-0000C0920000}"/>
    <cellStyle name="Normal 5 37" xfId="37580" xr:uid="{00000000-0005-0000-0000-0000C1920000}"/>
    <cellStyle name="Normal 5 38" xfId="37581" xr:uid="{00000000-0005-0000-0000-0000C2920000}"/>
    <cellStyle name="Normal 5 39" xfId="37582" xr:uid="{00000000-0005-0000-0000-0000C3920000}"/>
    <cellStyle name="Normal 5 4" xfId="42" xr:uid="{00000000-0005-0000-0000-0000C4920000}"/>
    <cellStyle name="Normal 5 4 2" xfId="37584" xr:uid="{00000000-0005-0000-0000-0000C5920000}"/>
    <cellStyle name="Normal 5 4 2 2" xfId="37585" xr:uid="{00000000-0005-0000-0000-0000C6920000}"/>
    <cellStyle name="Normal 5 4 3" xfId="37586" xr:uid="{00000000-0005-0000-0000-0000C7920000}"/>
    <cellStyle name="Normal 5 4 4" xfId="37587" xr:uid="{00000000-0005-0000-0000-0000C8920000}"/>
    <cellStyle name="Normal 5 4 5" xfId="37583" xr:uid="{00000000-0005-0000-0000-0000C9920000}"/>
    <cellStyle name="Normal 5 40" xfId="37588" xr:uid="{00000000-0005-0000-0000-0000CA920000}"/>
    <cellStyle name="Normal 5 41" xfId="37589" xr:uid="{00000000-0005-0000-0000-0000CB920000}"/>
    <cellStyle name="Normal 5 42" xfId="37590" xr:uid="{00000000-0005-0000-0000-0000CC920000}"/>
    <cellStyle name="Normal 5 43" xfId="37591" xr:uid="{00000000-0005-0000-0000-0000CD920000}"/>
    <cellStyle name="Normal 5 44" xfId="37592" xr:uid="{00000000-0005-0000-0000-0000CE920000}"/>
    <cellStyle name="Normal 5 45" xfId="37593" xr:uid="{00000000-0005-0000-0000-0000CF920000}"/>
    <cellStyle name="Normal 5 46" xfId="37594" xr:uid="{00000000-0005-0000-0000-0000D0920000}"/>
    <cellStyle name="Normal 5 47" xfId="37595" xr:uid="{00000000-0005-0000-0000-0000D1920000}"/>
    <cellStyle name="Normal 5 48" xfId="37596" xr:uid="{00000000-0005-0000-0000-0000D2920000}"/>
    <cellStyle name="Normal 5 49" xfId="37597" xr:uid="{00000000-0005-0000-0000-0000D3920000}"/>
    <cellStyle name="Normal 5 5" xfId="37598" xr:uid="{00000000-0005-0000-0000-0000D4920000}"/>
    <cellStyle name="Normal 5 5 2" xfId="37599" xr:uid="{00000000-0005-0000-0000-0000D5920000}"/>
    <cellStyle name="Normal 5 5 2 2" xfId="37600" xr:uid="{00000000-0005-0000-0000-0000D6920000}"/>
    <cellStyle name="Normal 5 5 3" xfId="37601" xr:uid="{00000000-0005-0000-0000-0000D7920000}"/>
    <cellStyle name="Normal 5 5 4" xfId="37602" xr:uid="{00000000-0005-0000-0000-0000D8920000}"/>
    <cellStyle name="Normal 5 50" xfId="37603" xr:uid="{00000000-0005-0000-0000-0000D9920000}"/>
    <cellStyle name="Normal 5 51" xfId="37604" xr:uid="{00000000-0005-0000-0000-0000DA920000}"/>
    <cellStyle name="Normal 5 52" xfId="37605" xr:uid="{00000000-0005-0000-0000-0000DB920000}"/>
    <cellStyle name="Normal 5 53" xfId="37606" xr:uid="{00000000-0005-0000-0000-0000DC920000}"/>
    <cellStyle name="Normal 5 54" xfId="37607" xr:uid="{00000000-0005-0000-0000-0000DD920000}"/>
    <cellStyle name="Normal 5 55" xfId="37608" xr:uid="{00000000-0005-0000-0000-0000DE920000}"/>
    <cellStyle name="Normal 5 56" xfId="37609" xr:uid="{00000000-0005-0000-0000-0000DF920000}"/>
    <cellStyle name="Normal 5 57" xfId="37610" xr:uid="{00000000-0005-0000-0000-0000E0920000}"/>
    <cellStyle name="Normal 5 58" xfId="37611" xr:uid="{00000000-0005-0000-0000-0000E1920000}"/>
    <cellStyle name="Normal 5 59" xfId="37612" xr:uid="{00000000-0005-0000-0000-0000E2920000}"/>
    <cellStyle name="Normal 5 6" xfId="37613" xr:uid="{00000000-0005-0000-0000-0000E3920000}"/>
    <cellStyle name="Normal 5 6 2" xfId="37614" xr:uid="{00000000-0005-0000-0000-0000E4920000}"/>
    <cellStyle name="Normal 5 6 2 2" xfId="37615" xr:uid="{00000000-0005-0000-0000-0000E5920000}"/>
    <cellStyle name="Normal 5 6 3" xfId="37616" xr:uid="{00000000-0005-0000-0000-0000E6920000}"/>
    <cellStyle name="Normal 5 6 4" xfId="37617" xr:uid="{00000000-0005-0000-0000-0000E7920000}"/>
    <cellStyle name="Normal 5 60" xfId="37618" xr:uid="{00000000-0005-0000-0000-0000E8920000}"/>
    <cellStyle name="Normal 5 7" xfId="37619" xr:uid="{00000000-0005-0000-0000-0000E9920000}"/>
    <cellStyle name="Normal 5 7 2" xfId="37620" xr:uid="{00000000-0005-0000-0000-0000EA920000}"/>
    <cellStyle name="Normal 5 7 2 2" xfId="37621" xr:uid="{00000000-0005-0000-0000-0000EB920000}"/>
    <cellStyle name="Normal 5 7 3" xfId="37622" xr:uid="{00000000-0005-0000-0000-0000EC920000}"/>
    <cellStyle name="Normal 5 7 4" xfId="37623" xr:uid="{00000000-0005-0000-0000-0000ED920000}"/>
    <cellStyle name="Normal 5 8" xfId="37624" xr:uid="{00000000-0005-0000-0000-0000EE920000}"/>
    <cellStyle name="Normal 5 8 2" xfId="37625" xr:uid="{00000000-0005-0000-0000-0000EF920000}"/>
    <cellStyle name="Normal 5 8 2 2" xfId="37626" xr:uid="{00000000-0005-0000-0000-0000F0920000}"/>
    <cellStyle name="Normal 5 8 3" xfId="37627" xr:uid="{00000000-0005-0000-0000-0000F1920000}"/>
    <cellStyle name="Normal 5 8 4" xfId="37628" xr:uid="{00000000-0005-0000-0000-0000F2920000}"/>
    <cellStyle name="Normal 5 9" xfId="37629" xr:uid="{00000000-0005-0000-0000-0000F3920000}"/>
    <cellStyle name="Normal 5 9 2" xfId="37630" xr:uid="{00000000-0005-0000-0000-0000F4920000}"/>
    <cellStyle name="Normal 5 9 2 2" xfId="37631" xr:uid="{00000000-0005-0000-0000-0000F5920000}"/>
    <cellStyle name="Normal 5 9 3" xfId="37632" xr:uid="{00000000-0005-0000-0000-0000F6920000}"/>
    <cellStyle name="Normal 5 9 4" xfId="37633" xr:uid="{00000000-0005-0000-0000-0000F7920000}"/>
    <cellStyle name="Normal 50" xfId="37634" xr:uid="{00000000-0005-0000-0000-0000F8920000}"/>
    <cellStyle name="Normal 50 10" xfId="37635" xr:uid="{00000000-0005-0000-0000-0000F9920000}"/>
    <cellStyle name="Normal 50 11" xfId="37636" xr:uid="{00000000-0005-0000-0000-0000FA920000}"/>
    <cellStyle name="Normal 50 12" xfId="37637" xr:uid="{00000000-0005-0000-0000-0000FB920000}"/>
    <cellStyle name="Normal 50 13" xfId="37638" xr:uid="{00000000-0005-0000-0000-0000FC920000}"/>
    <cellStyle name="Normal 50 14" xfId="37639" xr:uid="{00000000-0005-0000-0000-0000FD920000}"/>
    <cellStyle name="Normal 50 15" xfId="37640" xr:uid="{00000000-0005-0000-0000-0000FE920000}"/>
    <cellStyle name="Normal 50 16" xfId="37641" xr:uid="{00000000-0005-0000-0000-0000FF920000}"/>
    <cellStyle name="Normal 50 17" xfId="37642" xr:uid="{00000000-0005-0000-0000-000000930000}"/>
    <cellStyle name="Normal 50 18" xfId="37643" xr:uid="{00000000-0005-0000-0000-000001930000}"/>
    <cellStyle name="Normal 50 19" xfId="37644" xr:uid="{00000000-0005-0000-0000-000002930000}"/>
    <cellStyle name="Normal 50 2" xfId="37645" xr:uid="{00000000-0005-0000-0000-000003930000}"/>
    <cellStyle name="Normal 50 2 2" xfId="37646" xr:uid="{00000000-0005-0000-0000-000004930000}"/>
    <cellStyle name="Normal 50 20" xfId="37647" xr:uid="{00000000-0005-0000-0000-000005930000}"/>
    <cellStyle name="Normal 50 21" xfId="37648" xr:uid="{00000000-0005-0000-0000-000006930000}"/>
    <cellStyle name="Normal 50 22" xfId="37649" xr:uid="{00000000-0005-0000-0000-000007930000}"/>
    <cellStyle name="Normal 50 23" xfId="37650" xr:uid="{00000000-0005-0000-0000-000008930000}"/>
    <cellStyle name="Normal 50 24" xfId="37651" xr:uid="{00000000-0005-0000-0000-000009930000}"/>
    <cellStyle name="Normal 50 25" xfId="37652" xr:uid="{00000000-0005-0000-0000-00000A930000}"/>
    <cellStyle name="Normal 50 26" xfId="37653" xr:uid="{00000000-0005-0000-0000-00000B930000}"/>
    <cellStyle name="Normal 50 3" xfId="37654" xr:uid="{00000000-0005-0000-0000-00000C930000}"/>
    <cellStyle name="Normal 50 3 2" xfId="37655" xr:uid="{00000000-0005-0000-0000-00000D930000}"/>
    <cellStyle name="Normal 50 4" xfId="37656" xr:uid="{00000000-0005-0000-0000-00000E930000}"/>
    <cellStyle name="Normal 50 4 2" xfId="37657" xr:uid="{00000000-0005-0000-0000-00000F930000}"/>
    <cellStyle name="Normal 50 5" xfId="37658" xr:uid="{00000000-0005-0000-0000-000010930000}"/>
    <cellStyle name="Normal 50 5 2" xfId="37659" xr:uid="{00000000-0005-0000-0000-000011930000}"/>
    <cellStyle name="Normal 50 6" xfId="37660" xr:uid="{00000000-0005-0000-0000-000012930000}"/>
    <cellStyle name="Normal 50 7" xfId="37661" xr:uid="{00000000-0005-0000-0000-000013930000}"/>
    <cellStyle name="Normal 50 8" xfId="37662" xr:uid="{00000000-0005-0000-0000-000014930000}"/>
    <cellStyle name="Normal 50 9" xfId="37663" xr:uid="{00000000-0005-0000-0000-000015930000}"/>
    <cellStyle name="Normal 51" xfId="37664" xr:uid="{00000000-0005-0000-0000-000016930000}"/>
    <cellStyle name="Normal 52" xfId="37665" xr:uid="{00000000-0005-0000-0000-000017930000}"/>
    <cellStyle name="Normal 53" xfId="37666" xr:uid="{00000000-0005-0000-0000-000018930000}"/>
    <cellStyle name="Normal 54" xfId="37667" xr:uid="{00000000-0005-0000-0000-000019930000}"/>
    <cellStyle name="Normal 55" xfId="37668" xr:uid="{00000000-0005-0000-0000-00001A930000}"/>
    <cellStyle name="Normal 56" xfId="37669" xr:uid="{00000000-0005-0000-0000-00001B930000}"/>
    <cellStyle name="Normal 57" xfId="37670" xr:uid="{00000000-0005-0000-0000-00001C930000}"/>
    <cellStyle name="Normal 58" xfId="37671" xr:uid="{00000000-0005-0000-0000-00001D930000}"/>
    <cellStyle name="Normal 59" xfId="37672" xr:uid="{00000000-0005-0000-0000-00001E930000}"/>
    <cellStyle name="Normal 6" xfId="44" xr:uid="{00000000-0005-0000-0000-00001F930000}"/>
    <cellStyle name="Normal 6 10" xfId="37674" xr:uid="{00000000-0005-0000-0000-000020930000}"/>
    <cellStyle name="Normal 6 11" xfId="37675" xr:uid="{00000000-0005-0000-0000-000021930000}"/>
    <cellStyle name="Normal 6 12" xfId="37676" xr:uid="{00000000-0005-0000-0000-000022930000}"/>
    <cellStyle name="Normal 6 13" xfId="37677" xr:uid="{00000000-0005-0000-0000-000023930000}"/>
    <cellStyle name="Normal 6 14" xfId="37678" xr:uid="{00000000-0005-0000-0000-000024930000}"/>
    <cellStyle name="Normal 6 15" xfId="37679" xr:uid="{00000000-0005-0000-0000-000025930000}"/>
    <cellStyle name="Normal 6 16" xfId="37680" xr:uid="{00000000-0005-0000-0000-000026930000}"/>
    <cellStyle name="Normal 6 17" xfId="37681" xr:uid="{00000000-0005-0000-0000-000027930000}"/>
    <cellStyle name="Normal 6 18" xfId="37682" xr:uid="{00000000-0005-0000-0000-000028930000}"/>
    <cellStyle name="Normal 6 19" xfId="37683" xr:uid="{00000000-0005-0000-0000-000029930000}"/>
    <cellStyle name="Normal 6 2" xfId="37684" xr:uid="{00000000-0005-0000-0000-00002A930000}"/>
    <cellStyle name="Normal 6 2 10" xfId="37685" xr:uid="{00000000-0005-0000-0000-00002B930000}"/>
    <cellStyle name="Normal 6 2 11" xfId="37686" xr:uid="{00000000-0005-0000-0000-00002C930000}"/>
    <cellStyle name="Normal 6 2 12" xfId="37687" xr:uid="{00000000-0005-0000-0000-00002D930000}"/>
    <cellStyle name="Normal 6 2 13" xfId="37688" xr:uid="{00000000-0005-0000-0000-00002E930000}"/>
    <cellStyle name="Normal 6 2 14" xfId="37689" xr:uid="{00000000-0005-0000-0000-00002F930000}"/>
    <cellStyle name="Normal 6 2 15" xfId="37690" xr:uid="{00000000-0005-0000-0000-000030930000}"/>
    <cellStyle name="Normal 6 2 16" xfId="37691" xr:uid="{00000000-0005-0000-0000-000031930000}"/>
    <cellStyle name="Normal 6 2 17" xfId="37692" xr:uid="{00000000-0005-0000-0000-000032930000}"/>
    <cellStyle name="Normal 6 2 18" xfId="37693" xr:uid="{00000000-0005-0000-0000-000033930000}"/>
    <cellStyle name="Normal 6 2 19" xfId="37694" xr:uid="{00000000-0005-0000-0000-000034930000}"/>
    <cellStyle name="Normal 6 2 2" xfId="37695" xr:uid="{00000000-0005-0000-0000-000035930000}"/>
    <cellStyle name="Normal 6 2 20" xfId="37696" xr:uid="{00000000-0005-0000-0000-000036930000}"/>
    <cellStyle name="Normal 6 2 21" xfId="37697" xr:uid="{00000000-0005-0000-0000-000037930000}"/>
    <cellStyle name="Normal 6 2 22" xfId="37698" xr:uid="{00000000-0005-0000-0000-000038930000}"/>
    <cellStyle name="Normal 6 2 23" xfId="37699" xr:uid="{00000000-0005-0000-0000-000039930000}"/>
    <cellStyle name="Normal 6 2 24" xfId="37700" xr:uid="{00000000-0005-0000-0000-00003A930000}"/>
    <cellStyle name="Normal 6 2 25" xfId="37701" xr:uid="{00000000-0005-0000-0000-00003B930000}"/>
    <cellStyle name="Normal 6 2 26" xfId="37702" xr:uid="{00000000-0005-0000-0000-00003C930000}"/>
    <cellStyle name="Normal 6 2 27" xfId="37703" xr:uid="{00000000-0005-0000-0000-00003D930000}"/>
    <cellStyle name="Normal 6 2 28" xfId="37704" xr:uid="{00000000-0005-0000-0000-00003E930000}"/>
    <cellStyle name="Normal 6 2 29" xfId="37705" xr:uid="{00000000-0005-0000-0000-00003F930000}"/>
    <cellStyle name="Normal 6 2 3" xfId="37706" xr:uid="{00000000-0005-0000-0000-000040930000}"/>
    <cellStyle name="Normal 6 2 30" xfId="37707" xr:uid="{00000000-0005-0000-0000-000041930000}"/>
    <cellStyle name="Normal 6 2 31" xfId="37708" xr:uid="{00000000-0005-0000-0000-000042930000}"/>
    <cellStyle name="Normal 6 2 32" xfId="37709" xr:uid="{00000000-0005-0000-0000-000043930000}"/>
    <cellStyle name="Normal 6 2 33" xfId="37710" xr:uid="{00000000-0005-0000-0000-000044930000}"/>
    <cellStyle name="Normal 6 2 34" xfId="37711" xr:uid="{00000000-0005-0000-0000-000045930000}"/>
    <cellStyle name="Normal 6 2 35" xfId="37712" xr:uid="{00000000-0005-0000-0000-000046930000}"/>
    <cellStyle name="Normal 6 2 36" xfId="37713" xr:uid="{00000000-0005-0000-0000-000047930000}"/>
    <cellStyle name="Normal 6 2 37" xfId="37714" xr:uid="{00000000-0005-0000-0000-000048930000}"/>
    <cellStyle name="Normal 6 2 38" xfId="37715" xr:uid="{00000000-0005-0000-0000-000049930000}"/>
    <cellStyle name="Normal 6 2 39" xfId="37716" xr:uid="{00000000-0005-0000-0000-00004A930000}"/>
    <cellStyle name="Normal 6 2 4" xfId="37717" xr:uid="{00000000-0005-0000-0000-00004B930000}"/>
    <cellStyle name="Normal 6 2 40" xfId="37718" xr:uid="{00000000-0005-0000-0000-00004C930000}"/>
    <cellStyle name="Normal 6 2 41" xfId="37719" xr:uid="{00000000-0005-0000-0000-00004D930000}"/>
    <cellStyle name="Normal 6 2 42" xfId="37720" xr:uid="{00000000-0005-0000-0000-00004E930000}"/>
    <cellStyle name="Normal 6 2 43" xfId="37721" xr:uid="{00000000-0005-0000-0000-00004F930000}"/>
    <cellStyle name="Normal 6 2 44" xfId="37722" xr:uid="{00000000-0005-0000-0000-000050930000}"/>
    <cellStyle name="Normal 6 2 45" xfId="37723" xr:uid="{00000000-0005-0000-0000-000051930000}"/>
    <cellStyle name="Normal 6 2 46" xfId="37724" xr:uid="{00000000-0005-0000-0000-000052930000}"/>
    <cellStyle name="Normal 6 2 47" xfId="37725" xr:uid="{00000000-0005-0000-0000-000053930000}"/>
    <cellStyle name="Normal 6 2 48" xfId="37726" xr:uid="{00000000-0005-0000-0000-000054930000}"/>
    <cellStyle name="Normal 6 2 49" xfId="37727" xr:uid="{00000000-0005-0000-0000-000055930000}"/>
    <cellStyle name="Normal 6 2 5" xfId="37728" xr:uid="{00000000-0005-0000-0000-000056930000}"/>
    <cellStyle name="Normal 6 2 50" xfId="37729" xr:uid="{00000000-0005-0000-0000-000057930000}"/>
    <cellStyle name="Normal 6 2 51" xfId="37730" xr:uid="{00000000-0005-0000-0000-000058930000}"/>
    <cellStyle name="Normal 6 2 52" xfId="37731" xr:uid="{00000000-0005-0000-0000-000059930000}"/>
    <cellStyle name="Normal 6 2 53" xfId="37732" xr:uid="{00000000-0005-0000-0000-00005A930000}"/>
    <cellStyle name="Normal 6 2 54" xfId="37733" xr:uid="{00000000-0005-0000-0000-00005B930000}"/>
    <cellStyle name="Normal 6 2 55" xfId="37734" xr:uid="{00000000-0005-0000-0000-00005C930000}"/>
    <cellStyle name="Normal 6 2 56" xfId="37735" xr:uid="{00000000-0005-0000-0000-00005D930000}"/>
    <cellStyle name="Normal 6 2 57" xfId="37736" xr:uid="{00000000-0005-0000-0000-00005E930000}"/>
    <cellStyle name="Normal 6 2 58" xfId="37737" xr:uid="{00000000-0005-0000-0000-00005F930000}"/>
    <cellStyle name="Normal 6 2 59" xfId="37738" xr:uid="{00000000-0005-0000-0000-000060930000}"/>
    <cellStyle name="Normal 6 2 6" xfId="37739" xr:uid="{00000000-0005-0000-0000-000061930000}"/>
    <cellStyle name="Normal 6 2 60" xfId="37740" xr:uid="{00000000-0005-0000-0000-000062930000}"/>
    <cellStyle name="Normal 6 2 61" xfId="37741" xr:uid="{00000000-0005-0000-0000-000063930000}"/>
    <cellStyle name="Normal 6 2 62" xfId="37742" xr:uid="{00000000-0005-0000-0000-000064930000}"/>
    <cellStyle name="Normal 6 2 63" xfId="37743" xr:uid="{00000000-0005-0000-0000-000065930000}"/>
    <cellStyle name="Normal 6 2 64" xfId="37744" xr:uid="{00000000-0005-0000-0000-000066930000}"/>
    <cellStyle name="Normal 6 2 65" xfId="37745" xr:uid="{00000000-0005-0000-0000-000067930000}"/>
    <cellStyle name="Normal 6 2 66" xfId="37746" xr:uid="{00000000-0005-0000-0000-000068930000}"/>
    <cellStyle name="Normal 6 2 67" xfId="37747" xr:uid="{00000000-0005-0000-0000-000069930000}"/>
    <cellStyle name="Normal 6 2 68" xfId="37748" xr:uid="{00000000-0005-0000-0000-00006A930000}"/>
    <cellStyle name="Normal 6 2 69" xfId="37749" xr:uid="{00000000-0005-0000-0000-00006B930000}"/>
    <cellStyle name="Normal 6 2 7" xfId="37750" xr:uid="{00000000-0005-0000-0000-00006C930000}"/>
    <cellStyle name="Normal 6 2 70" xfId="37751" xr:uid="{00000000-0005-0000-0000-00006D930000}"/>
    <cellStyle name="Normal 6 2 71" xfId="37752" xr:uid="{00000000-0005-0000-0000-00006E930000}"/>
    <cellStyle name="Normal 6 2 72" xfId="37753" xr:uid="{00000000-0005-0000-0000-00006F930000}"/>
    <cellStyle name="Normal 6 2 73" xfId="37754" xr:uid="{00000000-0005-0000-0000-000070930000}"/>
    <cellStyle name="Normal 6 2 74" xfId="37755" xr:uid="{00000000-0005-0000-0000-000071930000}"/>
    <cellStyle name="Normal 6 2 75" xfId="37756" xr:uid="{00000000-0005-0000-0000-000072930000}"/>
    <cellStyle name="Normal 6 2 76" xfId="37757" xr:uid="{00000000-0005-0000-0000-000073930000}"/>
    <cellStyle name="Normal 6 2 77" xfId="37758" xr:uid="{00000000-0005-0000-0000-000074930000}"/>
    <cellStyle name="Normal 6 2 78" xfId="37759" xr:uid="{00000000-0005-0000-0000-000075930000}"/>
    <cellStyle name="Normal 6 2 79" xfId="37760" xr:uid="{00000000-0005-0000-0000-000076930000}"/>
    <cellStyle name="Normal 6 2 8" xfId="37761" xr:uid="{00000000-0005-0000-0000-000077930000}"/>
    <cellStyle name="Normal 6 2 80" xfId="37762" xr:uid="{00000000-0005-0000-0000-000078930000}"/>
    <cellStyle name="Normal 6 2 81" xfId="37763" xr:uid="{00000000-0005-0000-0000-000079930000}"/>
    <cellStyle name="Normal 6 2 82" xfId="37764" xr:uid="{00000000-0005-0000-0000-00007A930000}"/>
    <cellStyle name="Normal 6 2 83" xfId="37765" xr:uid="{00000000-0005-0000-0000-00007B930000}"/>
    <cellStyle name="Normal 6 2 84" xfId="37766" xr:uid="{00000000-0005-0000-0000-00007C930000}"/>
    <cellStyle name="Normal 6 2 85" xfId="37767" xr:uid="{00000000-0005-0000-0000-00007D930000}"/>
    <cellStyle name="Normal 6 2 86" xfId="37768" xr:uid="{00000000-0005-0000-0000-00007E930000}"/>
    <cellStyle name="Normal 6 2 9" xfId="37769" xr:uid="{00000000-0005-0000-0000-00007F930000}"/>
    <cellStyle name="Normal 6 2_Xa Parametrización de Usuarios" xfId="37770" xr:uid="{00000000-0005-0000-0000-000080930000}"/>
    <cellStyle name="Normal 6 20" xfId="37771" xr:uid="{00000000-0005-0000-0000-000081930000}"/>
    <cellStyle name="Normal 6 21" xfId="37772" xr:uid="{00000000-0005-0000-0000-000082930000}"/>
    <cellStyle name="Normal 6 22" xfId="37773" xr:uid="{00000000-0005-0000-0000-000083930000}"/>
    <cellStyle name="Normal 6 23" xfId="37774" xr:uid="{00000000-0005-0000-0000-000084930000}"/>
    <cellStyle name="Normal 6 24" xfId="37775" xr:uid="{00000000-0005-0000-0000-000085930000}"/>
    <cellStyle name="Normal 6 25" xfId="37776" xr:uid="{00000000-0005-0000-0000-000086930000}"/>
    <cellStyle name="Normal 6 26" xfId="37777" xr:uid="{00000000-0005-0000-0000-000087930000}"/>
    <cellStyle name="Normal 6 27" xfId="37778" xr:uid="{00000000-0005-0000-0000-000088930000}"/>
    <cellStyle name="Normal 6 28" xfId="37779" xr:uid="{00000000-0005-0000-0000-000089930000}"/>
    <cellStyle name="Normal 6 29" xfId="37780" xr:uid="{00000000-0005-0000-0000-00008A930000}"/>
    <cellStyle name="Normal 6 3" xfId="37781" xr:uid="{00000000-0005-0000-0000-00008B930000}"/>
    <cellStyle name="Normal 6 3 10" xfId="37782" xr:uid="{00000000-0005-0000-0000-00008C930000}"/>
    <cellStyle name="Normal 6 3 11" xfId="37783" xr:uid="{00000000-0005-0000-0000-00008D930000}"/>
    <cellStyle name="Normal 6 3 12" xfId="37784" xr:uid="{00000000-0005-0000-0000-00008E930000}"/>
    <cellStyle name="Normal 6 3 2" xfId="37785" xr:uid="{00000000-0005-0000-0000-00008F930000}"/>
    <cellStyle name="Normal 6 3 3" xfId="37786" xr:uid="{00000000-0005-0000-0000-000090930000}"/>
    <cellStyle name="Normal 6 3 4" xfId="37787" xr:uid="{00000000-0005-0000-0000-000091930000}"/>
    <cellStyle name="Normal 6 3 5" xfId="37788" xr:uid="{00000000-0005-0000-0000-000092930000}"/>
    <cellStyle name="Normal 6 3 6" xfId="37789" xr:uid="{00000000-0005-0000-0000-000093930000}"/>
    <cellStyle name="Normal 6 3 7" xfId="37790" xr:uid="{00000000-0005-0000-0000-000094930000}"/>
    <cellStyle name="Normal 6 3 8" xfId="37791" xr:uid="{00000000-0005-0000-0000-000095930000}"/>
    <cellStyle name="Normal 6 3 9" xfId="37792" xr:uid="{00000000-0005-0000-0000-000096930000}"/>
    <cellStyle name="Normal 6 3_Xa Parametrización de Usuarios" xfId="37793" xr:uid="{00000000-0005-0000-0000-000097930000}"/>
    <cellStyle name="Normal 6 30" xfId="39190" xr:uid="{00000000-0005-0000-0000-000098930000}"/>
    <cellStyle name="Normal 6 31" xfId="37673" xr:uid="{00000000-0005-0000-0000-000099930000}"/>
    <cellStyle name="Normal 6 4" xfId="37794" xr:uid="{00000000-0005-0000-0000-00009A930000}"/>
    <cellStyle name="Normal 6 5" xfId="37795" xr:uid="{00000000-0005-0000-0000-00009B930000}"/>
    <cellStyle name="Normal 6 6" xfId="37796" xr:uid="{00000000-0005-0000-0000-00009C930000}"/>
    <cellStyle name="Normal 6 7" xfId="37797" xr:uid="{00000000-0005-0000-0000-00009D930000}"/>
    <cellStyle name="Normal 6 8" xfId="37798" xr:uid="{00000000-0005-0000-0000-00009E930000}"/>
    <cellStyle name="Normal 6 9" xfId="37799" xr:uid="{00000000-0005-0000-0000-00009F930000}"/>
    <cellStyle name="Normal 60" xfId="37800" xr:uid="{00000000-0005-0000-0000-0000A0930000}"/>
    <cellStyle name="Normal 61" xfId="37801" xr:uid="{00000000-0005-0000-0000-0000A1930000}"/>
    <cellStyle name="Normal 61 2" xfId="37802" xr:uid="{00000000-0005-0000-0000-0000A2930000}"/>
    <cellStyle name="Normal 61 2 2" xfId="37803" xr:uid="{00000000-0005-0000-0000-0000A3930000}"/>
    <cellStyle name="Normal 61 2 3" xfId="37804" xr:uid="{00000000-0005-0000-0000-0000A4930000}"/>
    <cellStyle name="Normal 61 3" xfId="37805" xr:uid="{00000000-0005-0000-0000-0000A5930000}"/>
    <cellStyle name="Normal 62" xfId="37806" xr:uid="{00000000-0005-0000-0000-0000A6930000}"/>
    <cellStyle name="Normal 62 2" xfId="37807" xr:uid="{00000000-0005-0000-0000-0000A7930000}"/>
    <cellStyle name="Normal 62 3" xfId="37808" xr:uid="{00000000-0005-0000-0000-0000A8930000}"/>
    <cellStyle name="Normal 62 4" xfId="39191" xr:uid="{00000000-0005-0000-0000-0000A9930000}"/>
    <cellStyle name="Normal 63" xfId="37809" xr:uid="{00000000-0005-0000-0000-0000AA930000}"/>
    <cellStyle name="Normal 63 2" xfId="37810" xr:uid="{00000000-0005-0000-0000-0000AB930000}"/>
    <cellStyle name="Normal 63 3" xfId="37811" xr:uid="{00000000-0005-0000-0000-0000AC930000}"/>
    <cellStyle name="Normal 63 4" xfId="37812" xr:uid="{00000000-0005-0000-0000-0000AD930000}"/>
    <cellStyle name="Normal 63 5" xfId="39192" xr:uid="{00000000-0005-0000-0000-0000AE930000}"/>
    <cellStyle name="Normal 64" xfId="37813" xr:uid="{00000000-0005-0000-0000-0000AF930000}"/>
    <cellStyle name="Normal 64 2" xfId="37814" xr:uid="{00000000-0005-0000-0000-0000B0930000}"/>
    <cellStyle name="Normal 64 3" xfId="37815" xr:uid="{00000000-0005-0000-0000-0000B1930000}"/>
    <cellStyle name="Normal 64 4" xfId="37816" xr:uid="{00000000-0005-0000-0000-0000B2930000}"/>
    <cellStyle name="Normal 64 5" xfId="39193" xr:uid="{00000000-0005-0000-0000-0000B3930000}"/>
    <cellStyle name="Normal 65" xfId="37817" xr:uid="{00000000-0005-0000-0000-0000B4930000}"/>
    <cellStyle name="Normal 65 2" xfId="37818" xr:uid="{00000000-0005-0000-0000-0000B5930000}"/>
    <cellStyle name="Normal 65 3" xfId="37819" xr:uid="{00000000-0005-0000-0000-0000B6930000}"/>
    <cellStyle name="Normal 66" xfId="37820" xr:uid="{00000000-0005-0000-0000-0000B7930000}"/>
    <cellStyle name="Normal 66 2" xfId="37821" xr:uid="{00000000-0005-0000-0000-0000B8930000}"/>
    <cellStyle name="Normal 66 3" xfId="37822" xr:uid="{00000000-0005-0000-0000-0000B9930000}"/>
    <cellStyle name="Normal 66 4" xfId="39194" xr:uid="{00000000-0005-0000-0000-0000BA930000}"/>
    <cellStyle name="Normal 67" xfId="37823" xr:uid="{00000000-0005-0000-0000-0000BB930000}"/>
    <cellStyle name="Normal 67 2" xfId="37824" xr:uid="{00000000-0005-0000-0000-0000BC930000}"/>
    <cellStyle name="Normal 67 3" xfId="39195" xr:uid="{00000000-0005-0000-0000-0000BD930000}"/>
    <cellStyle name="Normal 68" xfId="37825" xr:uid="{00000000-0005-0000-0000-0000BE930000}"/>
    <cellStyle name="Normal 68 2" xfId="37826" xr:uid="{00000000-0005-0000-0000-0000BF930000}"/>
    <cellStyle name="Normal 68 3" xfId="39196" xr:uid="{00000000-0005-0000-0000-0000C0930000}"/>
    <cellStyle name="Normal 69" xfId="37827" xr:uid="{00000000-0005-0000-0000-0000C1930000}"/>
    <cellStyle name="Normal 69 2" xfId="37828" xr:uid="{00000000-0005-0000-0000-0000C2930000}"/>
    <cellStyle name="Normal 69 3" xfId="37829" xr:uid="{00000000-0005-0000-0000-0000C3930000}"/>
    <cellStyle name="Normal 69 4" xfId="39197" xr:uid="{00000000-0005-0000-0000-0000C4930000}"/>
    <cellStyle name="Normal 7" xfId="2" xr:uid="{00000000-0005-0000-0000-0000C5930000}"/>
    <cellStyle name="Normal 7 10" xfId="64" xr:uid="{00000000-0005-0000-0000-0000C6930000}"/>
    <cellStyle name="Normal 7 11" xfId="37830" xr:uid="{00000000-0005-0000-0000-0000C7930000}"/>
    <cellStyle name="Normal 7 12" xfId="37831" xr:uid="{00000000-0005-0000-0000-0000C8930000}"/>
    <cellStyle name="Normal 7 13" xfId="37832" xr:uid="{00000000-0005-0000-0000-0000C9930000}"/>
    <cellStyle name="Normal 7 14" xfId="37833" xr:uid="{00000000-0005-0000-0000-0000CA930000}"/>
    <cellStyle name="Normal 7 15" xfId="37834" xr:uid="{00000000-0005-0000-0000-0000CB930000}"/>
    <cellStyle name="Normal 7 16" xfId="37835" xr:uid="{00000000-0005-0000-0000-0000CC930000}"/>
    <cellStyle name="Normal 7 17" xfId="37836" xr:uid="{00000000-0005-0000-0000-0000CD930000}"/>
    <cellStyle name="Normal 7 18" xfId="37837" xr:uid="{00000000-0005-0000-0000-0000CE930000}"/>
    <cellStyle name="Normal 7 19" xfId="37838" xr:uid="{00000000-0005-0000-0000-0000CF930000}"/>
    <cellStyle name="Normal 7 2" xfId="7" xr:uid="{00000000-0005-0000-0000-0000D0930000}"/>
    <cellStyle name="Normal 7 2 10" xfId="37839" xr:uid="{00000000-0005-0000-0000-0000D1930000}"/>
    <cellStyle name="Normal 7 2 11" xfId="37840" xr:uid="{00000000-0005-0000-0000-0000D2930000}"/>
    <cellStyle name="Normal 7 2 12" xfId="37841" xr:uid="{00000000-0005-0000-0000-0000D3930000}"/>
    <cellStyle name="Normal 7 2 13" xfId="37842" xr:uid="{00000000-0005-0000-0000-0000D4930000}"/>
    <cellStyle name="Normal 7 2 14" xfId="37843" xr:uid="{00000000-0005-0000-0000-0000D5930000}"/>
    <cellStyle name="Normal 7 2 15" xfId="37844" xr:uid="{00000000-0005-0000-0000-0000D6930000}"/>
    <cellStyle name="Normal 7 2 16" xfId="37845" xr:uid="{00000000-0005-0000-0000-0000D7930000}"/>
    <cellStyle name="Normal 7 2 17" xfId="37846" xr:uid="{00000000-0005-0000-0000-0000D8930000}"/>
    <cellStyle name="Normal 7 2 18" xfId="37847" xr:uid="{00000000-0005-0000-0000-0000D9930000}"/>
    <cellStyle name="Normal 7 2 19" xfId="37848" xr:uid="{00000000-0005-0000-0000-0000DA930000}"/>
    <cellStyle name="Normal 7 2 2" xfId="37849" xr:uid="{00000000-0005-0000-0000-0000DB930000}"/>
    <cellStyle name="Normal 7 2 2 2" xfId="37850" xr:uid="{00000000-0005-0000-0000-0000DC930000}"/>
    <cellStyle name="Normal 7 2 2 2 2" xfId="37851" xr:uid="{00000000-0005-0000-0000-0000DD930000}"/>
    <cellStyle name="Normal 7 2 20" xfId="37852" xr:uid="{00000000-0005-0000-0000-0000DE930000}"/>
    <cellStyle name="Normal 7 2 21" xfId="37853" xr:uid="{00000000-0005-0000-0000-0000DF930000}"/>
    <cellStyle name="Normal 7 2 22" xfId="37854" xr:uid="{00000000-0005-0000-0000-0000E0930000}"/>
    <cellStyle name="Normal 7 2 23" xfId="37855" xr:uid="{00000000-0005-0000-0000-0000E1930000}"/>
    <cellStyle name="Normal 7 2 24" xfId="37856" xr:uid="{00000000-0005-0000-0000-0000E2930000}"/>
    <cellStyle name="Normal 7 2 25" xfId="37857" xr:uid="{00000000-0005-0000-0000-0000E3930000}"/>
    <cellStyle name="Normal 7 2 26" xfId="37858" xr:uid="{00000000-0005-0000-0000-0000E4930000}"/>
    <cellStyle name="Normal 7 2 27" xfId="37859" xr:uid="{00000000-0005-0000-0000-0000E5930000}"/>
    <cellStyle name="Normal 7 2 28" xfId="37860" xr:uid="{00000000-0005-0000-0000-0000E6930000}"/>
    <cellStyle name="Normal 7 2 29" xfId="37861" xr:uid="{00000000-0005-0000-0000-0000E7930000}"/>
    <cellStyle name="Normal 7 2 3" xfId="37862" xr:uid="{00000000-0005-0000-0000-0000E8930000}"/>
    <cellStyle name="Normal 7 2 30" xfId="37863" xr:uid="{00000000-0005-0000-0000-0000E9930000}"/>
    <cellStyle name="Normal 7 2 31" xfId="37864" xr:uid="{00000000-0005-0000-0000-0000EA930000}"/>
    <cellStyle name="Normal 7 2 32" xfId="37865" xr:uid="{00000000-0005-0000-0000-0000EB930000}"/>
    <cellStyle name="Normal 7 2 33" xfId="37866" xr:uid="{00000000-0005-0000-0000-0000EC930000}"/>
    <cellStyle name="Normal 7 2 34" xfId="37867" xr:uid="{00000000-0005-0000-0000-0000ED930000}"/>
    <cellStyle name="Normal 7 2 35" xfId="37868" xr:uid="{00000000-0005-0000-0000-0000EE930000}"/>
    <cellStyle name="Normal 7 2 36" xfId="37869" xr:uid="{00000000-0005-0000-0000-0000EF930000}"/>
    <cellStyle name="Normal 7 2 37" xfId="37870" xr:uid="{00000000-0005-0000-0000-0000F0930000}"/>
    <cellStyle name="Normal 7 2 38" xfId="37871" xr:uid="{00000000-0005-0000-0000-0000F1930000}"/>
    <cellStyle name="Normal 7 2 39" xfId="37872" xr:uid="{00000000-0005-0000-0000-0000F2930000}"/>
    <cellStyle name="Normal 7 2 4" xfId="37873" xr:uid="{00000000-0005-0000-0000-0000F3930000}"/>
    <cellStyle name="Normal 7 2 40" xfId="37874" xr:uid="{00000000-0005-0000-0000-0000F4930000}"/>
    <cellStyle name="Normal 7 2 41" xfId="37875" xr:uid="{00000000-0005-0000-0000-0000F5930000}"/>
    <cellStyle name="Normal 7 2 42" xfId="37876" xr:uid="{00000000-0005-0000-0000-0000F6930000}"/>
    <cellStyle name="Normal 7 2 43" xfId="37877" xr:uid="{00000000-0005-0000-0000-0000F7930000}"/>
    <cellStyle name="Normal 7 2 44" xfId="37878" xr:uid="{00000000-0005-0000-0000-0000F8930000}"/>
    <cellStyle name="Normal 7 2 45" xfId="37879" xr:uid="{00000000-0005-0000-0000-0000F9930000}"/>
    <cellStyle name="Normal 7 2 46" xfId="37880" xr:uid="{00000000-0005-0000-0000-0000FA930000}"/>
    <cellStyle name="Normal 7 2 47" xfId="37881" xr:uid="{00000000-0005-0000-0000-0000FB930000}"/>
    <cellStyle name="Normal 7 2 48" xfId="37882" xr:uid="{00000000-0005-0000-0000-0000FC930000}"/>
    <cellStyle name="Normal 7 2 49" xfId="37883" xr:uid="{00000000-0005-0000-0000-0000FD930000}"/>
    <cellStyle name="Normal 7 2 5" xfId="37884" xr:uid="{00000000-0005-0000-0000-0000FE930000}"/>
    <cellStyle name="Normal 7 2 50" xfId="37885" xr:uid="{00000000-0005-0000-0000-0000FF930000}"/>
    <cellStyle name="Normal 7 2 51" xfId="37886" xr:uid="{00000000-0005-0000-0000-000000940000}"/>
    <cellStyle name="Normal 7 2 52" xfId="37887" xr:uid="{00000000-0005-0000-0000-000001940000}"/>
    <cellStyle name="Normal 7 2 53" xfId="37888" xr:uid="{00000000-0005-0000-0000-000002940000}"/>
    <cellStyle name="Normal 7 2 54" xfId="37889" xr:uid="{00000000-0005-0000-0000-000003940000}"/>
    <cellStyle name="Normal 7 2 55" xfId="37890" xr:uid="{00000000-0005-0000-0000-000004940000}"/>
    <cellStyle name="Normal 7 2 56" xfId="37891" xr:uid="{00000000-0005-0000-0000-000005940000}"/>
    <cellStyle name="Normal 7 2 57" xfId="37892" xr:uid="{00000000-0005-0000-0000-000006940000}"/>
    <cellStyle name="Normal 7 2 58" xfId="37893" xr:uid="{00000000-0005-0000-0000-000007940000}"/>
    <cellStyle name="Normal 7 2 59" xfId="37894" xr:uid="{00000000-0005-0000-0000-000008940000}"/>
    <cellStyle name="Normal 7 2 6" xfId="37895" xr:uid="{00000000-0005-0000-0000-000009940000}"/>
    <cellStyle name="Normal 7 2 60" xfId="37896" xr:uid="{00000000-0005-0000-0000-00000A940000}"/>
    <cellStyle name="Normal 7 2 61" xfId="37897" xr:uid="{00000000-0005-0000-0000-00000B940000}"/>
    <cellStyle name="Normal 7 2 62" xfId="37898" xr:uid="{00000000-0005-0000-0000-00000C940000}"/>
    <cellStyle name="Normal 7 2 63" xfId="37899" xr:uid="{00000000-0005-0000-0000-00000D940000}"/>
    <cellStyle name="Normal 7 2 64" xfId="37900" xr:uid="{00000000-0005-0000-0000-00000E940000}"/>
    <cellStyle name="Normal 7 2 65" xfId="37901" xr:uid="{00000000-0005-0000-0000-00000F940000}"/>
    <cellStyle name="Normal 7 2 66" xfId="37902" xr:uid="{00000000-0005-0000-0000-000010940000}"/>
    <cellStyle name="Normal 7 2 67" xfId="37903" xr:uid="{00000000-0005-0000-0000-000011940000}"/>
    <cellStyle name="Normal 7 2 68" xfId="37904" xr:uid="{00000000-0005-0000-0000-000012940000}"/>
    <cellStyle name="Normal 7 2 69" xfId="37905" xr:uid="{00000000-0005-0000-0000-000013940000}"/>
    <cellStyle name="Normal 7 2 7" xfId="37906" xr:uid="{00000000-0005-0000-0000-000014940000}"/>
    <cellStyle name="Normal 7 2 70" xfId="37907" xr:uid="{00000000-0005-0000-0000-000015940000}"/>
    <cellStyle name="Normal 7 2 71" xfId="37908" xr:uid="{00000000-0005-0000-0000-000016940000}"/>
    <cellStyle name="Normal 7 2 72" xfId="37909" xr:uid="{00000000-0005-0000-0000-000017940000}"/>
    <cellStyle name="Normal 7 2 73" xfId="37910" xr:uid="{00000000-0005-0000-0000-000018940000}"/>
    <cellStyle name="Normal 7 2 74" xfId="37911" xr:uid="{00000000-0005-0000-0000-000019940000}"/>
    <cellStyle name="Normal 7 2 75" xfId="37912" xr:uid="{00000000-0005-0000-0000-00001A940000}"/>
    <cellStyle name="Normal 7 2 76" xfId="37913" xr:uid="{00000000-0005-0000-0000-00001B940000}"/>
    <cellStyle name="Normal 7 2 77" xfId="37914" xr:uid="{00000000-0005-0000-0000-00001C940000}"/>
    <cellStyle name="Normal 7 2 78" xfId="37915" xr:uid="{00000000-0005-0000-0000-00001D940000}"/>
    <cellStyle name="Normal 7 2 79" xfId="37916" xr:uid="{00000000-0005-0000-0000-00001E940000}"/>
    <cellStyle name="Normal 7 2 8" xfId="37917" xr:uid="{00000000-0005-0000-0000-00001F940000}"/>
    <cellStyle name="Normal 7 2 80" xfId="37918" xr:uid="{00000000-0005-0000-0000-000020940000}"/>
    <cellStyle name="Normal 7 2 81" xfId="37919" xr:uid="{00000000-0005-0000-0000-000021940000}"/>
    <cellStyle name="Normal 7 2 9" xfId="37920" xr:uid="{00000000-0005-0000-0000-000022940000}"/>
    <cellStyle name="Normal 7 2_Enlaces" xfId="37921" xr:uid="{00000000-0005-0000-0000-000023940000}"/>
    <cellStyle name="Normal 7 20" xfId="37922" xr:uid="{00000000-0005-0000-0000-000024940000}"/>
    <cellStyle name="Normal 7 21" xfId="37923" xr:uid="{00000000-0005-0000-0000-000025940000}"/>
    <cellStyle name="Normal 7 22" xfId="37924" xr:uid="{00000000-0005-0000-0000-000026940000}"/>
    <cellStyle name="Normal 7 23" xfId="37925" xr:uid="{00000000-0005-0000-0000-000027940000}"/>
    <cellStyle name="Normal 7 24" xfId="37926" xr:uid="{00000000-0005-0000-0000-000028940000}"/>
    <cellStyle name="Normal 7 25" xfId="37927" xr:uid="{00000000-0005-0000-0000-000029940000}"/>
    <cellStyle name="Normal 7 26" xfId="37928" xr:uid="{00000000-0005-0000-0000-00002A940000}"/>
    <cellStyle name="Normal 7 27" xfId="37929" xr:uid="{00000000-0005-0000-0000-00002B940000}"/>
    <cellStyle name="Normal 7 28" xfId="37930" xr:uid="{00000000-0005-0000-0000-00002C940000}"/>
    <cellStyle name="Normal 7 29" xfId="37931" xr:uid="{00000000-0005-0000-0000-00002D940000}"/>
    <cellStyle name="Normal 7 3" xfId="37932" xr:uid="{00000000-0005-0000-0000-00002E940000}"/>
    <cellStyle name="Normal 7 3 2" xfId="37933" xr:uid="{00000000-0005-0000-0000-00002F940000}"/>
    <cellStyle name="Normal 7 3 3" xfId="37934" xr:uid="{00000000-0005-0000-0000-000030940000}"/>
    <cellStyle name="Normal 7 3 4" xfId="37935" xr:uid="{00000000-0005-0000-0000-000031940000}"/>
    <cellStyle name="Normal 7 3 4 2" xfId="37936" xr:uid="{00000000-0005-0000-0000-000032940000}"/>
    <cellStyle name="Normal 7 3 4 2 2" xfId="37937" xr:uid="{00000000-0005-0000-0000-000033940000}"/>
    <cellStyle name="Normal 7 3 4 3" xfId="37938" xr:uid="{00000000-0005-0000-0000-000034940000}"/>
    <cellStyle name="Normal 7 3 5" xfId="37939" xr:uid="{00000000-0005-0000-0000-000035940000}"/>
    <cellStyle name="Normal 7 3 6" xfId="37940" xr:uid="{00000000-0005-0000-0000-000036940000}"/>
    <cellStyle name="Normal 7 3 7" xfId="37941" xr:uid="{00000000-0005-0000-0000-000037940000}"/>
    <cellStyle name="Normal 7 3 7 2" xfId="37942" xr:uid="{00000000-0005-0000-0000-000038940000}"/>
    <cellStyle name="Normal 7 3_Implem" xfId="37943" xr:uid="{00000000-0005-0000-0000-000039940000}"/>
    <cellStyle name="Normal 7 30" xfId="37944" xr:uid="{00000000-0005-0000-0000-00003A940000}"/>
    <cellStyle name="Normal 7 30 2" xfId="37945" xr:uid="{00000000-0005-0000-0000-00003B940000}"/>
    <cellStyle name="Normal 7 31" xfId="37946" xr:uid="{00000000-0005-0000-0000-00003C940000}"/>
    <cellStyle name="Normal 7 32" xfId="37947" xr:uid="{00000000-0005-0000-0000-00003D940000}"/>
    <cellStyle name="Normal 7 33" xfId="37948" xr:uid="{00000000-0005-0000-0000-00003E940000}"/>
    <cellStyle name="Normal 7 34" xfId="37949" xr:uid="{00000000-0005-0000-0000-00003F940000}"/>
    <cellStyle name="Normal 7 35" xfId="37950" xr:uid="{00000000-0005-0000-0000-000040940000}"/>
    <cellStyle name="Normal 7 36" xfId="37951" xr:uid="{00000000-0005-0000-0000-000041940000}"/>
    <cellStyle name="Normal 7 37" xfId="37952" xr:uid="{00000000-0005-0000-0000-000042940000}"/>
    <cellStyle name="Normal 7 38" xfId="37953" xr:uid="{00000000-0005-0000-0000-000043940000}"/>
    <cellStyle name="Normal 7 39" xfId="37954" xr:uid="{00000000-0005-0000-0000-000044940000}"/>
    <cellStyle name="Normal 7 4" xfId="65" xr:uid="{00000000-0005-0000-0000-000045940000}"/>
    <cellStyle name="Normal 7 4 2" xfId="37955" xr:uid="{00000000-0005-0000-0000-000046940000}"/>
    <cellStyle name="Normal 7 40" xfId="37956" xr:uid="{00000000-0005-0000-0000-000047940000}"/>
    <cellStyle name="Normal 7 41" xfId="37957" xr:uid="{00000000-0005-0000-0000-000048940000}"/>
    <cellStyle name="Normal 7 42" xfId="37958" xr:uid="{00000000-0005-0000-0000-000049940000}"/>
    <cellStyle name="Normal 7 43" xfId="37959" xr:uid="{00000000-0005-0000-0000-00004A940000}"/>
    <cellStyle name="Normal 7 44" xfId="37960" xr:uid="{00000000-0005-0000-0000-00004B940000}"/>
    <cellStyle name="Normal 7 45" xfId="37961" xr:uid="{00000000-0005-0000-0000-00004C940000}"/>
    <cellStyle name="Normal 7 46" xfId="37962" xr:uid="{00000000-0005-0000-0000-00004D940000}"/>
    <cellStyle name="Normal 7 5" xfId="37963" xr:uid="{00000000-0005-0000-0000-00004E940000}"/>
    <cellStyle name="Normal 7 6" xfId="37964" xr:uid="{00000000-0005-0000-0000-00004F940000}"/>
    <cellStyle name="Normal 7 7" xfId="37965" xr:uid="{00000000-0005-0000-0000-000050940000}"/>
    <cellStyle name="Normal 7 8" xfId="37966" xr:uid="{00000000-0005-0000-0000-000051940000}"/>
    <cellStyle name="Normal 7 9" xfId="37967" xr:uid="{00000000-0005-0000-0000-000052940000}"/>
    <cellStyle name="Normal 70" xfId="37968" xr:uid="{00000000-0005-0000-0000-000053940000}"/>
    <cellStyle name="Normal 70 2" xfId="37969" xr:uid="{00000000-0005-0000-0000-000054940000}"/>
    <cellStyle name="Normal 71" xfId="37970" xr:uid="{00000000-0005-0000-0000-000055940000}"/>
    <cellStyle name="Normal 71 2" xfId="37971" xr:uid="{00000000-0005-0000-0000-000056940000}"/>
    <cellStyle name="Normal 72" xfId="37972" xr:uid="{00000000-0005-0000-0000-000057940000}"/>
    <cellStyle name="Normal 72 2" xfId="37973" xr:uid="{00000000-0005-0000-0000-000058940000}"/>
    <cellStyle name="Normal 72 3" xfId="37974" xr:uid="{00000000-0005-0000-0000-000059940000}"/>
    <cellStyle name="Normal 72 4" xfId="39198" xr:uid="{00000000-0005-0000-0000-00005A940000}"/>
    <cellStyle name="Normal 73" xfId="37975" xr:uid="{00000000-0005-0000-0000-00005B940000}"/>
    <cellStyle name="Normal 73 2" xfId="37976" xr:uid="{00000000-0005-0000-0000-00005C940000}"/>
    <cellStyle name="Normal 74" xfId="37977" xr:uid="{00000000-0005-0000-0000-00005D940000}"/>
    <cellStyle name="Normal 74 2" xfId="37978" xr:uid="{00000000-0005-0000-0000-00005E940000}"/>
    <cellStyle name="Normal 75" xfId="37979" xr:uid="{00000000-0005-0000-0000-00005F940000}"/>
    <cellStyle name="Normal 75 2" xfId="37980" xr:uid="{00000000-0005-0000-0000-000060940000}"/>
    <cellStyle name="Normal 75 3" xfId="37981" xr:uid="{00000000-0005-0000-0000-000061940000}"/>
    <cellStyle name="Normal 75 4" xfId="39199" xr:uid="{00000000-0005-0000-0000-000062940000}"/>
    <cellStyle name="Normal 76" xfId="37982" xr:uid="{00000000-0005-0000-0000-000063940000}"/>
    <cellStyle name="Normal 76 2" xfId="37983" xr:uid="{00000000-0005-0000-0000-000064940000}"/>
    <cellStyle name="Normal 76 3" xfId="37984" xr:uid="{00000000-0005-0000-0000-000065940000}"/>
    <cellStyle name="Normal 76 4" xfId="39200" xr:uid="{00000000-0005-0000-0000-000066940000}"/>
    <cellStyle name="Normal 77" xfId="37985" xr:uid="{00000000-0005-0000-0000-000067940000}"/>
    <cellStyle name="Normal 77 2" xfId="37986" xr:uid="{00000000-0005-0000-0000-000068940000}"/>
    <cellStyle name="Normal 77 3" xfId="37987" xr:uid="{00000000-0005-0000-0000-000069940000}"/>
    <cellStyle name="Normal 77 4" xfId="39201" xr:uid="{00000000-0005-0000-0000-00006A940000}"/>
    <cellStyle name="Normal 78" xfId="37988" xr:uid="{00000000-0005-0000-0000-00006B940000}"/>
    <cellStyle name="Normal 78 2" xfId="37989" xr:uid="{00000000-0005-0000-0000-00006C940000}"/>
    <cellStyle name="Normal 79" xfId="37990" xr:uid="{00000000-0005-0000-0000-00006D940000}"/>
    <cellStyle name="Normal 79 2" xfId="37991" xr:uid="{00000000-0005-0000-0000-00006E940000}"/>
    <cellStyle name="Normal 8" xfId="1" xr:uid="{00000000-0005-0000-0000-00006F940000}"/>
    <cellStyle name="Normal 8 2" xfId="66" xr:uid="{00000000-0005-0000-0000-000070940000}"/>
    <cellStyle name="Normal 8 2 2" xfId="37994" xr:uid="{00000000-0005-0000-0000-000071940000}"/>
    <cellStyle name="Normal 8 2 2 2" xfId="37995" xr:uid="{00000000-0005-0000-0000-000072940000}"/>
    <cellStyle name="Normal 8 2 3" xfId="37996" xr:uid="{00000000-0005-0000-0000-000073940000}"/>
    <cellStyle name="Normal 8 2 3 2" xfId="37997" xr:uid="{00000000-0005-0000-0000-000074940000}"/>
    <cellStyle name="Normal 8 2 4" xfId="37993" xr:uid="{00000000-0005-0000-0000-000075940000}"/>
    <cellStyle name="Normal 8 3" xfId="38" xr:uid="{00000000-0005-0000-0000-000076940000}"/>
    <cellStyle name="Normal 8 3 2" xfId="37998" xr:uid="{00000000-0005-0000-0000-000077940000}"/>
    <cellStyle name="Normal 8 4" xfId="37999" xr:uid="{00000000-0005-0000-0000-000078940000}"/>
    <cellStyle name="Normal 8 5" xfId="38000" xr:uid="{00000000-0005-0000-0000-000079940000}"/>
    <cellStyle name="Normal 8 6" xfId="38001" xr:uid="{00000000-0005-0000-0000-00007A940000}"/>
    <cellStyle name="Normal 8 7" xfId="38002" xr:uid="{00000000-0005-0000-0000-00007B940000}"/>
    <cellStyle name="Normal 8 8" xfId="38003" xr:uid="{00000000-0005-0000-0000-00007C940000}"/>
    <cellStyle name="Normal 8 8 2" xfId="38004" xr:uid="{00000000-0005-0000-0000-00007D940000}"/>
    <cellStyle name="Normal 8 9" xfId="37992" xr:uid="{00000000-0005-0000-0000-00007E940000}"/>
    <cellStyle name="Normal 80" xfId="38005" xr:uid="{00000000-0005-0000-0000-00007F940000}"/>
    <cellStyle name="Normal 80 2" xfId="38006" xr:uid="{00000000-0005-0000-0000-000080940000}"/>
    <cellStyle name="Normal 80 3" xfId="38007" xr:uid="{00000000-0005-0000-0000-000081940000}"/>
    <cellStyle name="Normal 80 4" xfId="39202" xr:uid="{00000000-0005-0000-0000-000082940000}"/>
    <cellStyle name="Normal 81" xfId="3" xr:uid="{00000000-0005-0000-0000-000083940000}"/>
    <cellStyle name="Normal 81 2" xfId="38009" xr:uid="{00000000-0005-0000-0000-000084940000}"/>
    <cellStyle name="Normal 81 3" xfId="39203" xr:uid="{00000000-0005-0000-0000-000085940000}"/>
    <cellStyle name="Normal 81 4" xfId="38008" xr:uid="{00000000-0005-0000-0000-000086940000}"/>
    <cellStyle name="Normal 82" xfId="38010" xr:uid="{00000000-0005-0000-0000-000087940000}"/>
    <cellStyle name="Normal 82 2" xfId="38011" xr:uid="{00000000-0005-0000-0000-000088940000}"/>
    <cellStyle name="Normal 83" xfId="38012" xr:uid="{00000000-0005-0000-0000-000089940000}"/>
    <cellStyle name="Normal 83 2" xfId="38013" xr:uid="{00000000-0005-0000-0000-00008A940000}"/>
    <cellStyle name="Normal 83 3" xfId="38014" xr:uid="{00000000-0005-0000-0000-00008B940000}"/>
    <cellStyle name="Normal 83 4" xfId="39204" xr:uid="{00000000-0005-0000-0000-00008C940000}"/>
    <cellStyle name="Normal 84" xfId="38015" xr:uid="{00000000-0005-0000-0000-00008D940000}"/>
    <cellStyle name="Normal 84 2" xfId="38016" xr:uid="{00000000-0005-0000-0000-00008E940000}"/>
    <cellStyle name="Normal 85" xfId="38017" xr:uid="{00000000-0005-0000-0000-00008F940000}"/>
    <cellStyle name="Normal 85 2" xfId="38018" xr:uid="{00000000-0005-0000-0000-000090940000}"/>
    <cellStyle name="Normal 85 3" xfId="38019" xr:uid="{00000000-0005-0000-0000-000091940000}"/>
    <cellStyle name="Normal 86" xfId="38020" xr:uid="{00000000-0005-0000-0000-000092940000}"/>
    <cellStyle name="Normal 86 2" xfId="38021" xr:uid="{00000000-0005-0000-0000-000093940000}"/>
    <cellStyle name="Normal 86 3" xfId="38022" xr:uid="{00000000-0005-0000-0000-000094940000}"/>
    <cellStyle name="Normal 86 4" xfId="39205" xr:uid="{00000000-0005-0000-0000-000095940000}"/>
    <cellStyle name="Normal 87" xfId="38023" xr:uid="{00000000-0005-0000-0000-000096940000}"/>
    <cellStyle name="Normal 87 2" xfId="38024" xr:uid="{00000000-0005-0000-0000-000097940000}"/>
    <cellStyle name="Normal 88" xfId="38025" xr:uid="{00000000-0005-0000-0000-000098940000}"/>
    <cellStyle name="Normal 88 2" xfId="38026" xr:uid="{00000000-0005-0000-0000-000099940000}"/>
    <cellStyle name="Normal 88 3" xfId="38027" xr:uid="{00000000-0005-0000-0000-00009A940000}"/>
    <cellStyle name="Normal 88 4" xfId="39206" xr:uid="{00000000-0005-0000-0000-00009B940000}"/>
    <cellStyle name="Normal 89" xfId="38028" xr:uid="{00000000-0005-0000-0000-00009C940000}"/>
    <cellStyle name="Normal 89 2" xfId="38029" xr:uid="{00000000-0005-0000-0000-00009D940000}"/>
    <cellStyle name="Normal 9" xfId="39" xr:uid="{00000000-0005-0000-0000-00009E940000}"/>
    <cellStyle name="Normal 9 10" xfId="38031" xr:uid="{00000000-0005-0000-0000-00009F940000}"/>
    <cellStyle name="Normal 9 11" xfId="38032" xr:uid="{00000000-0005-0000-0000-0000A0940000}"/>
    <cellStyle name="Normal 9 12" xfId="38033" xr:uid="{00000000-0005-0000-0000-0000A1940000}"/>
    <cellStyle name="Normal 9 13" xfId="38034" xr:uid="{00000000-0005-0000-0000-0000A2940000}"/>
    <cellStyle name="Normal 9 14" xfId="38035" xr:uid="{00000000-0005-0000-0000-0000A3940000}"/>
    <cellStyle name="Normal 9 15" xfId="38036" xr:uid="{00000000-0005-0000-0000-0000A4940000}"/>
    <cellStyle name="Normal 9 16" xfId="38037" xr:uid="{00000000-0005-0000-0000-0000A5940000}"/>
    <cellStyle name="Normal 9 17" xfId="38038" xr:uid="{00000000-0005-0000-0000-0000A6940000}"/>
    <cellStyle name="Normal 9 18" xfId="38039" xr:uid="{00000000-0005-0000-0000-0000A7940000}"/>
    <cellStyle name="Normal 9 19" xfId="38040" xr:uid="{00000000-0005-0000-0000-0000A8940000}"/>
    <cellStyle name="Normal 9 2" xfId="67" xr:uid="{00000000-0005-0000-0000-0000A9940000}"/>
    <cellStyle name="Normal 9 2 10" xfId="38042" xr:uid="{00000000-0005-0000-0000-0000AA940000}"/>
    <cellStyle name="Normal 9 2 11" xfId="38043" xr:uid="{00000000-0005-0000-0000-0000AB940000}"/>
    <cellStyle name="Normal 9 2 12" xfId="38044" xr:uid="{00000000-0005-0000-0000-0000AC940000}"/>
    <cellStyle name="Normal 9 2 13" xfId="38045" xr:uid="{00000000-0005-0000-0000-0000AD940000}"/>
    <cellStyle name="Normal 9 2 14" xfId="38046" xr:uid="{00000000-0005-0000-0000-0000AE940000}"/>
    <cellStyle name="Normal 9 2 15" xfId="38047" xr:uid="{00000000-0005-0000-0000-0000AF940000}"/>
    <cellStyle name="Normal 9 2 16" xfId="38048" xr:uid="{00000000-0005-0000-0000-0000B0940000}"/>
    <cellStyle name="Normal 9 2 17" xfId="38049" xr:uid="{00000000-0005-0000-0000-0000B1940000}"/>
    <cellStyle name="Normal 9 2 18" xfId="38050" xr:uid="{00000000-0005-0000-0000-0000B2940000}"/>
    <cellStyle name="Normal 9 2 19" xfId="38051" xr:uid="{00000000-0005-0000-0000-0000B3940000}"/>
    <cellStyle name="Normal 9 2 2" xfId="38052" xr:uid="{00000000-0005-0000-0000-0000B4940000}"/>
    <cellStyle name="Normal 9 2 2 2" xfId="38053" xr:uid="{00000000-0005-0000-0000-0000B5940000}"/>
    <cellStyle name="Normal 9 2 2 2 2" xfId="38054" xr:uid="{00000000-0005-0000-0000-0000B6940000}"/>
    <cellStyle name="Normal 9 2 20" xfId="38055" xr:uid="{00000000-0005-0000-0000-0000B7940000}"/>
    <cellStyle name="Normal 9 2 21" xfId="38056" xr:uid="{00000000-0005-0000-0000-0000B8940000}"/>
    <cellStyle name="Normal 9 2 22" xfId="38057" xr:uid="{00000000-0005-0000-0000-0000B9940000}"/>
    <cellStyle name="Normal 9 2 23" xfId="38058" xr:uid="{00000000-0005-0000-0000-0000BA940000}"/>
    <cellStyle name="Normal 9 2 24" xfId="38059" xr:uid="{00000000-0005-0000-0000-0000BB940000}"/>
    <cellStyle name="Normal 9 2 25" xfId="38060" xr:uid="{00000000-0005-0000-0000-0000BC940000}"/>
    <cellStyle name="Normal 9 2 26" xfId="38061" xr:uid="{00000000-0005-0000-0000-0000BD940000}"/>
    <cellStyle name="Normal 9 2 27" xfId="38062" xr:uid="{00000000-0005-0000-0000-0000BE940000}"/>
    <cellStyle name="Normal 9 2 28" xfId="38063" xr:uid="{00000000-0005-0000-0000-0000BF940000}"/>
    <cellStyle name="Normal 9 2 29" xfId="38064" xr:uid="{00000000-0005-0000-0000-0000C0940000}"/>
    <cellStyle name="Normal 9 2 3" xfId="38065" xr:uid="{00000000-0005-0000-0000-0000C1940000}"/>
    <cellStyle name="Normal 9 2 30" xfId="38066" xr:uid="{00000000-0005-0000-0000-0000C2940000}"/>
    <cellStyle name="Normal 9 2 31" xfId="38067" xr:uid="{00000000-0005-0000-0000-0000C3940000}"/>
    <cellStyle name="Normal 9 2 32" xfId="38068" xr:uid="{00000000-0005-0000-0000-0000C4940000}"/>
    <cellStyle name="Normal 9 2 33" xfId="38069" xr:uid="{00000000-0005-0000-0000-0000C5940000}"/>
    <cellStyle name="Normal 9 2 34" xfId="38070" xr:uid="{00000000-0005-0000-0000-0000C6940000}"/>
    <cellStyle name="Normal 9 2 35" xfId="38071" xr:uid="{00000000-0005-0000-0000-0000C7940000}"/>
    <cellStyle name="Normal 9 2 36" xfId="38072" xr:uid="{00000000-0005-0000-0000-0000C8940000}"/>
    <cellStyle name="Normal 9 2 37" xfId="38073" xr:uid="{00000000-0005-0000-0000-0000C9940000}"/>
    <cellStyle name="Normal 9 2 38" xfId="38074" xr:uid="{00000000-0005-0000-0000-0000CA940000}"/>
    <cellStyle name="Normal 9 2 39" xfId="38075" xr:uid="{00000000-0005-0000-0000-0000CB940000}"/>
    <cellStyle name="Normal 9 2 4" xfId="38076" xr:uid="{00000000-0005-0000-0000-0000CC940000}"/>
    <cellStyle name="Normal 9 2 40" xfId="38077" xr:uid="{00000000-0005-0000-0000-0000CD940000}"/>
    <cellStyle name="Normal 9 2 41" xfId="38078" xr:uid="{00000000-0005-0000-0000-0000CE940000}"/>
    <cellStyle name="Normal 9 2 42" xfId="38079" xr:uid="{00000000-0005-0000-0000-0000CF940000}"/>
    <cellStyle name="Normal 9 2 43" xfId="38080" xr:uid="{00000000-0005-0000-0000-0000D0940000}"/>
    <cellStyle name="Normal 9 2 44" xfId="38081" xr:uid="{00000000-0005-0000-0000-0000D1940000}"/>
    <cellStyle name="Normal 9 2 45" xfId="38082" xr:uid="{00000000-0005-0000-0000-0000D2940000}"/>
    <cellStyle name="Normal 9 2 46" xfId="38083" xr:uid="{00000000-0005-0000-0000-0000D3940000}"/>
    <cellStyle name="Normal 9 2 47" xfId="38084" xr:uid="{00000000-0005-0000-0000-0000D4940000}"/>
    <cellStyle name="Normal 9 2 48" xfId="38085" xr:uid="{00000000-0005-0000-0000-0000D5940000}"/>
    <cellStyle name="Normal 9 2 49" xfId="38086" xr:uid="{00000000-0005-0000-0000-0000D6940000}"/>
    <cellStyle name="Normal 9 2 5" xfId="38087" xr:uid="{00000000-0005-0000-0000-0000D7940000}"/>
    <cellStyle name="Normal 9 2 50" xfId="38088" xr:uid="{00000000-0005-0000-0000-0000D8940000}"/>
    <cellStyle name="Normal 9 2 51" xfId="38089" xr:uid="{00000000-0005-0000-0000-0000D9940000}"/>
    <cellStyle name="Normal 9 2 52" xfId="38090" xr:uid="{00000000-0005-0000-0000-0000DA940000}"/>
    <cellStyle name="Normal 9 2 53" xfId="38091" xr:uid="{00000000-0005-0000-0000-0000DB940000}"/>
    <cellStyle name="Normal 9 2 54" xfId="38092" xr:uid="{00000000-0005-0000-0000-0000DC940000}"/>
    <cellStyle name="Normal 9 2 55" xfId="38093" xr:uid="{00000000-0005-0000-0000-0000DD940000}"/>
    <cellStyle name="Normal 9 2 56" xfId="38094" xr:uid="{00000000-0005-0000-0000-0000DE940000}"/>
    <cellStyle name="Normal 9 2 57" xfId="38095" xr:uid="{00000000-0005-0000-0000-0000DF940000}"/>
    <cellStyle name="Normal 9 2 58" xfId="38096" xr:uid="{00000000-0005-0000-0000-0000E0940000}"/>
    <cellStyle name="Normal 9 2 59" xfId="38097" xr:uid="{00000000-0005-0000-0000-0000E1940000}"/>
    <cellStyle name="Normal 9 2 6" xfId="38098" xr:uid="{00000000-0005-0000-0000-0000E2940000}"/>
    <cellStyle name="Normal 9 2 60" xfId="38099" xr:uid="{00000000-0005-0000-0000-0000E3940000}"/>
    <cellStyle name="Normal 9 2 61" xfId="38100" xr:uid="{00000000-0005-0000-0000-0000E4940000}"/>
    <cellStyle name="Normal 9 2 62" xfId="38101" xr:uid="{00000000-0005-0000-0000-0000E5940000}"/>
    <cellStyle name="Normal 9 2 63" xfId="38102" xr:uid="{00000000-0005-0000-0000-0000E6940000}"/>
    <cellStyle name="Normal 9 2 64" xfId="38103" xr:uid="{00000000-0005-0000-0000-0000E7940000}"/>
    <cellStyle name="Normal 9 2 65" xfId="38104" xr:uid="{00000000-0005-0000-0000-0000E8940000}"/>
    <cellStyle name="Normal 9 2 66" xfId="38105" xr:uid="{00000000-0005-0000-0000-0000E9940000}"/>
    <cellStyle name="Normal 9 2 67" xfId="38106" xr:uid="{00000000-0005-0000-0000-0000EA940000}"/>
    <cellStyle name="Normal 9 2 68" xfId="38107" xr:uid="{00000000-0005-0000-0000-0000EB940000}"/>
    <cellStyle name="Normal 9 2 69" xfId="38108" xr:uid="{00000000-0005-0000-0000-0000EC940000}"/>
    <cellStyle name="Normal 9 2 7" xfId="38109" xr:uid="{00000000-0005-0000-0000-0000ED940000}"/>
    <cellStyle name="Normal 9 2 70" xfId="38110" xr:uid="{00000000-0005-0000-0000-0000EE940000}"/>
    <cellStyle name="Normal 9 2 71" xfId="38111" xr:uid="{00000000-0005-0000-0000-0000EF940000}"/>
    <cellStyle name="Normal 9 2 72" xfId="38112" xr:uid="{00000000-0005-0000-0000-0000F0940000}"/>
    <cellStyle name="Normal 9 2 73" xfId="38113" xr:uid="{00000000-0005-0000-0000-0000F1940000}"/>
    <cellStyle name="Normal 9 2 74" xfId="38114" xr:uid="{00000000-0005-0000-0000-0000F2940000}"/>
    <cellStyle name="Normal 9 2 75" xfId="38115" xr:uid="{00000000-0005-0000-0000-0000F3940000}"/>
    <cellStyle name="Normal 9 2 76" xfId="38116" xr:uid="{00000000-0005-0000-0000-0000F4940000}"/>
    <cellStyle name="Normal 9 2 77" xfId="38117" xr:uid="{00000000-0005-0000-0000-0000F5940000}"/>
    <cellStyle name="Normal 9 2 78" xfId="38118" xr:uid="{00000000-0005-0000-0000-0000F6940000}"/>
    <cellStyle name="Normal 9 2 79" xfId="38119" xr:uid="{00000000-0005-0000-0000-0000F7940000}"/>
    <cellStyle name="Normal 9 2 8" xfId="38120" xr:uid="{00000000-0005-0000-0000-0000F8940000}"/>
    <cellStyle name="Normal 9 2 80" xfId="38041" xr:uid="{00000000-0005-0000-0000-0000F9940000}"/>
    <cellStyle name="Normal 9 2 9" xfId="38121" xr:uid="{00000000-0005-0000-0000-0000FA940000}"/>
    <cellStyle name="Normal 9 2_Enlaces" xfId="38122" xr:uid="{00000000-0005-0000-0000-0000FB940000}"/>
    <cellStyle name="Normal 9 20" xfId="38123" xr:uid="{00000000-0005-0000-0000-0000FC940000}"/>
    <cellStyle name="Normal 9 20 2" xfId="38124" xr:uid="{00000000-0005-0000-0000-0000FD940000}"/>
    <cellStyle name="Normal 9 20 2 2" xfId="38125" xr:uid="{00000000-0005-0000-0000-0000FE940000}"/>
    <cellStyle name="Normal 9 20 2 3" xfId="38126" xr:uid="{00000000-0005-0000-0000-0000FF940000}"/>
    <cellStyle name="Normal 9 20 3" xfId="38127" xr:uid="{00000000-0005-0000-0000-000000950000}"/>
    <cellStyle name="Normal 9 20 4" xfId="38128" xr:uid="{00000000-0005-0000-0000-000001950000}"/>
    <cellStyle name="Normal 9 21" xfId="38129" xr:uid="{00000000-0005-0000-0000-000002950000}"/>
    <cellStyle name="Normal 9 21 2" xfId="38130" xr:uid="{00000000-0005-0000-0000-000003950000}"/>
    <cellStyle name="Normal 9 21 2 2" xfId="38131" xr:uid="{00000000-0005-0000-0000-000004950000}"/>
    <cellStyle name="Normal 9 21 2 3" xfId="38132" xr:uid="{00000000-0005-0000-0000-000005950000}"/>
    <cellStyle name="Normal 9 21 3" xfId="38133" xr:uid="{00000000-0005-0000-0000-000006950000}"/>
    <cellStyle name="Normal 9 21 4" xfId="38134" xr:uid="{00000000-0005-0000-0000-000007950000}"/>
    <cellStyle name="Normal 9 22" xfId="38135" xr:uid="{00000000-0005-0000-0000-000008950000}"/>
    <cellStyle name="Normal 9 22 2" xfId="38136" xr:uid="{00000000-0005-0000-0000-000009950000}"/>
    <cellStyle name="Normal 9 22 2 2" xfId="38137" xr:uid="{00000000-0005-0000-0000-00000A950000}"/>
    <cellStyle name="Normal 9 22 2 3" xfId="38138" xr:uid="{00000000-0005-0000-0000-00000B950000}"/>
    <cellStyle name="Normal 9 22 3" xfId="38139" xr:uid="{00000000-0005-0000-0000-00000C950000}"/>
    <cellStyle name="Normal 9 22 4" xfId="38140" xr:uid="{00000000-0005-0000-0000-00000D950000}"/>
    <cellStyle name="Normal 9 23" xfId="38141" xr:uid="{00000000-0005-0000-0000-00000E950000}"/>
    <cellStyle name="Normal 9 23 2" xfId="38142" xr:uid="{00000000-0005-0000-0000-00000F950000}"/>
    <cellStyle name="Normal 9 23 2 2" xfId="38143" xr:uid="{00000000-0005-0000-0000-000010950000}"/>
    <cellStyle name="Normal 9 23 2 3" xfId="38144" xr:uid="{00000000-0005-0000-0000-000011950000}"/>
    <cellStyle name="Normal 9 23 3" xfId="38145" xr:uid="{00000000-0005-0000-0000-000012950000}"/>
    <cellStyle name="Normal 9 23 4" xfId="38146" xr:uid="{00000000-0005-0000-0000-000013950000}"/>
    <cellStyle name="Normal 9 24" xfId="38147" xr:uid="{00000000-0005-0000-0000-000014950000}"/>
    <cellStyle name="Normal 9 24 2" xfId="38148" xr:uid="{00000000-0005-0000-0000-000015950000}"/>
    <cellStyle name="Normal 9 24 2 2" xfId="38149" xr:uid="{00000000-0005-0000-0000-000016950000}"/>
    <cellStyle name="Normal 9 24 2 3" xfId="38150" xr:uid="{00000000-0005-0000-0000-000017950000}"/>
    <cellStyle name="Normal 9 24 3" xfId="38151" xr:uid="{00000000-0005-0000-0000-000018950000}"/>
    <cellStyle name="Normal 9 24 4" xfId="38152" xr:uid="{00000000-0005-0000-0000-000019950000}"/>
    <cellStyle name="Normal 9 25" xfId="38153" xr:uid="{00000000-0005-0000-0000-00001A950000}"/>
    <cellStyle name="Normal 9 25 2" xfId="38154" xr:uid="{00000000-0005-0000-0000-00001B950000}"/>
    <cellStyle name="Normal 9 25 2 2" xfId="38155" xr:uid="{00000000-0005-0000-0000-00001C950000}"/>
    <cellStyle name="Normal 9 25 2 3" xfId="38156" xr:uid="{00000000-0005-0000-0000-00001D950000}"/>
    <cellStyle name="Normal 9 25 3" xfId="38157" xr:uid="{00000000-0005-0000-0000-00001E950000}"/>
    <cellStyle name="Normal 9 25 4" xfId="38158" xr:uid="{00000000-0005-0000-0000-00001F950000}"/>
    <cellStyle name="Normal 9 26" xfId="38159" xr:uid="{00000000-0005-0000-0000-000020950000}"/>
    <cellStyle name="Normal 9 26 2" xfId="38160" xr:uid="{00000000-0005-0000-0000-000021950000}"/>
    <cellStyle name="Normal 9 26 2 2" xfId="38161" xr:uid="{00000000-0005-0000-0000-000022950000}"/>
    <cellStyle name="Normal 9 26 2 3" xfId="38162" xr:uid="{00000000-0005-0000-0000-000023950000}"/>
    <cellStyle name="Normal 9 26 3" xfId="38163" xr:uid="{00000000-0005-0000-0000-000024950000}"/>
    <cellStyle name="Normal 9 26 4" xfId="38164" xr:uid="{00000000-0005-0000-0000-000025950000}"/>
    <cellStyle name="Normal 9 27" xfId="38165" xr:uid="{00000000-0005-0000-0000-000026950000}"/>
    <cellStyle name="Normal 9 27 2" xfId="38166" xr:uid="{00000000-0005-0000-0000-000027950000}"/>
    <cellStyle name="Normal 9 27 2 2" xfId="38167" xr:uid="{00000000-0005-0000-0000-000028950000}"/>
    <cellStyle name="Normal 9 27 2 3" xfId="38168" xr:uid="{00000000-0005-0000-0000-000029950000}"/>
    <cellStyle name="Normal 9 27 3" xfId="38169" xr:uid="{00000000-0005-0000-0000-00002A950000}"/>
    <cellStyle name="Normal 9 27 4" xfId="38170" xr:uid="{00000000-0005-0000-0000-00002B950000}"/>
    <cellStyle name="Normal 9 28" xfId="38171" xr:uid="{00000000-0005-0000-0000-00002C950000}"/>
    <cellStyle name="Normal 9 28 2" xfId="38172" xr:uid="{00000000-0005-0000-0000-00002D950000}"/>
    <cellStyle name="Normal 9 28 2 2" xfId="38173" xr:uid="{00000000-0005-0000-0000-00002E950000}"/>
    <cellStyle name="Normal 9 28 2 3" xfId="38174" xr:uid="{00000000-0005-0000-0000-00002F950000}"/>
    <cellStyle name="Normal 9 28 3" xfId="38175" xr:uid="{00000000-0005-0000-0000-000030950000}"/>
    <cellStyle name="Normal 9 28 4" xfId="38176" xr:uid="{00000000-0005-0000-0000-000031950000}"/>
    <cellStyle name="Normal 9 29" xfId="38177" xr:uid="{00000000-0005-0000-0000-000032950000}"/>
    <cellStyle name="Normal 9 29 2" xfId="38178" xr:uid="{00000000-0005-0000-0000-000033950000}"/>
    <cellStyle name="Normal 9 29 2 2" xfId="38179" xr:uid="{00000000-0005-0000-0000-000034950000}"/>
    <cellStyle name="Normal 9 29 2 3" xfId="38180" xr:uid="{00000000-0005-0000-0000-000035950000}"/>
    <cellStyle name="Normal 9 29 3" xfId="38181" xr:uid="{00000000-0005-0000-0000-000036950000}"/>
    <cellStyle name="Normal 9 29 4" xfId="38182" xr:uid="{00000000-0005-0000-0000-000037950000}"/>
    <cellStyle name="Normal 9 3" xfId="38183" xr:uid="{00000000-0005-0000-0000-000038950000}"/>
    <cellStyle name="Normal 9 3 2" xfId="38184" xr:uid="{00000000-0005-0000-0000-000039950000}"/>
    <cellStyle name="Normal 9 3 2 2" xfId="38185" xr:uid="{00000000-0005-0000-0000-00003A950000}"/>
    <cellStyle name="Normal 9 3 2 2 2" xfId="38186" xr:uid="{00000000-0005-0000-0000-00003B950000}"/>
    <cellStyle name="Normal 9 3 2 2 3" xfId="38187" xr:uid="{00000000-0005-0000-0000-00003C950000}"/>
    <cellStyle name="Normal 9 3 2 3" xfId="38188" xr:uid="{00000000-0005-0000-0000-00003D950000}"/>
    <cellStyle name="Normal 9 3 2 4" xfId="38189" xr:uid="{00000000-0005-0000-0000-00003E950000}"/>
    <cellStyle name="Normal 9 3 3" xfId="38190" xr:uid="{00000000-0005-0000-0000-00003F950000}"/>
    <cellStyle name="Normal 9 3 3 2" xfId="38191" xr:uid="{00000000-0005-0000-0000-000040950000}"/>
    <cellStyle name="Normal 9 3 3 2 2" xfId="38192" xr:uid="{00000000-0005-0000-0000-000041950000}"/>
    <cellStyle name="Normal 9 3 3 2 3" xfId="38193" xr:uid="{00000000-0005-0000-0000-000042950000}"/>
    <cellStyle name="Normal 9 3 3 3" xfId="38194" xr:uid="{00000000-0005-0000-0000-000043950000}"/>
    <cellStyle name="Normal 9 3 3 4" xfId="38195" xr:uid="{00000000-0005-0000-0000-000044950000}"/>
    <cellStyle name="Normal 9 3 4" xfId="38196" xr:uid="{00000000-0005-0000-0000-000045950000}"/>
    <cellStyle name="Normal 9 3 4 2" xfId="38197" xr:uid="{00000000-0005-0000-0000-000046950000}"/>
    <cellStyle name="Normal 9 3 4 2 2" xfId="38198" xr:uid="{00000000-0005-0000-0000-000047950000}"/>
    <cellStyle name="Normal 9 3 4 2 2 2" xfId="38199" xr:uid="{00000000-0005-0000-0000-000048950000}"/>
    <cellStyle name="Normal 9 3 4 2 2 2 2" xfId="38200" xr:uid="{00000000-0005-0000-0000-000049950000}"/>
    <cellStyle name="Normal 9 3 4 2 2 2 3" xfId="38201" xr:uid="{00000000-0005-0000-0000-00004A950000}"/>
    <cellStyle name="Normal 9 3 4 2 2 3" xfId="38202" xr:uid="{00000000-0005-0000-0000-00004B950000}"/>
    <cellStyle name="Normal 9 3 4 2 2 4" xfId="38203" xr:uid="{00000000-0005-0000-0000-00004C950000}"/>
    <cellStyle name="Normal 9 3 4 3" xfId="38204" xr:uid="{00000000-0005-0000-0000-00004D950000}"/>
    <cellStyle name="Normal 9 3 4 3 2" xfId="38205" xr:uid="{00000000-0005-0000-0000-00004E950000}"/>
    <cellStyle name="Normal 9 3 4 3 2 2" xfId="38206" xr:uid="{00000000-0005-0000-0000-00004F950000}"/>
    <cellStyle name="Normal 9 3 4 3 2 3" xfId="38207" xr:uid="{00000000-0005-0000-0000-000050950000}"/>
    <cellStyle name="Normal 9 3 4 3 3" xfId="38208" xr:uid="{00000000-0005-0000-0000-000051950000}"/>
    <cellStyle name="Normal 9 3 4 3 4" xfId="38209" xr:uid="{00000000-0005-0000-0000-000052950000}"/>
    <cellStyle name="Normal 9 3 4 4" xfId="38210" xr:uid="{00000000-0005-0000-0000-000053950000}"/>
    <cellStyle name="Normal 9 3 4 4 2" xfId="38211" xr:uid="{00000000-0005-0000-0000-000054950000}"/>
    <cellStyle name="Normal 9 3 4 4 3" xfId="38212" xr:uid="{00000000-0005-0000-0000-000055950000}"/>
    <cellStyle name="Normal 9 3 4 5" xfId="38213" xr:uid="{00000000-0005-0000-0000-000056950000}"/>
    <cellStyle name="Normal 9 3 5" xfId="38214" xr:uid="{00000000-0005-0000-0000-000057950000}"/>
    <cellStyle name="Normal 9 3 5 2" xfId="38215" xr:uid="{00000000-0005-0000-0000-000058950000}"/>
    <cellStyle name="Normal 9 3 5 2 2" xfId="38216" xr:uid="{00000000-0005-0000-0000-000059950000}"/>
    <cellStyle name="Normal 9 3 5 2 3" xfId="38217" xr:uid="{00000000-0005-0000-0000-00005A950000}"/>
    <cellStyle name="Normal 9 3 5 3" xfId="38218" xr:uid="{00000000-0005-0000-0000-00005B950000}"/>
    <cellStyle name="Normal 9 3 5 4" xfId="38219" xr:uid="{00000000-0005-0000-0000-00005C950000}"/>
    <cellStyle name="Normal 9 3 6" xfId="38220" xr:uid="{00000000-0005-0000-0000-00005D950000}"/>
    <cellStyle name="Normal 9 3 6 2" xfId="38221" xr:uid="{00000000-0005-0000-0000-00005E950000}"/>
    <cellStyle name="Normal 9 3 6 2 2" xfId="38222" xr:uid="{00000000-0005-0000-0000-00005F950000}"/>
    <cellStyle name="Normal 9 3 6 2 3" xfId="38223" xr:uid="{00000000-0005-0000-0000-000060950000}"/>
    <cellStyle name="Normal 9 3 6 3" xfId="38224" xr:uid="{00000000-0005-0000-0000-000061950000}"/>
    <cellStyle name="Normal 9 3 6 4" xfId="38225" xr:uid="{00000000-0005-0000-0000-000062950000}"/>
    <cellStyle name="Normal 9 3 7" xfId="38226" xr:uid="{00000000-0005-0000-0000-000063950000}"/>
    <cellStyle name="Normal 9 3 7 2" xfId="38227" xr:uid="{00000000-0005-0000-0000-000064950000}"/>
    <cellStyle name="Normal 9 3 7 3" xfId="38228" xr:uid="{00000000-0005-0000-0000-000065950000}"/>
    <cellStyle name="Normal 9 3 7 3 2" xfId="38229" xr:uid="{00000000-0005-0000-0000-000066950000}"/>
    <cellStyle name="Normal 9 3 7 3 3" xfId="38230" xr:uid="{00000000-0005-0000-0000-000067950000}"/>
    <cellStyle name="Normal 9 3 7 4" xfId="38231" xr:uid="{00000000-0005-0000-0000-000068950000}"/>
    <cellStyle name="Normal 9 3 8" xfId="38232" xr:uid="{00000000-0005-0000-0000-000069950000}"/>
    <cellStyle name="Normal 9 3 9" xfId="38233" xr:uid="{00000000-0005-0000-0000-00006A950000}"/>
    <cellStyle name="Normal 9 3 9 2" xfId="38234" xr:uid="{00000000-0005-0000-0000-00006B950000}"/>
    <cellStyle name="Normal 9 3 9 2 2" xfId="38235" xr:uid="{00000000-0005-0000-0000-00006C950000}"/>
    <cellStyle name="Normal 9 3 9 2 3" xfId="38236" xr:uid="{00000000-0005-0000-0000-00006D950000}"/>
    <cellStyle name="Normal 9 3 9 3" xfId="38237" xr:uid="{00000000-0005-0000-0000-00006E950000}"/>
    <cellStyle name="Normal 9 3 9 4" xfId="38238" xr:uid="{00000000-0005-0000-0000-00006F950000}"/>
    <cellStyle name="Normal 9 3_Implem" xfId="38239" xr:uid="{00000000-0005-0000-0000-000070950000}"/>
    <cellStyle name="Normal 9 30" xfId="39189" xr:uid="{00000000-0005-0000-0000-000071950000}"/>
    <cellStyle name="Normal 9 31" xfId="38030" xr:uid="{00000000-0005-0000-0000-000072950000}"/>
    <cellStyle name="Normal 9 4" xfId="38240" xr:uid="{00000000-0005-0000-0000-000073950000}"/>
    <cellStyle name="Normal 9 4 2" xfId="38241" xr:uid="{00000000-0005-0000-0000-000074950000}"/>
    <cellStyle name="Normal 9 4 2 2" xfId="38242" xr:uid="{00000000-0005-0000-0000-000075950000}"/>
    <cellStyle name="Normal 9 4 2 3" xfId="38243" xr:uid="{00000000-0005-0000-0000-000076950000}"/>
    <cellStyle name="Normal 9 4 3" xfId="38244" xr:uid="{00000000-0005-0000-0000-000077950000}"/>
    <cellStyle name="Normal 9 4 4" xfId="38245" xr:uid="{00000000-0005-0000-0000-000078950000}"/>
    <cellStyle name="Normal 9 5" xfId="38246" xr:uid="{00000000-0005-0000-0000-000079950000}"/>
    <cellStyle name="Normal 9 5 2" xfId="38247" xr:uid="{00000000-0005-0000-0000-00007A950000}"/>
    <cellStyle name="Normal 9 5 2 2" xfId="38248" xr:uid="{00000000-0005-0000-0000-00007B950000}"/>
    <cellStyle name="Normal 9 5 2 3" xfId="38249" xr:uid="{00000000-0005-0000-0000-00007C950000}"/>
    <cellStyle name="Normal 9 5 3" xfId="38250" xr:uid="{00000000-0005-0000-0000-00007D950000}"/>
    <cellStyle name="Normal 9 5 4" xfId="38251" xr:uid="{00000000-0005-0000-0000-00007E950000}"/>
    <cellStyle name="Normal 9 6" xfId="38252" xr:uid="{00000000-0005-0000-0000-00007F950000}"/>
    <cellStyle name="Normal 9 6 2" xfId="38253" xr:uid="{00000000-0005-0000-0000-000080950000}"/>
    <cellStyle name="Normal 9 6 2 2" xfId="38254" xr:uid="{00000000-0005-0000-0000-000081950000}"/>
    <cellStyle name="Normal 9 6 2 3" xfId="38255" xr:uid="{00000000-0005-0000-0000-000082950000}"/>
    <cellStyle name="Normal 9 6 3" xfId="38256" xr:uid="{00000000-0005-0000-0000-000083950000}"/>
    <cellStyle name="Normal 9 6 4" xfId="38257" xr:uid="{00000000-0005-0000-0000-000084950000}"/>
    <cellStyle name="Normal 9 7" xfId="38258" xr:uid="{00000000-0005-0000-0000-000085950000}"/>
    <cellStyle name="Normal 9 7 2" xfId="38259" xr:uid="{00000000-0005-0000-0000-000086950000}"/>
    <cellStyle name="Normal 9 7 2 2" xfId="38260" xr:uid="{00000000-0005-0000-0000-000087950000}"/>
    <cellStyle name="Normal 9 7 2 3" xfId="38261" xr:uid="{00000000-0005-0000-0000-000088950000}"/>
    <cellStyle name="Normal 9 7 3" xfId="38262" xr:uid="{00000000-0005-0000-0000-000089950000}"/>
    <cellStyle name="Normal 9 7 4" xfId="38263" xr:uid="{00000000-0005-0000-0000-00008A950000}"/>
    <cellStyle name="Normal 9 8" xfId="38264" xr:uid="{00000000-0005-0000-0000-00008B950000}"/>
    <cellStyle name="Normal 9 8 2" xfId="38265" xr:uid="{00000000-0005-0000-0000-00008C950000}"/>
    <cellStyle name="Normal 9 8 2 2" xfId="38266" xr:uid="{00000000-0005-0000-0000-00008D950000}"/>
    <cellStyle name="Normal 9 8 2 3" xfId="38267" xr:uid="{00000000-0005-0000-0000-00008E950000}"/>
    <cellStyle name="Normal 9 8 3" xfId="38268" xr:uid="{00000000-0005-0000-0000-00008F950000}"/>
    <cellStyle name="Normal 9 8 4" xfId="38269" xr:uid="{00000000-0005-0000-0000-000090950000}"/>
    <cellStyle name="Normal 9 9" xfId="38270" xr:uid="{00000000-0005-0000-0000-000091950000}"/>
    <cellStyle name="Normal 9 9 2" xfId="38271" xr:uid="{00000000-0005-0000-0000-000092950000}"/>
    <cellStyle name="Normal 9 9 2 2" xfId="38272" xr:uid="{00000000-0005-0000-0000-000093950000}"/>
    <cellStyle name="Normal 9 9 2 3" xfId="38273" xr:uid="{00000000-0005-0000-0000-000094950000}"/>
    <cellStyle name="Normal 9 9 3" xfId="38274" xr:uid="{00000000-0005-0000-0000-000095950000}"/>
    <cellStyle name="Normal 9 9 4" xfId="38275" xr:uid="{00000000-0005-0000-0000-000096950000}"/>
    <cellStyle name="Normal 90" xfId="38276" xr:uid="{00000000-0005-0000-0000-000097950000}"/>
    <cellStyle name="Normal 90 2" xfId="38277" xr:uid="{00000000-0005-0000-0000-000098950000}"/>
    <cellStyle name="Normal 90 2 2" xfId="38278" xr:uid="{00000000-0005-0000-0000-000099950000}"/>
    <cellStyle name="Normal 90 2 2 2" xfId="38279" xr:uid="{00000000-0005-0000-0000-00009A950000}"/>
    <cellStyle name="Normal 90 2 2 3" xfId="38280" xr:uid="{00000000-0005-0000-0000-00009B950000}"/>
    <cellStyle name="Normal 90 2 3" xfId="38281" xr:uid="{00000000-0005-0000-0000-00009C950000}"/>
    <cellStyle name="Normal 90 2 4" xfId="38282" xr:uid="{00000000-0005-0000-0000-00009D950000}"/>
    <cellStyle name="Normal 90 3" xfId="38283" xr:uid="{00000000-0005-0000-0000-00009E950000}"/>
    <cellStyle name="Normal 90 3 2" xfId="38284" xr:uid="{00000000-0005-0000-0000-00009F950000}"/>
    <cellStyle name="Normal 90 3 3" xfId="38285" xr:uid="{00000000-0005-0000-0000-0000A0950000}"/>
    <cellStyle name="Normal 90 4" xfId="38286" xr:uid="{00000000-0005-0000-0000-0000A1950000}"/>
    <cellStyle name="Normal 90 5" xfId="38287" xr:uid="{00000000-0005-0000-0000-0000A2950000}"/>
    <cellStyle name="Normal 91" xfId="38288" xr:uid="{00000000-0005-0000-0000-0000A3950000}"/>
    <cellStyle name="Normal 91 2" xfId="38289" xr:uid="{00000000-0005-0000-0000-0000A4950000}"/>
    <cellStyle name="Normal 91 2 2" xfId="38290" xr:uid="{00000000-0005-0000-0000-0000A5950000}"/>
    <cellStyle name="Normal 91 2 2 2" xfId="38291" xr:uid="{00000000-0005-0000-0000-0000A6950000}"/>
    <cellStyle name="Normal 91 2 2 3" xfId="38292" xr:uid="{00000000-0005-0000-0000-0000A7950000}"/>
    <cellStyle name="Normal 91 2 3" xfId="38293" xr:uid="{00000000-0005-0000-0000-0000A8950000}"/>
    <cellStyle name="Normal 91 2 4" xfId="38294" xr:uid="{00000000-0005-0000-0000-0000A9950000}"/>
    <cellStyle name="Normal 91 3" xfId="38295" xr:uid="{00000000-0005-0000-0000-0000AA950000}"/>
    <cellStyle name="Normal 91 3 2" xfId="38296" xr:uid="{00000000-0005-0000-0000-0000AB950000}"/>
    <cellStyle name="Normal 91 3 3" xfId="38297" xr:uid="{00000000-0005-0000-0000-0000AC950000}"/>
    <cellStyle name="Normal 91 4" xfId="38298" xr:uid="{00000000-0005-0000-0000-0000AD950000}"/>
    <cellStyle name="Normal 91 5" xfId="38299" xr:uid="{00000000-0005-0000-0000-0000AE950000}"/>
    <cellStyle name="Normal 92" xfId="38300" xr:uid="{00000000-0005-0000-0000-0000AF950000}"/>
    <cellStyle name="Normal 92 2" xfId="38301" xr:uid="{00000000-0005-0000-0000-0000B0950000}"/>
    <cellStyle name="Normal 92 2 2" xfId="38302" xr:uid="{00000000-0005-0000-0000-0000B1950000}"/>
    <cellStyle name="Normal 92 2 2 2" xfId="38303" xr:uid="{00000000-0005-0000-0000-0000B2950000}"/>
    <cellStyle name="Normal 92 2 2 3" xfId="38304" xr:uid="{00000000-0005-0000-0000-0000B3950000}"/>
    <cellStyle name="Normal 92 2 3" xfId="38305" xr:uid="{00000000-0005-0000-0000-0000B4950000}"/>
    <cellStyle name="Normal 92 2 4" xfId="38306" xr:uid="{00000000-0005-0000-0000-0000B5950000}"/>
    <cellStyle name="Normal 92 3" xfId="38307" xr:uid="{00000000-0005-0000-0000-0000B6950000}"/>
    <cellStyle name="Normal 92 3 2" xfId="38308" xr:uid="{00000000-0005-0000-0000-0000B7950000}"/>
    <cellStyle name="Normal 92 3 3" xfId="38309" xr:uid="{00000000-0005-0000-0000-0000B8950000}"/>
    <cellStyle name="Normal 92 4" xfId="38310" xr:uid="{00000000-0005-0000-0000-0000B9950000}"/>
    <cellStyle name="Normal 92 5" xfId="38311" xr:uid="{00000000-0005-0000-0000-0000BA950000}"/>
    <cellStyle name="Normal 92 6" xfId="38312" xr:uid="{00000000-0005-0000-0000-0000BB950000}"/>
    <cellStyle name="Normal 92 7" xfId="39207" xr:uid="{00000000-0005-0000-0000-0000BC950000}"/>
    <cellStyle name="Normal 93" xfId="38313" xr:uid="{00000000-0005-0000-0000-0000BD950000}"/>
    <cellStyle name="Normal 93 2" xfId="38314" xr:uid="{00000000-0005-0000-0000-0000BE950000}"/>
    <cellStyle name="Normal 93 2 2" xfId="38315" xr:uid="{00000000-0005-0000-0000-0000BF950000}"/>
    <cellStyle name="Normal 93 2 2 2" xfId="38316" xr:uid="{00000000-0005-0000-0000-0000C0950000}"/>
    <cellStyle name="Normal 93 2 2 3" xfId="38317" xr:uid="{00000000-0005-0000-0000-0000C1950000}"/>
    <cellStyle name="Normal 93 2 3" xfId="38318" xr:uid="{00000000-0005-0000-0000-0000C2950000}"/>
    <cellStyle name="Normal 93 2 4" xfId="38319" xr:uid="{00000000-0005-0000-0000-0000C3950000}"/>
    <cellStyle name="Normal 93 3" xfId="38320" xr:uid="{00000000-0005-0000-0000-0000C4950000}"/>
    <cellStyle name="Normal 93 3 2" xfId="38321" xr:uid="{00000000-0005-0000-0000-0000C5950000}"/>
    <cellStyle name="Normal 93 3 3" xfId="38322" xr:uid="{00000000-0005-0000-0000-0000C6950000}"/>
    <cellStyle name="Normal 93 4" xfId="38323" xr:uid="{00000000-0005-0000-0000-0000C7950000}"/>
    <cellStyle name="Normal 93 5" xfId="38324" xr:uid="{00000000-0005-0000-0000-0000C8950000}"/>
    <cellStyle name="Normal 93 6" xfId="38325" xr:uid="{00000000-0005-0000-0000-0000C9950000}"/>
    <cellStyle name="Normal 93 7" xfId="39208" xr:uid="{00000000-0005-0000-0000-0000CA950000}"/>
    <cellStyle name="Normal 94" xfId="38326" xr:uid="{00000000-0005-0000-0000-0000CB950000}"/>
    <cellStyle name="Normal 94 2" xfId="38327" xr:uid="{00000000-0005-0000-0000-0000CC950000}"/>
    <cellStyle name="Normal 94 2 2" xfId="38328" xr:uid="{00000000-0005-0000-0000-0000CD950000}"/>
    <cellStyle name="Normal 94 2 2 2" xfId="38329" xr:uid="{00000000-0005-0000-0000-0000CE950000}"/>
    <cellStyle name="Normal 94 2 2 3" xfId="38330" xr:uid="{00000000-0005-0000-0000-0000CF950000}"/>
    <cellStyle name="Normal 94 2 3" xfId="38331" xr:uid="{00000000-0005-0000-0000-0000D0950000}"/>
    <cellStyle name="Normal 94 2 4" xfId="38332" xr:uid="{00000000-0005-0000-0000-0000D1950000}"/>
    <cellStyle name="Normal 94 3" xfId="38333" xr:uid="{00000000-0005-0000-0000-0000D2950000}"/>
    <cellStyle name="Normal 94 3 2" xfId="38334" xr:uid="{00000000-0005-0000-0000-0000D3950000}"/>
    <cellStyle name="Normal 94 3 3" xfId="38335" xr:uid="{00000000-0005-0000-0000-0000D4950000}"/>
    <cellStyle name="Normal 94 4" xfId="38336" xr:uid="{00000000-0005-0000-0000-0000D5950000}"/>
    <cellStyle name="Normal 94 5" xfId="38337" xr:uid="{00000000-0005-0000-0000-0000D6950000}"/>
    <cellStyle name="Normal 94 6" xfId="38338" xr:uid="{00000000-0005-0000-0000-0000D7950000}"/>
    <cellStyle name="Normal 95" xfId="38339" xr:uid="{00000000-0005-0000-0000-0000D8950000}"/>
    <cellStyle name="Normal 95 2" xfId="38340" xr:uid="{00000000-0005-0000-0000-0000D9950000}"/>
    <cellStyle name="Normal 95 2 2" xfId="38341" xr:uid="{00000000-0005-0000-0000-0000DA950000}"/>
    <cellStyle name="Normal 95 2 2 2" xfId="38342" xr:uid="{00000000-0005-0000-0000-0000DB950000}"/>
    <cellStyle name="Normal 95 2 2 3" xfId="38343" xr:uid="{00000000-0005-0000-0000-0000DC950000}"/>
    <cellStyle name="Normal 95 2 3" xfId="38344" xr:uid="{00000000-0005-0000-0000-0000DD950000}"/>
    <cellStyle name="Normal 95 2 4" xfId="38345" xr:uid="{00000000-0005-0000-0000-0000DE950000}"/>
    <cellStyle name="Normal 95 3" xfId="38346" xr:uid="{00000000-0005-0000-0000-0000DF950000}"/>
    <cellStyle name="Normal 95 3 2" xfId="38347" xr:uid="{00000000-0005-0000-0000-0000E0950000}"/>
    <cellStyle name="Normal 95 3 3" xfId="38348" xr:uid="{00000000-0005-0000-0000-0000E1950000}"/>
    <cellStyle name="Normal 95 4" xfId="38349" xr:uid="{00000000-0005-0000-0000-0000E2950000}"/>
    <cellStyle name="Normal 95 5" xfId="38350" xr:uid="{00000000-0005-0000-0000-0000E3950000}"/>
    <cellStyle name="Normal 96" xfId="38351" xr:uid="{00000000-0005-0000-0000-0000E4950000}"/>
    <cellStyle name="Normal 96 2" xfId="38352" xr:uid="{00000000-0005-0000-0000-0000E5950000}"/>
    <cellStyle name="Normal 96 2 2" xfId="38353" xr:uid="{00000000-0005-0000-0000-0000E6950000}"/>
    <cellStyle name="Normal 96 2 2 2" xfId="38354" xr:uid="{00000000-0005-0000-0000-0000E7950000}"/>
    <cellStyle name="Normal 96 2 2 3" xfId="38355" xr:uid="{00000000-0005-0000-0000-0000E8950000}"/>
    <cellStyle name="Normal 96 2 3" xfId="38356" xr:uid="{00000000-0005-0000-0000-0000E9950000}"/>
    <cellStyle name="Normal 96 2 4" xfId="38357" xr:uid="{00000000-0005-0000-0000-0000EA950000}"/>
    <cellStyle name="Normal 96 3" xfId="38358" xr:uid="{00000000-0005-0000-0000-0000EB950000}"/>
    <cellStyle name="Normal 96 3 2" xfId="38359" xr:uid="{00000000-0005-0000-0000-0000EC950000}"/>
    <cellStyle name="Normal 96 3 3" xfId="38360" xr:uid="{00000000-0005-0000-0000-0000ED950000}"/>
    <cellStyle name="Normal 96 4" xfId="38361" xr:uid="{00000000-0005-0000-0000-0000EE950000}"/>
    <cellStyle name="Normal 96 5" xfId="38362" xr:uid="{00000000-0005-0000-0000-0000EF950000}"/>
    <cellStyle name="Normal 96 6" xfId="38363" xr:uid="{00000000-0005-0000-0000-0000F0950000}"/>
    <cellStyle name="Normal 97" xfId="38364" xr:uid="{00000000-0005-0000-0000-0000F1950000}"/>
    <cellStyle name="Normal 97 2" xfId="38365" xr:uid="{00000000-0005-0000-0000-0000F2950000}"/>
    <cellStyle name="Normal 97 2 2" xfId="38366" xr:uid="{00000000-0005-0000-0000-0000F3950000}"/>
    <cellStyle name="Normal 97 2 2 2" xfId="38367" xr:uid="{00000000-0005-0000-0000-0000F4950000}"/>
    <cellStyle name="Normal 97 2 2 3" xfId="38368" xr:uid="{00000000-0005-0000-0000-0000F5950000}"/>
    <cellStyle name="Normal 97 2 3" xfId="38369" xr:uid="{00000000-0005-0000-0000-0000F6950000}"/>
    <cellStyle name="Normal 97 2 4" xfId="38370" xr:uid="{00000000-0005-0000-0000-0000F7950000}"/>
    <cellStyle name="Normal 97 3" xfId="38371" xr:uid="{00000000-0005-0000-0000-0000F8950000}"/>
    <cellStyle name="Normal 97 3 2" xfId="38372" xr:uid="{00000000-0005-0000-0000-0000F9950000}"/>
    <cellStyle name="Normal 97 3 3" xfId="38373" xr:uid="{00000000-0005-0000-0000-0000FA950000}"/>
    <cellStyle name="Normal 97 4" xfId="38374" xr:uid="{00000000-0005-0000-0000-0000FB950000}"/>
    <cellStyle name="Normal 97 5" xfId="38375" xr:uid="{00000000-0005-0000-0000-0000FC950000}"/>
    <cellStyle name="Normal 98" xfId="38376" xr:uid="{00000000-0005-0000-0000-0000FD950000}"/>
    <cellStyle name="Normal 98 2" xfId="38377" xr:uid="{00000000-0005-0000-0000-0000FE950000}"/>
    <cellStyle name="Normal 98 2 2" xfId="38378" xr:uid="{00000000-0005-0000-0000-0000FF950000}"/>
    <cellStyle name="Normal 98 2 2 2" xfId="38379" xr:uid="{00000000-0005-0000-0000-000000960000}"/>
    <cellStyle name="Normal 98 2 2 3" xfId="38380" xr:uid="{00000000-0005-0000-0000-000001960000}"/>
    <cellStyle name="Normal 98 2 3" xfId="38381" xr:uid="{00000000-0005-0000-0000-000002960000}"/>
    <cellStyle name="Normal 98 2 4" xfId="38382" xr:uid="{00000000-0005-0000-0000-000003960000}"/>
    <cellStyle name="Normal 98 3" xfId="38383" xr:uid="{00000000-0005-0000-0000-000004960000}"/>
    <cellStyle name="Normal 98 3 2" xfId="38384" xr:uid="{00000000-0005-0000-0000-000005960000}"/>
    <cellStyle name="Normal 98 3 3" xfId="38385" xr:uid="{00000000-0005-0000-0000-000006960000}"/>
    <cellStyle name="Normal 98 4" xfId="38386" xr:uid="{00000000-0005-0000-0000-000007960000}"/>
    <cellStyle name="Normal 98 5" xfId="38387" xr:uid="{00000000-0005-0000-0000-000008960000}"/>
    <cellStyle name="Normal 99" xfId="38388" xr:uid="{00000000-0005-0000-0000-000009960000}"/>
    <cellStyle name="Normal 99 2" xfId="38389" xr:uid="{00000000-0005-0000-0000-00000A960000}"/>
    <cellStyle name="Normal 99 2 2" xfId="38390" xr:uid="{00000000-0005-0000-0000-00000B960000}"/>
    <cellStyle name="Normal 99 2 2 2" xfId="38391" xr:uid="{00000000-0005-0000-0000-00000C960000}"/>
    <cellStyle name="Normal 99 2 2 3" xfId="38392" xr:uid="{00000000-0005-0000-0000-00000D960000}"/>
    <cellStyle name="Normal 99 2 3" xfId="38393" xr:uid="{00000000-0005-0000-0000-00000E960000}"/>
    <cellStyle name="Normal 99 2 4" xfId="38394" xr:uid="{00000000-0005-0000-0000-00000F960000}"/>
    <cellStyle name="Normal 99 3" xfId="38395" xr:uid="{00000000-0005-0000-0000-000010960000}"/>
    <cellStyle name="Normal 99 3 2" xfId="38396" xr:uid="{00000000-0005-0000-0000-000011960000}"/>
    <cellStyle name="Normal 99 3 3" xfId="38397" xr:uid="{00000000-0005-0000-0000-000012960000}"/>
    <cellStyle name="Normal 99 4" xfId="38398" xr:uid="{00000000-0005-0000-0000-000013960000}"/>
    <cellStyle name="Normal 99 5" xfId="38399" xr:uid="{00000000-0005-0000-0000-000014960000}"/>
    <cellStyle name="Normal 99 6" xfId="38400" xr:uid="{00000000-0005-0000-0000-000015960000}"/>
    <cellStyle name="Notas 10" xfId="38401" xr:uid="{00000000-0005-0000-0000-000016960000}"/>
    <cellStyle name="Notas 2" xfId="38402" xr:uid="{00000000-0005-0000-0000-000017960000}"/>
    <cellStyle name="Notas 2 2" xfId="38403" xr:uid="{00000000-0005-0000-0000-000018960000}"/>
    <cellStyle name="Notas 2 2 2" xfId="38404" xr:uid="{00000000-0005-0000-0000-000019960000}"/>
    <cellStyle name="Notas 2 2 2 2" xfId="38405" xr:uid="{00000000-0005-0000-0000-00001A960000}"/>
    <cellStyle name="Notas 2 2 2 2 2" xfId="38406" xr:uid="{00000000-0005-0000-0000-00001B960000}"/>
    <cellStyle name="Notas 2 2 2 2 2 2" xfId="38407" xr:uid="{00000000-0005-0000-0000-00001C960000}"/>
    <cellStyle name="Notas 2 2 2 2 2 2 2" xfId="38408" xr:uid="{00000000-0005-0000-0000-00001D960000}"/>
    <cellStyle name="Notas 2 2 2 2 2 2 3" xfId="38409" xr:uid="{00000000-0005-0000-0000-00001E960000}"/>
    <cellStyle name="Notas 2 2 2 2 2 3" xfId="38410" xr:uid="{00000000-0005-0000-0000-00001F960000}"/>
    <cellStyle name="Notas 2 2 2 2 2 4" xfId="38411" xr:uid="{00000000-0005-0000-0000-000020960000}"/>
    <cellStyle name="Notas 2 2 2 2 3" xfId="38412" xr:uid="{00000000-0005-0000-0000-000021960000}"/>
    <cellStyle name="Notas 2 2 2 2 3 2" xfId="38413" xr:uid="{00000000-0005-0000-0000-000022960000}"/>
    <cellStyle name="Notas 2 2 2 2 3 3" xfId="38414" xr:uid="{00000000-0005-0000-0000-000023960000}"/>
    <cellStyle name="Notas 2 2 2 2 4" xfId="38415" xr:uid="{00000000-0005-0000-0000-000024960000}"/>
    <cellStyle name="Notas 2 2 2 2 5" xfId="38416" xr:uid="{00000000-0005-0000-0000-000025960000}"/>
    <cellStyle name="Notas 2 2 2 3" xfId="38417" xr:uid="{00000000-0005-0000-0000-000026960000}"/>
    <cellStyle name="Notas 2 2 2 3 2" xfId="38418" xr:uid="{00000000-0005-0000-0000-000027960000}"/>
    <cellStyle name="Notas 2 2 2 3 3" xfId="38419" xr:uid="{00000000-0005-0000-0000-000028960000}"/>
    <cellStyle name="Notas 2 2 2 4" xfId="38420" xr:uid="{00000000-0005-0000-0000-000029960000}"/>
    <cellStyle name="Notas 2 2 2 5" xfId="38421" xr:uid="{00000000-0005-0000-0000-00002A960000}"/>
    <cellStyle name="Notas 2 2 3" xfId="38422" xr:uid="{00000000-0005-0000-0000-00002B960000}"/>
    <cellStyle name="Notas 2 2 3 2" xfId="38423" xr:uid="{00000000-0005-0000-0000-00002C960000}"/>
    <cellStyle name="Notas 2 2 3 2 2" xfId="38424" xr:uid="{00000000-0005-0000-0000-00002D960000}"/>
    <cellStyle name="Notas 2 2 3 2 3" xfId="38425" xr:uid="{00000000-0005-0000-0000-00002E960000}"/>
    <cellStyle name="Notas 2 2 3 3" xfId="38426" xr:uid="{00000000-0005-0000-0000-00002F960000}"/>
    <cellStyle name="Notas 2 2 3 4" xfId="38427" xr:uid="{00000000-0005-0000-0000-000030960000}"/>
    <cellStyle name="Notas 2 2 4" xfId="38428" xr:uid="{00000000-0005-0000-0000-000031960000}"/>
    <cellStyle name="Notas 2 2 4 2" xfId="38429" xr:uid="{00000000-0005-0000-0000-000032960000}"/>
    <cellStyle name="Notas 2 2 4 2 2" xfId="38430" xr:uid="{00000000-0005-0000-0000-000033960000}"/>
    <cellStyle name="Notas 2 2 4 2 3" xfId="38431" xr:uid="{00000000-0005-0000-0000-000034960000}"/>
    <cellStyle name="Notas 2 2 4 3" xfId="38432" xr:uid="{00000000-0005-0000-0000-000035960000}"/>
    <cellStyle name="Notas 2 2 4 4" xfId="38433" xr:uid="{00000000-0005-0000-0000-000036960000}"/>
    <cellStyle name="Notas 2 2 5" xfId="38434" xr:uid="{00000000-0005-0000-0000-000037960000}"/>
    <cellStyle name="Notas 2 2 5 2" xfId="38435" xr:uid="{00000000-0005-0000-0000-000038960000}"/>
    <cellStyle name="Notas 2 2 5 3" xfId="38436" xr:uid="{00000000-0005-0000-0000-000039960000}"/>
    <cellStyle name="Notas 2 2 6" xfId="38437" xr:uid="{00000000-0005-0000-0000-00003A960000}"/>
    <cellStyle name="Notas 2 2 7" xfId="38438" xr:uid="{00000000-0005-0000-0000-00003B960000}"/>
    <cellStyle name="Notas 2 3" xfId="38439" xr:uid="{00000000-0005-0000-0000-00003C960000}"/>
    <cellStyle name="Notas 2 3 2" xfId="38440" xr:uid="{00000000-0005-0000-0000-00003D960000}"/>
    <cellStyle name="Notas 2 3 2 2" xfId="38441" xr:uid="{00000000-0005-0000-0000-00003E960000}"/>
    <cellStyle name="Notas 2 3 2 3" xfId="38442" xr:uid="{00000000-0005-0000-0000-00003F960000}"/>
    <cellStyle name="Notas 2 3 3" xfId="38443" xr:uid="{00000000-0005-0000-0000-000040960000}"/>
    <cellStyle name="Notas 2 3 4" xfId="38444" xr:uid="{00000000-0005-0000-0000-000041960000}"/>
    <cellStyle name="Notas 2 4" xfId="38445" xr:uid="{00000000-0005-0000-0000-000042960000}"/>
    <cellStyle name="Notas 2 4 2" xfId="38446" xr:uid="{00000000-0005-0000-0000-000043960000}"/>
    <cellStyle name="Notas 2 4 2 2" xfId="38447" xr:uid="{00000000-0005-0000-0000-000044960000}"/>
    <cellStyle name="Notas 2 4 2 3" xfId="38448" xr:uid="{00000000-0005-0000-0000-000045960000}"/>
    <cellStyle name="Notas 2 4 3" xfId="38449" xr:uid="{00000000-0005-0000-0000-000046960000}"/>
    <cellStyle name="Notas 2 4 4" xfId="38450" xr:uid="{00000000-0005-0000-0000-000047960000}"/>
    <cellStyle name="Notas 2 5" xfId="38451" xr:uid="{00000000-0005-0000-0000-000048960000}"/>
    <cellStyle name="Notas 2 5 2" xfId="38452" xr:uid="{00000000-0005-0000-0000-000049960000}"/>
    <cellStyle name="Notas 2 5 2 2" xfId="38453" xr:uid="{00000000-0005-0000-0000-00004A960000}"/>
    <cellStyle name="Notas 2 5 2 3" xfId="38454" xr:uid="{00000000-0005-0000-0000-00004B960000}"/>
    <cellStyle name="Notas 2 5 3" xfId="38455" xr:uid="{00000000-0005-0000-0000-00004C960000}"/>
    <cellStyle name="Notas 2 5 4" xfId="38456" xr:uid="{00000000-0005-0000-0000-00004D960000}"/>
    <cellStyle name="Notas 2 6" xfId="38457" xr:uid="{00000000-0005-0000-0000-00004E960000}"/>
    <cellStyle name="Notas 2 6 2" xfId="38458" xr:uid="{00000000-0005-0000-0000-00004F960000}"/>
    <cellStyle name="Notas 2 6 3" xfId="38459" xr:uid="{00000000-0005-0000-0000-000050960000}"/>
    <cellStyle name="Notas 2 7" xfId="38460" xr:uid="{00000000-0005-0000-0000-000051960000}"/>
    <cellStyle name="Notas 2 8" xfId="38461" xr:uid="{00000000-0005-0000-0000-000052960000}"/>
    <cellStyle name="Notas 3" xfId="38462" xr:uid="{00000000-0005-0000-0000-000053960000}"/>
    <cellStyle name="Notas 3 2" xfId="38463" xr:uid="{00000000-0005-0000-0000-000054960000}"/>
    <cellStyle name="Notas 3 2 2" xfId="38464" xr:uid="{00000000-0005-0000-0000-000055960000}"/>
    <cellStyle name="Notas 3 2 2 2" xfId="38465" xr:uid="{00000000-0005-0000-0000-000056960000}"/>
    <cellStyle name="Notas 3 2 2 3" xfId="38466" xr:uid="{00000000-0005-0000-0000-000057960000}"/>
    <cellStyle name="Notas 3 2 3" xfId="38467" xr:uid="{00000000-0005-0000-0000-000058960000}"/>
    <cellStyle name="Notas 3 2 4" xfId="38468" xr:uid="{00000000-0005-0000-0000-000059960000}"/>
    <cellStyle name="Notas 3 2 5" xfId="38469" xr:uid="{00000000-0005-0000-0000-00005A960000}"/>
    <cellStyle name="Notas 3 3" xfId="38470" xr:uid="{00000000-0005-0000-0000-00005B960000}"/>
    <cellStyle name="Notas 3 3 2" xfId="38471" xr:uid="{00000000-0005-0000-0000-00005C960000}"/>
    <cellStyle name="Notas 3 3 3" xfId="38472" xr:uid="{00000000-0005-0000-0000-00005D960000}"/>
    <cellStyle name="Notas 3 4" xfId="38473" xr:uid="{00000000-0005-0000-0000-00005E960000}"/>
    <cellStyle name="Notas 3 5" xfId="38474" xr:uid="{00000000-0005-0000-0000-00005F960000}"/>
    <cellStyle name="Notas 4" xfId="38475" xr:uid="{00000000-0005-0000-0000-000060960000}"/>
    <cellStyle name="Notas 4 2" xfId="38476" xr:uid="{00000000-0005-0000-0000-000061960000}"/>
    <cellStyle name="Notas 4 2 2" xfId="38477" xr:uid="{00000000-0005-0000-0000-000062960000}"/>
    <cellStyle name="Notas 4 2 3" xfId="38478" xr:uid="{00000000-0005-0000-0000-000063960000}"/>
    <cellStyle name="Notas 4 3" xfId="38479" xr:uid="{00000000-0005-0000-0000-000064960000}"/>
    <cellStyle name="Notas 4 4" xfId="38480" xr:uid="{00000000-0005-0000-0000-000065960000}"/>
    <cellStyle name="Notas 5" xfId="38481" xr:uid="{00000000-0005-0000-0000-000066960000}"/>
    <cellStyle name="Notas 5 2" xfId="38482" xr:uid="{00000000-0005-0000-0000-000067960000}"/>
    <cellStyle name="Notas 5 2 2" xfId="38483" xr:uid="{00000000-0005-0000-0000-000068960000}"/>
    <cellStyle name="Notas 5 2 3" xfId="38484" xr:uid="{00000000-0005-0000-0000-000069960000}"/>
    <cellStyle name="Notas 5 3" xfId="38485" xr:uid="{00000000-0005-0000-0000-00006A960000}"/>
    <cellStyle name="Notas 5 4" xfId="38486" xr:uid="{00000000-0005-0000-0000-00006B960000}"/>
    <cellStyle name="Notas 6" xfId="38487" xr:uid="{00000000-0005-0000-0000-00006C960000}"/>
    <cellStyle name="Notas 6 2" xfId="38488" xr:uid="{00000000-0005-0000-0000-00006D960000}"/>
    <cellStyle name="Notas 6 2 2" xfId="38489" xr:uid="{00000000-0005-0000-0000-00006E960000}"/>
    <cellStyle name="Notas 6 2 3" xfId="38490" xr:uid="{00000000-0005-0000-0000-00006F960000}"/>
    <cellStyle name="Notas 6 3" xfId="38491" xr:uid="{00000000-0005-0000-0000-000070960000}"/>
    <cellStyle name="Notas 6 4" xfId="38492" xr:uid="{00000000-0005-0000-0000-000071960000}"/>
    <cellStyle name="Notas 7" xfId="38493" xr:uid="{00000000-0005-0000-0000-000072960000}"/>
    <cellStyle name="Notas 7 2" xfId="38494" xr:uid="{00000000-0005-0000-0000-000073960000}"/>
    <cellStyle name="Notas 7 2 2" xfId="38495" xr:uid="{00000000-0005-0000-0000-000074960000}"/>
    <cellStyle name="Notas 7 2 3" xfId="38496" xr:uid="{00000000-0005-0000-0000-000075960000}"/>
    <cellStyle name="Notas 7 3" xfId="38497" xr:uid="{00000000-0005-0000-0000-000076960000}"/>
    <cellStyle name="Notas 7 4" xfId="38498" xr:uid="{00000000-0005-0000-0000-000077960000}"/>
    <cellStyle name="Notas 8" xfId="38499" xr:uid="{00000000-0005-0000-0000-000078960000}"/>
    <cellStyle name="Notas 8 2" xfId="38500" xr:uid="{00000000-0005-0000-0000-000079960000}"/>
    <cellStyle name="Notas 8 2 2" xfId="38501" xr:uid="{00000000-0005-0000-0000-00007A960000}"/>
    <cellStyle name="Notas 8 2 3" xfId="38502" xr:uid="{00000000-0005-0000-0000-00007B960000}"/>
    <cellStyle name="Notas 8 3" xfId="38503" xr:uid="{00000000-0005-0000-0000-00007C960000}"/>
    <cellStyle name="Notas 8 4" xfId="38504" xr:uid="{00000000-0005-0000-0000-00007D960000}"/>
    <cellStyle name="Notas 9" xfId="38505" xr:uid="{00000000-0005-0000-0000-00007E960000}"/>
    <cellStyle name="Notas 9 2" xfId="38506" xr:uid="{00000000-0005-0000-0000-00007F960000}"/>
    <cellStyle name="Notas 9 2 2" xfId="38507" xr:uid="{00000000-0005-0000-0000-000080960000}"/>
    <cellStyle name="Notas 9 2 3" xfId="38508" xr:uid="{00000000-0005-0000-0000-000081960000}"/>
    <cellStyle name="Notas 9 3" xfId="38509" xr:uid="{00000000-0005-0000-0000-000082960000}"/>
    <cellStyle name="Notas 9 4" xfId="38510" xr:uid="{00000000-0005-0000-0000-000083960000}"/>
    <cellStyle name="Note" xfId="38511" xr:uid="{00000000-0005-0000-0000-000084960000}"/>
    <cellStyle name="Note 10" xfId="38512" xr:uid="{00000000-0005-0000-0000-000085960000}"/>
    <cellStyle name="Note 11" xfId="38513" xr:uid="{00000000-0005-0000-0000-000086960000}"/>
    <cellStyle name="Note 2" xfId="38514" xr:uid="{00000000-0005-0000-0000-000087960000}"/>
    <cellStyle name="Note 2 2" xfId="38515" xr:uid="{00000000-0005-0000-0000-000088960000}"/>
    <cellStyle name="Note 2 2 2" xfId="38516" xr:uid="{00000000-0005-0000-0000-000089960000}"/>
    <cellStyle name="Note 2 2 2 2" xfId="38517" xr:uid="{00000000-0005-0000-0000-00008A960000}"/>
    <cellStyle name="Note 2 2 2 3" xfId="38518" xr:uid="{00000000-0005-0000-0000-00008B960000}"/>
    <cellStyle name="Note 2 2 3" xfId="38519" xr:uid="{00000000-0005-0000-0000-00008C960000}"/>
    <cellStyle name="Note 2 2 4" xfId="38520" xr:uid="{00000000-0005-0000-0000-00008D960000}"/>
    <cellStyle name="Note 2 3" xfId="38521" xr:uid="{00000000-0005-0000-0000-00008E960000}"/>
    <cellStyle name="Note 2 3 2" xfId="38522" xr:uid="{00000000-0005-0000-0000-00008F960000}"/>
    <cellStyle name="Note 2 3 2 2" xfId="38523" xr:uid="{00000000-0005-0000-0000-000090960000}"/>
    <cellStyle name="Note 2 3 2 3" xfId="38524" xr:uid="{00000000-0005-0000-0000-000091960000}"/>
    <cellStyle name="Note 2 3 3" xfId="38525" xr:uid="{00000000-0005-0000-0000-000092960000}"/>
    <cellStyle name="Note 2 3 4" xfId="38526" xr:uid="{00000000-0005-0000-0000-000093960000}"/>
    <cellStyle name="Note 2 4" xfId="38527" xr:uid="{00000000-0005-0000-0000-000094960000}"/>
    <cellStyle name="Note 2 4 2" xfId="38528" xr:uid="{00000000-0005-0000-0000-000095960000}"/>
    <cellStyle name="Note 2 4 2 2" xfId="38529" xr:uid="{00000000-0005-0000-0000-000096960000}"/>
    <cellStyle name="Note 2 4 2 3" xfId="38530" xr:uid="{00000000-0005-0000-0000-000097960000}"/>
    <cellStyle name="Note 2 4 3" xfId="38531" xr:uid="{00000000-0005-0000-0000-000098960000}"/>
    <cellStyle name="Note 2 4 4" xfId="38532" xr:uid="{00000000-0005-0000-0000-000099960000}"/>
    <cellStyle name="Note 2 5" xfId="38533" xr:uid="{00000000-0005-0000-0000-00009A960000}"/>
    <cellStyle name="Note 2 5 2" xfId="38534" xr:uid="{00000000-0005-0000-0000-00009B960000}"/>
    <cellStyle name="Note 2 5 3" xfId="38535" xr:uid="{00000000-0005-0000-0000-00009C960000}"/>
    <cellStyle name="Note 2 6" xfId="38536" xr:uid="{00000000-0005-0000-0000-00009D960000}"/>
    <cellStyle name="Note 2 7" xfId="38537" xr:uid="{00000000-0005-0000-0000-00009E960000}"/>
    <cellStyle name="Note 3" xfId="38538" xr:uid="{00000000-0005-0000-0000-00009F960000}"/>
    <cellStyle name="Note 3 2" xfId="38539" xr:uid="{00000000-0005-0000-0000-0000A0960000}"/>
    <cellStyle name="Note 3 2 2" xfId="38540" xr:uid="{00000000-0005-0000-0000-0000A1960000}"/>
    <cellStyle name="Note 3 2 2 2" xfId="38541" xr:uid="{00000000-0005-0000-0000-0000A2960000}"/>
    <cellStyle name="Note 3 2 2 3" xfId="38542" xr:uid="{00000000-0005-0000-0000-0000A3960000}"/>
    <cellStyle name="Note 3 2 3" xfId="38543" xr:uid="{00000000-0005-0000-0000-0000A4960000}"/>
    <cellStyle name="Note 3 2 4" xfId="38544" xr:uid="{00000000-0005-0000-0000-0000A5960000}"/>
    <cellStyle name="Note 3 3" xfId="38545" xr:uid="{00000000-0005-0000-0000-0000A6960000}"/>
    <cellStyle name="Note 3 3 2" xfId="38546" xr:uid="{00000000-0005-0000-0000-0000A7960000}"/>
    <cellStyle name="Note 3 3 2 2" xfId="38547" xr:uid="{00000000-0005-0000-0000-0000A8960000}"/>
    <cellStyle name="Note 3 3 2 3" xfId="38548" xr:uid="{00000000-0005-0000-0000-0000A9960000}"/>
    <cellStyle name="Note 3 3 3" xfId="38549" xr:uid="{00000000-0005-0000-0000-0000AA960000}"/>
    <cellStyle name="Note 3 3 4" xfId="38550" xr:uid="{00000000-0005-0000-0000-0000AB960000}"/>
    <cellStyle name="Note 3 4" xfId="38551" xr:uid="{00000000-0005-0000-0000-0000AC960000}"/>
    <cellStyle name="Note 3 4 2" xfId="38552" xr:uid="{00000000-0005-0000-0000-0000AD960000}"/>
    <cellStyle name="Note 3 4 2 2" xfId="38553" xr:uid="{00000000-0005-0000-0000-0000AE960000}"/>
    <cellStyle name="Note 3 4 2 3" xfId="38554" xr:uid="{00000000-0005-0000-0000-0000AF960000}"/>
    <cellStyle name="Note 3 4 3" xfId="38555" xr:uid="{00000000-0005-0000-0000-0000B0960000}"/>
    <cellStyle name="Note 3 4 4" xfId="38556" xr:uid="{00000000-0005-0000-0000-0000B1960000}"/>
    <cellStyle name="Note 3 5" xfId="38557" xr:uid="{00000000-0005-0000-0000-0000B2960000}"/>
    <cellStyle name="Note 3 5 2" xfId="38558" xr:uid="{00000000-0005-0000-0000-0000B3960000}"/>
    <cellStyle name="Note 3 5 3" xfId="38559" xr:uid="{00000000-0005-0000-0000-0000B4960000}"/>
    <cellStyle name="Note 3 6" xfId="38560" xr:uid="{00000000-0005-0000-0000-0000B5960000}"/>
    <cellStyle name="Note 3 7" xfId="38561" xr:uid="{00000000-0005-0000-0000-0000B6960000}"/>
    <cellStyle name="Note 4" xfId="38562" xr:uid="{00000000-0005-0000-0000-0000B7960000}"/>
    <cellStyle name="Note 4 2" xfId="38563" xr:uid="{00000000-0005-0000-0000-0000B8960000}"/>
    <cellStyle name="Note 4 2 2" xfId="38564" xr:uid="{00000000-0005-0000-0000-0000B9960000}"/>
    <cellStyle name="Note 4 2 2 2" xfId="38565" xr:uid="{00000000-0005-0000-0000-0000BA960000}"/>
    <cellStyle name="Note 4 2 2 3" xfId="38566" xr:uid="{00000000-0005-0000-0000-0000BB960000}"/>
    <cellStyle name="Note 4 2 3" xfId="38567" xr:uid="{00000000-0005-0000-0000-0000BC960000}"/>
    <cellStyle name="Note 4 2 4" xfId="38568" xr:uid="{00000000-0005-0000-0000-0000BD960000}"/>
    <cellStyle name="Note 4 3" xfId="38569" xr:uid="{00000000-0005-0000-0000-0000BE960000}"/>
    <cellStyle name="Note 4 3 2" xfId="38570" xr:uid="{00000000-0005-0000-0000-0000BF960000}"/>
    <cellStyle name="Note 4 3 2 2" xfId="38571" xr:uid="{00000000-0005-0000-0000-0000C0960000}"/>
    <cellStyle name="Note 4 3 2 3" xfId="38572" xr:uid="{00000000-0005-0000-0000-0000C1960000}"/>
    <cellStyle name="Note 4 3 3" xfId="38573" xr:uid="{00000000-0005-0000-0000-0000C2960000}"/>
    <cellStyle name="Note 4 3 4" xfId="38574" xr:uid="{00000000-0005-0000-0000-0000C3960000}"/>
    <cellStyle name="Note 4 4" xfId="38575" xr:uid="{00000000-0005-0000-0000-0000C4960000}"/>
    <cellStyle name="Note 4 4 2" xfId="38576" xr:uid="{00000000-0005-0000-0000-0000C5960000}"/>
    <cellStyle name="Note 4 4 2 2" xfId="38577" xr:uid="{00000000-0005-0000-0000-0000C6960000}"/>
    <cellStyle name="Note 4 4 2 3" xfId="38578" xr:uid="{00000000-0005-0000-0000-0000C7960000}"/>
    <cellStyle name="Note 4 4 3" xfId="38579" xr:uid="{00000000-0005-0000-0000-0000C8960000}"/>
    <cellStyle name="Note 4 4 4" xfId="38580" xr:uid="{00000000-0005-0000-0000-0000C9960000}"/>
    <cellStyle name="Note 4 5" xfId="38581" xr:uid="{00000000-0005-0000-0000-0000CA960000}"/>
    <cellStyle name="Note 4 5 2" xfId="38582" xr:uid="{00000000-0005-0000-0000-0000CB960000}"/>
    <cellStyle name="Note 4 5 3" xfId="38583" xr:uid="{00000000-0005-0000-0000-0000CC960000}"/>
    <cellStyle name="Note 4 6" xfId="38584" xr:uid="{00000000-0005-0000-0000-0000CD960000}"/>
    <cellStyle name="Note 4 7" xfId="38585" xr:uid="{00000000-0005-0000-0000-0000CE960000}"/>
    <cellStyle name="Note 5" xfId="38586" xr:uid="{00000000-0005-0000-0000-0000CF960000}"/>
    <cellStyle name="Note 5 2" xfId="38587" xr:uid="{00000000-0005-0000-0000-0000D0960000}"/>
    <cellStyle name="Note 5 2 2" xfId="38588" xr:uid="{00000000-0005-0000-0000-0000D1960000}"/>
    <cellStyle name="Note 5 2 2 2" xfId="38589" xr:uid="{00000000-0005-0000-0000-0000D2960000}"/>
    <cellStyle name="Note 5 2 2 3" xfId="38590" xr:uid="{00000000-0005-0000-0000-0000D3960000}"/>
    <cellStyle name="Note 5 2 3" xfId="38591" xr:uid="{00000000-0005-0000-0000-0000D4960000}"/>
    <cellStyle name="Note 5 2 4" xfId="38592" xr:uid="{00000000-0005-0000-0000-0000D5960000}"/>
    <cellStyle name="Note 5 3" xfId="38593" xr:uid="{00000000-0005-0000-0000-0000D6960000}"/>
    <cellStyle name="Note 5 3 2" xfId="38594" xr:uid="{00000000-0005-0000-0000-0000D7960000}"/>
    <cellStyle name="Note 5 3 2 2" xfId="38595" xr:uid="{00000000-0005-0000-0000-0000D8960000}"/>
    <cellStyle name="Note 5 3 2 3" xfId="38596" xr:uid="{00000000-0005-0000-0000-0000D9960000}"/>
    <cellStyle name="Note 5 3 3" xfId="38597" xr:uid="{00000000-0005-0000-0000-0000DA960000}"/>
    <cellStyle name="Note 5 3 4" xfId="38598" xr:uid="{00000000-0005-0000-0000-0000DB960000}"/>
    <cellStyle name="Note 5 4" xfId="38599" xr:uid="{00000000-0005-0000-0000-0000DC960000}"/>
    <cellStyle name="Note 5 4 2" xfId="38600" xr:uid="{00000000-0005-0000-0000-0000DD960000}"/>
    <cellStyle name="Note 5 4 2 2" xfId="38601" xr:uid="{00000000-0005-0000-0000-0000DE960000}"/>
    <cellStyle name="Note 5 4 2 3" xfId="38602" xr:uid="{00000000-0005-0000-0000-0000DF960000}"/>
    <cellStyle name="Note 5 4 3" xfId="38603" xr:uid="{00000000-0005-0000-0000-0000E0960000}"/>
    <cellStyle name="Note 5 4 4" xfId="38604" xr:uid="{00000000-0005-0000-0000-0000E1960000}"/>
    <cellStyle name="Note 5 5" xfId="38605" xr:uid="{00000000-0005-0000-0000-0000E2960000}"/>
    <cellStyle name="Note 5 5 2" xfId="38606" xr:uid="{00000000-0005-0000-0000-0000E3960000}"/>
    <cellStyle name="Note 5 5 3" xfId="38607" xr:uid="{00000000-0005-0000-0000-0000E4960000}"/>
    <cellStyle name="Note 5 6" xfId="38608" xr:uid="{00000000-0005-0000-0000-0000E5960000}"/>
    <cellStyle name="Note 5 7" xfId="38609" xr:uid="{00000000-0005-0000-0000-0000E6960000}"/>
    <cellStyle name="Note 6" xfId="38610" xr:uid="{00000000-0005-0000-0000-0000E7960000}"/>
    <cellStyle name="Note 6 2" xfId="38611" xr:uid="{00000000-0005-0000-0000-0000E8960000}"/>
    <cellStyle name="Note 6 2 2" xfId="38612" xr:uid="{00000000-0005-0000-0000-0000E9960000}"/>
    <cellStyle name="Note 6 2 3" xfId="38613" xr:uid="{00000000-0005-0000-0000-0000EA960000}"/>
    <cellStyle name="Note 6 3" xfId="38614" xr:uid="{00000000-0005-0000-0000-0000EB960000}"/>
    <cellStyle name="Note 6 4" xfId="38615" xr:uid="{00000000-0005-0000-0000-0000EC960000}"/>
    <cellStyle name="Note 7" xfId="38616" xr:uid="{00000000-0005-0000-0000-0000ED960000}"/>
    <cellStyle name="Note 7 2" xfId="38617" xr:uid="{00000000-0005-0000-0000-0000EE960000}"/>
    <cellStyle name="Note 7 2 2" xfId="38618" xr:uid="{00000000-0005-0000-0000-0000EF960000}"/>
    <cellStyle name="Note 7 2 3" xfId="38619" xr:uid="{00000000-0005-0000-0000-0000F0960000}"/>
    <cellStyle name="Note 7 3" xfId="38620" xr:uid="{00000000-0005-0000-0000-0000F1960000}"/>
    <cellStyle name="Note 7 4" xfId="38621" xr:uid="{00000000-0005-0000-0000-0000F2960000}"/>
    <cellStyle name="Note 8" xfId="38622" xr:uid="{00000000-0005-0000-0000-0000F3960000}"/>
    <cellStyle name="Note 8 2" xfId="38623" xr:uid="{00000000-0005-0000-0000-0000F4960000}"/>
    <cellStyle name="Note 8 2 2" xfId="38624" xr:uid="{00000000-0005-0000-0000-0000F5960000}"/>
    <cellStyle name="Note 8 2 3" xfId="38625" xr:uid="{00000000-0005-0000-0000-0000F6960000}"/>
    <cellStyle name="Note 8 3" xfId="38626" xr:uid="{00000000-0005-0000-0000-0000F7960000}"/>
    <cellStyle name="Note 8 4" xfId="38627" xr:uid="{00000000-0005-0000-0000-0000F8960000}"/>
    <cellStyle name="Note 9" xfId="38628" xr:uid="{00000000-0005-0000-0000-0000F9960000}"/>
    <cellStyle name="Note 9 2" xfId="38629" xr:uid="{00000000-0005-0000-0000-0000FA960000}"/>
    <cellStyle name="Note 9 3" xfId="38630" xr:uid="{00000000-0005-0000-0000-0000FB960000}"/>
    <cellStyle name="Output" xfId="38631" xr:uid="{00000000-0005-0000-0000-0000FC960000}"/>
    <cellStyle name="Output 2" xfId="38632" xr:uid="{00000000-0005-0000-0000-0000FD960000}"/>
    <cellStyle name="Output 2 2" xfId="38633" xr:uid="{00000000-0005-0000-0000-0000FE960000}"/>
    <cellStyle name="Output 2 2 2" xfId="38634" xr:uid="{00000000-0005-0000-0000-0000FF960000}"/>
    <cellStyle name="Output 2 2 3" xfId="38635" xr:uid="{00000000-0005-0000-0000-000000970000}"/>
    <cellStyle name="Output 2 3" xfId="38636" xr:uid="{00000000-0005-0000-0000-000001970000}"/>
    <cellStyle name="Output 2 4" xfId="38637" xr:uid="{00000000-0005-0000-0000-000002970000}"/>
    <cellStyle name="Output 3" xfId="38638" xr:uid="{00000000-0005-0000-0000-000003970000}"/>
    <cellStyle name="Output 3 2" xfId="38639" xr:uid="{00000000-0005-0000-0000-000004970000}"/>
    <cellStyle name="Output 3 2 2" xfId="38640" xr:uid="{00000000-0005-0000-0000-000005970000}"/>
    <cellStyle name="Output 3 2 3" xfId="38641" xr:uid="{00000000-0005-0000-0000-000006970000}"/>
    <cellStyle name="Output 3 3" xfId="38642" xr:uid="{00000000-0005-0000-0000-000007970000}"/>
    <cellStyle name="Output 3 4" xfId="38643" xr:uid="{00000000-0005-0000-0000-000008970000}"/>
    <cellStyle name="Output 4" xfId="38644" xr:uid="{00000000-0005-0000-0000-000009970000}"/>
    <cellStyle name="Output 4 2" xfId="38645" xr:uid="{00000000-0005-0000-0000-00000A970000}"/>
    <cellStyle name="Output 4 2 2" xfId="38646" xr:uid="{00000000-0005-0000-0000-00000B970000}"/>
    <cellStyle name="Output 4 2 3" xfId="38647" xr:uid="{00000000-0005-0000-0000-00000C970000}"/>
    <cellStyle name="Output 4 3" xfId="38648" xr:uid="{00000000-0005-0000-0000-00000D970000}"/>
    <cellStyle name="Output 4 4" xfId="38649" xr:uid="{00000000-0005-0000-0000-00000E970000}"/>
    <cellStyle name="Output 5" xfId="38650" xr:uid="{00000000-0005-0000-0000-00000F970000}"/>
    <cellStyle name="Output 5 2" xfId="38651" xr:uid="{00000000-0005-0000-0000-000010970000}"/>
    <cellStyle name="Output 5 2 2" xfId="38652" xr:uid="{00000000-0005-0000-0000-000011970000}"/>
    <cellStyle name="Output 5 2 3" xfId="38653" xr:uid="{00000000-0005-0000-0000-000012970000}"/>
    <cellStyle name="Output 5 3" xfId="38654" xr:uid="{00000000-0005-0000-0000-000013970000}"/>
    <cellStyle name="Output 5 4" xfId="38655" xr:uid="{00000000-0005-0000-0000-000014970000}"/>
    <cellStyle name="Output 6" xfId="38656" xr:uid="{00000000-0005-0000-0000-000015970000}"/>
    <cellStyle name="Output 6 2" xfId="38657" xr:uid="{00000000-0005-0000-0000-000016970000}"/>
    <cellStyle name="Output 6 3" xfId="38658" xr:uid="{00000000-0005-0000-0000-000017970000}"/>
    <cellStyle name="Output 7" xfId="38659" xr:uid="{00000000-0005-0000-0000-000018970000}"/>
    <cellStyle name="Output 8" xfId="38660" xr:uid="{00000000-0005-0000-0000-000019970000}"/>
    <cellStyle name="Porcentaje 2" xfId="38661" xr:uid="{00000000-0005-0000-0000-00001A970000}"/>
    <cellStyle name="Porcentual 2" xfId="38662" xr:uid="{00000000-0005-0000-0000-00001B970000}"/>
    <cellStyle name="Porcentual 2 2" xfId="38663" xr:uid="{00000000-0005-0000-0000-00001C970000}"/>
    <cellStyle name="Porcentual 2 2 2" xfId="38664" xr:uid="{00000000-0005-0000-0000-00001D970000}"/>
    <cellStyle name="Porcentual 2 2 2 2" xfId="38665" xr:uid="{00000000-0005-0000-0000-00001E970000}"/>
    <cellStyle name="Porcentual 2 2 2 3" xfId="38666" xr:uid="{00000000-0005-0000-0000-00001F970000}"/>
    <cellStyle name="Porcentual 2 2 3" xfId="38667" xr:uid="{00000000-0005-0000-0000-000020970000}"/>
    <cellStyle name="Porcentual 2 2 4" xfId="38668" xr:uid="{00000000-0005-0000-0000-000021970000}"/>
    <cellStyle name="Porcentual 2 3" xfId="38669" xr:uid="{00000000-0005-0000-0000-000022970000}"/>
    <cellStyle name="Porcentual 2 3 2" xfId="38670" xr:uid="{00000000-0005-0000-0000-000023970000}"/>
    <cellStyle name="Porcentual 2 3 2 2" xfId="38671" xr:uid="{00000000-0005-0000-0000-000024970000}"/>
    <cellStyle name="Porcentual 2 3 2 3" xfId="38672" xr:uid="{00000000-0005-0000-0000-000025970000}"/>
    <cellStyle name="Porcentual 2 3 3" xfId="38673" xr:uid="{00000000-0005-0000-0000-000026970000}"/>
    <cellStyle name="Porcentual 2 3 4" xfId="38674" xr:uid="{00000000-0005-0000-0000-000027970000}"/>
    <cellStyle name="Porcentual 2 4" xfId="38675" xr:uid="{00000000-0005-0000-0000-000028970000}"/>
    <cellStyle name="Porcentual 2 4 2" xfId="38676" xr:uid="{00000000-0005-0000-0000-000029970000}"/>
    <cellStyle name="Porcentual 2 4 2 2" xfId="38677" xr:uid="{00000000-0005-0000-0000-00002A970000}"/>
    <cellStyle name="Porcentual 2 4 2 3" xfId="38678" xr:uid="{00000000-0005-0000-0000-00002B970000}"/>
    <cellStyle name="Porcentual 2 4 3" xfId="38679" xr:uid="{00000000-0005-0000-0000-00002C970000}"/>
    <cellStyle name="Porcentual 2 4 4" xfId="38680" xr:uid="{00000000-0005-0000-0000-00002D970000}"/>
    <cellStyle name="Porcentual 2 5" xfId="38681" xr:uid="{00000000-0005-0000-0000-00002E970000}"/>
    <cellStyle name="Porcentual 2 5 2" xfId="38682" xr:uid="{00000000-0005-0000-0000-00002F970000}"/>
    <cellStyle name="Porcentual 2 5 2 2" xfId="38683" xr:uid="{00000000-0005-0000-0000-000030970000}"/>
    <cellStyle name="Porcentual 2 5 2 3" xfId="38684" xr:uid="{00000000-0005-0000-0000-000031970000}"/>
    <cellStyle name="Porcentual 2 5 3" xfId="38685" xr:uid="{00000000-0005-0000-0000-000032970000}"/>
    <cellStyle name="Porcentual 2 5 4" xfId="38686" xr:uid="{00000000-0005-0000-0000-000033970000}"/>
    <cellStyle name="Salida 10" xfId="38687" xr:uid="{00000000-0005-0000-0000-000034970000}"/>
    <cellStyle name="Salida 11" xfId="38688" xr:uid="{00000000-0005-0000-0000-000035970000}"/>
    <cellStyle name="Salida 2" xfId="38689" xr:uid="{00000000-0005-0000-0000-000036970000}"/>
    <cellStyle name="Salida 2 2" xfId="38690" xr:uid="{00000000-0005-0000-0000-000037970000}"/>
    <cellStyle name="Salida 2 2 2" xfId="38691" xr:uid="{00000000-0005-0000-0000-000038970000}"/>
    <cellStyle name="Salida 2 2 3" xfId="38692" xr:uid="{00000000-0005-0000-0000-000039970000}"/>
    <cellStyle name="Salida 2 2 4" xfId="38693" xr:uid="{00000000-0005-0000-0000-00003A970000}"/>
    <cellStyle name="Salida 2 3" xfId="38694" xr:uid="{00000000-0005-0000-0000-00003B970000}"/>
    <cellStyle name="Salida 2 4" xfId="38695" xr:uid="{00000000-0005-0000-0000-00003C970000}"/>
    <cellStyle name="Salida 3" xfId="38696" xr:uid="{00000000-0005-0000-0000-00003D970000}"/>
    <cellStyle name="Salida 3 2" xfId="38697" xr:uid="{00000000-0005-0000-0000-00003E970000}"/>
    <cellStyle name="Salida 3 2 2" xfId="38698" xr:uid="{00000000-0005-0000-0000-00003F970000}"/>
    <cellStyle name="Salida 3 2 3" xfId="38699" xr:uid="{00000000-0005-0000-0000-000040970000}"/>
    <cellStyle name="Salida 3 3" xfId="38700" xr:uid="{00000000-0005-0000-0000-000041970000}"/>
    <cellStyle name="Salida 3 4" xfId="38701" xr:uid="{00000000-0005-0000-0000-000042970000}"/>
    <cellStyle name="Salida 4" xfId="38702" xr:uid="{00000000-0005-0000-0000-000043970000}"/>
    <cellStyle name="Salida 4 2" xfId="38703" xr:uid="{00000000-0005-0000-0000-000044970000}"/>
    <cellStyle name="Salida 4 2 2" xfId="38704" xr:uid="{00000000-0005-0000-0000-000045970000}"/>
    <cellStyle name="Salida 4 2 3" xfId="38705" xr:uid="{00000000-0005-0000-0000-000046970000}"/>
    <cellStyle name="Salida 4 3" xfId="38706" xr:uid="{00000000-0005-0000-0000-000047970000}"/>
    <cellStyle name="Salida 4 4" xfId="38707" xr:uid="{00000000-0005-0000-0000-000048970000}"/>
    <cellStyle name="Salida 5" xfId="38708" xr:uid="{00000000-0005-0000-0000-000049970000}"/>
    <cellStyle name="Salida 5 2" xfId="38709" xr:uid="{00000000-0005-0000-0000-00004A970000}"/>
    <cellStyle name="Salida 5 2 2" xfId="38710" xr:uid="{00000000-0005-0000-0000-00004B970000}"/>
    <cellStyle name="Salida 5 2 3" xfId="38711" xr:uid="{00000000-0005-0000-0000-00004C970000}"/>
    <cellStyle name="Salida 5 3" xfId="38712" xr:uid="{00000000-0005-0000-0000-00004D970000}"/>
    <cellStyle name="Salida 5 4" xfId="38713" xr:uid="{00000000-0005-0000-0000-00004E970000}"/>
    <cellStyle name="Salida 6" xfId="38714" xr:uid="{00000000-0005-0000-0000-00004F970000}"/>
    <cellStyle name="Salida 6 2" xfId="38715" xr:uid="{00000000-0005-0000-0000-000050970000}"/>
    <cellStyle name="Salida 6 2 2" xfId="38716" xr:uid="{00000000-0005-0000-0000-000051970000}"/>
    <cellStyle name="Salida 6 2 3" xfId="38717" xr:uid="{00000000-0005-0000-0000-000052970000}"/>
    <cellStyle name="Salida 6 3" xfId="38718" xr:uid="{00000000-0005-0000-0000-000053970000}"/>
    <cellStyle name="Salida 6 4" xfId="38719" xr:uid="{00000000-0005-0000-0000-000054970000}"/>
    <cellStyle name="Salida 7" xfId="38720" xr:uid="{00000000-0005-0000-0000-000055970000}"/>
    <cellStyle name="Salida 7 2" xfId="38721" xr:uid="{00000000-0005-0000-0000-000056970000}"/>
    <cellStyle name="Salida 7 2 2" xfId="38722" xr:uid="{00000000-0005-0000-0000-000057970000}"/>
    <cellStyle name="Salida 7 2 3" xfId="38723" xr:uid="{00000000-0005-0000-0000-000058970000}"/>
    <cellStyle name="Salida 7 3" xfId="38724" xr:uid="{00000000-0005-0000-0000-000059970000}"/>
    <cellStyle name="Salida 7 4" xfId="38725" xr:uid="{00000000-0005-0000-0000-00005A970000}"/>
    <cellStyle name="Salida 8" xfId="38726" xr:uid="{00000000-0005-0000-0000-00005B970000}"/>
    <cellStyle name="Salida 8 2" xfId="38727" xr:uid="{00000000-0005-0000-0000-00005C970000}"/>
    <cellStyle name="Salida 8 2 2" xfId="38728" xr:uid="{00000000-0005-0000-0000-00005D970000}"/>
    <cellStyle name="Salida 8 2 3" xfId="38729" xr:uid="{00000000-0005-0000-0000-00005E970000}"/>
    <cellStyle name="Salida 8 3" xfId="38730" xr:uid="{00000000-0005-0000-0000-00005F970000}"/>
    <cellStyle name="Salida 8 4" xfId="38731" xr:uid="{00000000-0005-0000-0000-000060970000}"/>
    <cellStyle name="Salida 9" xfId="38732" xr:uid="{00000000-0005-0000-0000-000061970000}"/>
    <cellStyle name="Salida 9 2" xfId="38733" xr:uid="{00000000-0005-0000-0000-000062970000}"/>
    <cellStyle name="Salida 9 3" xfId="38734" xr:uid="{00000000-0005-0000-0000-000063970000}"/>
    <cellStyle name="TableStyleLight1" xfId="38735" xr:uid="{00000000-0005-0000-0000-000064970000}"/>
    <cellStyle name="TableStyleLight1 2" xfId="38736" xr:uid="{00000000-0005-0000-0000-000065970000}"/>
    <cellStyle name="TableStyleLight1 2 2" xfId="38737" xr:uid="{00000000-0005-0000-0000-000066970000}"/>
    <cellStyle name="TableStyleLight1 2 3" xfId="38738" xr:uid="{00000000-0005-0000-0000-000067970000}"/>
    <cellStyle name="TableStyleLight1 3" xfId="38739" xr:uid="{00000000-0005-0000-0000-000068970000}"/>
    <cellStyle name="TableStyleLight1 4" xfId="38740" xr:uid="{00000000-0005-0000-0000-000069970000}"/>
    <cellStyle name="Texto de advertencia 10" xfId="38741" xr:uid="{00000000-0005-0000-0000-00006A970000}"/>
    <cellStyle name="Texto de advertencia 10 2" xfId="38742" xr:uid="{00000000-0005-0000-0000-00006B970000}"/>
    <cellStyle name="Texto de advertencia 10 3" xfId="38743" xr:uid="{00000000-0005-0000-0000-00006C970000}"/>
    <cellStyle name="Texto de advertencia 11" xfId="38744" xr:uid="{00000000-0005-0000-0000-00006D970000}"/>
    <cellStyle name="Texto de advertencia 12" xfId="38745" xr:uid="{00000000-0005-0000-0000-00006E970000}"/>
    <cellStyle name="Texto de advertencia 2" xfId="38746" xr:uid="{00000000-0005-0000-0000-00006F970000}"/>
    <cellStyle name="Texto de advertencia 2 2" xfId="38747" xr:uid="{00000000-0005-0000-0000-000070970000}"/>
    <cellStyle name="Texto de advertencia 2 2 2" xfId="38748" xr:uid="{00000000-0005-0000-0000-000071970000}"/>
    <cellStyle name="Texto de advertencia 2 2 2 2" xfId="38749" xr:uid="{00000000-0005-0000-0000-000072970000}"/>
    <cellStyle name="Texto de advertencia 2 2 2 2 2" xfId="38750" xr:uid="{00000000-0005-0000-0000-000073970000}"/>
    <cellStyle name="Texto de advertencia 2 2 2 2 2 2" xfId="38751" xr:uid="{00000000-0005-0000-0000-000074970000}"/>
    <cellStyle name="Texto de advertencia 2 2 2 2 2 2 2" xfId="38752" xr:uid="{00000000-0005-0000-0000-000075970000}"/>
    <cellStyle name="Texto de advertencia 2 2 2 2 2 2 3" xfId="38753" xr:uid="{00000000-0005-0000-0000-000076970000}"/>
    <cellStyle name="Texto de advertencia 2 2 2 2 2 3" xfId="38754" xr:uid="{00000000-0005-0000-0000-000077970000}"/>
    <cellStyle name="Texto de advertencia 2 2 2 2 2 4" xfId="38755" xr:uid="{00000000-0005-0000-0000-000078970000}"/>
    <cellStyle name="Texto de advertencia 2 2 2 2 3" xfId="38756" xr:uid="{00000000-0005-0000-0000-000079970000}"/>
    <cellStyle name="Texto de advertencia 2 2 2 2 3 2" xfId="38757" xr:uid="{00000000-0005-0000-0000-00007A970000}"/>
    <cellStyle name="Texto de advertencia 2 2 2 2 3 3" xfId="38758" xr:uid="{00000000-0005-0000-0000-00007B970000}"/>
    <cellStyle name="Texto de advertencia 2 2 2 2 4" xfId="38759" xr:uid="{00000000-0005-0000-0000-00007C970000}"/>
    <cellStyle name="Texto de advertencia 2 2 2 2 5" xfId="38760" xr:uid="{00000000-0005-0000-0000-00007D970000}"/>
    <cellStyle name="Texto de advertencia 2 2 2 3" xfId="38761" xr:uid="{00000000-0005-0000-0000-00007E970000}"/>
    <cellStyle name="Texto de advertencia 2 2 2 3 2" xfId="38762" xr:uid="{00000000-0005-0000-0000-00007F970000}"/>
    <cellStyle name="Texto de advertencia 2 2 2 3 3" xfId="38763" xr:uid="{00000000-0005-0000-0000-000080970000}"/>
    <cellStyle name="Texto de advertencia 2 2 2 4" xfId="38764" xr:uid="{00000000-0005-0000-0000-000081970000}"/>
    <cellStyle name="Texto de advertencia 2 2 2 5" xfId="38765" xr:uid="{00000000-0005-0000-0000-000082970000}"/>
    <cellStyle name="Texto de advertencia 2 2 3" xfId="38766" xr:uid="{00000000-0005-0000-0000-000083970000}"/>
    <cellStyle name="Texto de advertencia 2 2 3 2" xfId="38767" xr:uid="{00000000-0005-0000-0000-000084970000}"/>
    <cellStyle name="Texto de advertencia 2 2 3 2 2" xfId="38768" xr:uid="{00000000-0005-0000-0000-000085970000}"/>
    <cellStyle name="Texto de advertencia 2 2 3 2 3" xfId="38769" xr:uid="{00000000-0005-0000-0000-000086970000}"/>
    <cellStyle name="Texto de advertencia 2 2 3 3" xfId="38770" xr:uid="{00000000-0005-0000-0000-000087970000}"/>
    <cellStyle name="Texto de advertencia 2 2 3 4" xfId="38771" xr:uid="{00000000-0005-0000-0000-000088970000}"/>
    <cellStyle name="Texto de advertencia 2 2 4" xfId="38772" xr:uid="{00000000-0005-0000-0000-000089970000}"/>
    <cellStyle name="Texto de advertencia 2 2 4 2" xfId="38773" xr:uid="{00000000-0005-0000-0000-00008A970000}"/>
    <cellStyle name="Texto de advertencia 2 2 4 2 2" xfId="38774" xr:uid="{00000000-0005-0000-0000-00008B970000}"/>
    <cellStyle name="Texto de advertencia 2 2 4 2 3" xfId="38775" xr:uid="{00000000-0005-0000-0000-00008C970000}"/>
    <cellStyle name="Texto de advertencia 2 2 4 3" xfId="38776" xr:uid="{00000000-0005-0000-0000-00008D970000}"/>
    <cellStyle name="Texto de advertencia 2 2 4 4" xfId="38777" xr:uid="{00000000-0005-0000-0000-00008E970000}"/>
    <cellStyle name="Texto de advertencia 2 2 5" xfId="38778" xr:uid="{00000000-0005-0000-0000-00008F970000}"/>
    <cellStyle name="Texto de advertencia 2 2 5 2" xfId="38779" xr:uid="{00000000-0005-0000-0000-000090970000}"/>
    <cellStyle name="Texto de advertencia 2 2 5 3" xfId="38780" xr:uid="{00000000-0005-0000-0000-000091970000}"/>
    <cellStyle name="Texto de advertencia 2 2 6" xfId="38781" xr:uid="{00000000-0005-0000-0000-000092970000}"/>
    <cellStyle name="Texto de advertencia 2 2 7" xfId="38782" xr:uid="{00000000-0005-0000-0000-000093970000}"/>
    <cellStyle name="Texto de advertencia 2 3" xfId="38783" xr:uid="{00000000-0005-0000-0000-000094970000}"/>
    <cellStyle name="Texto de advertencia 2 3 2" xfId="38784" xr:uid="{00000000-0005-0000-0000-000095970000}"/>
    <cellStyle name="Texto de advertencia 2 3 2 2" xfId="38785" xr:uid="{00000000-0005-0000-0000-000096970000}"/>
    <cellStyle name="Texto de advertencia 2 3 2 3" xfId="38786" xr:uid="{00000000-0005-0000-0000-000097970000}"/>
    <cellStyle name="Texto de advertencia 2 3 3" xfId="38787" xr:uid="{00000000-0005-0000-0000-000098970000}"/>
    <cellStyle name="Texto de advertencia 2 3 4" xfId="38788" xr:uid="{00000000-0005-0000-0000-000099970000}"/>
    <cellStyle name="Texto de advertencia 2 4" xfId="38789" xr:uid="{00000000-0005-0000-0000-00009A970000}"/>
    <cellStyle name="Texto de advertencia 2 4 2" xfId="38790" xr:uid="{00000000-0005-0000-0000-00009B970000}"/>
    <cellStyle name="Texto de advertencia 2 4 2 2" xfId="38791" xr:uid="{00000000-0005-0000-0000-00009C970000}"/>
    <cellStyle name="Texto de advertencia 2 4 2 3" xfId="38792" xr:uid="{00000000-0005-0000-0000-00009D970000}"/>
    <cellStyle name="Texto de advertencia 2 4 3" xfId="38793" xr:uid="{00000000-0005-0000-0000-00009E970000}"/>
    <cellStyle name="Texto de advertencia 2 4 4" xfId="38794" xr:uid="{00000000-0005-0000-0000-00009F970000}"/>
    <cellStyle name="Texto de advertencia 2 5" xfId="38795" xr:uid="{00000000-0005-0000-0000-0000A0970000}"/>
    <cellStyle name="Texto de advertencia 2 5 2" xfId="38796" xr:uid="{00000000-0005-0000-0000-0000A1970000}"/>
    <cellStyle name="Texto de advertencia 2 5 3" xfId="38797" xr:uid="{00000000-0005-0000-0000-0000A2970000}"/>
    <cellStyle name="Texto de advertencia 2 6" xfId="38798" xr:uid="{00000000-0005-0000-0000-0000A3970000}"/>
    <cellStyle name="Texto de advertencia 2 7" xfId="38799" xr:uid="{00000000-0005-0000-0000-0000A4970000}"/>
    <cellStyle name="Texto de advertencia 3" xfId="38800" xr:uid="{00000000-0005-0000-0000-0000A5970000}"/>
    <cellStyle name="Texto de advertencia 3 2" xfId="38801" xr:uid="{00000000-0005-0000-0000-0000A6970000}"/>
    <cellStyle name="Texto de advertencia 3 2 2" xfId="38802" xr:uid="{00000000-0005-0000-0000-0000A7970000}"/>
    <cellStyle name="Texto de advertencia 3 2 3" xfId="38803" xr:uid="{00000000-0005-0000-0000-0000A8970000}"/>
    <cellStyle name="Texto de advertencia 3 3" xfId="38804" xr:uid="{00000000-0005-0000-0000-0000A9970000}"/>
    <cellStyle name="Texto de advertencia 3 4" xfId="38805" xr:uid="{00000000-0005-0000-0000-0000AA970000}"/>
    <cellStyle name="Texto de advertencia 4" xfId="38806" xr:uid="{00000000-0005-0000-0000-0000AB970000}"/>
    <cellStyle name="Texto de advertencia 4 2" xfId="38807" xr:uid="{00000000-0005-0000-0000-0000AC970000}"/>
    <cellStyle name="Texto de advertencia 4 2 2" xfId="38808" xr:uid="{00000000-0005-0000-0000-0000AD970000}"/>
    <cellStyle name="Texto de advertencia 4 2 3" xfId="38809" xr:uid="{00000000-0005-0000-0000-0000AE970000}"/>
    <cellStyle name="Texto de advertencia 4 3" xfId="38810" xr:uid="{00000000-0005-0000-0000-0000AF970000}"/>
    <cellStyle name="Texto de advertencia 4 4" xfId="38811" xr:uid="{00000000-0005-0000-0000-0000B0970000}"/>
    <cellStyle name="Texto de advertencia 5" xfId="38812" xr:uid="{00000000-0005-0000-0000-0000B1970000}"/>
    <cellStyle name="Texto de advertencia 5 2" xfId="38813" xr:uid="{00000000-0005-0000-0000-0000B2970000}"/>
    <cellStyle name="Texto de advertencia 5 2 2" xfId="38814" xr:uid="{00000000-0005-0000-0000-0000B3970000}"/>
    <cellStyle name="Texto de advertencia 5 2 3" xfId="38815" xr:uid="{00000000-0005-0000-0000-0000B4970000}"/>
    <cellStyle name="Texto de advertencia 5 3" xfId="38816" xr:uid="{00000000-0005-0000-0000-0000B5970000}"/>
    <cellStyle name="Texto de advertencia 5 4" xfId="38817" xr:uid="{00000000-0005-0000-0000-0000B6970000}"/>
    <cellStyle name="Texto de advertencia 6" xfId="38818" xr:uid="{00000000-0005-0000-0000-0000B7970000}"/>
    <cellStyle name="Texto de advertencia 6 2" xfId="38819" xr:uid="{00000000-0005-0000-0000-0000B8970000}"/>
    <cellStyle name="Texto de advertencia 6 2 2" xfId="38820" xr:uid="{00000000-0005-0000-0000-0000B9970000}"/>
    <cellStyle name="Texto de advertencia 6 2 3" xfId="38821" xr:uid="{00000000-0005-0000-0000-0000BA970000}"/>
    <cellStyle name="Texto de advertencia 6 3" xfId="38822" xr:uid="{00000000-0005-0000-0000-0000BB970000}"/>
    <cellStyle name="Texto de advertencia 6 4" xfId="38823" xr:uid="{00000000-0005-0000-0000-0000BC970000}"/>
    <cellStyle name="Texto de advertencia 7" xfId="38824" xr:uid="{00000000-0005-0000-0000-0000BD970000}"/>
    <cellStyle name="Texto de advertencia 7 2" xfId="38825" xr:uid="{00000000-0005-0000-0000-0000BE970000}"/>
    <cellStyle name="Texto de advertencia 7 2 2" xfId="38826" xr:uid="{00000000-0005-0000-0000-0000BF970000}"/>
    <cellStyle name="Texto de advertencia 7 2 3" xfId="38827" xr:uid="{00000000-0005-0000-0000-0000C0970000}"/>
    <cellStyle name="Texto de advertencia 7 3" xfId="38828" xr:uid="{00000000-0005-0000-0000-0000C1970000}"/>
    <cellStyle name="Texto de advertencia 7 4" xfId="38829" xr:uid="{00000000-0005-0000-0000-0000C2970000}"/>
    <cellStyle name="Texto de advertencia 8" xfId="38830" xr:uid="{00000000-0005-0000-0000-0000C3970000}"/>
    <cellStyle name="Texto de advertencia 8 2" xfId="38831" xr:uid="{00000000-0005-0000-0000-0000C4970000}"/>
    <cellStyle name="Texto de advertencia 8 2 2" xfId="38832" xr:uid="{00000000-0005-0000-0000-0000C5970000}"/>
    <cellStyle name="Texto de advertencia 8 2 3" xfId="38833" xr:uid="{00000000-0005-0000-0000-0000C6970000}"/>
    <cellStyle name="Texto de advertencia 8 3" xfId="38834" xr:uid="{00000000-0005-0000-0000-0000C7970000}"/>
    <cellStyle name="Texto de advertencia 8 4" xfId="38835" xr:uid="{00000000-0005-0000-0000-0000C8970000}"/>
    <cellStyle name="Texto de advertencia 9" xfId="38836" xr:uid="{00000000-0005-0000-0000-0000C9970000}"/>
    <cellStyle name="Texto de advertencia 9 2" xfId="38837" xr:uid="{00000000-0005-0000-0000-0000CA970000}"/>
    <cellStyle name="Texto de advertencia 9 2 2" xfId="38838" xr:uid="{00000000-0005-0000-0000-0000CB970000}"/>
    <cellStyle name="Texto de advertencia 9 2 3" xfId="38839" xr:uid="{00000000-0005-0000-0000-0000CC970000}"/>
    <cellStyle name="Texto de advertencia 9 3" xfId="38840" xr:uid="{00000000-0005-0000-0000-0000CD970000}"/>
    <cellStyle name="Texto de advertencia 9 4" xfId="38841" xr:uid="{00000000-0005-0000-0000-0000CE970000}"/>
    <cellStyle name="Texto explicativo 10" xfId="38842" xr:uid="{00000000-0005-0000-0000-0000CF970000}"/>
    <cellStyle name="Texto explicativo 11" xfId="38843" xr:uid="{00000000-0005-0000-0000-0000D0970000}"/>
    <cellStyle name="Texto explicativo 2" xfId="38844" xr:uid="{00000000-0005-0000-0000-0000D1970000}"/>
    <cellStyle name="Texto explicativo 2 2" xfId="38845" xr:uid="{00000000-0005-0000-0000-0000D2970000}"/>
    <cellStyle name="Texto explicativo 2 2 2" xfId="38846" xr:uid="{00000000-0005-0000-0000-0000D3970000}"/>
    <cellStyle name="Texto explicativo 2 2 3" xfId="38847" xr:uid="{00000000-0005-0000-0000-0000D4970000}"/>
    <cellStyle name="Texto explicativo 2 2 4" xfId="38848" xr:uid="{00000000-0005-0000-0000-0000D5970000}"/>
    <cellStyle name="Texto explicativo 2 3" xfId="38849" xr:uid="{00000000-0005-0000-0000-0000D6970000}"/>
    <cellStyle name="Texto explicativo 2 4" xfId="38850" xr:uid="{00000000-0005-0000-0000-0000D7970000}"/>
    <cellStyle name="Texto explicativo 3" xfId="38851" xr:uid="{00000000-0005-0000-0000-0000D8970000}"/>
    <cellStyle name="Texto explicativo 3 2" xfId="38852" xr:uid="{00000000-0005-0000-0000-0000D9970000}"/>
    <cellStyle name="Texto explicativo 3 2 2" xfId="38853" xr:uid="{00000000-0005-0000-0000-0000DA970000}"/>
    <cellStyle name="Texto explicativo 3 2 3" xfId="38854" xr:uid="{00000000-0005-0000-0000-0000DB970000}"/>
    <cellStyle name="Texto explicativo 3 3" xfId="38855" xr:uid="{00000000-0005-0000-0000-0000DC970000}"/>
    <cellStyle name="Texto explicativo 3 4" xfId="38856" xr:uid="{00000000-0005-0000-0000-0000DD970000}"/>
    <cellStyle name="Texto explicativo 4" xfId="38857" xr:uid="{00000000-0005-0000-0000-0000DE970000}"/>
    <cellStyle name="Texto explicativo 4 2" xfId="38858" xr:uid="{00000000-0005-0000-0000-0000DF970000}"/>
    <cellStyle name="Texto explicativo 4 2 2" xfId="38859" xr:uid="{00000000-0005-0000-0000-0000E0970000}"/>
    <cellStyle name="Texto explicativo 4 2 3" xfId="38860" xr:uid="{00000000-0005-0000-0000-0000E1970000}"/>
    <cellStyle name="Texto explicativo 4 3" xfId="38861" xr:uid="{00000000-0005-0000-0000-0000E2970000}"/>
    <cellStyle name="Texto explicativo 4 4" xfId="38862" xr:uid="{00000000-0005-0000-0000-0000E3970000}"/>
    <cellStyle name="Texto explicativo 5" xfId="38863" xr:uid="{00000000-0005-0000-0000-0000E4970000}"/>
    <cellStyle name="Texto explicativo 5 2" xfId="38864" xr:uid="{00000000-0005-0000-0000-0000E5970000}"/>
    <cellStyle name="Texto explicativo 5 2 2" xfId="38865" xr:uid="{00000000-0005-0000-0000-0000E6970000}"/>
    <cellStyle name="Texto explicativo 5 2 3" xfId="38866" xr:uid="{00000000-0005-0000-0000-0000E7970000}"/>
    <cellStyle name="Texto explicativo 5 3" xfId="38867" xr:uid="{00000000-0005-0000-0000-0000E8970000}"/>
    <cellStyle name="Texto explicativo 5 4" xfId="38868" xr:uid="{00000000-0005-0000-0000-0000E9970000}"/>
    <cellStyle name="Texto explicativo 6" xfId="38869" xr:uid="{00000000-0005-0000-0000-0000EA970000}"/>
    <cellStyle name="Texto explicativo 6 2" xfId="38870" xr:uid="{00000000-0005-0000-0000-0000EB970000}"/>
    <cellStyle name="Texto explicativo 6 2 2" xfId="38871" xr:uid="{00000000-0005-0000-0000-0000EC970000}"/>
    <cellStyle name="Texto explicativo 6 2 3" xfId="38872" xr:uid="{00000000-0005-0000-0000-0000ED970000}"/>
    <cellStyle name="Texto explicativo 6 3" xfId="38873" xr:uid="{00000000-0005-0000-0000-0000EE970000}"/>
    <cellStyle name="Texto explicativo 6 4" xfId="38874" xr:uid="{00000000-0005-0000-0000-0000EF970000}"/>
    <cellStyle name="Texto explicativo 7" xfId="38875" xr:uid="{00000000-0005-0000-0000-0000F0970000}"/>
    <cellStyle name="Texto explicativo 7 2" xfId="38876" xr:uid="{00000000-0005-0000-0000-0000F1970000}"/>
    <cellStyle name="Texto explicativo 7 2 2" xfId="38877" xr:uid="{00000000-0005-0000-0000-0000F2970000}"/>
    <cellStyle name="Texto explicativo 7 2 3" xfId="38878" xr:uid="{00000000-0005-0000-0000-0000F3970000}"/>
    <cellStyle name="Texto explicativo 7 3" xfId="38879" xr:uid="{00000000-0005-0000-0000-0000F4970000}"/>
    <cellStyle name="Texto explicativo 7 4" xfId="38880" xr:uid="{00000000-0005-0000-0000-0000F5970000}"/>
    <cellStyle name="Texto explicativo 8" xfId="38881" xr:uid="{00000000-0005-0000-0000-0000F6970000}"/>
    <cellStyle name="Texto explicativo 8 2" xfId="38882" xr:uid="{00000000-0005-0000-0000-0000F7970000}"/>
    <cellStyle name="Texto explicativo 8 2 2" xfId="38883" xr:uid="{00000000-0005-0000-0000-0000F8970000}"/>
    <cellStyle name="Texto explicativo 8 2 3" xfId="38884" xr:uid="{00000000-0005-0000-0000-0000F9970000}"/>
    <cellStyle name="Texto explicativo 8 3" xfId="38885" xr:uid="{00000000-0005-0000-0000-0000FA970000}"/>
    <cellStyle name="Texto explicativo 8 4" xfId="38886" xr:uid="{00000000-0005-0000-0000-0000FB970000}"/>
    <cellStyle name="Texto explicativo 9" xfId="38887" xr:uid="{00000000-0005-0000-0000-0000FC970000}"/>
    <cellStyle name="Texto explicativo 9 2" xfId="38888" xr:uid="{00000000-0005-0000-0000-0000FD970000}"/>
    <cellStyle name="Texto explicativo 9 3" xfId="38889" xr:uid="{00000000-0005-0000-0000-0000FE970000}"/>
    <cellStyle name="Title" xfId="38890" xr:uid="{00000000-0005-0000-0000-0000FF970000}"/>
    <cellStyle name="Title 2" xfId="38891" xr:uid="{00000000-0005-0000-0000-000000980000}"/>
    <cellStyle name="Title 2 2" xfId="38892" xr:uid="{00000000-0005-0000-0000-000001980000}"/>
    <cellStyle name="Title 2 2 2" xfId="38893" xr:uid="{00000000-0005-0000-0000-000002980000}"/>
    <cellStyle name="Title 2 2 3" xfId="38894" xr:uid="{00000000-0005-0000-0000-000003980000}"/>
    <cellStyle name="Title 2 3" xfId="38895" xr:uid="{00000000-0005-0000-0000-000004980000}"/>
    <cellStyle name="Title 2 4" xfId="38896" xr:uid="{00000000-0005-0000-0000-000005980000}"/>
    <cellStyle name="Title 3" xfId="38897" xr:uid="{00000000-0005-0000-0000-000006980000}"/>
    <cellStyle name="Title 3 2" xfId="38898" xr:uid="{00000000-0005-0000-0000-000007980000}"/>
    <cellStyle name="Title 3 2 2" xfId="38899" xr:uid="{00000000-0005-0000-0000-000008980000}"/>
    <cellStyle name="Title 3 2 3" xfId="38900" xr:uid="{00000000-0005-0000-0000-000009980000}"/>
    <cellStyle name="Title 3 3" xfId="38901" xr:uid="{00000000-0005-0000-0000-00000A980000}"/>
    <cellStyle name="Title 3 4" xfId="38902" xr:uid="{00000000-0005-0000-0000-00000B980000}"/>
    <cellStyle name="Title 4" xfId="38903" xr:uid="{00000000-0005-0000-0000-00000C980000}"/>
    <cellStyle name="Title 4 2" xfId="38904" xr:uid="{00000000-0005-0000-0000-00000D980000}"/>
    <cellStyle name="Title 4 2 2" xfId="38905" xr:uid="{00000000-0005-0000-0000-00000E980000}"/>
    <cellStyle name="Title 4 2 3" xfId="38906" xr:uid="{00000000-0005-0000-0000-00000F980000}"/>
    <cellStyle name="Title 4 3" xfId="38907" xr:uid="{00000000-0005-0000-0000-000010980000}"/>
    <cellStyle name="Title 4 4" xfId="38908" xr:uid="{00000000-0005-0000-0000-000011980000}"/>
    <cellStyle name="Title 5" xfId="38909" xr:uid="{00000000-0005-0000-0000-000012980000}"/>
    <cellStyle name="Title 5 2" xfId="38910" xr:uid="{00000000-0005-0000-0000-000013980000}"/>
    <cellStyle name="Title 5 2 2" xfId="38911" xr:uid="{00000000-0005-0000-0000-000014980000}"/>
    <cellStyle name="Title 5 2 3" xfId="38912" xr:uid="{00000000-0005-0000-0000-000015980000}"/>
    <cellStyle name="Title 5 3" xfId="38913" xr:uid="{00000000-0005-0000-0000-000016980000}"/>
    <cellStyle name="Title 5 4" xfId="38914" xr:uid="{00000000-0005-0000-0000-000017980000}"/>
    <cellStyle name="Title 6" xfId="38915" xr:uid="{00000000-0005-0000-0000-000018980000}"/>
    <cellStyle name="Title 6 2" xfId="38916" xr:uid="{00000000-0005-0000-0000-000019980000}"/>
    <cellStyle name="Title 6 3" xfId="38917" xr:uid="{00000000-0005-0000-0000-00001A980000}"/>
    <cellStyle name="Title 7" xfId="38918" xr:uid="{00000000-0005-0000-0000-00001B980000}"/>
    <cellStyle name="Title 8" xfId="38919" xr:uid="{00000000-0005-0000-0000-00001C980000}"/>
    <cellStyle name="Título 1 10" xfId="38920" xr:uid="{00000000-0005-0000-0000-00001D980000}"/>
    <cellStyle name="Título 1 11" xfId="38921" xr:uid="{00000000-0005-0000-0000-00001E980000}"/>
    <cellStyle name="Título 1 2" xfId="38922" xr:uid="{00000000-0005-0000-0000-00001F980000}"/>
    <cellStyle name="Título 1 2 2" xfId="38923" xr:uid="{00000000-0005-0000-0000-000020980000}"/>
    <cellStyle name="Título 1 2 2 2" xfId="38924" xr:uid="{00000000-0005-0000-0000-000021980000}"/>
    <cellStyle name="Título 1 2 2 3" xfId="38925" xr:uid="{00000000-0005-0000-0000-000022980000}"/>
    <cellStyle name="Título 1 2 3" xfId="38926" xr:uid="{00000000-0005-0000-0000-000023980000}"/>
    <cellStyle name="Título 1 2 4" xfId="38927" xr:uid="{00000000-0005-0000-0000-000024980000}"/>
    <cellStyle name="Título 1 3" xfId="38928" xr:uid="{00000000-0005-0000-0000-000025980000}"/>
    <cellStyle name="Título 1 3 2" xfId="38929" xr:uid="{00000000-0005-0000-0000-000026980000}"/>
    <cellStyle name="Título 1 3 2 2" xfId="38930" xr:uid="{00000000-0005-0000-0000-000027980000}"/>
    <cellStyle name="Título 1 3 2 3" xfId="38931" xr:uid="{00000000-0005-0000-0000-000028980000}"/>
    <cellStyle name="Título 1 3 3" xfId="38932" xr:uid="{00000000-0005-0000-0000-000029980000}"/>
    <cellStyle name="Título 1 3 4" xfId="38933" xr:uid="{00000000-0005-0000-0000-00002A980000}"/>
    <cellStyle name="Título 1 4" xfId="38934" xr:uid="{00000000-0005-0000-0000-00002B980000}"/>
    <cellStyle name="Título 1 4 2" xfId="38935" xr:uid="{00000000-0005-0000-0000-00002C980000}"/>
    <cellStyle name="Título 1 4 2 2" xfId="38936" xr:uid="{00000000-0005-0000-0000-00002D980000}"/>
    <cellStyle name="Título 1 4 2 3" xfId="38937" xr:uid="{00000000-0005-0000-0000-00002E980000}"/>
    <cellStyle name="Título 1 4 3" xfId="38938" xr:uid="{00000000-0005-0000-0000-00002F980000}"/>
    <cellStyle name="Título 1 4 4" xfId="38939" xr:uid="{00000000-0005-0000-0000-000030980000}"/>
    <cellStyle name="Título 1 5" xfId="38940" xr:uid="{00000000-0005-0000-0000-000031980000}"/>
    <cellStyle name="Título 1 5 2" xfId="38941" xr:uid="{00000000-0005-0000-0000-000032980000}"/>
    <cellStyle name="Título 1 5 2 2" xfId="38942" xr:uid="{00000000-0005-0000-0000-000033980000}"/>
    <cellStyle name="Título 1 5 2 3" xfId="38943" xr:uid="{00000000-0005-0000-0000-000034980000}"/>
    <cellStyle name="Título 1 5 3" xfId="38944" xr:uid="{00000000-0005-0000-0000-000035980000}"/>
    <cellStyle name="Título 1 5 4" xfId="38945" xr:uid="{00000000-0005-0000-0000-000036980000}"/>
    <cellStyle name="Título 1 6" xfId="38946" xr:uid="{00000000-0005-0000-0000-000037980000}"/>
    <cellStyle name="Título 1 6 2" xfId="38947" xr:uid="{00000000-0005-0000-0000-000038980000}"/>
    <cellStyle name="Título 1 6 2 2" xfId="38948" xr:uid="{00000000-0005-0000-0000-000039980000}"/>
    <cellStyle name="Título 1 6 2 3" xfId="38949" xr:uid="{00000000-0005-0000-0000-00003A980000}"/>
    <cellStyle name="Título 1 6 3" xfId="38950" xr:uid="{00000000-0005-0000-0000-00003B980000}"/>
    <cellStyle name="Título 1 6 4" xfId="38951" xr:uid="{00000000-0005-0000-0000-00003C980000}"/>
    <cellStyle name="Título 1 7" xfId="38952" xr:uid="{00000000-0005-0000-0000-00003D980000}"/>
    <cellStyle name="Título 1 7 2" xfId="38953" xr:uid="{00000000-0005-0000-0000-00003E980000}"/>
    <cellStyle name="Título 1 7 2 2" xfId="38954" xr:uid="{00000000-0005-0000-0000-00003F980000}"/>
    <cellStyle name="Título 1 7 2 3" xfId="38955" xr:uid="{00000000-0005-0000-0000-000040980000}"/>
    <cellStyle name="Título 1 7 3" xfId="38956" xr:uid="{00000000-0005-0000-0000-000041980000}"/>
    <cellStyle name="Título 1 7 4" xfId="38957" xr:uid="{00000000-0005-0000-0000-000042980000}"/>
    <cellStyle name="Título 1 8" xfId="38958" xr:uid="{00000000-0005-0000-0000-000043980000}"/>
    <cellStyle name="Título 1 8 2" xfId="38959" xr:uid="{00000000-0005-0000-0000-000044980000}"/>
    <cellStyle name="Título 1 8 2 2" xfId="38960" xr:uid="{00000000-0005-0000-0000-000045980000}"/>
    <cellStyle name="Título 1 8 2 3" xfId="38961" xr:uid="{00000000-0005-0000-0000-000046980000}"/>
    <cellStyle name="Título 1 8 3" xfId="38962" xr:uid="{00000000-0005-0000-0000-000047980000}"/>
    <cellStyle name="Título 1 8 4" xfId="38963" xr:uid="{00000000-0005-0000-0000-000048980000}"/>
    <cellStyle name="Título 1 9" xfId="38964" xr:uid="{00000000-0005-0000-0000-000049980000}"/>
    <cellStyle name="Título 1 9 2" xfId="38965" xr:uid="{00000000-0005-0000-0000-00004A980000}"/>
    <cellStyle name="Título 1 9 3" xfId="38966" xr:uid="{00000000-0005-0000-0000-00004B980000}"/>
    <cellStyle name="Título 10" xfId="38967" xr:uid="{00000000-0005-0000-0000-00004C980000}"/>
    <cellStyle name="Título 10 2" xfId="38968" xr:uid="{00000000-0005-0000-0000-00004D980000}"/>
    <cellStyle name="Título 10 2 2" xfId="38969" xr:uid="{00000000-0005-0000-0000-00004E980000}"/>
    <cellStyle name="Título 10 2 3" xfId="38970" xr:uid="{00000000-0005-0000-0000-00004F980000}"/>
    <cellStyle name="Título 10 3" xfId="38971" xr:uid="{00000000-0005-0000-0000-000050980000}"/>
    <cellStyle name="Título 10 4" xfId="38972" xr:uid="{00000000-0005-0000-0000-000051980000}"/>
    <cellStyle name="Título 11" xfId="38973" xr:uid="{00000000-0005-0000-0000-000052980000}"/>
    <cellStyle name="Título 11 2" xfId="38974" xr:uid="{00000000-0005-0000-0000-000053980000}"/>
    <cellStyle name="Título 11 3" xfId="38975" xr:uid="{00000000-0005-0000-0000-000054980000}"/>
    <cellStyle name="Título 12" xfId="38976" xr:uid="{00000000-0005-0000-0000-000055980000}"/>
    <cellStyle name="Título 13" xfId="38977" xr:uid="{00000000-0005-0000-0000-000056980000}"/>
    <cellStyle name="Título 2 10" xfId="38978" xr:uid="{00000000-0005-0000-0000-000057980000}"/>
    <cellStyle name="Título 2 11" xfId="38979" xr:uid="{00000000-0005-0000-0000-000058980000}"/>
    <cellStyle name="Título 2 2" xfId="38980" xr:uid="{00000000-0005-0000-0000-000059980000}"/>
    <cellStyle name="Título 2 2 2" xfId="38981" xr:uid="{00000000-0005-0000-0000-00005A980000}"/>
    <cellStyle name="Título 2 2 2 2" xfId="38982" xr:uid="{00000000-0005-0000-0000-00005B980000}"/>
    <cellStyle name="Título 2 2 2 3" xfId="38983" xr:uid="{00000000-0005-0000-0000-00005C980000}"/>
    <cellStyle name="Título 2 2 2 4" xfId="38984" xr:uid="{00000000-0005-0000-0000-00005D980000}"/>
    <cellStyle name="Título 2 2 3" xfId="38985" xr:uid="{00000000-0005-0000-0000-00005E980000}"/>
    <cellStyle name="Título 2 2 4" xfId="38986" xr:uid="{00000000-0005-0000-0000-00005F980000}"/>
    <cellStyle name="Título 2 3" xfId="38987" xr:uid="{00000000-0005-0000-0000-000060980000}"/>
    <cellStyle name="Título 2 3 2" xfId="38988" xr:uid="{00000000-0005-0000-0000-000061980000}"/>
    <cellStyle name="Título 2 3 2 2" xfId="38989" xr:uid="{00000000-0005-0000-0000-000062980000}"/>
    <cellStyle name="Título 2 3 2 3" xfId="38990" xr:uid="{00000000-0005-0000-0000-000063980000}"/>
    <cellStyle name="Título 2 3 3" xfId="38991" xr:uid="{00000000-0005-0000-0000-000064980000}"/>
    <cellStyle name="Título 2 3 4" xfId="38992" xr:uid="{00000000-0005-0000-0000-000065980000}"/>
    <cellStyle name="Título 2 4" xfId="38993" xr:uid="{00000000-0005-0000-0000-000066980000}"/>
    <cellStyle name="Título 2 4 2" xfId="38994" xr:uid="{00000000-0005-0000-0000-000067980000}"/>
    <cellStyle name="Título 2 4 2 2" xfId="38995" xr:uid="{00000000-0005-0000-0000-000068980000}"/>
    <cellStyle name="Título 2 4 2 3" xfId="38996" xr:uid="{00000000-0005-0000-0000-000069980000}"/>
    <cellStyle name="Título 2 4 3" xfId="38997" xr:uid="{00000000-0005-0000-0000-00006A980000}"/>
    <cellStyle name="Título 2 4 4" xfId="38998" xr:uid="{00000000-0005-0000-0000-00006B980000}"/>
    <cellStyle name="Título 2 5" xfId="38999" xr:uid="{00000000-0005-0000-0000-00006C980000}"/>
    <cellStyle name="Título 2 5 2" xfId="39000" xr:uid="{00000000-0005-0000-0000-00006D980000}"/>
    <cellStyle name="Título 2 5 2 2" xfId="39001" xr:uid="{00000000-0005-0000-0000-00006E980000}"/>
    <cellStyle name="Título 2 5 2 3" xfId="39002" xr:uid="{00000000-0005-0000-0000-00006F980000}"/>
    <cellStyle name="Título 2 5 3" xfId="39003" xr:uid="{00000000-0005-0000-0000-000070980000}"/>
    <cellStyle name="Título 2 5 4" xfId="39004" xr:uid="{00000000-0005-0000-0000-000071980000}"/>
    <cellStyle name="Título 2 6" xfId="39005" xr:uid="{00000000-0005-0000-0000-000072980000}"/>
    <cellStyle name="Título 2 6 2" xfId="39006" xr:uid="{00000000-0005-0000-0000-000073980000}"/>
    <cellStyle name="Título 2 6 2 2" xfId="39007" xr:uid="{00000000-0005-0000-0000-000074980000}"/>
    <cellStyle name="Título 2 6 2 3" xfId="39008" xr:uid="{00000000-0005-0000-0000-000075980000}"/>
    <cellStyle name="Título 2 6 3" xfId="39009" xr:uid="{00000000-0005-0000-0000-000076980000}"/>
    <cellStyle name="Título 2 6 4" xfId="39010" xr:uid="{00000000-0005-0000-0000-000077980000}"/>
    <cellStyle name="Título 2 7" xfId="39011" xr:uid="{00000000-0005-0000-0000-000078980000}"/>
    <cellStyle name="Título 2 7 2" xfId="39012" xr:uid="{00000000-0005-0000-0000-000079980000}"/>
    <cellStyle name="Título 2 7 2 2" xfId="39013" xr:uid="{00000000-0005-0000-0000-00007A980000}"/>
    <cellStyle name="Título 2 7 2 3" xfId="39014" xr:uid="{00000000-0005-0000-0000-00007B980000}"/>
    <cellStyle name="Título 2 7 3" xfId="39015" xr:uid="{00000000-0005-0000-0000-00007C980000}"/>
    <cellStyle name="Título 2 7 4" xfId="39016" xr:uid="{00000000-0005-0000-0000-00007D980000}"/>
    <cellStyle name="Título 2 8" xfId="39017" xr:uid="{00000000-0005-0000-0000-00007E980000}"/>
    <cellStyle name="Título 2 8 2" xfId="39018" xr:uid="{00000000-0005-0000-0000-00007F980000}"/>
    <cellStyle name="Título 2 8 2 2" xfId="39019" xr:uid="{00000000-0005-0000-0000-000080980000}"/>
    <cellStyle name="Título 2 8 2 3" xfId="39020" xr:uid="{00000000-0005-0000-0000-000081980000}"/>
    <cellStyle name="Título 2 8 3" xfId="39021" xr:uid="{00000000-0005-0000-0000-000082980000}"/>
    <cellStyle name="Título 2 8 4" xfId="39022" xr:uid="{00000000-0005-0000-0000-000083980000}"/>
    <cellStyle name="Título 2 9" xfId="39023" xr:uid="{00000000-0005-0000-0000-000084980000}"/>
    <cellStyle name="Título 2 9 2" xfId="39024" xr:uid="{00000000-0005-0000-0000-000085980000}"/>
    <cellStyle name="Título 2 9 3" xfId="39025" xr:uid="{00000000-0005-0000-0000-000086980000}"/>
    <cellStyle name="Título 3 10" xfId="39026" xr:uid="{00000000-0005-0000-0000-000087980000}"/>
    <cellStyle name="Título 3 11" xfId="39027" xr:uid="{00000000-0005-0000-0000-000088980000}"/>
    <cellStyle name="Título 3 2" xfId="39028" xr:uid="{00000000-0005-0000-0000-000089980000}"/>
    <cellStyle name="Título 3 2 2" xfId="39029" xr:uid="{00000000-0005-0000-0000-00008A980000}"/>
    <cellStyle name="Título 3 2 2 2" xfId="39030" xr:uid="{00000000-0005-0000-0000-00008B980000}"/>
    <cellStyle name="Título 3 2 2 3" xfId="39031" xr:uid="{00000000-0005-0000-0000-00008C980000}"/>
    <cellStyle name="Título 3 2 2 4" xfId="39032" xr:uid="{00000000-0005-0000-0000-00008D980000}"/>
    <cellStyle name="Título 3 2 3" xfId="39033" xr:uid="{00000000-0005-0000-0000-00008E980000}"/>
    <cellStyle name="Título 3 2 4" xfId="39034" xr:uid="{00000000-0005-0000-0000-00008F980000}"/>
    <cellStyle name="Título 3 3" xfId="39035" xr:uid="{00000000-0005-0000-0000-000090980000}"/>
    <cellStyle name="Título 3 3 2" xfId="39036" xr:uid="{00000000-0005-0000-0000-000091980000}"/>
    <cellStyle name="Título 3 3 2 2" xfId="39037" xr:uid="{00000000-0005-0000-0000-000092980000}"/>
    <cellStyle name="Título 3 3 2 3" xfId="39038" xr:uid="{00000000-0005-0000-0000-000093980000}"/>
    <cellStyle name="Título 3 3 3" xfId="39039" xr:uid="{00000000-0005-0000-0000-000094980000}"/>
    <cellStyle name="Título 3 3 4" xfId="39040" xr:uid="{00000000-0005-0000-0000-000095980000}"/>
    <cellStyle name="Título 3 4" xfId="39041" xr:uid="{00000000-0005-0000-0000-000096980000}"/>
    <cellStyle name="Título 3 4 2" xfId="39042" xr:uid="{00000000-0005-0000-0000-000097980000}"/>
    <cellStyle name="Título 3 4 2 2" xfId="39043" xr:uid="{00000000-0005-0000-0000-000098980000}"/>
    <cellStyle name="Título 3 4 2 3" xfId="39044" xr:uid="{00000000-0005-0000-0000-000099980000}"/>
    <cellStyle name="Título 3 4 3" xfId="39045" xr:uid="{00000000-0005-0000-0000-00009A980000}"/>
    <cellStyle name="Título 3 4 4" xfId="39046" xr:uid="{00000000-0005-0000-0000-00009B980000}"/>
    <cellStyle name="Título 3 5" xfId="39047" xr:uid="{00000000-0005-0000-0000-00009C980000}"/>
    <cellStyle name="Título 3 5 2" xfId="39048" xr:uid="{00000000-0005-0000-0000-00009D980000}"/>
    <cellStyle name="Título 3 5 2 2" xfId="39049" xr:uid="{00000000-0005-0000-0000-00009E980000}"/>
    <cellStyle name="Título 3 5 2 3" xfId="39050" xr:uid="{00000000-0005-0000-0000-00009F980000}"/>
    <cellStyle name="Título 3 5 3" xfId="39051" xr:uid="{00000000-0005-0000-0000-0000A0980000}"/>
    <cellStyle name="Título 3 5 4" xfId="39052" xr:uid="{00000000-0005-0000-0000-0000A1980000}"/>
    <cellStyle name="Título 3 6" xfId="39053" xr:uid="{00000000-0005-0000-0000-0000A2980000}"/>
    <cellStyle name="Título 3 6 2" xfId="39054" xr:uid="{00000000-0005-0000-0000-0000A3980000}"/>
    <cellStyle name="Título 3 6 2 2" xfId="39055" xr:uid="{00000000-0005-0000-0000-0000A4980000}"/>
    <cellStyle name="Título 3 6 2 3" xfId="39056" xr:uid="{00000000-0005-0000-0000-0000A5980000}"/>
    <cellStyle name="Título 3 6 3" xfId="39057" xr:uid="{00000000-0005-0000-0000-0000A6980000}"/>
    <cellStyle name="Título 3 6 4" xfId="39058" xr:uid="{00000000-0005-0000-0000-0000A7980000}"/>
    <cellStyle name="Título 3 7" xfId="39059" xr:uid="{00000000-0005-0000-0000-0000A8980000}"/>
    <cellStyle name="Título 3 7 2" xfId="39060" xr:uid="{00000000-0005-0000-0000-0000A9980000}"/>
    <cellStyle name="Título 3 7 2 2" xfId="39061" xr:uid="{00000000-0005-0000-0000-0000AA980000}"/>
    <cellStyle name="Título 3 7 2 3" xfId="39062" xr:uid="{00000000-0005-0000-0000-0000AB980000}"/>
    <cellStyle name="Título 3 7 3" xfId="39063" xr:uid="{00000000-0005-0000-0000-0000AC980000}"/>
    <cellStyle name="Título 3 7 4" xfId="39064" xr:uid="{00000000-0005-0000-0000-0000AD980000}"/>
    <cellStyle name="Título 3 8" xfId="39065" xr:uid="{00000000-0005-0000-0000-0000AE980000}"/>
    <cellStyle name="Título 3 8 2" xfId="39066" xr:uid="{00000000-0005-0000-0000-0000AF980000}"/>
    <cellStyle name="Título 3 8 2 2" xfId="39067" xr:uid="{00000000-0005-0000-0000-0000B0980000}"/>
    <cellStyle name="Título 3 8 2 3" xfId="39068" xr:uid="{00000000-0005-0000-0000-0000B1980000}"/>
    <cellStyle name="Título 3 8 3" xfId="39069" xr:uid="{00000000-0005-0000-0000-0000B2980000}"/>
    <cellStyle name="Título 3 8 4" xfId="39070" xr:uid="{00000000-0005-0000-0000-0000B3980000}"/>
    <cellStyle name="Título 3 9" xfId="39071" xr:uid="{00000000-0005-0000-0000-0000B4980000}"/>
    <cellStyle name="Título 3 9 2" xfId="39072" xr:uid="{00000000-0005-0000-0000-0000B5980000}"/>
    <cellStyle name="Título 3 9 3" xfId="39073" xr:uid="{00000000-0005-0000-0000-0000B6980000}"/>
    <cellStyle name="Título 4" xfId="39074" xr:uid="{00000000-0005-0000-0000-0000B7980000}"/>
    <cellStyle name="Título 4 2" xfId="39075" xr:uid="{00000000-0005-0000-0000-0000B8980000}"/>
    <cellStyle name="Título 4 2 2" xfId="39076" xr:uid="{00000000-0005-0000-0000-0000B9980000}"/>
    <cellStyle name="Título 4 2 3" xfId="39077" xr:uid="{00000000-0005-0000-0000-0000BA980000}"/>
    <cellStyle name="Título 4 2 4" xfId="39078" xr:uid="{00000000-0005-0000-0000-0000BB980000}"/>
    <cellStyle name="Título 4 3" xfId="39079" xr:uid="{00000000-0005-0000-0000-0000BC980000}"/>
    <cellStyle name="Título 4 4" xfId="39080" xr:uid="{00000000-0005-0000-0000-0000BD980000}"/>
    <cellStyle name="Título 5" xfId="39081" xr:uid="{00000000-0005-0000-0000-0000BE980000}"/>
    <cellStyle name="Título 5 2" xfId="39082" xr:uid="{00000000-0005-0000-0000-0000BF980000}"/>
    <cellStyle name="Título 5 2 2" xfId="39083" xr:uid="{00000000-0005-0000-0000-0000C0980000}"/>
    <cellStyle name="Título 5 2 3" xfId="39084" xr:uid="{00000000-0005-0000-0000-0000C1980000}"/>
    <cellStyle name="Título 5 2 4" xfId="39085" xr:uid="{00000000-0005-0000-0000-0000C2980000}"/>
    <cellStyle name="Título 5 3" xfId="39086" xr:uid="{00000000-0005-0000-0000-0000C3980000}"/>
    <cellStyle name="Título 5 4" xfId="39087" xr:uid="{00000000-0005-0000-0000-0000C4980000}"/>
    <cellStyle name="Título 6" xfId="39088" xr:uid="{00000000-0005-0000-0000-0000C5980000}"/>
    <cellStyle name="Título 6 2" xfId="39089" xr:uid="{00000000-0005-0000-0000-0000C6980000}"/>
    <cellStyle name="Título 6 2 2" xfId="39090" xr:uid="{00000000-0005-0000-0000-0000C7980000}"/>
    <cellStyle name="Título 6 2 3" xfId="39091" xr:uid="{00000000-0005-0000-0000-0000C8980000}"/>
    <cellStyle name="Título 6 3" xfId="39092" xr:uid="{00000000-0005-0000-0000-0000C9980000}"/>
    <cellStyle name="Título 6 4" xfId="39093" xr:uid="{00000000-0005-0000-0000-0000CA980000}"/>
    <cellStyle name="Título 7" xfId="39094" xr:uid="{00000000-0005-0000-0000-0000CB980000}"/>
    <cellStyle name="Título 7 2" xfId="39095" xr:uid="{00000000-0005-0000-0000-0000CC980000}"/>
    <cellStyle name="Título 7 2 2" xfId="39096" xr:uid="{00000000-0005-0000-0000-0000CD980000}"/>
    <cellStyle name="Título 7 2 3" xfId="39097" xr:uid="{00000000-0005-0000-0000-0000CE980000}"/>
    <cellStyle name="Título 7 3" xfId="39098" xr:uid="{00000000-0005-0000-0000-0000CF980000}"/>
    <cellStyle name="Título 7 4" xfId="39099" xr:uid="{00000000-0005-0000-0000-0000D0980000}"/>
    <cellStyle name="Título 8" xfId="39100" xr:uid="{00000000-0005-0000-0000-0000D1980000}"/>
    <cellStyle name="Título 8 2" xfId="39101" xr:uid="{00000000-0005-0000-0000-0000D2980000}"/>
    <cellStyle name="Título 8 2 2" xfId="39102" xr:uid="{00000000-0005-0000-0000-0000D3980000}"/>
    <cellStyle name="Título 8 2 3" xfId="39103" xr:uid="{00000000-0005-0000-0000-0000D4980000}"/>
    <cellStyle name="Título 8 3" xfId="39104" xr:uid="{00000000-0005-0000-0000-0000D5980000}"/>
    <cellStyle name="Título 8 4" xfId="39105" xr:uid="{00000000-0005-0000-0000-0000D6980000}"/>
    <cellStyle name="Título 9" xfId="39106" xr:uid="{00000000-0005-0000-0000-0000D7980000}"/>
    <cellStyle name="Título 9 2" xfId="39107" xr:uid="{00000000-0005-0000-0000-0000D8980000}"/>
    <cellStyle name="Título 9 2 2" xfId="39108" xr:uid="{00000000-0005-0000-0000-0000D9980000}"/>
    <cellStyle name="Título 9 2 3" xfId="39109" xr:uid="{00000000-0005-0000-0000-0000DA980000}"/>
    <cellStyle name="Título 9 3" xfId="39110" xr:uid="{00000000-0005-0000-0000-0000DB980000}"/>
    <cellStyle name="Título 9 4" xfId="39111" xr:uid="{00000000-0005-0000-0000-0000DC980000}"/>
    <cellStyle name="Total 2" xfId="39112" xr:uid="{00000000-0005-0000-0000-0000DD980000}"/>
    <cellStyle name="Total 2 2" xfId="39113" xr:uid="{00000000-0005-0000-0000-0000DE980000}"/>
    <cellStyle name="Total 2 2 2" xfId="39114" xr:uid="{00000000-0005-0000-0000-0000DF980000}"/>
    <cellStyle name="Total 2 2 3" xfId="39115" xr:uid="{00000000-0005-0000-0000-0000E0980000}"/>
    <cellStyle name="Total 2 3" xfId="39116" xr:uid="{00000000-0005-0000-0000-0000E1980000}"/>
    <cellStyle name="Total 2 4" xfId="39117" xr:uid="{00000000-0005-0000-0000-0000E2980000}"/>
    <cellStyle name="Total 3" xfId="39118" xr:uid="{00000000-0005-0000-0000-0000E3980000}"/>
    <cellStyle name="Total 3 2" xfId="39119" xr:uid="{00000000-0005-0000-0000-0000E4980000}"/>
    <cellStyle name="Total 3 2 2" xfId="39120" xr:uid="{00000000-0005-0000-0000-0000E5980000}"/>
    <cellStyle name="Total 3 2 3" xfId="39121" xr:uid="{00000000-0005-0000-0000-0000E6980000}"/>
    <cellStyle name="Total 3 3" xfId="39122" xr:uid="{00000000-0005-0000-0000-0000E7980000}"/>
    <cellStyle name="Total 3 4" xfId="39123" xr:uid="{00000000-0005-0000-0000-0000E8980000}"/>
    <cellStyle name="Total 4" xfId="39124" xr:uid="{00000000-0005-0000-0000-0000E9980000}"/>
    <cellStyle name="Total 4 2" xfId="39125" xr:uid="{00000000-0005-0000-0000-0000EA980000}"/>
    <cellStyle name="Total 4 2 2" xfId="39126" xr:uid="{00000000-0005-0000-0000-0000EB980000}"/>
    <cellStyle name="Total 4 2 3" xfId="39127" xr:uid="{00000000-0005-0000-0000-0000EC980000}"/>
    <cellStyle name="Total 4 3" xfId="39128" xr:uid="{00000000-0005-0000-0000-0000ED980000}"/>
    <cellStyle name="Total 4 4" xfId="39129" xr:uid="{00000000-0005-0000-0000-0000EE980000}"/>
    <cellStyle name="Total 5" xfId="39130" xr:uid="{00000000-0005-0000-0000-0000EF980000}"/>
    <cellStyle name="Total 5 2" xfId="39131" xr:uid="{00000000-0005-0000-0000-0000F0980000}"/>
    <cellStyle name="Total 5 3" xfId="39132" xr:uid="{00000000-0005-0000-0000-0000F1980000}"/>
    <cellStyle name="Total 6" xfId="39133" xr:uid="{00000000-0005-0000-0000-0000F2980000}"/>
    <cellStyle name="Total 7" xfId="39134" xr:uid="{00000000-0005-0000-0000-0000F3980000}"/>
    <cellStyle name="Warning Text" xfId="39135" xr:uid="{00000000-0005-0000-0000-0000F4980000}"/>
    <cellStyle name="Warning Text 2" xfId="39136" xr:uid="{00000000-0005-0000-0000-0000F5980000}"/>
    <cellStyle name="Warning Text 2 2" xfId="39137" xr:uid="{00000000-0005-0000-0000-0000F6980000}"/>
    <cellStyle name="Warning Text 2 2 2" xfId="39138" xr:uid="{00000000-0005-0000-0000-0000F7980000}"/>
    <cellStyle name="Warning Text 2 2 3" xfId="39139" xr:uid="{00000000-0005-0000-0000-0000F8980000}"/>
    <cellStyle name="Warning Text 2 3" xfId="39140" xr:uid="{00000000-0005-0000-0000-0000F9980000}"/>
    <cellStyle name="Warning Text 2 4" xfId="39141" xr:uid="{00000000-0005-0000-0000-0000FA980000}"/>
    <cellStyle name="Warning Text 3" xfId="39142" xr:uid="{00000000-0005-0000-0000-0000FB980000}"/>
    <cellStyle name="Warning Text 3 2" xfId="39143" xr:uid="{00000000-0005-0000-0000-0000FC980000}"/>
    <cellStyle name="Warning Text 3 2 2" xfId="39144" xr:uid="{00000000-0005-0000-0000-0000FD980000}"/>
    <cellStyle name="Warning Text 3 2 3" xfId="39145" xr:uid="{00000000-0005-0000-0000-0000FE980000}"/>
    <cellStyle name="Warning Text 3 3" xfId="39146" xr:uid="{00000000-0005-0000-0000-0000FF980000}"/>
    <cellStyle name="Warning Text 3 4" xfId="39147" xr:uid="{00000000-0005-0000-0000-000000990000}"/>
    <cellStyle name="Warning Text 4" xfId="39148" xr:uid="{00000000-0005-0000-0000-000001990000}"/>
    <cellStyle name="Warning Text 4 2" xfId="39149" xr:uid="{00000000-0005-0000-0000-000002990000}"/>
    <cellStyle name="Warning Text 4 2 2" xfId="39150" xr:uid="{00000000-0005-0000-0000-000003990000}"/>
    <cellStyle name="Warning Text 4 2 3" xfId="39151" xr:uid="{00000000-0005-0000-0000-000004990000}"/>
    <cellStyle name="Warning Text 4 3" xfId="39152" xr:uid="{00000000-0005-0000-0000-000005990000}"/>
    <cellStyle name="Warning Text 4 4" xfId="39153" xr:uid="{00000000-0005-0000-0000-000006990000}"/>
    <cellStyle name="Warning Text 5" xfId="39154" xr:uid="{00000000-0005-0000-0000-000007990000}"/>
    <cellStyle name="Warning Text 5 2" xfId="39155" xr:uid="{00000000-0005-0000-0000-000008990000}"/>
    <cellStyle name="Warning Text 5 2 2" xfId="39156" xr:uid="{00000000-0005-0000-0000-000009990000}"/>
    <cellStyle name="Warning Text 5 2 3" xfId="39157" xr:uid="{00000000-0005-0000-0000-00000A990000}"/>
    <cellStyle name="Warning Text 5 3" xfId="39158" xr:uid="{00000000-0005-0000-0000-00000B990000}"/>
    <cellStyle name="Warning Text 5 4" xfId="39159" xr:uid="{00000000-0005-0000-0000-00000C990000}"/>
    <cellStyle name="Warning Text 6" xfId="39160" xr:uid="{00000000-0005-0000-0000-00000D990000}"/>
    <cellStyle name="Warning Text 6 2" xfId="39161" xr:uid="{00000000-0005-0000-0000-00000E990000}"/>
    <cellStyle name="Warning Text 6 3" xfId="39162" xr:uid="{00000000-0005-0000-0000-00000F990000}"/>
    <cellStyle name="Warning Text 7" xfId="39163" xr:uid="{00000000-0005-0000-0000-000010990000}"/>
    <cellStyle name="Warning Text 8" xfId="39164" xr:uid="{00000000-0005-0000-0000-000011990000}"/>
    <cellStyle name="好" xfId="39165" xr:uid="{00000000-0005-0000-0000-000012990000}"/>
    <cellStyle name="差" xfId="39166" xr:uid="{00000000-0005-0000-0000-000013990000}"/>
    <cellStyle name="强调文字颜色 1" xfId="39167" xr:uid="{00000000-0005-0000-0000-000014990000}"/>
    <cellStyle name="强调文字颜色 2" xfId="39168" xr:uid="{00000000-0005-0000-0000-000015990000}"/>
    <cellStyle name="强调文字颜色 3" xfId="39169" xr:uid="{00000000-0005-0000-0000-000016990000}"/>
    <cellStyle name="强调文字颜色 4" xfId="39170" xr:uid="{00000000-0005-0000-0000-000017990000}"/>
    <cellStyle name="强调文字颜色 5" xfId="39171" xr:uid="{00000000-0005-0000-0000-000018990000}"/>
    <cellStyle name="强调文字颜色 6" xfId="39172" xr:uid="{00000000-0005-0000-0000-000019990000}"/>
    <cellStyle name="标题" xfId="39173" xr:uid="{00000000-0005-0000-0000-00001A990000}"/>
    <cellStyle name="标题 1" xfId="39174" xr:uid="{00000000-0005-0000-0000-00001B990000}"/>
    <cellStyle name="标题 2" xfId="39175" xr:uid="{00000000-0005-0000-0000-00001C990000}"/>
    <cellStyle name="标题 3" xfId="39176" xr:uid="{00000000-0005-0000-0000-00001D990000}"/>
    <cellStyle name="标题 4" xfId="39177" xr:uid="{00000000-0005-0000-0000-00001E990000}"/>
    <cellStyle name="检查单元格" xfId="39178" xr:uid="{00000000-0005-0000-0000-00001F990000}"/>
    <cellStyle name="汇总" xfId="39179" xr:uid="{00000000-0005-0000-0000-000020990000}"/>
    <cellStyle name="注释" xfId="39180" xr:uid="{00000000-0005-0000-0000-000021990000}"/>
    <cellStyle name="解释性文本" xfId="39181" xr:uid="{00000000-0005-0000-0000-000022990000}"/>
    <cellStyle name="警告文本" xfId="39182" xr:uid="{00000000-0005-0000-0000-000023990000}"/>
    <cellStyle name="计算" xfId="39183" xr:uid="{00000000-0005-0000-0000-000024990000}"/>
    <cellStyle name="输入" xfId="39184" xr:uid="{00000000-0005-0000-0000-000025990000}"/>
    <cellStyle name="输出" xfId="39185" xr:uid="{00000000-0005-0000-0000-000026990000}"/>
    <cellStyle name="适中" xfId="39186" xr:uid="{00000000-0005-0000-0000-000027990000}"/>
    <cellStyle name="链接单元格" xfId="39187" xr:uid="{00000000-0005-0000-0000-00002899000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82" formatCode="_-[$$-240A]\ * #,##0_-;\-[$$-240A]\ * #,##0_-;_-[$$-240A]\ * &quot;-&quot;_-;_-@_-"/>
    </dxf>
  </dxfs>
  <tableStyles count="0" defaultTableStyle="TableStyleMedium9" defaultPivotStyle="PivotStyleLight16"/>
  <colors>
    <mruColors>
      <color rgb="FFBAF50A"/>
      <color rgb="FF9B9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pivotCacheDefinition" Target="pivotCache/pivotCacheDefinition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pivotCacheDefinition" Target="pivotCache/pivotCacheDefinition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pivotCacheDefinition" Target="pivotCache/pivotCacheDefinition1.xml"/><Relationship Id="rId28"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10</xdr:col>
      <xdr:colOff>752475</xdr:colOff>
      <xdr:row>0</xdr:row>
      <xdr:rowOff>0</xdr:rowOff>
    </xdr:from>
    <xdr:to>
      <xdr:col>11</xdr:col>
      <xdr:colOff>0</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699AD928-0736-45A9-9FC6-EA474280D3DA}"/>
            </a:ext>
          </a:extLst>
        </xdr:cNvPr>
        <xdr:cNvSpPr/>
      </xdr:nvSpPr>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10</xdr:col>
      <xdr:colOff>752475</xdr:colOff>
      <xdr:row>0</xdr:row>
      <xdr:rowOff>0</xdr:rowOff>
    </xdr:from>
    <xdr:to>
      <xdr:col>11</xdr:col>
      <xdr:colOff>0</xdr:colOff>
      <xdr:row>0</xdr:row>
      <xdr:rowOff>76200</xdr:rowOff>
    </xdr:to>
    <xdr:pic>
      <xdr:nvPicPr>
        <xdr:cNvPr id="3" name="Picture 3">
          <a:extLst>
            <a:ext uri="{FF2B5EF4-FFF2-40B4-BE49-F238E27FC236}">
              <a16:creationId xmlns:a16="http://schemas.microsoft.com/office/drawing/2014/main" id="{639B13D9-0940-4F7F-8997-BC8F5D56346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10</xdr:col>
      <xdr:colOff>752475</xdr:colOff>
      <xdr:row>0</xdr:row>
      <xdr:rowOff>0</xdr:rowOff>
    </xdr:from>
    <xdr:to>
      <xdr:col>11</xdr:col>
      <xdr:colOff>0</xdr:colOff>
      <xdr:row>0</xdr:row>
      <xdr:rowOff>76200</xdr:rowOff>
    </xdr:to>
    <xdr:pic>
      <xdr:nvPicPr>
        <xdr:cNvPr id="4" name="Picture 4">
          <a:extLst>
            <a:ext uri="{FF2B5EF4-FFF2-40B4-BE49-F238E27FC236}">
              <a16:creationId xmlns:a16="http://schemas.microsoft.com/office/drawing/2014/main" id="{CC912BB6-997D-4872-A40C-721CEEFE35D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10</xdr:col>
      <xdr:colOff>752475</xdr:colOff>
      <xdr:row>0</xdr:row>
      <xdr:rowOff>0</xdr:rowOff>
    </xdr:from>
    <xdr:to>
      <xdr:col>11</xdr:col>
      <xdr:colOff>0</xdr:colOff>
      <xdr:row>0</xdr:row>
      <xdr:rowOff>76200</xdr:rowOff>
    </xdr:to>
    <xdr:pic>
      <xdr:nvPicPr>
        <xdr:cNvPr id="5" name="ComboBox1">
          <a:extLst>
            <a:ext uri="{FF2B5EF4-FFF2-40B4-BE49-F238E27FC236}">
              <a16:creationId xmlns:a16="http://schemas.microsoft.com/office/drawing/2014/main" id="{4604447A-8D91-455B-A54B-C3CDE537CF3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10</xdr:col>
      <xdr:colOff>752475</xdr:colOff>
      <xdr:row>1</xdr:row>
      <xdr:rowOff>0</xdr:rowOff>
    </xdr:from>
    <xdr:to>
      <xdr:col>11</xdr:col>
      <xdr:colOff>0</xdr:colOff>
      <xdr:row>1</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4E270EAF-A3A9-482B-8F33-551B802BA1BF}"/>
            </a:ext>
          </a:extLst>
        </xdr:cNvPr>
        <xdr:cNvSpPr/>
      </xdr:nvSpPr>
      <xdr:spPr bwMode="auto">
        <a:xfrm>
          <a:off x="3859090" y="644769"/>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INCIDENTES\Informe%20Gesti&#243;n%20OC%20CB%20Redeban,%20con%20corte%20al%2030%20abri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desplegables"/>
      <sheetName val="Consolidado"/>
    </sheetNames>
    <sheetDataSet>
      <sheetData sheetId="0"/>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42.003188078706" createdVersion="8" refreshedVersion="8" minRefreshableVersion="3" recordCount="44" xr:uid="{49401B00-3E50-4015-9A0C-BE1FAC138DCB}">
  <cacheSource type="worksheet">
    <worksheetSource ref="A1:AM1048576" sheet="ADECUACIONES"/>
  </cacheSource>
  <cacheFields count="39">
    <cacheField name="CIUDAD" numFmtId="0">
      <sharedItems containsBlank="1"/>
    </cacheField>
    <cacheField name="COORDINADOR" numFmtId="0">
      <sharedItems containsBlank="1" count="7">
        <s v="JUAN SEBASTIÁN RÍOS CASTRILLÓN"/>
        <s v="DIEGO FERNANDO HENAO CARDONA"/>
        <s v="MIGUEL JULIÁN HERNÁNDEZ GUARÍN"/>
        <s v="WILLIAM ASDRUBAL ROZO ROZO"/>
        <s v="KEVIN ALEXIS CORZO BUSTOS"/>
        <s v="JOSE MAURICIO HERNANDEZ ROJAS"/>
        <m/>
      </sharedItems>
    </cacheField>
    <cacheField name="CENTRO DE COSTOS LÍNEACOM" numFmtId="0">
      <sharedItems containsBlank="1" count="8">
        <s v="0004-0005"/>
        <s v="0004-0003"/>
        <s v="0004-0008"/>
        <s v="0004-0004"/>
        <s v="0004-0002"/>
        <s v="0004-0007"/>
        <s v="0004-0001"/>
        <m/>
      </sharedItems>
    </cacheField>
    <cacheField name="CÓDIGO DANE" numFmtId="0">
      <sharedItems containsString="0" containsBlank="1" containsNumber="1" containsInteger="1" minValue="5001" maxValue="76318"/>
    </cacheField>
    <cacheField name="TA" numFmtId="0">
      <sharedItems containsBlank="1"/>
    </cacheField>
    <cacheField name="FO" numFmtId="0">
      <sharedItems containsBlank="1"/>
    </cacheField>
    <cacheField name="FECHA LISTA" numFmtId="0">
      <sharedItems containsNonDate="0" containsDate="1" containsString="0" containsBlank="1" minDate="2025-05-28T00:00:00" maxDate="2025-06-27T00:00:00"/>
    </cacheField>
    <cacheField name="FECHA LIMITE" numFmtId="0">
      <sharedItems containsNonDate="0" containsDate="1" containsString="0" containsBlank="1" minDate="2025-06-04T00:00:00" maxDate="2025-07-02T00:00:00"/>
    </cacheField>
    <cacheField name="FECHA SOLICITUD DE LA ACTIVIDAD" numFmtId="0">
      <sharedItems containsNonDate="0" containsDate="1" containsString="0" containsBlank="1" minDate="2025-05-28T00:00:00" maxDate="2025-06-27T00:00:00"/>
    </cacheField>
    <cacheField name="FECHA INICIO DE LA ACTIVIDAD" numFmtId="14">
      <sharedItems containsNonDate="0" containsDate="1" containsString="0" containsBlank="1" minDate="2025-06-04T00:00:00" maxDate="2025-06-28T00:00:00"/>
    </cacheField>
    <cacheField name="FECHA ULTIMA ACTUALIZACION" numFmtId="14">
      <sharedItems containsNonDate="0" containsDate="1" containsString="0" containsBlank="1" minDate="2025-06-04T00:00:00" maxDate="2025-06-28T00:00:00"/>
    </cacheField>
    <cacheField name="DEPARTAMENTO" numFmtId="0">
      <sharedItems containsBlank="1"/>
    </cacheField>
    <cacheField name="CIUDAD2" numFmtId="0">
      <sharedItems containsBlank="1"/>
    </cacheField>
    <cacheField name="NOMBRE PUNTO" numFmtId="0">
      <sharedItems containsBlank="1"/>
    </cacheField>
    <cacheField name="CÓDIGO PUNTO" numFmtId="0">
      <sharedItems containsString="0" containsBlank="1" containsNumber="1" containsInteger="1" minValue="23580" maxValue="80087"/>
    </cacheField>
    <cacheField name="TIPO DE APERTURA" numFmtId="0">
      <sharedItems containsBlank="1"/>
    </cacheField>
    <cacheField name="ACTIVIDAD" numFmtId="0">
      <sharedItems containsBlank="1"/>
    </cacheField>
    <cacheField name="RED" numFmtId="0">
      <sharedItems containsBlank="1"/>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NOMBRE DEL TECNICO " numFmtId="0">
      <sharedItems containsBlank="1"/>
    </cacheField>
    <cacheField name="TERMINALES" numFmtId="0">
      <sharedItems containsBlank="1"/>
    </cacheField>
    <cacheField name="PLACA DATAFONOS INSTALADOS" numFmtId="0">
      <sharedItems containsBlank="1" containsMixedTypes="1" containsNumber="1" containsInteger="1" minValue="771689" maxValue="1254482"/>
    </cacheField>
    <cacheField name="PLACA DATAFONOS RETIRADOS" numFmtId="0">
      <sharedItems containsBlank="1" containsMixedTypes="1" containsNumber="1" containsInteger="1" minValue="274888" maxValue="869561"/>
    </cacheField>
    <cacheField name="PLACA LECTOR INSTALADO" numFmtId="0">
      <sharedItems containsBlank="1" containsMixedTypes="1" containsNumber="1" containsInteger="1" minValue="513517" maxValue="1146028"/>
    </cacheField>
    <cacheField name=" PLACA LECTOR RETIRADO" numFmtId="0">
      <sharedItems containsBlank="1"/>
    </cacheField>
    <cacheField name="CANTIDAD ROLLOS ENTREGADOS" numFmtId="0">
      <sharedItems containsBlank="1" containsMixedTypes="1" containsNumber="1" containsInteger="1" minValue="0" maxValue="0"/>
    </cacheField>
    <cacheField name="TIPIFICACION" numFmtId="0">
      <sharedItems containsBlank="1"/>
    </cacheField>
    <cacheField name="TIPO DE TRAYECTO" numFmtId="0">
      <sharedItems containsBlank="1"/>
    </cacheField>
    <cacheField name="FORMA DE ATENCIÓN" numFmtId="0">
      <sharedItems containsBlank="1"/>
    </cacheField>
    <cacheField name="ACOMETIDA DATOS_x000a_(metros)" numFmtId="0">
      <sharedItems containsString="0" containsBlank="1" containsNumber="1" containsInteger="1" minValue="0" maxValue="20"/>
    </cacheField>
    <cacheField name="ACOMETIDA ELECTRICA (metros)" numFmtId="0">
      <sharedItems containsString="0" containsBlank="1" containsNumber="1" containsInteger="1" minValue="0" maxValue="0"/>
    </cacheField>
    <cacheField name="SWITCH" numFmtId="0">
      <sharedItems containsString="0" containsBlank="1" containsNumber="1" containsInteger="1" minValue="0" maxValue="1"/>
    </cacheField>
    <cacheField name="ROUTER" numFmtId="0">
      <sharedItems containsString="0" containsBlank="1" containsNumber="1" containsInteger="1" minValue="0" maxValue="1"/>
    </cacheField>
    <cacheField name="VISITAS" numFmtId="0">
      <sharedItems containsString="0" containsBlank="1" containsNumber="1" containsInteger="1" minValue="0" maxValue="1"/>
    </cacheField>
    <cacheField name="VALOR DIAS ACTIVIDAD FACTURABLES" numFmtId="0">
      <sharedItems containsString="0" containsBlank="1" containsNumber="1" minValue="44559.984800000006" maxValue="464809.03136000002"/>
    </cacheField>
    <cacheField name="VALOR FACTURABLE A BANCOLMBIA TECNOLOGIA" numFmtId="0">
      <sharedItems containsString="0" containsBlank="1" containsNumber="1" minValue="44559.984800000006" maxValue="7469319.864880000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42.003222106483" createdVersion="8" refreshedVersion="8" minRefreshableVersion="3" recordCount="187" xr:uid="{35502586-7CEF-44AA-82D1-AD22BB84D56F}">
  <cacheSource type="worksheet">
    <worksheetSource ref="A1:AM1048576" sheet="INCIDENTES"/>
  </cacheSource>
  <cacheFields count="39">
    <cacheField name="Ciudad Sede" numFmtId="0">
      <sharedItems containsBlank="1"/>
    </cacheField>
    <cacheField name="COORDINADOR" numFmtId="0">
      <sharedItems containsBlank="1" count="7">
        <s v="JOSE MAURICIO HERNANDEZ ROJAS"/>
        <s v="DIEGO FERNANDO HENAO CARDONA"/>
        <s v="KEVIN ALEXIS CORZO BUSTOS"/>
        <s v="JUAN SEBASTIÁN RÍOS CASTRILLÓN"/>
        <s v="WILLIAM ASDRUBAL ROZO ROZO"/>
        <s v="MIGUEL JULIÁN HERNÁNDEZ GUARÍN"/>
        <m/>
      </sharedItems>
    </cacheField>
    <cacheField name="CENTRO DE COSTOS LÍNEACOM" numFmtId="0">
      <sharedItems containsBlank="1" count="8">
        <s v="0004-0001"/>
        <s v="0004-0003"/>
        <s v="0004-0007"/>
        <s v="0004-0005"/>
        <s v="0004-0004"/>
        <s v="0004-0008"/>
        <s v="0004-0002"/>
        <m/>
      </sharedItems>
    </cacheField>
    <cacheField name="Código DANE" numFmtId="0">
      <sharedItems containsString="0" containsBlank="1" containsNumber="1" containsInteger="1" minValue="5001" maxValue="86001"/>
    </cacheField>
    <cacheField name="TA" numFmtId="0">
      <sharedItems containsBlank="1" containsMixedTypes="1" containsNumber="1" containsInteger="1" minValue="2238476" maxValue="2369712"/>
    </cacheField>
    <cacheField name="FO" numFmtId="0">
      <sharedItems containsBlank="1"/>
    </cacheField>
    <cacheField name="Fecha Asignación a Línea Comunicaciones (DD/MM/AAAA HH:MM)" numFmtId="0">
      <sharedItems containsNonDate="0" containsDate="1" containsString="0" containsBlank="1" minDate="2025-05-31T13:08:00" maxDate="2025-06-29T10:00:00"/>
    </cacheField>
    <cacheField name="Fecha cierre del ticket (DD/MM/AAAA HH:MM)" numFmtId="0">
      <sharedItems containsNonDate="0" containsDate="1" containsString="0" containsBlank="1" minDate="2025-06-01T14:33:33" maxDate="2025-06-30T08:52:00"/>
    </cacheField>
    <cacheField name="Departamento" numFmtId="0">
      <sharedItems containsBlank="1" containsMixedTypes="1" containsNumber="1" containsInteger="1" minValue="0" maxValue="0"/>
    </cacheField>
    <cacheField name="Ciudad" numFmtId="0">
      <sharedItems containsBlank="1" containsMixedTypes="1" containsNumber="1" containsInteger="1" minValue="0" maxValue="0"/>
    </cacheField>
    <cacheField name="CB Implementado" numFmtId="0">
      <sharedItems containsBlank="1" containsMixedTypes="1" containsNumber="1" containsInteger="1" minValue="0" maxValue="0"/>
    </cacheField>
    <cacheField name="Punto(Redes)" numFmtId="0">
      <sharedItems containsString="0" containsBlank="1" containsNumber="1" containsInteger="1" minValue="10249" maxValue="79959"/>
    </cacheField>
    <cacheField name="Tipo Actividad" numFmtId="0">
      <sharedItems containsBlank="1"/>
    </cacheField>
    <cacheField name="Red" numFmtId="0">
      <sharedItems containsBlank="1"/>
    </cacheField>
    <cacheField name="FORMATO" numFmtId="0">
      <sharedItems containsBlank="1"/>
    </cacheField>
    <cacheField name="CADENA" numFmtId="0">
      <sharedItems containsNonDate="0" containsString="0" containsBlank="1"/>
    </cacheField>
    <cacheField name="Estado" numFmtId="0">
      <sharedItems containsBlank="1"/>
    </cacheField>
    <cacheField name="OBSERVACIONES" numFmtId="0">
      <sharedItems containsBlank="1" longText="1"/>
    </cacheField>
    <cacheField name="Técnico" numFmtId="0">
      <sharedItems containsBlank="1" containsMixedTypes="1" containsNumber="1" containsInteger="1" minValue="0" maxValue="0"/>
    </cacheField>
    <cacheField name="Forma de Atención" numFmtId="0">
      <sharedItems containsBlank="1"/>
    </cacheField>
    <cacheField name="TERMINAL" numFmtId="0">
      <sharedItems containsBlank="1" containsMixedTypes="1" containsNumber="1" containsInteger="1" minValue="0" maxValue="0"/>
    </cacheField>
    <cacheField name="Acometida" numFmtId="0">
      <sharedItems containsBlank="1"/>
    </cacheField>
    <cacheField name="Grupo_Falla" numFmtId="0">
      <sharedItems containsBlank="1"/>
    </cacheField>
    <cacheField name="Categoría" numFmtId="0">
      <sharedItems containsBlank="1"/>
    </cacheField>
    <cacheField name="Falla" numFmtId="0">
      <sharedItems containsBlank="1"/>
    </cacheField>
    <cacheField name="Cambio Activo" numFmtId="0">
      <sharedItems containsBlank="1"/>
    </cacheField>
    <cacheField name="CODIGOS DE DAÑO DATAFONOS" numFmtId="0">
      <sharedItems containsBlank="1" containsMixedTypes="1" containsNumber="1" containsInteger="1" minValue="0" maxValue="0"/>
    </cacheField>
    <cacheField name="CODIGOS DE DAÑO LECTOR" numFmtId="0">
      <sharedItems containsString="0" containsBlank="1" containsNumber="1" containsInteger="1" minValue="0" maxValue="0"/>
    </cacheField>
    <cacheField name="CODIGOS DE DAÑO HUB" numFmtId="0">
      <sharedItems containsBlank="1" containsMixedTypes="1" containsNumber="1" containsInteger="1" minValue="0" maxValue="0"/>
    </cacheField>
    <cacheField name="CODIGOS DE DAÑO PINPAD" numFmtId="0">
      <sharedItems containsBlank="1" containsMixedTypes="1" containsNumber="1" containsInteger="1" minValue="0" maxValue="0"/>
    </cacheField>
    <cacheField name="Otro Activos_x000a_" numFmtId="0">
      <sharedItems containsBlank="1" containsMixedTypes="1" containsNumber="1" containsInteger="1" minValue="0" maxValue="0"/>
    </cacheField>
    <cacheField name="Tipo" numFmtId="0">
      <sharedItems containsBlank="1"/>
    </cacheField>
    <cacheField name="Tipo de Trayecto" numFmtId="0">
      <sharedItems containsBlank="1"/>
    </cacheField>
    <cacheField name="Dias de visita" numFmtId="0">
      <sharedItems containsString="0" containsBlank="1" containsNumber="1" containsInteger="1" minValue="0" maxValue="2"/>
    </cacheField>
    <cacheField name="ACOMETIDA DATOS" numFmtId="0">
      <sharedItems containsString="0" containsBlank="1" containsNumber="1" containsInteger="1" minValue="0" maxValue="8"/>
    </cacheField>
    <cacheField name="ACOMETIDA ELÉCTRICA" numFmtId="0">
      <sharedItems containsString="0" containsBlank="1" containsNumber="1" containsInteger="1" minValue="0" maxValue="0"/>
    </cacheField>
    <cacheField name="SWITCH" numFmtId="0">
      <sharedItems containsString="0" containsBlank="1" containsNumber="1" containsInteger="1" minValue="0" maxValue="0"/>
    </cacheField>
    <cacheField name="VALOR DIAS ACTIVIDAD FACTURABLES " numFmtId="0">
      <sharedItems containsString="0" containsBlank="1" containsNumber="1" minValue="37904.65408" maxValue="479589.73656000005"/>
    </cacheField>
    <cacheField name="VALOR FACTURABLE " numFmtId="0">
      <sharedItems containsString="0" containsBlank="1" containsNumber="1" minValue="37904.65408" maxValue="17712902.4149199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42.003260995371" createdVersion="8" refreshedVersion="8" minRefreshableVersion="3" recordCount="9" xr:uid="{275F2F00-0B0C-411E-8F7C-4EE0420A037A}">
  <cacheSource type="worksheet">
    <worksheetSource ref="A1:AH1048576" sheet="OC"/>
  </cacheSource>
  <cacheFields count="34">
    <cacheField name="Ciudad Sede" numFmtId="0">
      <sharedItems containsBlank="1"/>
    </cacheField>
    <cacheField name="COORDINADOR" numFmtId="0">
      <sharedItems containsBlank="1" count="7">
        <s v="WILLIAM ASDRUBAL ROZO ROZO"/>
        <s v="JOSE MAURICIO HERNANDEZ ROJAS"/>
        <s v="JUAN SEBASTIÁN RÍOS CASTRILLÓN"/>
        <s v="DIEGO FERNANDO HENAO CARDONA"/>
        <m/>
        <s v="MIGUEL JULIÁN HERNÁNDEZ GUARÍN" u="1"/>
        <s v="KEVIN ALEXIS CORZO BUSTOS" u="1"/>
      </sharedItems>
    </cacheField>
    <cacheField name="CENTRO DE COSTOS LÍNEACOM" numFmtId="0">
      <sharedItems containsBlank="1" count="8">
        <s v="0004-0004"/>
        <s v="0004-0001"/>
        <s v="0004-0005"/>
        <s v="0004-0003"/>
        <m/>
        <s v="0004-0008" u="1"/>
        <s v="0004-0007" u="1"/>
        <s v="0004-0002" u="1"/>
      </sharedItems>
    </cacheField>
    <cacheField name="Código DANE" numFmtId="0">
      <sharedItems containsString="0" containsBlank="1" containsNumber="1" containsInteger="1" minValue="5044" maxValue="76001"/>
    </cacheField>
    <cacheField name="TA" numFmtId="0">
      <sharedItems containsString="0" containsBlank="1" containsNumber="1" containsInteger="1" minValue="13323464" maxValue="13604062"/>
    </cacheField>
    <cacheField name="FO" numFmtId="0">
      <sharedItems containsBlank="1"/>
    </cacheField>
    <cacheField name="Cb" numFmtId="0">
      <sharedItems containsString="0" containsBlank="1" containsNumber="1" containsInteger="1" minValue="52996" maxValue="76363"/>
    </cacheField>
    <cacheField name="Departamento" numFmtId="0">
      <sharedItems containsBlank="1"/>
    </cacheField>
    <cacheField name="Ciudad" numFmtId="0">
      <sharedItems containsBlank="1"/>
    </cacheField>
    <cacheField name="Nmbre  del cb " numFmtId="0">
      <sharedItems containsBlank="1"/>
    </cacheField>
    <cacheField name="Red" numFmtId="0">
      <sharedItems containsBlank="1"/>
    </cacheField>
    <cacheField name="FORMATO" numFmtId="0">
      <sharedItems containsBlank="1"/>
    </cacheField>
    <cacheField name="CADENA" numFmtId="0">
      <sharedItems containsBlank="1"/>
    </cacheField>
    <cacheField name="Fecha Asignación a Línea Comunicaciones (DD/MM/AAAA)" numFmtId="0">
      <sharedItems containsNonDate="0" containsDate="1" containsString="0" containsBlank="1" minDate="2025-06-03T12:15:00" maxDate="2025-06-24T11:39:00"/>
    </cacheField>
    <cacheField name="Fecha del cierre del ticket (DD/MM/AAAA)" numFmtId="0">
      <sharedItems containsNonDate="0" containsDate="1" containsString="0" containsBlank="1" minDate="2025-06-06T15:04:00" maxDate="2025-06-27T11:36:29"/>
    </cacheField>
    <cacheField name="ESTADO" numFmtId="0">
      <sharedItems containsBlank="1"/>
    </cacheField>
    <cacheField name="CAUSAL" numFmtId="0">
      <sharedItems containsBlank="1"/>
    </cacheField>
    <cacheField name="TIPO DE ACTIVIDAD" numFmtId="0">
      <sharedItems containsBlank="1"/>
    </cacheField>
    <cacheField name="SOLICITUD" numFmtId="0">
      <sharedItems containsBlank="1"/>
    </cacheField>
    <cacheField name="DESCRIPCIÓN" numFmtId="0">
      <sharedItems containsBlank="1"/>
    </cacheField>
    <cacheField name="Forma de Atención" numFmtId="0">
      <sharedItems containsBlank="1"/>
    </cacheField>
    <cacheField name="RETROALIMENTACIÓN O.T." numFmtId="0">
      <sharedItems containsBlank="1" longText="1"/>
    </cacheField>
    <cacheField name="SERIAL / PLACA- GUIA" numFmtId="0">
      <sharedItems containsBlank="1"/>
    </cacheField>
    <cacheField name="LECTOR " numFmtId="0">
      <sharedItems containsBlank="1" containsMixedTypes="1" containsNumber="1" containsInteger="1" minValue="0" maxValue="0"/>
    </cacheField>
    <cacheField name="TERMINAL " numFmtId="0">
      <sharedItems containsBlank="1" containsMixedTypes="1" containsNumber="1" containsInteger="1" minValue="0" maxValue="0"/>
    </cacheField>
    <cacheField name="Técnico" numFmtId="0">
      <sharedItems containsBlank="1"/>
    </cacheField>
    <cacheField name="Tipo" numFmtId="0">
      <sharedItems containsBlank="1"/>
    </cacheField>
    <cacheField name="Tipo de Trayecto" numFmtId="0">
      <sharedItems containsBlank="1"/>
    </cacheField>
    <cacheField name="Dias de visita" numFmtId="0">
      <sharedItems containsString="0" containsBlank="1" containsNumber="1" containsInteger="1" minValue="0" maxValue="1"/>
    </cacheField>
    <cacheField name="SWITCH" numFmtId="0">
      <sharedItems containsString="0" containsBlank="1" containsNumber="1" containsInteger="1" minValue="0" maxValue="0"/>
    </cacheField>
    <cacheField name="ACOMETIDA DATOS" numFmtId="0">
      <sharedItems containsString="0" containsBlank="1" containsNumber="1" containsInteger="1" minValue="0" maxValue="0"/>
    </cacheField>
    <cacheField name="ACOMETIDA ELECTRICA" numFmtId="0">
      <sharedItems containsString="0" containsBlank="1" containsNumber="1" containsInteger="1" minValue="0" maxValue="0"/>
    </cacheField>
    <cacheField name="VALOR ACTIVIDAD" numFmtId="0">
      <sharedItems containsString="0" containsBlank="1" containsNumber="1" minValue="37904.65408" maxValue="275728.37943999999"/>
    </cacheField>
    <cacheField name="VALOR TOTAL" numFmtId="0">
      <sharedItems containsString="0" containsBlank="1" containsNumber="1" minValue="37904.65408" maxValue="511514.4544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42.003299074073" createdVersion="8" refreshedVersion="8" minRefreshableVersion="3" recordCount="34" xr:uid="{AEC258F5-244D-474F-81AB-196A67CC0BEE}">
  <cacheSource type="worksheet">
    <worksheetSource ref="E3:F37" sheet="Tablas dinámicas"/>
  </cacheSource>
  <cacheFields count="2">
    <cacheField name="NOMBRE CC" numFmtId="0">
      <sharedItems containsBlank="1" count="10">
        <s v="Redeban Eje Cafetero (Pereira)"/>
        <s v="Redeban Suroccidente (Cali)"/>
        <s v="Redeban Costa (Barranqullla)"/>
        <s v="Redeban Noroccidente (Medellín)"/>
        <s v="Redeban Oriente (Otros)"/>
        <s v="Redeban Santander"/>
        <s v="Redeban Centro ( Bogotá)"/>
        <m/>
        <s v="NOMBRE CC"/>
        <e v="#N/A"/>
      </sharedItems>
    </cacheField>
    <cacheField name="VALOR" numFmtId="0">
      <sharedItems containsString="0" containsBlank="1" containsNumber="1" minValue="37904.65408" maxValue="7828251.345120008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s v="MEDELLIN"/>
    <x v="0"/>
    <x v="0"/>
    <n v="27361"/>
    <s v="TA-25-680473"/>
    <s v="FO-25-1006417"/>
    <d v="2025-05-28T00:00:00"/>
    <d v="2025-06-09T00:00:00"/>
    <d v="2025-05-28T00:00:00"/>
    <d v="2025-06-04T00:00:00"/>
    <d v="2025-06-04T00:00:00"/>
    <s v="CHOCO"/>
    <s v="ISTMINA"/>
    <s v="BARRIO CUBIS SEC MESETA ALTA ISTMINA CHOCO ISTMINA"/>
    <n v="79563"/>
    <s v="CB CRECIMIENTO - NUEVO"/>
    <s v="APERTURA"/>
    <s v="REDEBAN"/>
    <s v="UNO A UNO"/>
    <s v="UNO A UNO"/>
    <s v="EJECUTADO"/>
    <s v="28-05 SE REALIZA LLAMADA AL CLIENTE, SE HABLA CON LA SRA JOAN AVENDAÑO DAZA SE VALIDA DIRECCIÓN OK, CANAL OK, DISPONIBILIDAD TOTAL, LLAMAR EL DÍA LA INSTALACIÓN PARA CONFIRMAR VISITA, AVISO EXTERIOR ALTURA APROX 2 METROS; TOMACORRIENTE CERCANO: SI; TIENE CABINA DE SEGURIDAD: SI 04-06 SE REALIZA INSTALACIÓN DE CORRESPONSAL, SE INSTALAN EQUIPOS CON PRUEBAS EXITOSAS, SE CAPACITA Y SE EVALÚA AL CLIENTE, SE INSTALA PUBLICIDAD COMPLETA, CB QUEDA OPERATIVO. USUARIO SOMOS BANCOLOMBIA ACTIVO. SE INSTALAN 10 MT DE CABLE UTP"/>
    <s v="ROBLEDO DIAZ ANDRES FELIPE"/>
    <s v="LMUZZ997"/>
    <n v="771855"/>
    <s v="N/A"/>
    <n v="1146028"/>
    <s v="N/A"/>
    <s v="40 ROLLOS"/>
    <s v="TIPO IV ESPECIAL"/>
    <s v="AEREO"/>
    <s v="VISITA _TECNICA"/>
    <n v="10"/>
    <n v="0"/>
    <n v="0"/>
    <n v="0"/>
    <n v="0"/>
    <n v="464809.03136000002"/>
    <n v="162346.95439999999"/>
  </r>
  <r>
    <s v="APARTADO"/>
    <x v="0"/>
    <x v="0"/>
    <n v="5837"/>
    <s v="TA-25-695256"/>
    <s v="FO-25-1029598"/>
    <d v="2025-06-03T00:00:00"/>
    <d v="2025-06-05T00:00:00"/>
    <d v="2025-06-03T00:00:00"/>
    <d v="2025-06-11T00:00:00"/>
    <d v="2025-06-11T00:00:00"/>
    <s v="ANTIOQUIA"/>
    <s v="TURBO"/>
    <s v="BARRIO CGT NUEVA COLONIA TURBO ANTIOQUIA TURBO"/>
    <n v="79383"/>
    <s v="CB CRECIMIENTO - OTRAS LISTAS"/>
    <s v="APERTURA"/>
    <s v="REDEBAN"/>
    <s v="UNO A UNO"/>
    <s v="UNO A UNO"/>
    <s v="EJECUTADO"/>
    <s v="31-05 SE REALIZA LLAMADA AL CLIENTE, SE HABLA CON EL SR MAURICIO RIVERA ARIAS, SE VALIDA DIRECCIÓN OK, CANAL OK, DISPONIBILIDAD TOTAL, LLAMAR EL DÍA LA INSTALACIÓN PARA CONFIRMAR VISITA, AVISO EXTERIOR ALTURA APROX  DONDE EL TECNICO LO VEA CONVENIENTE  METROS; TOMACORRIENTE CERCANO: SI; TIENE CABINA DE SEGURIDAD:NO// MODEM  SE ENCUEN TRA A 10 METROS DE DISTANCIA  05-06 SE REALIZA LLAMADA A USUARIO PARA CONFIRMAR LA INSTALACIÓN DEL CORRESPONSAL,  USUARIO INFORMA DE NO PODER ATENDER POR NOVEDAD MEDICA DE LA ESPOSA, USUARIO PIDE POR FAVOR PROGRAMAR PARA LA PRÓXIMA SEMANA OK 11-06 SE REALIZA INSTALACIÓN DE CORRESPONSAL, SE INSTALAN EQUIPOS CON PRUEBAS EXITOSAS, SE CAPACITA Y SE EVALÚA AL CLIENTE, SE INSTALA PUBLICIDAD COMPLETA, CB QUEDA OPERATIVO. USUARIO SOMOS BANCOLOMBIA ACTIVO. SE INSTALAN 10 MT DE CABLE UTP"/>
    <s v="JULIO TUBERQUIA JOSE SEBASTIAN"/>
    <s v="10XZZ921"/>
    <n v="1051048"/>
    <s v="N/A"/>
    <n v="545397"/>
    <s v="N/A"/>
    <s v="40 ROLLOS"/>
    <s v="TIPO II"/>
    <s v="TERRESTRE"/>
    <s v="VISITA _TECNICA"/>
    <n v="10"/>
    <n v="0"/>
    <n v="0"/>
    <n v="0"/>
    <n v="0"/>
    <n v="134410.38956000001"/>
    <n v="162346.95439999999"/>
  </r>
  <r>
    <s v="CALI"/>
    <x v="1"/>
    <x v="1"/>
    <n v="76318"/>
    <s v="TA-25-721875"/>
    <s v="FO-25-1062664"/>
    <d v="2025-06-09T00:00:00"/>
    <d v="2025-06-11T00:00:00"/>
    <d v="2025-06-09T00:00:00"/>
    <d v="2025-06-10T00:00:00"/>
    <d v="2025-06-10T00:00:00"/>
    <s v="VALLE DEL CAUCA"/>
    <s v="GUACARI"/>
    <s v="BARRIO EL FARO GUACARI  GUACARI"/>
    <n v="79774"/>
    <s v="CB CRECIMIENTO - NUEVO"/>
    <s v="APERTURA"/>
    <s v="REDEBAN"/>
    <s v="UNO A UNO"/>
    <s v="UNO A UNO"/>
    <s v="EJECUTADO"/>
    <s v="9-06-2025 SE REALIZA LLAMADA AL CLIENTE, SE HABLA CON EL SR JORGE LUIS PEÑA CORTES SE VALIDA DIRECCIÓN OK, CANAL OK, DISPONIBILIDAD TOTAL, LLAMAR EL DÍA 10/6/2025 SE REALIZA INSTALACIÓN DE CORRESPONSAL, SE INSTALAN EQUIPOS CON PRUEBAS EXITOSAS, SE CAPACITA Y SE EVALÚA AL CLIENTE, SE INSTALA PUBLICIDAD COMPLETA, CB QUEDA OPERATIVO. USUARIO SOMOS BANCOLOMBIA ACTIVO. SE INSTALAN 17 MT DE CABLE UTP"/>
    <s v="TORRES GARCIA JENDRY JOSE"/>
    <s v="F1XZZ006"/>
    <n v="851866"/>
    <s v="N/A"/>
    <n v="932961"/>
    <s v="N/A"/>
    <s v="40 ROLLOS"/>
    <s v="TIPO II"/>
    <s v="TERRESTRE"/>
    <s v="VISITA _TECNICA"/>
    <n v="17"/>
    <n v="0"/>
    <n v="0"/>
    <n v="0"/>
    <n v="0"/>
    <n v="134410.38956000001"/>
    <n v="275989.82247999997"/>
  </r>
  <r>
    <s v="TUNJA"/>
    <x v="2"/>
    <x v="2"/>
    <n v="15176"/>
    <s v="TA-25-721906"/>
    <s v="FO-25-1062920"/>
    <d v="2025-06-09T00:00:00"/>
    <d v="2025-06-11T00:00:00"/>
    <d v="2025-06-09T00:00:00"/>
    <d v="2025-06-10T00:00:00"/>
    <d v="2025-06-10T00:00:00"/>
    <s v="BOYACA"/>
    <s v="CHIQUINQUIRA"/>
    <s v="BARRIO LA POLA CHIQUINQUIRA 2"/>
    <n v="79763"/>
    <s v="CB CRECIMIENTO - NUEVO"/>
    <s v="APERTURA"/>
    <s v="REDEBAN"/>
    <s v="UNO A UNO"/>
    <s v="UNO A UNO"/>
    <s v="EJECUTADO"/>
    <s v="07-06 SE REALIZA LLAMADA AL CLIENTE, SE HABLA CON LA SRA KAROL MAITE GONZÁLEZ PORRAS  SE VALIDA DIRECCIÓN OK, CANAL OK, DISPONIBILIDAD TOTAL, LLAMAR EL DÍA LA INSTALACIÓN PARA CONFIRMAR VISITA, AVISO EXTERIOR ALTURA APROX 2.70 METROS; TOMACORRIENTE CERCANO: SI; TIENE CABINA DE SEGURIDAD: SI - EL MODEM ESTA A 8 MT  - COMUNICACIÓN POR WPP 10/6/2025 SE REALIZA INSTALACIÓN DE CORRESPONSAL, SE INSTALAN EQUIPOS CON PRUEBAS EXITOSAS, SE CAPACITA Y SE EVALÚA AL CLIENTE, SE INSTALA PUBLICIDAD COMPLETA, CB QUEDA OPERATIVO. USUARIO SOMOS BANCOLOMBIA ACTIVO. SE INSTALAN 15 MT DE CABLE UTP"/>
    <s v="SOLER HOYOS CRISTIAN LEONARDO"/>
    <s v="F1XZZ029"/>
    <n v="916662"/>
    <s v="N/A"/>
    <n v="1077082"/>
    <s v="N/A"/>
    <s v="40 ROLLOS"/>
    <s v="TIPO III"/>
    <s v="TERRESTRE"/>
    <s v="VISITA _TECNICA"/>
    <n v="15"/>
    <n v="0"/>
    <n v="0"/>
    <n v="0"/>
    <n v="0"/>
    <n v="222904.27188000001"/>
    <n v="243520.43159999998"/>
  </r>
  <r>
    <s v="CALI"/>
    <x v="1"/>
    <x v="1"/>
    <n v="76233"/>
    <s v="TA-25-721931"/>
    <s v="FO-25-1062997"/>
    <d v="2025-06-09T00:00:00"/>
    <d v="2025-06-11T00:00:00"/>
    <d v="2025-06-09T00:00:00"/>
    <d v="2025-06-10T00:00:00"/>
    <d v="2025-06-10T00:00:00"/>
    <s v="VALLE DEL CAUCA"/>
    <s v="DAGUA"/>
    <s v="BARRIO PRIMERO DE MAYO  DAGUA  DAGUA"/>
    <n v="79769"/>
    <s v="CB CRECIMIENTO - NUEVO"/>
    <s v="APERTURA"/>
    <s v="REDEBAN"/>
    <s v="UNO A UNO"/>
    <s v="UNO A UNO"/>
    <s v="EJECUTADO"/>
    <s v="9-06-2025 SE REALIZA LLAMADA AL CLIENTE, SE HABLA CON LA SRA KIMBERLY MARTINEZ TORRES SE VALIDA DIRECCIÓN OK, CANAL OK, DISPONIBILIDAD TOTAL, LLAMAR EL DÍA LA INSTALACIÓN PARA CONFIRMAR VISITA, AVISO EXTERIOR ALTURA APROX 1,70 METROS; TOMACORRIENTE CERCANO: SI; TIENE CABINA DE SEGURIDAD: SI // CONTACTO REALIZADO POR LA APP 10-06 SE REALIZA INSTALACIÓN DE CORRESPONSAL, SE INSTALAN EQUIPOS CON PRUEBAS EXITOSAS, SE CAPACITA Y SE EVALÚA AL CLIENTE, SE INSTALA PUBLICIDAD COMPLETA, CB QUEDA OPERATIVO. USUARIO SOMOS BANCOLOMBIA ACTIVO. SE INSTALAN 10 MT DE CABLE UTP"/>
    <s v="BOLAÑOS TABORDA JORGE ENRIQUE"/>
    <s v="F1XZZ043"/>
    <n v="994427"/>
    <s v="N/A"/>
    <n v="933109"/>
    <s v="N/A"/>
    <s v="40 ROLLOS"/>
    <s v="TIPO II"/>
    <s v="TERRESTRE"/>
    <s v="VISITA _TECNICA"/>
    <n v="10"/>
    <n v="0"/>
    <n v="0"/>
    <n v="0"/>
    <n v="0"/>
    <n v="134410.38956000001"/>
    <n v="162346.95439999999"/>
  </r>
  <r>
    <s v="BOGOTA"/>
    <x v="3"/>
    <x v="3"/>
    <n v="11001"/>
    <s v="TA-25-721993"/>
    <s v="FO-25-1063185"/>
    <d v="2025-06-09T00:00:00"/>
    <d v="2025-06-11T00:00:00"/>
    <d v="2025-06-09T00:00:00"/>
    <d v="2025-06-11T00:00:00"/>
    <d v="2025-06-11T00:00:00"/>
    <s v="CUNDINAMARCA"/>
    <s v="BOGOTA"/>
    <s v="BARRIO LAS MARGARITAS BOGOTA  4"/>
    <n v="79749"/>
    <s v="CB CRECIMIENTO - NUEVO"/>
    <s v="APERTURA"/>
    <s v="REDEBAN"/>
    <s v="UNO A UNO"/>
    <s v="UNO A UNO"/>
    <s v="EJECUTADO"/>
    <s v="07-06 SE REALIZA LLAMADA AL CLIENTE, SE HABLA CON LA SR LEONARDO SORIANO GALEANO SE VALIDA DIRECCIÓN OK, CANAL OK, DISPONIBILIDAD TOTAL, LLAMAR EL DÍA LA INSTALACIÓN PARA CONFIRMAR VISITA, AVISO EXTERIOR ALTURA: NO INDICA ALTURA; TOMACORRIENTE CERCANO: SI; TIENE CABINA DE SEGURIDAD: NO - EL MODEM ESTA A 10 MT  11/6/2025 SE REALIZA INSTALACIÓN DE CORRESPONSAL, SE INSTALAN EQUIPOS CON PRUEBAS EXITOSAS, SE CAPACITA Y SE EVALÚA AL CLIENTE, SE INSTALA PUBLICIDAD COMPLETA, CB QUEDA OPERATIVO. USUARIO SOMOS BANCOLOMBIA ACTIVO. SE INSTALAN 18 MT DE CABLE UTP"/>
    <s v="GOMEZ VEGA DAVID SNEYDER"/>
    <s v="F1XZZ090"/>
    <n v="1235210"/>
    <s v="N/A"/>
    <s v="1238697-241587317561324755886660"/>
    <s v="N/A"/>
    <s v="40 ROLLOS"/>
    <s v="TIPO I"/>
    <s v="TERRESTRE"/>
    <s v="VISITA _TECNICA"/>
    <n v="18"/>
    <n v="0"/>
    <n v="0"/>
    <n v="0"/>
    <n v="0"/>
    <n v="44559.984800000006"/>
    <n v="292224.51792000001"/>
  </r>
  <r>
    <s v="BUCARAMANGA"/>
    <x v="2"/>
    <x v="2"/>
    <n v="68001"/>
    <s v="TA-25-736405"/>
    <s v="FO-25-1073947"/>
    <d v="2025-06-11T00:00:00"/>
    <d v="2025-06-13T00:00:00"/>
    <d v="2025-06-11T00:00:00"/>
    <d v="2025-06-12T00:00:00"/>
    <d v="2025-06-12T00:00:00"/>
    <s v="SANTANDER"/>
    <s v="BUCARAMANGA"/>
    <s v="BARRIO CENTRO BUCARAMANGA BUCARAMANGA"/>
    <n v="79843"/>
    <s v="CB CRECIMIENTO - NUEVO"/>
    <s v="APERTURA"/>
    <s v="REDEBAN"/>
    <s v="UNO A UNO"/>
    <s v="UNO A UNO"/>
    <s v="EJECUTADO"/>
    <s v="10-06 SE REALIZA LLAMADA AL CLIENTE, SE HABLA CON LA SR OMAR CARRILLO QUIÑONESSE VALIDA DIRECCIÓN OK, CANAL OK, DISPONIBILIDAD TOTAL, LLAMAR EL DÍA LA INSTALACIÓN PARA CONFIRMAR VISITA, AVISO EXTERIOR ALTURA APROX 2 METROS; TOMACORRIENTE CERCANO: SI; TIENE CABINA DE SEGURIDAD: NO  - COMUNICACION POR WPP 12/6/2025SE REALIZA INSTALACIÓN DE CORRESPONSAL, SE INSTALAN EQUIPOS CON PRUEBAS EXITOSAS, SE CAPACITA Y SE EVALÚA AL CLIENTE, SE INSTALA PUBLICIDAD COMPLETA, CB QUEDA OPERATIVO. USUARIO SOMOS BANCOLOMBIA ACTIVO. SE INSTALAN 10 MT DE CABLE UTP"/>
    <s v="GONZALEZ ESTUPIÑAN YEISON WALTER ANTONIO"/>
    <s v="FAUZZ210"/>
    <n v="1120059"/>
    <s v="N/A"/>
    <n v="1071354"/>
    <s v="N/A"/>
    <s v="40 ROLLOS"/>
    <s v="TIPO I"/>
    <s v="TERRESTRE"/>
    <s v="VISITA _TECNICA"/>
    <n v="10"/>
    <n v="0"/>
    <n v="0"/>
    <n v="0"/>
    <n v="0"/>
    <n v="44559.984800000006"/>
    <n v="162346.95439999999"/>
  </r>
  <r>
    <s v="CALI"/>
    <x v="1"/>
    <x v="1"/>
    <n v="76111"/>
    <s v="TA-25-736409"/>
    <s v="FO-25-1073958"/>
    <d v="2025-06-11T00:00:00"/>
    <d v="2025-06-13T00:00:00"/>
    <d v="2025-06-11T00:00:00"/>
    <d v="2025-06-12T00:00:00"/>
    <d v="2025-06-12T00:00:00"/>
    <s v="VALLE DEL CAUCA"/>
    <s v="GUADALAJARA DE BUGA"/>
    <s v="BARRIO CENTRO GUADALAJARA DE BUGA GUADALAJARA DE BUGA"/>
    <n v="79848"/>
    <s v="CB CRECIMIENTO - NUEVO"/>
    <s v="APERTURA"/>
    <s v="REDEBAN"/>
    <s v="UNO A UNO"/>
    <s v="UNO A UNO"/>
    <s v="EJECUTADO"/>
    <s v="11-06 SE REALIZA LLAMADA AL CLIENTE, SE HABLA CON EL SR JAVIER MAURICIO PLAZA VARGAS, SE VALIDA DIRECCIÓN OK, CANAL OK, DISPONIBILIDAD TOTAL, LLAMAR EL DÍA LA INSTALACIÓN PARA CONFIRMAR VISITA, AVISO EXTERIOR ALTURA APROX  3 METROS; TOMACORRIENTE CERCANO: SI; TIENE CABINA DE SEGURIDAD: NO- MODEM A 4 METROS 12-06 SE REALIZA INSTALACIÓN DE CORRESPONSAL, SE INSTALAN EQUIPOS CON PRUEBAS EXITOSAS, SE CAPACITA Y SE EVALÚA AL CLIENTE, SE INSTALA PUBLICIDAD COMPLETA, CB QUEDA OPERATIVO. USUARIO SOMOS BANCOLOMBIA ACTIVO. SE INSTALAN 20 MT DE CABLE UTP"/>
    <s v="MONTERO MUESES GIAN CARLO"/>
    <s v="FAUZZ213"/>
    <n v="1242553"/>
    <s v="N/A"/>
    <s v="940518-241597317561324755900749"/>
    <s v="N/A"/>
    <s v="40 ROLLOS"/>
    <s v="TIPO II"/>
    <s v="TERRESTRE"/>
    <s v="VISITA _TECNICA"/>
    <n v="20"/>
    <n v="0"/>
    <n v="0"/>
    <n v="0"/>
    <n v="0"/>
    <n v="134410.38956000001"/>
    <n v="324693.90879999998"/>
  </r>
  <r>
    <s v="BUCARAMANGA"/>
    <x v="2"/>
    <x v="2"/>
    <n v="68307"/>
    <s v="TA-25-755918"/>
    <s v="FO-25-1085436"/>
    <d v="2025-06-13T00:00:00"/>
    <d v="2025-06-17T00:00:00"/>
    <d v="2025-06-13T00:00:00"/>
    <d v="2025-06-16T00:00:00"/>
    <d v="2025-06-16T00:00:00"/>
    <s v="SANTANDER"/>
    <s v="GIRON"/>
    <s v="BARRIO VEREDA CHOCOITA SECTOR TRES ESQUINAS GIRON"/>
    <n v="79867"/>
    <s v="CB CRECIMIENTO - NUEVO"/>
    <s v="APERTURA"/>
    <s v="REDEBAN"/>
    <s v="UNO A UNO"/>
    <s v="UNO A UNO"/>
    <s v="EJECUTADO"/>
    <s v="13-06 SE REALIZA LLAMADA AL CLIENTE, SE HABLA CON LA SR LIBARDO GOMEZ GOMEZ  SE VALIDA DIRECCIÓN OK, CANAL OK, DISPONIBILIDAD TOTAL, LLAMAR EL DÍA LA INSTALACIÓN PARA CONFIRMAR VISITA, AVISO EXTERIOR ALTURA APROX 3 METROS; TOMACORRIENTE CERCANO: SI; TIENE CABINA DE SEGURIDAD: NO - COMUNICACIÓN POR WPP - EL MODEM ESTA A 5 MT // SE DEBEN COMUNICAR POR WPP YA QUE LA SEÑAL ES MALA  16/6/2025 SE REALIZA INSTALACIÓN DE CORRESPONSAL, SE INSTALAN EQUIPOS CON PRUEBAS EXITOSAS, SE CAPACITA Y SE EVALÚA AL CLIENTE, SE INSTALA PUBLICIDAD COMPLETA, CB QUEDA OPERATIVO. USUARIO SOMOS BANCOLOMBIA ACTIVO. SE INSTALAN 12 MT DE CABLE UTP"/>
    <s v="SANTOS GONZALEZ JOHAN FABIAN"/>
    <s v="FAWZZ662"/>
    <n v="914673"/>
    <s v="N/A"/>
    <n v="905863"/>
    <s v="N/A"/>
    <s v="40 ROLLOS"/>
    <s v="TIPO I"/>
    <s v="TERRESTRE"/>
    <s v="VISITA _TECNICA"/>
    <n v="12"/>
    <n v="0"/>
    <n v="0"/>
    <n v="0"/>
    <n v="0"/>
    <n v="44559.984800000006"/>
    <n v="194816.34528000001"/>
  </r>
  <r>
    <s v="PEREIRA"/>
    <x v="1"/>
    <x v="4"/>
    <n v="66001"/>
    <s v="TA-25-790519"/>
    <s v="FO-25-1106940"/>
    <d v="2025-06-18T00:00:00"/>
    <d v="2025-06-20T00:00:00"/>
    <d v="2025-06-18T00:00:00"/>
    <d v="2025-06-20T00:00:00"/>
    <d v="2025-06-20T00:00:00"/>
    <s v="RISARALDA"/>
    <s v="PEREIRA"/>
    <s v="BARRIO BETULIA BAJA PEREIRA"/>
    <n v="79947"/>
    <s v="CB CRECIMIENTO - NUEVO"/>
    <s v="APERTURA"/>
    <s v="REDEBAN"/>
    <s v="UNO A UNO"/>
    <s v="UNO A UNO"/>
    <s v="EJECUTADO"/>
    <s v="17-06 SE REALIZA LLAMADA AL CLIENTE, SE HABLA CON LA SRA NATHALI RIVERA MARTINEZ SE VALIDA DIRECCIÓN OK, CANAL OK, DISPONIBILIDAD TOTAL, LLAMAR EL DÍA LA INSTALACIÓN PARA CONFIRMAR VISITA, AVISO EXTERIOR ALTURA APROX 2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 SE INSTALAN 10 MT DE CABLE UTP"/>
    <s v="ARROYAVE CANO MANUEL GUILLERMO"/>
    <s v="SAVZZ109"/>
    <n v="1235257"/>
    <s v="N/A"/>
    <s v="1071586-241597317561324755899579"/>
    <s v="N/A"/>
    <s v="40 ROLLOS"/>
    <s v="TIPO I"/>
    <s v="TERRESTRE"/>
    <s v="VISITA _TECNICA"/>
    <n v="10"/>
    <n v="0"/>
    <n v="0"/>
    <n v="0"/>
    <n v="0"/>
    <n v="44559.984800000006"/>
    <n v="162346.95439999999"/>
  </r>
  <r>
    <s v="BUCARAMANGA"/>
    <x v="2"/>
    <x v="2"/>
    <n v="68001"/>
    <s v="TA-25-790557"/>
    <s v="FO-25-1107050"/>
    <d v="2025-06-18T00:00:00"/>
    <d v="2025-06-20T00:00:00"/>
    <d v="2025-06-18T00:00:00"/>
    <d v="2025-06-19T00:00:00"/>
    <d v="2025-06-19T00:00:00"/>
    <s v="SANTANDER"/>
    <s v="BUCARAMANGA"/>
    <s v="BARRIO LAS MERCEDES BUCARAMANGA"/>
    <n v="79935"/>
    <s v="CB CRECIMIENTO - NUEVO"/>
    <s v="APERTURA"/>
    <s v="REDEBAN"/>
    <s v="UNO A UNO"/>
    <s v="UNO A UNO"/>
    <s v="EJECUTADO"/>
    <s v="17-06 SE REALIZA LLAMADA AL CLIENTE, SE HABLA CON LA SRA FRANCEDID ESTEPA SE VALIDA DIRECCIÓN OK, CANAL OK, DISPONIBILIDAD TOTAL, LLAMAR EL DÍA LA INSTALACIÓN PARA CONFIRMAR VISITA, AVISO EXTERIOR ALTURA APROX 3 METROS; TOMACORRIENTE CERCANO: SI; TIENE CABINA DE SEGURIDAD: SI  - COMUNICACIÓN POR WPP 19/6/2025 SE REALIZA INSTALACIÓN DE CORRESPONSAL, SE INSTALAN EQUIPOS CON PRUEBAS EXITOSAS, SE CAPACITA Y SE EVALÚA AL CLIENTE, SE INSTALA PUBLICIDAD COMPLETA, CB QUEDA OPERATIVO. USUARIO SOMOS BANCOLOMBIA ACTIVO. SE INSTALAN 10 MT DE CABLE UTP"/>
    <s v="SANTOS GONZALEZ JOHAN FABIAN"/>
    <s v="SAVZZ135"/>
    <n v="1074974"/>
    <s v="N/A"/>
    <n v="1060202"/>
    <s v="N/A"/>
    <s v="40 ROLLOS"/>
    <s v="TIPO I"/>
    <s v="TERRESTRE"/>
    <s v="VISITA _TECNICA"/>
    <n v="10"/>
    <n v="0"/>
    <n v="0"/>
    <n v="0"/>
    <n v="0"/>
    <n v="44559.984800000006"/>
    <n v="162346.95439999999"/>
  </r>
  <r>
    <s v="BOGOTA"/>
    <x v="3"/>
    <x v="3"/>
    <n v="25473"/>
    <s v="TA-25-790574"/>
    <s v="FO-25-1107071"/>
    <d v="2025-06-18T00:00:00"/>
    <d v="2025-06-20T00:00:00"/>
    <d v="2025-06-18T00:00:00"/>
    <d v="2025-06-20T00:00:00"/>
    <d v="2025-06-20T00:00:00"/>
    <s v="CUNDINAMARCA"/>
    <s v="MOSQUERA"/>
    <s v="BARRIO EL POBLADO MOSQUERA  5"/>
    <n v="79945"/>
    <s v="CB CRECIMIENTO - NUEVO"/>
    <s v="APERTURA"/>
    <s v="REDEBAN"/>
    <s v="UNO A UNO"/>
    <s v="UNO A UNO"/>
    <s v="EJECUTADO"/>
    <s v="18-06 SE REALIZA LLAMADA AL CLIENTE, SE HABLA CON LA SRA NORMA KRISTYNNA MONTEALEGRE QUINTANA SE VALIDA DIRECCIÓN OK, CANAL OK, DISPONIBILIDAD TOTAL, LLAMAR EL DÍA LA INSTALACIÓN PARA CONFIRMAR VISITA, AVISO EXTERIOR ALTURA APROX 2 METROS; TOMACORRIENTE CERCANO: SI; TIENE CABINA DE SEGURIDAD: NO - COMUNICACION POR WPP - EL MODEM ESTA A 8 MT  20/6/2025 SE REALIZA INSTALACIÓN DE CORRESPONSAL, SE INSTALAN EQUIPOS CON PRUEBAS EXITOSAS, SE CAPACITA Y SE EVALÚA AL CLIENTE, SE INSTALA PUBLICIDAD COMPLETA, CB QUEDA OPERATIVO. USUARIO SOMOS BANCOLOMBIA ACTIVO. SE INSTALAN 13 MT DE CABLE UTP"/>
    <s v="VEGA MANRIQUE JONATAN MAURICIO"/>
    <s v="SAVZZ140"/>
    <n v="1235389"/>
    <s v="N/A"/>
    <s v="1238706-243637317561365457309488"/>
    <s v="N/A"/>
    <s v="40 ROLLOS"/>
    <s v="TIPO I"/>
    <s v="TERRESTRE"/>
    <s v="VISITA _TECNICA"/>
    <n v="13"/>
    <n v="0"/>
    <n v="0"/>
    <n v="0"/>
    <n v="0"/>
    <n v="44559.984800000006"/>
    <n v="211051.04071999999"/>
  </r>
  <r>
    <s v="BUCARAMANGA"/>
    <x v="2"/>
    <x v="2"/>
    <n v="68500"/>
    <s v="TA-25-799030"/>
    <s v="FO-25-1128521"/>
    <d v="2025-06-24T00:00:00"/>
    <d v="2025-06-26T00:00:00"/>
    <d v="2025-06-24T00:00:00"/>
    <d v="2025-06-25T00:00:00"/>
    <d v="2025-06-25T00:00:00"/>
    <s v="SANTANDER"/>
    <s v="OIBA"/>
    <s v="BARRIO POIMA OIBA OIBA"/>
    <n v="80035"/>
    <s v="CB CRECIMIENTO - NUEVO"/>
    <s v="APERTURA"/>
    <s v="REDEBAN"/>
    <s v="UNO A UNO"/>
    <s v="UNO A UNO"/>
    <s v="EJECUTADO"/>
    <s v="21-06 SE REALIZA LLAMADA AL CLIENTE, SE HABLA CON LA SRA SANDRA MILENA PABON SILVA, SE VALIDA DIRECCIÓN OK, CANAL OK, DISPONIBILIDAD TOTAL, LLAMAR EL DÍA LA INSTALACIÓN PARA CONFIRMAR VISITA, AVISO EXTERIOR ALTURA APROX  1,50 METROS; TOMACORRIENTE CERCANO: SI; TIENE CABINA DE SEGURIDAD: NO// TOMACORRIENTE A 6 METROS  25/6/2025 SE REALIZA INSTALACIÓN DE CORRESPONSAL, SE INSTALAN EQUIPOS CON PRUEBAS EXITOSAS, SE CAPACITA Y SE EVALÚA AL CLIENTE, SE INSTALA PUBLICIDAD COMPLETA, CB QUEDA OPERATIVO. USUARIO SOMOS BANCOLOMBIA ACTIVO. SE INSTALAN 10 MT DE CABLE UTP"/>
    <s v="GELVEZ MOGOLLON JOSE ELISEO"/>
    <s v="SAXZZ451"/>
    <n v="1052001"/>
    <s v="N/A"/>
    <n v="1103658"/>
    <s v="N/A"/>
    <s v="40 ROLLOS"/>
    <s v="TIPO III"/>
    <s v="TERRESTRE"/>
    <s v="VISITA _TECNICA"/>
    <n v="10"/>
    <n v="0"/>
    <n v="0"/>
    <n v="0"/>
    <n v="0"/>
    <n v="222904.27188000001"/>
    <n v="162346.95439999999"/>
  </r>
  <r>
    <s v="BUCARAMANGA"/>
    <x v="2"/>
    <x v="2"/>
    <n v="68615"/>
    <s v="TA-25-799038"/>
    <s v="FO-25-1128558"/>
    <d v="2025-06-24T00:00:00"/>
    <d v="2025-06-26T00:00:00"/>
    <d v="2025-06-24T00:00:00"/>
    <d v="2025-06-25T00:00:00"/>
    <d v="2025-06-25T00:00:00"/>
    <s v="SANTANDER"/>
    <s v="RIONEGRO"/>
    <s v="BARRIO CENTRO RIONEGRO 3"/>
    <n v="80055"/>
    <s v="CB CRECIMIENTO - NUEVO"/>
    <s v="APERTURA"/>
    <s v="REDEBAN"/>
    <s v="UNO A UNO"/>
    <s v="UNO A UNO"/>
    <s v="EJECUTADO"/>
    <s v="24-06-2025 SE REALIZA LLAMADA AL CLIENTE, SE HABLA CON LA SRA LIZY ANDREA JAIMES OLAVE  SE VALIDA DIRECCIÓN OK, CANAL OK, DISPONIBILIDAD TOTAL, LLAMAR EL DÍA LA INSTALACIÓN PARA CONFIRMAR VISITA, AVISO EXTERIOR ALTURA APROX CLIENTE NO TIENE CONOCIMIENTO DE MEDIDAS; TOMACORRIENTE CERCANO: SI; TIENE CABINA DE SEGURIDAD: SI // CONTACTO REALIZADO POR LA APP // CLIENTE INDICA QUE SI NO CONTESTA POR LLAMADA, S ECOMUNIQUEN POR WHATSAPP QUE ES MAS FIJO 25/6/2025 SE REALIZA INSTALACIÓN DE CORRESPONSAL, SE INSTALAN EQUIPOS CON PRUEBAS EXITOSAS, SE CAPACITA Y SE EVALÚA AL CLIENTE, SE INSTALA PUBLICIDAD COMPLETA, CB QUEDA OPERATIVO. USUARIO SOMOS BANCOLOMBIA ACTIVO. SE INSTALAN 10  MT DE CABLE UTP"/>
    <s v="SANTOS GONZALEZ JOHAN FABIAN"/>
    <s v="SAXZZ458"/>
    <n v="1240742"/>
    <s v="N/A"/>
    <n v="879503"/>
    <s v="N/A"/>
    <s v="40 ROLLOS"/>
    <s v="TIPO II"/>
    <s v="TERRESTRE"/>
    <s v="VISITA _TECNICA"/>
    <n v="10"/>
    <n v="0"/>
    <n v="0"/>
    <n v="0"/>
    <n v="0"/>
    <n v="134410.38956000001"/>
    <n v="162346.95439999999"/>
  </r>
  <r>
    <s v="TUNJA"/>
    <x v="2"/>
    <x v="2"/>
    <n v="15001"/>
    <s v="TA-25-799125"/>
    <s v="FO-25-1128655"/>
    <d v="2025-06-24T00:00:00"/>
    <d v="2025-06-26T00:00:00"/>
    <d v="2025-06-24T00:00:00"/>
    <d v="2025-06-25T00:00:00"/>
    <d v="2025-06-25T00:00:00"/>
    <s v="BOYACA"/>
    <s v="TUNJA"/>
    <s v="BARRIO TUNJUELITO TUNJA 1"/>
    <n v="80068"/>
    <s v="CB CRECIMIENTO - NUEVO"/>
    <s v="APERTURA"/>
    <s v="REDEBAN"/>
    <s v="UNO A UNO"/>
    <s v="UNO A UNO"/>
    <s v="EJECUTADO"/>
    <s v="24-06-2025 SE REALIZA LLAMADA AL CLIENTE, SE HABLA CON LA SRA DIANA ESPERANZA GONZÁLEZ IBAÑEZ  SE VALIDA DIRECCIÓN OK, CANAL OK, DISPONIBILIDAD TOTAL, LLAMAR EL DÍA LA INSTALACIÓN PARA CONFIRMAR VISITA, AVISO EXTERIOR ALTURA APROX 1,80 METROS; TOMACORRIENTE CERCANO: SI; TIENE CABINA DE SEGURIDAD: NO // CONTACTO REALIZADO POR LA APP 25/6/2025 SE REALIZA INSTALACIÓN DE CORRESPONSAL, SE INSTALAN EQUIPOS CON PRUEBAS EXITOSAS, SE CAPACITA Y SE EVALÚA AL CLIENTE, SE INSTALA PUBLICIDAD COMPLETA, CB QUEDA OPERATIVO. USUARIO SOMOS BANCOLOMBIA ACTIVO. SE INSTALAN 6 MT DE CABLE UTP"/>
    <s v="SOLER HOYOS CRISTIAN LEONARDO"/>
    <s v="SAXZZ466"/>
    <n v="1242413"/>
    <n v="274888"/>
    <s v="903638-243637317561365457310152"/>
    <s v="N/A"/>
    <s v="40 ROLLOS"/>
    <s v="TIPO I"/>
    <s v="TERRESTRE"/>
    <s v="VISITA _TECNICA"/>
    <n v="6"/>
    <n v="0"/>
    <n v="0"/>
    <n v="0"/>
    <n v="0"/>
    <n v="44559.984800000006"/>
    <n v="97408.172640000004"/>
  </r>
  <r>
    <s v="CALI"/>
    <x v="1"/>
    <x v="1"/>
    <n v="76001"/>
    <s v="TA-25-799143"/>
    <s v="FO-25-1128724"/>
    <d v="2025-06-24T00:00:00"/>
    <d v="2025-06-26T00:00:00"/>
    <d v="2025-06-24T00:00:00"/>
    <d v="2025-06-25T00:00:00"/>
    <d v="2025-06-25T00:00:00"/>
    <s v="VALLE DEL CAUCA"/>
    <s v="CALI"/>
    <s v="BARRIO COMUNEROS I CALI 2"/>
    <n v="79989"/>
    <s v="CB CRECIMIENTO - NUEVO"/>
    <s v="APERTURA"/>
    <s v="REDEBAN"/>
    <s v="UNO A UNO"/>
    <s v="UNO A UNO"/>
    <s v="EJECUTADO"/>
    <s v="24-06-2025 SE REALIZA LLAMADA AL CLIENTE, SE HABLA CON LA ESPOSA DE SR CARLOS JAVIER LEFFA ZAMBRANO  SE VALIDA DIRECCIÓN OK, CANAL OK, DISPONIBILIDAD TOTAL, LLAMAR EL DÍA LA INSTALACIÓN PARA CONFIRMAR VISITA, AVISO EXTERIOR ALTURA APROX CLIENTE NO TIENE CONOCIMIENTO DE MEDIDAS; TOMACORRIENTE CERCANO: SI; TIENE CABINA DE SEGURIDAD: SI // CONTACTO REALIZADO POR WHATSAPP 25/6/2025 SE REALIZA INSTALACIÓN DE CORRESPONSAL, SE INSTALAN EQUIPOS CON PRUEBAS EXITOSAS, SE CAPACITA Y SE EVALÚA AL CLIENTE, SE INSTALA PUBLICIDAD COMPLETA, CB QUEDA OPERATIVO. USUARIO SOMOS BANCOLOMBIA ACTIVO. SE INSTALA 6 MT DE CABLE UTP"/>
    <s v="MONTERO MUESES GIAN CARLO"/>
    <s v="SAXZZ479"/>
    <n v="1175384"/>
    <s v="N/A"/>
    <n v="914088"/>
    <s v="N/A"/>
    <s v="40 ROLLOS"/>
    <s v="TIPO I"/>
    <s v="TERRESTRE"/>
    <s v="VISITA _TECNICA"/>
    <n v="6"/>
    <n v="0"/>
    <n v="0"/>
    <n v="0"/>
    <n v="0"/>
    <n v="44559.984800000006"/>
    <n v="97408.172640000004"/>
  </r>
  <r>
    <s v="PEREIRA"/>
    <x v="1"/>
    <x v="4"/>
    <n v="66001"/>
    <s v="TA-25-799158"/>
    <s v="FO-25-1128788"/>
    <d v="2025-06-24T00:00:00"/>
    <d v="2025-06-26T00:00:00"/>
    <d v="2025-06-24T00:00:00"/>
    <d v="2025-06-26T00:00:00"/>
    <d v="2025-06-26T00:00:00"/>
    <s v="RISARALDA"/>
    <s v="PEREIRA"/>
    <s v="BARRIO CENTRO PEREIRA  48"/>
    <n v="80044"/>
    <s v="CB CRECIMIENTO - NUEVO"/>
    <s v="APERTURA"/>
    <s v="REDEBAN"/>
    <s v="UNO A UNO"/>
    <s v="UNO A UNO"/>
    <s v="EJECUTADO"/>
    <s v="24-06 SE REALIZA LLAMADA AL CLIENTE, SE HABLA CON LA SRA YULI ANDREA BECERRA YA QUE  SR CARLOS ANDRES ARIZA GONZALEZ  NO SE ENCUENTRA  SE VALIDA DIRECCIÓN  OK, DISPONIBILIDAD TOTAL, LLAMAR EL DÍA LA INSTALACIÓN PARA CONFIRMAR VISITA, AVISO EXTERIOR ALTURA APROX 2.00  METROS; TOMA CORRIENTE CERCANO: SI; TIENE CABINA DE SEGURIDAD:   NO  , USUARIO   INDICA  QUE SE EL MODEN SE ENCUENTRA  10  METROS 26/6/2025 SE REALIZA INSTALACIÓN DE CORRESPONSAL, SE INSTALAN EQUIPOS CON PRUEBAS EXITOSAS, SE CAPACITA Y SE EVALÚA AL CLIENTE, SE INSTALA PUBLICIDAD COMPLETA, CB QUEDA OPERATIVO. USUARIO SOMOS BANCOLOMBIA ACTIVO. SE INSTALAN 15 MT DE CABLE UTP"/>
    <s v="FRANCO CAÑAVERAL YAMID RAUL"/>
    <s v="SAXZZ492"/>
    <n v="1235358"/>
    <s v="N/A"/>
    <s v="1076556-241587317561324755887228"/>
    <s v="N/A"/>
    <s v="40 ROLLOS"/>
    <s v="TIPO I"/>
    <s v="TERRESTRE"/>
    <s v="VISITA _TECNICA"/>
    <n v="15"/>
    <n v="0"/>
    <n v="0"/>
    <n v="0"/>
    <n v="0"/>
    <n v="44559.984800000006"/>
    <n v="243520.43159999998"/>
  </r>
  <r>
    <s v="MEDELLIN"/>
    <x v="0"/>
    <x v="0"/>
    <n v="5690"/>
    <s v="TA-25-799214"/>
    <s v="FO-25-1128965"/>
    <d v="2025-06-24T00:00:00"/>
    <d v="2025-06-26T00:00:00"/>
    <d v="2025-06-24T00:00:00"/>
    <d v="2025-06-26T00:00:00"/>
    <d v="2025-06-26T00:00:00"/>
    <s v="ANTIOQUIA"/>
    <s v="SANTO DOMINGO"/>
    <s v="BARRIO CENTRO SANTO DOMINGO"/>
    <n v="80054"/>
    <s v="CB CRECIMIENTO - NUEVO"/>
    <s v="APERTURA"/>
    <s v="REDEBAN"/>
    <s v="UNO A UNO"/>
    <s v="UNO A UNO"/>
    <s v="EJECUTADO"/>
    <s v="21-06 SE REALIZA LLAMADA AL CLIENTE, SE HABLA CON LA SR SANTIAGO RESTREPO CASTRILLON  SE VALIDA DIRECCIÓN OK, CANAL OK, DISPONIBILIDAD TOTAL, LLAMAR EL DÍA LA INSTALACIÓN PARA CONFIRMAR VISITA, AVISO EXTERIOR ALTURA APROX 3 METROS; TOMACORRIENTE CERCANO: SI; TIENE CABINA DE SEGURIDAD: NO - COMUNICACIÓN POR WPP 26/6/2025 ESCALAMOS NOVEDAD DE INSTALACIÓN. EN DIRECCIÓN TENEMOS LT LA MAQUINA VRD PORCESITO, PERO DOCUMENTO DE CÁMARA DE COMERCIO QUE NOS FACILITA USUARIO TIENE DIRECCIÓN CON NOMENCLATURA COMPLETA CALLE 39 64ª 35 INTERIOR 701 EN MEDELLIN. USUARIO INFORMA QUE ESA DIRECCIÓN ES DE LA OFICINA PRINCIPAL EN MEDELLIN. TAMBIÉN NOS FACILITA UNA FOTO DE UNA FACTURA DE UN PROVEEDOR DONDE SALE LA MISMA DIRECCIÓN EN MEDELLIN, PERO ABAJO SI DICE PORSECITO. 26/6/2025 SEGÚN LO CONVERSADO, SE EVIDENCIÓ QUE EN LA SEGUNDA HOJA DEL CERTIFICADO DE CÁMARA DE COMERCIO SE ENCUENTRA REGISTRADA LA DIRECCIÓN CORRECTA. POR LO TANTO, SE DEBE PROCEDER CON LA IMPLEMENTACIÓN DEL CB 3007080054. 26/6/2025 SE REALIZA INSTALACIÓN DE CORRESPONSAL, SE INSTALAN EQUIPOS CON PRUEBAS EXITOSAS, SE CAPACITA Y SE EVALÚA AL CLIENTE, SE INSTALA PUBLICIDAD COMPLETA, CB QUEDA OPERATIVO. USUARIO SOMOS BANCOLOMBIA ACTIVO. SE INSTALANN 12 MT DE CABLE UTP"/>
    <s v="ZAPATA LOPEZ EDWARD ASDRUBAL"/>
    <s v="SAXZZ525"/>
    <n v="1254223"/>
    <s v="N/A"/>
    <s v="1238897-243627317561365457299638"/>
    <s v="N/A"/>
    <s v="40 ROLLOS"/>
    <s v="TIPO II"/>
    <s v="TERRESTRE"/>
    <s v="VISITA _TECNICA"/>
    <n v="12"/>
    <n v="0"/>
    <n v="0"/>
    <n v="0"/>
    <n v="0"/>
    <n v="134410.38956000001"/>
    <n v="194816.34528000001"/>
  </r>
  <r>
    <s v="MEDELLIN"/>
    <x v="0"/>
    <x v="0"/>
    <n v="5001"/>
    <s v="TA-25-799289"/>
    <s v="FO-25-1129202"/>
    <d v="2025-06-24T00:00:00"/>
    <d v="2025-06-26T00:00:00"/>
    <d v="2025-06-24T00:00:00"/>
    <d v="2025-06-26T00:00:00"/>
    <d v="2025-06-26T00:00:00"/>
    <s v="ANTIOQUIA"/>
    <s v="MEDELLIN"/>
    <s v="BARRIO BELEN MEDELLIN 15"/>
    <n v="80087"/>
    <s v="CB CRECIMIENTO - NUEVO"/>
    <s v="APERTURA"/>
    <s v="REDEBAN"/>
    <s v="UNO A UNO"/>
    <s v="UNO A UNO"/>
    <s v="EJECUTADO"/>
    <s v="21-06 SE REALIZA LLAMADA AL CLIENTE, SE HABLA CON LA SR MARTIN ALONSO HERNANDEZ LARREA SE VALIDA DIRECCIÓN OK, CANAL OK, DISPONIBILIDAD TOTAL, LLAMAR EL DÍA LA INSTALACIÓN PARA CONFIRMAR VISITA, AVISO EXTERIOR ALTURA APROX 3 METROS; TOMACORRIENTE CERCANO: SI; TIENE CABINA DE SEGURIDAD: NO - EL MODEM ESTA A 5 MT  26/6/2025 SE REALIZA INSTALACIÓN DE CORRESPONSAL, SE INSTALAN EQUIPOS CON PRUEBAS EXITOSAS, SE CAPACITA Y SE EVALÚA AL CLIENTE, SE INSTALA PUBLICIDAD COMPLETA, CB QUEDA OPERATIVO. USUARIO SOMOS BANCOLOMBIA ACTIVO. SE INSTALAN 7 MT DE CABLE UTP"/>
    <s v="ALVAREZ ARENAS VICTOR HUGO"/>
    <s v="SAXZZ563"/>
    <n v="1254482"/>
    <s v="N/A"/>
    <s v="1238899-243627317561365457298717"/>
    <s v="N/A"/>
    <s v="40 ROLLOS"/>
    <s v="TIPO I"/>
    <s v="TERRESTRE"/>
    <s v="VISITA _TECNICA"/>
    <n v="7"/>
    <n v="0"/>
    <n v="0"/>
    <n v="0"/>
    <n v="0"/>
    <n v="44559.984800000006"/>
    <n v="113642.86808"/>
  </r>
  <r>
    <s v="BOGOTA"/>
    <x v="3"/>
    <x v="3"/>
    <n v="11001"/>
    <s v="TA-25-799293"/>
    <s v="FO-25-1129213"/>
    <d v="2025-06-24T00:00:00"/>
    <d v="2025-06-26T00:00:00"/>
    <d v="2025-06-24T00:00:00"/>
    <d v="2025-06-25T00:00:00"/>
    <d v="2025-06-25T00:00:00"/>
    <s v="CUNDINAMARCA"/>
    <s v="BOGOTA"/>
    <s v="BARRIO SAN DIEGO BOGOTA"/>
    <n v="79977"/>
    <s v="CB CRECIMIENTO - NUEVO"/>
    <s v="APERTURA"/>
    <s v="REDEBAN"/>
    <s v="UNO A UNO"/>
    <s v="UNO A UNO"/>
    <s v="EJECUTADO"/>
    <s v="21-06 SE REALIZA LLAMADA AL CLIENTE, SE HABLA CON LA SR AARON EULICES AGUILERA JUNCA SE VALIDA DIRECCIÓN OK, CANAL OK, DISPONIBILIDAD TOTAL, LLAMAR EL DÍA LA INSTALACIÓN PARA CONFIRMAR VISITA, AVISO EXTERIOR ALTURA: NO INDICA ALTURA; TOMACORRIENTE CERCANO: SI; TIENE CABINA DE SEGURIDAD: NO - COMUNICACIÓN POR WPP / EL MODEM ESTA A 6 MT 25/6/2025 NOTA; ESTANDO EN SITIO EL COMERCIO INFORMA NO TENER PERMISO DE INSTALAR LA PUBLICIDAD EN LA PARTE EXTERIOR DEL LOCAL, PIDE SEA INSTALADO EN EL VIDRIO POR LA PARTE INTERNA SIN EL MARCO. DE ACUERDO A LA AUTORIZACIÓN VÍA WHATSAPP, SE INSTALA SEGÚN SOLICITUD DEL COMERCIO. SE REALIZA INSTALACIÓN DE CORRESPONSAL, SE INSTALAN EQUIPOS CON PRUEBAS EXITOSAS, SE CAPACITA Y SE EVALÚA AL CLIENTE, SE INSTALA PUBLICIDAD COMPLETA, CB QUEDA OPERATIVO. USUARIO SOMOS BANCOLOMBIA ACTIVO. SE INSTALAN 6 MT DE CABLE UTP"/>
    <s v="GOMEZ VEGA DAVID SNEYDER"/>
    <s v="SAXZZ565"/>
    <n v="1235380"/>
    <s v="N/A"/>
    <s v="528124-241587317561324755886735"/>
    <s v="N/A"/>
    <s v="40 ROLLOS"/>
    <s v="TIPO I"/>
    <s v="TERRESTRE"/>
    <s v="VISITA _TECNICA"/>
    <n v="6"/>
    <n v="0"/>
    <n v="0"/>
    <n v="0"/>
    <n v="0"/>
    <n v="44559.984800000006"/>
    <n v="97408.172640000004"/>
  </r>
  <r>
    <s v="PEREIRA"/>
    <x v="1"/>
    <x v="4"/>
    <n v="66001"/>
    <s v="TA-25-799295"/>
    <s v="FO-25-1129221"/>
    <d v="2025-06-24T00:00:00"/>
    <d v="2025-06-26T00:00:00"/>
    <d v="2025-06-24T00:00:00"/>
    <d v="2025-06-25T00:00:00"/>
    <d v="2025-06-25T00:00:00"/>
    <s v="RISARALDA"/>
    <s v="PEREIRA"/>
    <s v="BARRIO BELMONTE PEREIRA 6"/>
    <n v="80043"/>
    <s v="CB CRECIMIENTO - NUEVO"/>
    <s v="APERTURA"/>
    <s v="REDEBAN"/>
    <s v="UNO A UNO"/>
    <s v="UNO A UNO"/>
    <s v="EJECUTADO"/>
    <s v="24-06 SE REALIZA LLAMADA AL CLIENTE, SE HABLA CON LA SR ORLANDO ZAPATA OROZCO SE VALIDA DIRECCIÓN OK, CANAL OK, DISPONIBILIDAD TOTAL, LLAMAR EL DÍA LA INSTALACIÓN PARA CONFIRMAR VISITA, AVISO EXTERIOR ALTURA: NO INDICA ALTURA; TOMACORRIENTE CERCANO: SI; TIENE CABINA DE SEGURIDAD: NO - EL MODEM ESTA A 10 MT  25/6/2025 SE REALIZA INSTALACIÓN DE CORRESPONSAL, SE INSTALAN EQUIPOS CON PRUEBAS EXITOSAS, SE CAPACITA Y SE EVALÚA AL CLIENTE, SE INSTALA PUBLICIDAD COMPLETA, CB QUEDA OPERATIVO. USUARIO SOMOS BANCOLOMBIA ACTIVO"/>
    <s v="ARROYAVE CANO MANUEL GUILLERMO"/>
    <s v="SAXZZ567"/>
    <n v="1235292"/>
    <s v="N/A"/>
    <s v="1217682-241597317561324755901244"/>
    <s v="N/A"/>
    <s v="40 ROLLOS"/>
    <s v="TIPO I"/>
    <s v="TERRESTRE"/>
    <s v="VISITA _TECNICA"/>
    <n v="10"/>
    <n v="0"/>
    <n v="0"/>
    <n v="0"/>
    <n v="0"/>
    <n v="44559.984800000006"/>
    <n v="162346.95439999999"/>
  </r>
  <r>
    <s v="CUCUTA"/>
    <x v="2"/>
    <x v="2"/>
    <n v="54498"/>
    <s v="TA-25-721901"/>
    <s v="FO-25-1062900"/>
    <d v="2025-06-09T00:00:00"/>
    <d v="2025-06-11T00:00:00"/>
    <d v="2025-06-09T00:00:00"/>
    <d v="2025-06-10T00:00:00"/>
    <d v="2025-06-10T00:00:00"/>
    <s v="NORTE DE SANTANDER"/>
    <s v="OCAÑA"/>
    <s v="BARRIO EDIFICIO MIRADORES DE LA COLINA OCAÑA"/>
    <n v="79815"/>
    <s v="CB CRECIMIENTO - NUEVO"/>
    <s v="APERTURA"/>
    <s v="REDEBAN"/>
    <s v="UNO A UNO"/>
    <s v="UNO A UNO"/>
    <s v="EJECUTADO"/>
    <s v="07-06 SE REALIZA LLAMADA AL CLIENTE, SE HABLA CON LA S JULIO CESAR JAIME SEPÚLVEDA SE VALIDA DIRECCIÓN OK, CANAL OK, DISPONIBILIDAD TOTAL, LLAMAR EL DÍA LA INSTALACIÓN PARA CONFIRMAR VISITA, AVISO EXTERIOR ALTURA APROX 2.50 METROS; TOMACORRIENTE CERCANO: SI; TIENE CABINA DE SEGURIDAD: NO, EL MODEM ESTA A 6 MT - COMUNICACIÓN POR WPP 10-06 SE REALIZA INSTALACIÓN DE CORRESPONSAL, SE INSTALAN EQUIPOS CON PRUEBAS EXITOSAS, SE CAPACITA Y SE EVALÚA AL CLIENTE, SE INSTALA PUBLICIDAD COMPLETA, CB QUEDA OPERATIVO. USUARIO SOMOS BANCOLOMBIA ACTIVO. SE INSTALA SWITCH 224B0A0009381"/>
    <s v="GELVEZ MOGOLLON JOSE ELISEO"/>
    <s v="F1XZZ025"/>
    <n v="801650"/>
    <s v="N/A"/>
    <n v="513517"/>
    <s v="N/A"/>
    <s v="40 ROLLOS"/>
    <s v="TIPO IV"/>
    <s v="TERRESTRE"/>
    <s v="VISITA _TECNICA"/>
    <n v="0"/>
    <n v="0"/>
    <n v="1"/>
    <n v="0"/>
    <n v="0"/>
    <n v="464809.03136000002"/>
    <n v="257391.81956"/>
  </r>
  <r>
    <s v="CALI"/>
    <x v="1"/>
    <x v="1"/>
    <n v="19698"/>
    <s v="TA-25-799178"/>
    <s v="FO-25-1128861"/>
    <d v="2025-06-24T00:00:00"/>
    <d v="2025-06-26T00:00:00"/>
    <d v="2025-06-24T00:00:00"/>
    <d v="2025-06-26T00:00:00"/>
    <d v="2025-06-26T00:00:00"/>
    <s v="CAUCA"/>
    <s v="SANTANDER DE QUILICHAO"/>
    <s v="BARRIO CENTENARIO SANTANDER DE QUILICHAO 5"/>
    <n v="80062"/>
    <s v="CB CRECIMIENTO - NUEVO"/>
    <s v="APERTURA"/>
    <s v="REDEBAN"/>
    <s v="UNO A UNO"/>
    <s v="UNO A UNO"/>
    <s v="EJECUTADO"/>
    <s v="24-06 SE REALIZA LLAMADA AL CLIENTE, SE HABLA CON LA SRA JUAN JOSE DELGADO ARIAS SE VALIDA DIRECCIÓN OK, CANAL OK, DISPONIBILIDAD TOTAL, LLAMAR EL DÍA LA INSTALACIÓN PARA CONFIRMAR VISITA, AVISO EXTERIOR ALTURA APROX 3 METROS; TOMACORRIENTE CERCANO: SI; TIENE CABINA DE SEGURIDAD: NO - COMUNICACIÓN POR WPP / EL MODEM NO TIENE PUERTO DISPONIBLES LLEVAR SWITCH 26/6/2025 SE REALIZA INSTALACIÓN DE CORRESPONSAL, SE INSTALAN EQUIPOS CON PRUEBAS EXITOSAS, SE CAPACITA Y SE EVALÚA AL CLIENTE, SE INSTALA PUBLICIDAD COMPLETA, CB QUEDA OPERATIVO. USUARIO SOMOS BANCOLOMBIA ACTIVO. SE INSTALA WITCH QS013CC000233"/>
    <s v="MONTERO MUESES GIAN CARLO"/>
    <s v="SAXZZ504"/>
    <n v="1254318"/>
    <s v="N/A"/>
    <s v="1233700-243637317561365457309861"/>
    <s v="N/A"/>
    <s v="40 ROLLOS"/>
    <s v="TIPO II"/>
    <s v="TERRESTRE"/>
    <s v="VISITA _TECNICA"/>
    <n v="0"/>
    <n v="0"/>
    <n v="1"/>
    <n v="0"/>
    <n v="0"/>
    <n v="134410.38956000001"/>
    <n v="257391.81956"/>
  </r>
  <r>
    <s v="TUNJA"/>
    <x v="2"/>
    <x v="2"/>
    <n v="15681"/>
    <s v="TA-25-755896"/>
    <s v="FO-25-1085382"/>
    <d v="2025-06-13T00:00:00"/>
    <d v="2025-06-17T00:00:00"/>
    <d v="2025-06-13T00:00:00"/>
    <d v="2025-06-17T00:00:00"/>
    <d v="2025-06-17T00:00:00"/>
    <s v="BOYACA"/>
    <s v="SAN PABLO DE BORBUR"/>
    <s v="BARRIO CHACARO SAN PABLO DE BORBUR"/>
    <n v="79858"/>
    <s v="CB CRECIMIENTO - NUEVO"/>
    <s v="APERTURA"/>
    <s v="REDEBAN"/>
    <s v="UNO A UNO"/>
    <s v="UNO A UNO"/>
    <s v="EJECUTADO"/>
    <s v="13-06 SE REALIZA LLAMADA AL CLIENTE, SE HABLA CON LA SRA HEIDY TATIANA OSORIO RUEDA SE VALIDA DIRECCIÓN OK, CANAL OK, DISPONIBILIDAD TOTAL, LLAMAR EL DÍA LA INSTALACIÓN PARA CONFIRMAR VISITA, AVISO EXTERIOR ALTURA APROX CLEINTE NO TIENE CONOCIMIENTO DE MEDIDAS; TOMACORRIENTE CERCANO: SI; TIENE CABINA DE SEGURIDAD: NO // CONTACTO REALIZADO POR LA APP 16-06 ME ENCUENTRO EN RUTA HACIA LA ZONA DE CHIQUINQUIRÁ POR TEMAS DE TRASPORTE YA QUE NO ES MUY SEGUIDO NO SE LOGRARIA LLEGAR AL SITIO DE LA INSTALACION , EN COMUNICACIÓN CON EL CLIENTE LA SEÑORA TATIANA OSORIO AL NÚMERO CELULAR 3046464134 SE LE INDICA QUE SE ATENDERA ACTIVIDAD EL DÍA DE MAÑANA 17 JUNIO DEL 2025 EN TRANSCURSO DE DIA , CLIENTE CONFORME 17/6/2025 SE REALIZA INSTALACIÓN DE CORRESPONSAL, SE INSTALAN EQUIPOS CON PRUEBAS EXITOSAS, SE CAPACITA Y SE EVALÚA AL CLIENTE, SE INSTALA PUBLICIDAD COMPLETA, CB QUEDA OPERATIVO. USUARIO SOMOS BANCOLOMBIA ACTIVO. SE INTALO ROUTER E0682016411002194"/>
    <s v="ALVARADO MORENO CRISTHIAN"/>
    <s v="FAWZZ650"/>
    <n v="771689"/>
    <n v="869561"/>
    <n v="1071457"/>
    <s v="N/A"/>
    <s v="40 ROLLOS"/>
    <s v="TIPO IV"/>
    <s v="TERRESTRE"/>
    <s v="VISITA _TECNICA"/>
    <n v="0"/>
    <n v="0"/>
    <n v="0"/>
    <n v="1"/>
    <n v="0"/>
    <n v="464809.03136000002"/>
    <n v="306552.28452000004"/>
  </r>
  <r>
    <s v="NEIVA"/>
    <x v="4"/>
    <x v="5"/>
    <n v="18001"/>
    <s v="TA-25-755897"/>
    <s v="FO-25-1085384"/>
    <d v="2025-06-13T00:00:00"/>
    <d v="2025-06-17T00:00:00"/>
    <d v="2025-06-13T00:00:00"/>
    <d v="2025-06-17T00:00:00"/>
    <d v="2025-06-17T00:00:00"/>
    <s v="CAQUETA"/>
    <s v="FLORENCIA"/>
    <s v="BARRIO COOPERATIVA FLORENCIA 1"/>
    <n v="79866"/>
    <s v="CB CRECIMIENTO - NUEVO"/>
    <s v="APERTURA"/>
    <s v="REDEBAN"/>
    <s v="UNO A UNO"/>
    <s v="UNO A UNO"/>
    <s v="EJECUTADO"/>
    <s v="13-06 SE REALIZA LLAMADA AL CLIENTE, SE HABLA CON EL SR OINER RUIZ ALVAREZ  SE VALIDA DIRECCIÓN OK, CANAL OK, DISPONIBILIDAD TOTAL, LLAMAR EL DÍA LA INSTALACIÓN PARA CONFIRMAR VISITA, AVISO EXTERIOR ALTURA APROX 2 METROS; TOMACORRIENTE CERCANO: SI; TIENE CABINA DE SEGURIDAD: NO // CONTACTO REALIZADO POR LA APP 16-06 EN COMUNICACIÓN CON EL CLIENTE EL SEÑOR OINER RUIZ, AL NÚMERO 3115485300, INDICA QUE NOS PUEDE RECIBIR A PARTIR DE MAÑANA MARTES 17 DE JUNIO , EN EL TRANSCURSO DEL DIA.  17-06 SE REALIZA INSTALACIÓN DE CORRESPONSAL, SE INSTALAN EQUIPOS CON PRUEBAS EXITOSAS, SE CAPACITA Y SE EVALÚA AL CLIENTE, SE INSTALA PUBLICIDAD COMPLETA, CB QUEDA OPERATIVO. USUARIO SOMOS BANCOLOMBIA ACTIVO"/>
    <s v="DEVIA REINOSO JUAN CARLOS"/>
    <s v="FAWZZ651"/>
    <n v="1050463"/>
    <s v="N/A"/>
    <n v="1076442"/>
    <s v="N/A"/>
    <s v="40 ROLLOS"/>
    <s v="TIPO IV"/>
    <s v="TERRESTRE"/>
    <s v="VISITA _TECNICA"/>
    <n v="0"/>
    <n v="0"/>
    <n v="0"/>
    <n v="1"/>
    <n v="0"/>
    <n v="464809.03136000002"/>
    <n v="306552.28452000004"/>
  </r>
  <r>
    <s v="TUNJA"/>
    <x v="2"/>
    <x v="2"/>
    <n v="15759"/>
    <s v="TA-25-684764"/>
    <s v="FO-25-1033867"/>
    <d v="2025-05-30T00:00:00"/>
    <d v="2025-06-04T00:00:00"/>
    <d v="2025-05-30T00:00:00"/>
    <d v="2025-06-05T00:00:00"/>
    <d v="2025-06-05T00:00:00"/>
    <s v="BOYACA"/>
    <s v="SOGAMOSO"/>
    <s v="BARRIO LA PRADERA SOGAMOSO  3"/>
    <n v="79655"/>
    <s v="CB CRECIMIENTO - NUEVO"/>
    <s v="APERTURA"/>
    <s v="REDEBAN"/>
    <s v="UNO A UNO"/>
    <s v="UNO A UNO"/>
    <s v="EJECUTADO"/>
    <s v="30-05-2025 SE REALIZA LLAMADA AL CLIENTE, SE HABLA CON LA SRA LADIS ESPERANZA SOSA AMAROI SE VALIDA DIRECCIÓN OK, CANAL OK, DISPONIBILIDAD TOTAL, LLAMAR EL DÍA LA INSTALACIÓN PARA CONFIRMAR VISITA, AVISO EXTERIOR ALTURA APROX 3 METROS; TOMACORRIENTE CERCANO: SI; TIENE CABINA DE SEGURIDAD: NO // CONTACTO REALIZADO POR LA APP 3/6/2025 SE VISITA COMERCIO ,LA  INSTALACIÓN EL DIA DE HOY ES FALLIDA COMERCIO SIN COMUNICACION  RED DE INTERNET ,EL USUARIO INDICA QUE SE COMUNICARA CON EL PROVEDOR DEL INTERNET PARA QUE HABILITE LA  RED DE COMUNICACIÓN EN EL COMERCIO A INSTALAR , SE REPROGRAMA VISITA PARA EL DIA JUEVES 05 DE JUNIO DEL 2025 INDICA QUE PARA ESE DIA TENDRIA LISTO EL PUNTO DE INTERNET 5/6/2025 SE REALIZA INSTALACIÓN DE CORRESPONSAL, SE INSTALAN EQUIPOS CON PRUEBAS EXITOSAS, SE CAPACITA Y SE EVALÚA AL CLIENTE, SE INSTALA PUBLICIDAD COMPLETA, CB QUEDA OPERATIVO. USUARIO SOMOS BANCOLOMBIA ACTIVO"/>
    <s v="ALVARADO MORENO CRISTHIAN"/>
    <s v="SXUZZ181"/>
    <n v="793119"/>
    <s v="N/A"/>
    <n v="905615"/>
    <s v="N/A"/>
    <s v="40 ROLLOS"/>
    <s v="TIPO II"/>
    <s v="TERRESTRE"/>
    <s v="VISITA _TECNICA"/>
    <n v="0"/>
    <n v="0"/>
    <n v="0"/>
    <n v="0"/>
    <n v="1"/>
    <n v="134410.38956000001"/>
    <n v="134410.38956000001"/>
  </r>
  <r>
    <s v="MEDELLIN"/>
    <x v="0"/>
    <x v="0"/>
    <n v="5079"/>
    <s v="TA-25-684795"/>
    <s v="FO-25-1050326"/>
    <d v="2025-05-30T00:00:00"/>
    <d v="2025-06-04T00:00:00"/>
    <d v="2025-05-30T00:00:00"/>
    <d v="2025-06-09T00:00:00"/>
    <d v="2025-06-09T00:00:00"/>
    <s v="ANTIOQUIA"/>
    <s v="BARBOSA"/>
    <s v="BARRIO BARBOSA AUTOPISTA BARBOSA"/>
    <n v="79623"/>
    <s v="CB CRECIMIENTO - NUEVO"/>
    <s v="APERTURA"/>
    <s v="REDEBAN"/>
    <s v="UNO A UNO"/>
    <s v="UNO A UNO"/>
    <s v="EJECUTADO"/>
    <s v="30-05 SE REALIZA LLAMADA AL CLIENTE, SE HABLA CON LA SRA LIZETH MARIANA GALINDO ORTIZ, SE VALIDA DIRECCIÓN OK, CANAL OK, DISPONIBILIDAD TOTAL, LLAMAR EL DÍA LA INSTALACIÓN PARA CONFIRMAR VISITA, AVISO EXTERIOR ALTURA APROX DONDE EL TECNICO LO VEA CONVENIENTE   METROS; TOMACORRIENTE CERCANO: SI; TIENE CABINA DE SEGURIDAD: NO 4/6/2025 LLEGAMOS A SITIO ENCONTRANDO OTRO PUNTO CERCANO A 30 METROS CODIGO 49691 PTM BARBOSA DROGUERÍA SE ESCALA CASO POR CERCANÍA DE 2 PUNTOS UNO DE AGREGADOR Y OTRO UNO A UNO. 05-06 ENTIDAD APRUEBA INSTALACIÓN 9/6/2025 SE REALIZA INSTALACIÓN DE CORRESPONSAL, SE INSTALAN EQUIPOS CON PRUEBAS EXITOSAS, SE CAPACITA Y SE EVALÚA AL CLIENTE, SE INSTALA PUBLICIDAD COMPLETA, CB QUEDA OPERATIVO. PLATAFORMA SOMOS BANCOLOMBIA CON CORREO ERRÓNEO, SE CAPACITA CON USUARIO DE PRUEBA "/>
    <s v="BADEL ACUÑA LUIS ALBERTO"/>
    <s v="SXUZZ149"/>
    <n v="1173964"/>
    <s v="N/A"/>
    <n v="529350"/>
    <s v="N/A"/>
    <s v="40 ROLLOS"/>
    <s v="TIPO II"/>
    <s v="TERRESTRE"/>
    <s v="VISITA _TECNICA"/>
    <n v="0"/>
    <n v="0"/>
    <n v="0"/>
    <n v="0"/>
    <n v="1"/>
    <n v="134410.38956000001"/>
    <n v="134410.38956000001"/>
  </r>
  <r>
    <s v="BARRANQUILLA"/>
    <x v="5"/>
    <x v="6"/>
    <n v="8001"/>
    <s v="TA-25-684828"/>
    <s v="FO-25-1035630"/>
    <d v="2025-05-30T00:00:00"/>
    <d v="2025-06-04T00:00:00"/>
    <d v="2025-05-30T00:00:00"/>
    <d v="2025-06-04T00:00:00"/>
    <d v="2025-06-04T00:00:00"/>
    <s v="ATLANTICO"/>
    <s v="BARRANQUILLA"/>
    <s v="BARRIO LA VICTORIA BARRANQUILLA  2"/>
    <n v="79597"/>
    <s v="CB CRECIMIENTO - NUEVO"/>
    <s v="APERTURA"/>
    <s v="REDEBAN"/>
    <s v="UNO A UNO"/>
    <s v="UNO A UNO"/>
    <s v="EJECUTADO"/>
    <s v="30-05 SE REALIZA LLAMADA AL CLIENTE, SE HABLA CON LA SR LUIS GUILLERMO SERJE RAPELLO VALIDA DIRECCIÓN  OK, DISPONIBILIDAD TOTAL, LLAMAR EL DÍA LA INSTALACIÓN PARA CONFIRMAR VISITA, AVISO EXTERIOR ALTURA APROX 2.00  METROS; TOMACORRIENTE CERCANO: SI; TIENE CABINA DE SEGURIDAD:  USUARIO TIENE REJA   03-06 SE LOGRA COMUNICACION VÍA WASHAP AL NÚMERO 3008485338, Y ME CONTESTA LA SEÑORA MARIANELA CANTILLO, CON QUIÉN SE ACUERDA LLEGAR TIPO 11 AM PARA ATENDERME, SE LLAMA A SITIO, PERO NO CONTESTAN WASHAP, NO LE ENTRAN MENSAJES NI LLAMADAS , ES UN CONJUNTO CERRADO, PERO ME DICE EL VIGILANTE QUE ESTÁ A LA VUELTA ,SE DA LA VUELTA A LA MANZANA PERO NO SE LOGRA VER EL LOCAL, ME VOY A OTRO SITIO HACER OTRA ACTIVIDAD, Y AHORA EN LAS HORAS DE LA TARDE REGRESO, ESTÁ VEZ SI ME CONTESTAN LOS MENSAJES INDICANDOME QUE DÉBIDO AL PARO EN FUNDACIÓN, NO PUDO REGRESAR, QUE POR FAVOR REAGENDE LA VISITA PARA MAÑANA 4 DE JUNIO 4/6/2025 SE REALIZA INSTALACIÓN DE CORRESPONSAL, SE INSTALAN EQUIPOS CON PRUEBAS EXITOSAS, SE CAPACITA Y SE EVALÚA AL CLIENTE, SE INSTALA PUBLICIDAD COMPLETA, CB QUEDA OPERATIVO. USUARIO SOMOS BANCOLOMBIA ACTIVO"/>
    <s v="DE AVILA SIADES ALBERTO ENRIQUE"/>
    <s v="SXUZZ123"/>
    <n v="1045719"/>
    <s v="N/A"/>
    <n v="905781"/>
    <s v="N/A"/>
    <s v="40 ROLLOS"/>
    <s v="TIPO I"/>
    <s v="TERRESTRE"/>
    <s v="VISITA _TECNICA"/>
    <n v="0"/>
    <n v="0"/>
    <n v="0"/>
    <n v="0"/>
    <n v="1"/>
    <n v="44559.984800000006"/>
    <n v="44559.984800000006"/>
  </r>
  <r>
    <s v="BOGOTA"/>
    <x v="3"/>
    <x v="3"/>
    <n v="11001"/>
    <s v="TA-25-716040"/>
    <s v="FO-25-1047078"/>
    <d v="2025-06-05T00:00:00"/>
    <d v="2025-06-09T00:00:00"/>
    <d v="2025-06-05T00:00:00"/>
    <d v="2025-06-06T00:00:00"/>
    <d v="2025-06-06T00:00:00"/>
    <s v="CUNDINAMARCA"/>
    <s v="BOGOTA"/>
    <s v="PTM BOGOTA MC RAM"/>
    <n v="79688"/>
    <s v="CB CRECIMIENTO ALIANZA - NUEVO"/>
    <s v="APERTURA"/>
    <s v="REDEBAN"/>
    <s v="AGREGADOR"/>
    <s v="COMCARD - PTM"/>
    <s v="EJECUTADO/CANCELADO"/>
    <s v="05-06 PROGRAMACIÓN REALIZADA POR LA ALIANZA  6/6/2025 NO ES POSIBLE REALIZAR APERTURA YA QUE EL CLIENTE MANEJA MÁS CORRESPONSALES EN EL PUNTO"/>
    <s v="SOTO LONDOÑO FREDY ALEXANDER"/>
    <s v="V1YZZ430"/>
    <s v="N/A"/>
    <s v="N/A"/>
    <s v="N/A"/>
    <s v="N/A"/>
    <n v="0"/>
    <s v="TIPO I"/>
    <s v="TERRESTRE"/>
    <s v="VISITA _TECNICA"/>
    <n v="0"/>
    <n v="0"/>
    <n v="0"/>
    <n v="0"/>
    <n v="1"/>
    <n v="44559.984800000006"/>
    <n v="44559.984800000006"/>
  </r>
  <r>
    <s v="PASTO"/>
    <x v="1"/>
    <x v="1"/>
    <n v="52001"/>
    <s v="TA-25-716049"/>
    <s v="FO-25-1047093"/>
    <d v="2025-06-05T00:00:00"/>
    <d v="2025-06-09T00:00:00"/>
    <d v="2025-06-05T00:00:00"/>
    <d v="2025-06-09T00:00:00"/>
    <d v="2025-06-09T00:00:00"/>
    <s v="NARIÑO"/>
    <s v="PASTO"/>
    <s v="PTM PASTO MAS BELLA PELUQUERIA"/>
    <n v="78990"/>
    <s v="CB CRECIMIENTO ALIANZA - OTRAS LISTAS"/>
    <s v="APERTURA"/>
    <s v="REDEBAN"/>
    <s v="AGREGADOR"/>
    <s v="COMCARD - PTM"/>
    <s v="EJECUTADO/CANCELADO"/>
    <s v="05-06 PROGRAMACIÓN REALIZADA POR LA ALIANZA 6/6/2025 SE REALIZA VISITA DE APERTURA AL CB PTM CON CÓDIGO 3007078990 PTM PASTO MAS BELLA PELUQUERIA , DIRECCIÓN  CR 32 NO 16 A 07  , COORDENADAS  1.219494, -77.283634, PERO SE ENCUENTRA CERCANÍA CON  CORRESPONSAL UNO A UNO INSTALADO CON CÓDIGO 3007014514 BARRIO LAS AMERICAS V , DIRECCIÓN CR 32 NO 16 A 18,  COORDENADAS 1.219484, -77.283534, QUEDANDO A MENOS DE 10 MTS DE DISTANCIA UNO DEL OTRO,  SE REALIZA ESCALAMIENTO POR CERCANÍA EN ESPERA DE  COMO PROCEDER. 9/6/2025 ENTIDAD SOLICITA CANCELAR ACTIVIDAD"/>
    <s v="REMICIO AMADO JOHN HEBER"/>
    <s v="FATZZ360"/>
    <s v="N/A"/>
    <s v="N/A"/>
    <s v="N/A"/>
    <s v="N/A"/>
    <n v="0"/>
    <s v="TIPO I"/>
    <s v="TERRESTRE"/>
    <s v="VISITA _TECNICA"/>
    <n v="0"/>
    <n v="0"/>
    <n v="0"/>
    <n v="0"/>
    <n v="1"/>
    <n v="44559.984800000006"/>
    <n v="44559.984800000006"/>
  </r>
  <r>
    <s v="PASTO"/>
    <x v="1"/>
    <x v="1"/>
    <n v="52399"/>
    <s v="TA-25-722197"/>
    <s v="FO-25-1078152"/>
    <d v="2025-06-09T00:00:00"/>
    <d v="2025-06-11T00:00:00"/>
    <d v="2025-06-09T00:00:00"/>
    <d v="2025-06-16T00:00:00"/>
    <d v="2025-06-16T00:00:00"/>
    <s v="NARIÑO"/>
    <s v="LA UNION"/>
    <s v="PTM LA UNION MAS BELLA FAJAS Y"/>
    <n v="79724"/>
    <s v="CB CRECIMIENTO ALIANZA - NUEVO"/>
    <s v="APERTURA"/>
    <s v="REDEBAN"/>
    <s v="AGREGADOR"/>
    <s v="COMCARD - PTM"/>
    <s v="EJECUTADO"/>
    <s v="09-06 PROGRAMACIÓN REALIZADA POR LA ALIANZA 11/6/2025 SE REALIZA VISITA DE APERTURA AL CB PTM CON CÓDIGO 3007079724 PTM LA UNION MAS BELLA FAJAS , DIRECCIÓN  CL 13 CS 7 -54  , COORDENADAS  1.600294, -77.132148, PERO SE ENCUENTRA CERCANÍA CON  CORRESPONSAL DISTRICOL INSTALADO CON CÓDIGO 3007041205 DISTRICOL CYBERTRONICA , DIRECCIÓN CL 13 3 12,  COORDENADAS 1.600144,  -77.132003, QUEDANDO A MENOS DE 30 MTS DE DISTANCIA UNO DEL OTRO,  SE REALIZA ESCALAMIENTO POR CERCANÍA EN ESPERA DE  COMO PROCEDER. SE ANOTA QUE EL TECNICO AL LLEGAR INSPECCIONO LA ZONA DESDE LA ENTRADA PRINCIPAL DEL CB A INSTALAR Y NO ENCONTRO CERCANIA, PROCEDIO A INICIALIZAR EL EQUIPO, PERO AL PERCATARSE QUE ESTE TENIA OTRO INGRESO SE VALIDA HACIA ESA PARTE Y SE ENCUENTRA LA CERCANIA.  12/06/2025 ENTIDAD APRUEBA INSTALACIÓN 16/6/2025 SE REALIZA INSTALACIÓN DE CORRESPONSAL, SE INSTALAN EQUIPOS CON PRUEBAS EXITOSAS, SE CAPACITA Y SE EVALÚA AL CLIENTE, SE INSTALA PUBLICIDAD COMPLETA, CB QUEDA OPERATIVO. USUARIO SOMOS BANCOLOMBIA ACTIVO"/>
    <s v="PAZ MARTINEZ RICHARD HUMBERTO"/>
    <s v="F1WZZ970"/>
    <n v="1072759"/>
    <s v="N/A"/>
    <n v="940722"/>
    <s v="N/A"/>
    <s v="40 ROLLOS"/>
    <s v="TIPO III"/>
    <s v="TERRESTRE"/>
    <s v="VISITA _TECNICA"/>
    <n v="0"/>
    <n v="0"/>
    <n v="0"/>
    <n v="0"/>
    <n v="1"/>
    <n v="222904.27188000001"/>
    <n v="222904.27188000001"/>
  </r>
  <r>
    <s v="CALI"/>
    <x v="1"/>
    <x v="1"/>
    <n v="76001"/>
    <s v="TA-25-722209"/>
    <s v="FO-25-1063504"/>
    <d v="2025-06-09T00:00:00"/>
    <d v="2025-06-11T00:00:00"/>
    <d v="2025-06-09T00:00:00"/>
    <d v="2025-06-10T00:00:00"/>
    <d v="2025-06-10T00:00:00"/>
    <s v="VALLE DEL CAUCA"/>
    <s v="CALI"/>
    <s v="PTM CALI PAPELERIA Y COMUNICAC"/>
    <n v="79694"/>
    <s v="CB CRECIMIENTO ALIANZA - OTRAS LISTAS"/>
    <s v="APERTURA"/>
    <s v="REDEBAN"/>
    <s v="AGREGADOR"/>
    <s v="COMCARD - PTM"/>
    <s v="EJECUTADO/CANCELADO"/>
    <s v="09-06 PROGRAMACIÓN REALIZADA POR LA ALIANZA  10/6/2025  SE REALIZA VISITA AL PUNTO CB 3007079694 PTM CALI PAPELERIA Y COMUNICACIONES, PARA REALIZAR IMPLEMENTACIÓN ,PERO AL LLEGAR AL SITIO SE ENCUENTRA QUE ALLÍ EN LA DIRECCION REGISTRADA PARA LA APERTURA BANCOLOMBIA OPERA UN PUNTO CORRESPONSAL BANCO DE BOGOTA ACTIVO POR LO CUAL SE PROCEDE A REALIZAR CANCELACIÓN DE DICHA IMPLEMENTACIÓN Y SE GENERA EL REPORTE PERTINENTE, AL LLEGAR EL LOCAL SE ENCUENTRA CERRADO, SE INTENTA COMUNICACION CON EL CLIENTE PERO NO ATIENDE LAS LLAMADAS, SE LE DEJA MENSAJE DE LA NOVEDAD ENCONTRADA."/>
    <s v="SANCHEZ URREGO ROBINSON DAVID"/>
    <s v="V1YZZ436"/>
    <s v="N/A"/>
    <s v="N/A"/>
    <s v="N/A"/>
    <s v="N/A"/>
    <n v="0"/>
    <s v="TIPO I"/>
    <s v="TERRESTRE"/>
    <s v="VISITA _TECNICA"/>
    <n v="0"/>
    <n v="0"/>
    <n v="0"/>
    <n v="0"/>
    <n v="1"/>
    <n v="44559.984800000006"/>
    <n v="44559.984800000006"/>
  </r>
  <r>
    <s v="IBAGUE"/>
    <x v="4"/>
    <x v="5"/>
    <n v="73585"/>
    <s v="TA-25-721955"/>
    <s v="FO-25-1072237"/>
    <d v="2025-06-09T00:00:00"/>
    <d v="2025-06-11T00:00:00"/>
    <d v="2025-06-09T00:00:00"/>
    <d v="2025-06-11T00:00:00"/>
    <d v="2025-06-11T00:00:00"/>
    <s v="TOLIMA"/>
    <s v="PURIFICACION"/>
    <s v="BARRIO PLAZA DE FERIAS PURIFICACION"/>
    <n v="79785"/>
    <s v="CB CRECIMIENTO - NUEVO"/>
    <s v="APERTURA"/>
    <s v="REDEBAN"/>
    <s v="UNO A UNO"/>
    <s v="UNO A UNO"/>
    <s v="EJECUTADO"/>
    <s v="06-06 SE REALIZA LLAMADA AL CLIENTE, SE HABLA CON LA SR ARIEL MARTINEZ PERALTA SE VALIDA DIRECCIÓN OK, CANAL OK, DISPONIBILIDAD TOTAL, LLAMAR EL DÍA LA INSTALACIÓN PARA CONFIRMAR VISITA, AVISO EXTERIOR ALTURA APROX 3.20 METROS; TOMACORRIENTE CERCANO: SI; TIENE CABINA DE SEGURIDAD: NO  10-6 SE VISITA COMERCIO PERO NO SE LOGRA TERMINAR LA ACTIVIDAD PORQUE EL USUARIO YA VA A CERRAR, SE DEBE CONTINUAR EL DIA SIGUIENTE 11-06 SE REALIZA INSTALACIÓN DE CORRESPONSAL, SE INSTALAN EQUIPOS CON PRUEBAS EXITOSAS, SE CAPACITA Y SE EVALÚA AL CLIENTE, SE INSTALA PUBLICIDAD COMPLETA, CB QUEDA OPERATIVO. USUARIO SOMOS BANCOLOMBIA ACTIVO"/>
    <s v="GUTIERREZ  CAMILO ANDRES"/>
    <s v="F1XZZ060"/>
    <n v="810162"/>
    <s v="N/A"/>
    <n v="905326"/>
    <s v="N/A"/>
    <s v="40 ROLLOS"/>
    <s v="TIPO II"/>
    <s v="TERRESTRE"/>
    <s v="VISITA _TECNICA"/>
    <n v="0"/>
    <n v="0"/>
    <n v="0"/>
    <n v="0"/>
    <n v="1"/>
    <n v="134410.38956000001"/>
    <n v="134410.38956000001"/>
  </r>
  <r>
    <s v="CUCUTA"/>
    <x v="2"/>
    <x v="2"/>
    <n v="54498"/>
    <s v="TA-25-721958"/>
    <s v="FO-25-1063081"/>
    <d v="2025-06-09T00:00:00"/>
    <d v="2025-06-11T00:00:00"/>
    <d v="2025-06-09T00:00:00"/>
    <d v="2025-06-10T00:00:00"/>
    <d v="2025-06-10T00:00:00"/>
    <s v="NORTE DE SANTANDER"/>
    <s v="OCAÑA"/>
    <s v="BARRIO EL CENTRO OCAÑA 8"/>
    <n v="79814"/>
    <s v="CB CRECIMIENTO - NUEVO"/>
    <s v="APERTURA"/>
    <s v="REDEBAN"/>
    <s v="UNO A UNO"/>
    <s v="UNO A UNO"/>
    <s v="EJECUTADO/CANCELADO"/>
    <s v="09-06 SE REALIZA LLAMADA AL CLIENTE, SE HABLA CON LA SRA LAURA SMIRTH LOPEZ RAMIREZ SE VALIDA DIRECCIÓN OK, CANAL OK, DISPONIBILIDAD TOTAL, LLAMAR EL DÍA LA INSTALACIÓN PARA CONFIRMAR VISITA, AVISO EXTERIOR ALTURA APROX 3 METROS; TOMACORRIENTE CERCANO: SI; TIENE CABINA DE SEGURIDAD: SI 10/6/2025 SE LLEGA AL SITIO   DE LA ORDEN, DONDE SE IDENTIFICA QUE A POCOS METROS SE ENCUENTRA YA UN CORRESPONSAL DE ALIANZA DISTRICOL  EN LA CALLE 10  #11-25 CENTRO OCAÑA  CB:47707 DISTRICOL PIÑATERIA  SE ESCALA APERTURA PARA CONFIRMAR SI PODEMOS PROCEDER CON LA ORDEN O SI CANCELARNOS.10/6/2025 ENTIDAD SOLIICTA NO IMPLEMENTAR"/>
    <s v="GELVEZ MOGOLLON JOSE ELISEO"/>
    <s v="F1XZZ062"/>
    <s v="N/A"/>
    <s v="N/A"/>
    <s v="N/A"/>
    <s v="N/A"/>
    <n v="0"/>
    <s v="TIPO IV"/>
    <s v="TERRESTRE"/>
    <s v="VISITA _TECNICA"/>
    <n v="0"/>
    <n v="0"/>
    <n v="0"/>
    <n v="0"/>
    <n v="1"/>
    <n v="464809.03136000002"/>
    <n v="464809.03136000002"/>
  </r>
  <r>
    <s v="BUCARAMANGA"/>
    <x v="2"/>
    <x v="2"/>
    <n v="68679"/>
    <s v="TA-25-741690"/>
    <s v="FO-25-1084320"/>
    <d v="2025-06-10T00:00:00"/>
    <d v="2025-06-12T00:00:00"/>
    <d v="2025-06-10T00:00:00"/>
    <d v="2025-06-13T00:00:00"/>
    <d v="2025-06-13T00:00:00"/>
    <s v="SANTANDER"/>
    <s v="SAN GIL"/>
    <s v="PTM SAN GIL TIENDA DE ROPA SOY"/>
    <n v="79835"/>
    <s v="CB CRECIMIENTO ALIANZA - NUEVO"/>
    <s v="APERTURA"/>
    <s v="REDEBAN"/>
    <s v="AGREGADOR"/>
    <s v="COMCARD - PTM"/>
    <s v="EJECUTADO/CANCELADO"/>
    <s v="11-06 PROGRAMACIÓN REALIZADA POR LA ALIANZA 12/6/2025 SE LLEGA AL SITIO   DE LA ORDEN, DONDE SE IDENTIFICA QUE A POCOS METROS SE ENCUENTRA YA UN CORRESPONSAL EN LA CALLE 10  #10-54 SANGIL   CB:74611 BARRIO CENTRO SANGIL SE ESCALA APERTURA PARA CONFIRMAR SI PODEMOS PROCEDER CON LA ORDEN O SI CANCELARNOS. 13/6/2025 ENTIDAD SOLICITA CANCELAR ACTIVIDAD"/>
    <s v="HERRERA LUQUE SAUL JAVIER"/>
    <s v="FAVZZ675"/>
    <s v="N/A"/>
    <s v="N/A"/>
    <s v="N/A"/>
    <s v="N/A"/>
    <n v="0"/>
    <s v="TIPO II"/>
    <s v="TERRESTRE"/>
    <s v="VISITA _TECNICA"/>
    <n v="0"/>
    <n v="0"/>
    <n v="0"/>
    <n v="0"/>
    <n v="1"/>
    <n v="134410.38956000001"/>
    <n v="134410.38956000001"/>
  </r>
  <r>
    <s v="CALI"/>
    <x v="1"/>
    <x v="1"/>
    <n v="76248"/>
    <s v="TA-25-736407"/>
    <s v="FO-25-1073950"/>
    <d v="2025-06-11T00:00:00"/>
    <d v="2025-06-13T00:00:00"/>
    <d v="2025-06-11T00:00:00"/>
    <d v="2025-06-12T00:00:00"/>
    <d v="2025-06-12T00:00:00"/>
    <s v="VALLE DEL CAUCA"/>
    <s v="EL CERRITO"/>
    <s v="BARRIO CENTRO EL CERRITO 14"/>
    <n v="79846"/>
    <s v="CB CRECIMIENTO - NUEVO"/>
    <s v="APERTURA"/>
    <s v="REDEBAN"/>
    <s v="UNO A UNO"/>
    <s v="UNO A UNO"/>
    <s v="EJECUTADO/CANCELADO"/>
    <s v="11-06 SE REALIZA LLAMADA AL CLIENTE, SE HABLA CON EL SR JAVIER MAURICIO PLAZA VARGAS, SE VALIDA DIRECCIÓN OK, CANAL OK, DISPONIBILIDAD TOTAL, LLAMAR EL DÍA LA INSTALACIÓN PARA CONFIRMAR VISITA, AVISO EXTERIOR ALTURA APROX DONDE EL TECNICO LO VEA CONVENIENTE; TOMACORRIENTE CERCANO: SI; TIENE CABINA DE SEGURIDAD: NO 12/6/2025 SE CANCELA LA INSTALACIÓN SEL SERVICIO POR MOTIVO QUE EL COMERCIO TIENE INCONVENIENTE CON LA CONEXIÓN DE LA RED LAN. SE INTENTO COMUNICACION DE DIFERENTES FORMA Y VARIAS IP FIJAS Y NO FUE POSIBLE.  MÓDEM SE ENCUENTRA CONFIGURADO PADA CONEXIÓN BAJO IP FIJA. SE LE INDICA A EL COMERCIO QUE SE DEBE DE COMUNICAR CON EL OPERADOR DE RED PARA LA SOLUCIÓN DEL INCONVENIENTE."/>
    <s v="TORRES GARCIA JENDRY JOSE"/>
    <s v="FAUZZ211"/>
    <s v="N/A"/>
    <s v="N/A"/>
    <s v="N/A"/>
    <s v="N/A"/>
    <n v="0"/>
    <s v="TIPO II"/>
    <s v="TERRESTRE"/>
    <s v="VISITA _TECNICA"/>
    <n v="0"/>
    <n v="0"/>
    <n v="0"/>
    <n v="0"/>
    <n v="1"/>
    <n v="134410.38956000001"/>
    <n v="134410.38956000001"/>
  </r>
  <r>
    <s v="NEIVA"/>
    <x v="4"/>
    <x v="5"/>
    <n v="18001"/>
    <s v="TA-25-755889"/>
    <s v="FO-25-1085356"/>
    <d v="2025-06-13T00:00:00"/>
    <d v="2025-06-17T00:00:00"/>
    <d v="2025-06-13T00:00:00"/>
    <d v="2025-06-17T00:00:00"/>
    <d v="2025-06-17T00:00:00"/>
    <s v="CAQUETA"/>
    <s v="FLORENCIA"/>
    <s v="BARRIO CENTRO FLORENCIA 38"/>
    <n v="79863"/>
    <s v="CB CRECIMIENTO - NUEVO"/>
    <s v="APERTURA"/>
    <s v="REDEBAN"/>
    <s v="UNO A UNO"/>
    <s v="UNO A UNO"/>
    <s v="EJECUTADO/CANCELADO"/>
    <s v="13-06 SE REALIZA LLAMADA AL CLIENTE, SE HABLA CON EL SR JUAN CAMILO SANCHEZ SILVA  SE VALIDA DIRECCIÓN OK, CANAL OK, DISPONIBILIDAD TOTAL, LLAMAR EL DÍA LA INSTALACIÓN PARA CONFIRMAR VISITA, AVISO EXTERIOR ALTURA APROX 2,50 METROS; TOMACORRIENTE CERCANO: SI; TIENE CABINA DE SEGURIDAD: SI // CONTACTO REALIZADO POR LA APP 16-06 SE REALIZÓ VISITA PARA IMPLEMENTACIÓN DEL CB 79863, PERO SE EVIDENCIA QUE EL COMERCIO ESTA UBICADO EN LA CARRERA 16 # 15 – 37 EN UN LOCAL DE ESA DIRECCIÓN, SIN EMBARGO EL USUARIO INDICA QUE AHÍ LA DIRECCIÓN ES CARRERA 16 # 15 – 36, NOS ENTREGA CÁMARA DE COMERCIO Y RECIBO DE SERVICIOS PÚBLICOS Y ESTOS COINCIDEN, SE VALIDA  LA ACERA DONDE EL USUARIO INDICA Y ESTA ES LA ACERA  DONDE VAN LAS DIRECCIONES DE NÚMEROS IMPARES, TAMBIÉN SE VALIDAN EN LOS LOCALES QUE ESTÁN EN LA DIRECCIÓN Y SE EVIDENCIA QUE HAY UNO DICE QUE CARRERA 16 # 15 – 37 LOCAL 4,  ADEMÁS DONDE EL USUARIO DICE INSTALAR TIENE OTRO NOMBRE DE COMERCIO DIFERENTE AL QUE SE RELACIONA EN LISTA DE CHEQUEO. POR FAVOR NOS INDICAN COMO PROCEDER. 17/6/2025 SE CANCELA ACTIVIDAD POR DIRECCIÓN ERRADA"/>
    <s v="DEVIA REINOSO JUAN CARLOS"/>
    <s v="FAWZZ645"/>
    <s v="N/A"/>
    <s v="N/A"/>
    <s v="N/A"/>
    <s v="N/A"/>
    <n v="0"/>
    <s v="TIPO IV"/>
    <s v="TERRESTRE"/>
    <s v="VISITA _TECNICA"/>
    <n v="0"/>
    <n v="0"/>
    <n v="0"/>
    <n v="0"/>
    <n v="1"/>
    <n v="464809.03136000002"/>
    <n v="464809.03136000002"/>
  </r>
  <r>
    <s v="SINCELEJO"/>
    <x v="5"/>
    <x v="6"/>
    <n v="70001"/>
    <s v="TA-25-791004"/>
    <s v="FO-25-1114527"/>
    <d v="2025-06-18T00:00:00"/>
    <d v="2025-06-20T00:00:00"/>
    <d v="2025-06-18T00:00:00"/>
    <d v="2025-06-25T00:00:00"/>
    <d v="2025-06-25T00:00:00"/>
    <s v="SUCRE"/>
    <s v="SINCELEJO"/>
    <s v="DISTRICOL DROGAS C&amp;P"/>
    <n v="79913"/>
    <s v="CB CRECIMIENTO ALIANZA - NUEVO"/>
    <s v="APERTURA"/>
    <s v="REDEBAN"/>
    <s v="AGREGADOR"/>
    <s v="DISTRICOL"/>
    <s v="EJECUTADO"/>
    <s v="18-06 PROGRAMACIÓN REALIZADA POR LA ALIANZA 19/6/2025 NOTA: SE REALIZA VISITA PARA IMPLEMENTACIÓN CB 79913 BANCOLOMBIA, PERO SEGÚN LAS COORDENADAS TOMADAS POR  GOOGLE MAPS NOS DA UNA DIRECCIÓN DIFERENTE, EL COMERCIO INDICA QUE SIEMPRE HA ESTADO EN ESA DIRECCIÓN CR 17E # 42D 42 BRR NORMANDIA Y LA CÁMARA DE COMERCIO Y EL RECIBO DE SERVICIOS PÚBLICOS COINCIDEN CON LA DE LA LISTA DE CHEQUEO, SE VALIDA EN UNA CASA VECINA Y TIENE LA DIRECCIÓN CR 17E # 42D-62, ES DECIR QUE AL PARECER POR GOOGLE MAPS LA DIRECCIÓN ES ERRADA Y ES COMO LA QUE INDICA EN LISTA DE CHEQUEO Y EL USUARIO. 19-06 SE VISITA COMERCIO PARA LA INSTALACIÓN DEL CB, PERO NO ES POSIBLE REALIZAR LA INSTALACIÓN PORQUE NO CUENTA CON CANAL DE INTERNET EN SITIO, SE REPROGRAMA LA VISITA. 25/6/2025 SE REALIZA INSTALACIÓN DE CORRESPONSAL, SE INSTALAN EQUIPOS CON PRUEBAS EXITOSAS, SE CAPACITA Y SE EVALÚA AL CLIENTE, SE INSTALA PUBLICIDAD COMPLETA, CB QUEDA OPERATIVO. USUARIO SOMOS BANCOLOMBIA ACTIVO. LAS COORDENADAS TOMADAS EN EL COMERCIO NO COINCIDE  CON LA DIRECCIÓN."/>
    <s v="SANTOS GUZMAN CHRISTIAN FELIPE"/>
    <s v="SAUZZ970"/>
    <n v="1021451"/>
    <s v="N/A"/>
    <n v="932263"/>
    <s v="N/A"/>
    <s v="40 ROLLOS"/>
    <s v="TIPO I"/>
    <s v="TERRESTRE"/>
    <s v="VISITA _TECNICA"/>
    <n v="0"/>
    <n v="0"/>
    <n v="0"/>
    <n v="0"/>
    <n v="1"/>
    <n v="44559.984800000006"/>
    <n v="44559.984800000006"/>
  </r>
  <r>
    <s v="MEDELLIN"/>
    <x v="0"/>
    <x v="0"/>
    <n v="5001"/>
    <s v="TA-25-790517"/>
    <s v="FO-25-1106932"/>
    <d v="2025-06-18T00:00:00"/>
    <d v="2025-06-20T00:00:00"/>
    <d v="2025-06-18T00:00:00"/>
    <d v="2025-06-19T00:00:00"/>
    <d v="2025-06-19T00:00:00"/>
    <s v="ANTIOQUIA"/>
    <s v="MEDELLIN"/>
    <s v="BARRIO BELEN LOS ALPES MEDELLIN 2"/>
    <n v="79964"/>
    <s v="CB CRECIMIENTO - NUEVO"/>
    <s v="APERTURA"/>
    <s v="REDEBAN"/>
    <s v="UNO A UNO"/>
    <s v="UNO A UNO"/>
    <s v="EJECUTADO/CANCELADO"/>
    <s v="17-06 SE REALIZA LLAMADA AL CLIENTE, SE HABLA CON LA SRA ZULAY RAMIREZ OSORNO SE VALIDA DIRECCIÓN OK, CANAL OK, DISPONIBILIDAD TOTAL, LLAMAR EL DÍA LA INSTALACIÓN PARA CONFIRMAR VISITA, AVISO EXTERIOR ALTURA APROX CLIENTE NO TIENE CONOCIMIENTO DE MEDIDAS; TOMACORRIENTE CERCANO: SI; TIENE CABINA DE SEGURIDAD: NO // CONTACTO REALIZADO POR LA APP 19/6/2025  SE LLEGA A PUNTO Y CLIENTE INDICA QUE NO TIENE INTERNET EN EL LOCAL DONDE VA A QUEDAR EL CORRESPONSAL, PIDE QUE SE APLACE VISITA HASTA GESTIONAR EL INTERNET "/>
    <s v="BADEL ACUÑA LUIS ALBERTO"/>
    <s v="SAVZZ107"/>
    <s v="N/A"/>
    <s v="N/A"/>
    <s v="N/A"/>
    <s v="N/A"/>
    <n v="0"/>
    <s v="TIPO I"/>
    <s v="TERRESTRE"/>
    <s v="VISITA _TECNICA"/>
    <n v="0"/>
    <n v="0"/>
    <n v="0"/>
    <n v="0"/>
    <n v="1"/>
    <n v="44559.984800000006"/>
    <n v="44559.984800000006"/>
  </r>
  <r>
    <s v="BOGOTA"/>
    <x v="3"/>
    <x v="3"/>
    <n v="25299"/>
    <s v="TA-25-799131"/>
    <s v="FO-25-1128673"/>
    <d v="2025-06-24T00:00:00"/>
    <d v="2025-06-26T00:00:00"/>
    <d v="2025-06-24T00:00:00"/>
    <d v="2025-06-26T00:00:00"/>
    <d v="2025-06-26T00:00:00"/>
    <s v="CUNDINAMARCA"/>
    <s v="GAMA"/>
    <s v="BARRIO CENTRO GAMA 2"/>
    <n v="80029"/>
    <s v="CB CRECIMIENTO - NUEVO"/>
    <s v="APERTURA"/>
    <s v="REDEBAN"/>
    <s v="UNO A UNO"/>
    <s v="UNO A UNO"/>
    <s v="EJECUTADO/CANCELADO"/>
    <s v="24-06-2025 SE REALIZA LLAMADA AL CLIENTE, SE HABLA CON EL SR ELKIN ALFONSO RAMIREZ RODRIGUEZ  SE VALIDA DIRECCIÓN OK, CANAL OK, DISPONIBILIDAD TOTAL, LLAMAR EL DÍA LA INSTALACIÓN PARA CONFIRMAR VISITA, AVISO EXTERIOR ALTURA APROX 3 METROS MAX; TOMACORRIENTE CERCANO: SI; TIENE CABINA DE SEGURIDAD: SI // CONTACTO REALIZADO POR LA APP 26/6/2025 EN VISITA AL COMERCIO 3007080029 PARA REALIZAR APERTURA, SE ENCUENTRA QUE ESTA EN OTRA DIRECCIÓN CR 3 5-26, ANTES DE VIAJAR SE CONFIRMO DATOS DE LA DIRECCIÓN QUIEN CONFIRMÓ CL 3 5-42. ESTANDO EN SITIO EL COMERCIO SE ENCUENTRA UBICADO EN OTRO LADO, POR LO SIGUIENTE SE CANCELA INSTALACIÓN.DIRECCIÓN LISTA DE CHEQUEO: CL 3 5 42, CENTRO DIRECCIÓN COMERCIO:             CR 3 5-26  CÁMARA DE COMERCIO:          CR 3 4-46"/>
    <s v="MURCIA HERNANDEZ HARVEY IGNACIO"/>
    <s v="SAXZZ470"/>
    <s v="N/A"/>
    <s v="N/A"/>
    <s v="N/A"/>
    <s v="N/A"/>
    <n v="0"/>
    <s v="TIPO III"/>
    <s v="TERRESTRE"/>
    <s v="VISITA _TECNICA"/>
    <n v="0"/>
    <n v="0"/>
    <n v="0"/>
    <n v="0"/>
    <n v="1"/>
    <n v="222904.27188000001"/>
    <n v="222904.27188000001"/>
  </r>
  <r>
    <s v="TUNJA"/>
    <x v="2"/>
    <x v="2"/>
    <n v="15293"/>
    <s v="TA-25-799217"/>
    <s v="FO-25-1136294"/>
    <d v="2025-06-24T00:00:00"/>
    <d v="2025-06-26T00:00:00"/>
    <d v="2025-06-24T00:00:00"/>
    <d v="2025-06-26T00:00:00"/>
    <d v="2025-06-26T00:00:00"/>
    <s v="BOYACA"/>
    <s v="GACHANTIVA"/>
    <s v="BARRIO VEREDA SAAVEDRA GACHANTIVA"/>
    <n v="79970"/>
    <s v="CB CRECIMIENTO - NUEVO"/>
    <s v="APERTURA"/>
    <s v="REDEBAN"/>
    <s v="UNO A UNO"/>
    <s v="UNO A UNO"/>
    <s v="EJECUTADO"/>
    <s v="24-06 SE REALIZA LLAMADA AL CLIENTE, SE HABLA CON LA SRA  ERIKA LISBETH AMADOR CORTES  SE VALIDA DIRECCIÓN OK, CANAL OK, DISPONIBILIDAD TOTAL, LLAMAR EL DÍA LA INSTALACIÓN PARA CONFIRMAR VISITA, AVISO EXTERIOR ALTURA APROX 1.50 METROS; TOMACORRIENTE CERCANO: SI; TIENE CABINA DE SEGURIDAD: SI- COMUNICACIÓN POR WPP 25/6/2025 SE COMUNICA PREVIAMENTE CON CLIENTE AL NÚMERO TELEFÓNICO 3133391626 LA SEÑORA ERIKA CONFIRMA ATENCIÓN PARA APERTURA....SE LLEGA A SITIO Y COMERCIO SE ENCUENTRA SIN ENERGÍA SE DA ESPERA DOS HORA Y LA FALLA CONTINUA CLIENTE SOLICITA VISITAR EL DIA DE MAÑANA 26/6/2025 SE REALIZA INSTALACIÓN DE CORRESPONSAL, SE INSTALAN EQUIPOS CON PRUEBAS EXITOSAS, SE CAPACITA Y SE EVALÚA AL CLIENTE, SE INSTALA PUBLICIDAD COMPLETA, CB QUEDA OPERATIVO. USUARIO SOMOS BANCOLOMBIA ACTIVO"/>
    <s v="GONZALEZ GONZALEZ MARIO ALBERTO"/>
    <s v="SAXZZ527"/>
    <n v="929580"/>
    <s v="295354-709254"/>
    <n v="908080"/>
    <s v="N/A"/>
    <s v="40 ROLLOS"/>
    <s v="TIPO II"/>
    <s v="TERRESTRE"/>
    <s v="VISITA _TECNICA"/>
    <n v="0"/>
    <n v="0"/>
    <n v="0"/>
    <n v="0"/>
    <n v="1"/>
    <n v="134410.38956000001"/>
    <n v="134410.38956000001"/>
  </r>
  <r>
    <s v="IBAGUE"/>
    <x v="4"/>
    <x v="5"/>
    <n v="73001"/>
    <s v="TA-25-804002"/>
    <s v="FO-25-1139009"/>
    <d v="2025-06-26T00:00:00"/>
    <d v="2025-07-01T00:00:00"/>
    <d v="2025-06-26T00:00:00"/>
    <d v="2025-06-27T00:00:00"/>
    <d v="2025-06-27T00:00:00"/>
    <s v="TOLIMA"/>
    <s v="IBAGUE"/>
    <s v="MULTIPAGAS  IBAGUE"/>
    <n v="23580"/>
    <s v="DATAFONO ADICIONAL - ALIANZA"/>
    <s v="APERTURA"/>
    <s v="REDEBAN"/>
    <s v="ROBUSTO"/>
    <s v="MULTIPAGAS"/>
    <s v="EJECUTADO/CANCELADO"/>
    <s v="26-06 SE REALIZA LLAMADA AL CLIENTE, SE HABLA CON LA SRA Nudi Céspedes  SE VALIDA DIRECCIÓN OK, CANAL OK, DISPONIBILIDAD TOTAL, LLAMAR EL DÍA LA INSTALACIÓN PARA CONFIRMAR VISITA, 27/6/2025 SE VISITA CB MULTIPAGAS QUIEN ATIENDE LA SEÑORITA LUDY CESPEDES PERSONA ENCARGADA QUIEN INFORMA QUE NO NECESITA OTRO DATÁFONO ADICIONAL PARÁ EL PUNTO"/>
    <s v="N/A"/>
    <s v="V1ZZZ967"/>
    <s v="N/A"/>
    <s v="N/A"/>
    <s v="N/A"/>
    <s v="N/A"/>
    <n v="0"/>
    <s v="TIPO I"/>
    <s v="TERRESTRE"/>
    <s v="VISITA _TECNICA"/>
    <n v="0"/>
    <n v="0"/>
    <n v="0"/>
    <n v="0"/>
    <n v="1"/>
    <n v="44559.984800000006"/>
    <n v="44559.984800000006"/>
  </r>
  <r>
    <m/>
    <x v="6"/>
    <x v="7"/>
    <m/>
    <m/>
    <m/>
    <m/>
    <m/>
    <m/>
    <m/>
    <m/>
    <m/>
    <m/>
    <m/>
    <m/>
    <m/>
    <m/>
    <m/>
    <m/>
    <m/>
    <m/>
    <m/>
    <m/>
    <m/>
    <m/>
    <m/>
    <m/>
    <m/>
    <m/>
    <m/>
    <m/>
    <m/>
    <m/>
    <m/>
    <m/>
    <m/>
    <m/>
    <m/>
    <n v="7469319.8648800002"/>
  </r>
  <r>
    <m/>
    <x v="6"/>
    <x v="7"/>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s v="BARRANQUILLA"/>
    <x v="0"/>
    <x v="0"/>
    <n v="8433"/>
    <n v="2238837"/>
    <s v="FO-25-1022758"/>
    <d v="2025-05-31T16:48:00"/>
    <d v="2025-06-01T14:33:33"/>
    <s v="ATLANTICO"/>
    <s v="MALAMBO"/>
    <s v="PTM MALAMBO TIENDA Y REFRESQUE"/>
    <n v="62426"/>
    <s v="INCIDENTE"/>
    <s v="REDEBAN"/>
    <s v="AGREGADOR"/>
    <m/>
    <s v="CERRADO"/>
    <s v="1-06 SE ESCALA PARA VISITA. LLAMAR ANTES DE VISITAR Y CONFIRMAR DATOS, DIRECCION Y SOLICITUD_x000a_0_x000a_01-06 SE REALIZA VISITA SE PROCEDE A VALIDAR CONEXIONES Y TODO OK, POSIBLE DAÑO EN EL MODEM DEL INTERNET DEL CLIENTE ,SE PRUEBA CON OTRO MODEM SE HACEN PRUEBAS Y TODO OK ,POSIBLE DAÑO EN EL ROUTER DEL CLIENTE LOS PUERTOS DE RED"/>
    <s v="PORRAS CASTRO DARLON NASCK"/>
    <s v="VISITA_TÉCNICA"/>
    <s v="FUA0I085 - HA00N753"/>
    <s v="NO"/>
    <s v="USUARIO"/>
    <s v="COMUNICACION"/>
    <s v="CANAL DEL COMERCIO"/>
    <s v="No"/>
    <n v="0"/>
    <n v="0"/>
    <n v="0"/>
    <n v="0"/>
    <n v="0"/>
    <s v="TIPO II"/>
    <s v="TERRESTRE"/>
    <n v="1"/>
    <n v="0"/>
    <n v="0"/>
    <n v="0"/>
    <n v="163813.55812"/>
    <n v="163813.55812"/>
  </r>
  <r>
    <s v="PASTO"/>
    <x v="1"/>
    <x v="1"/>
    <n v="86001"/>
    <n v="2243676"/>
    <s v="FO-25-1029545"/>
    <d v="2025-06-03T10:06:00"/>
    <d v="2025-06-03T13:10:33"/>
    <s v="PUTUMAYO"/>
    <s v="MOCOA"/>
    <s v="MULTIPAGAS MOCOA"/>
    <n v="45950"/>
    <s v="INCIDENTE"/>
    <s v="REDEBAN"/>
    <s v="ROBUSTO"/>
    <m/>
    <s v="CERRADO"/>
    <s v="03-06 SE REALIZA CONTACTO CON LA SEÑORA LORENA AL NUMERO 3209035833 QUIEN INDICA QUE EL DATAFONO LE ARROJA ERROR SIN TONO Y NO LE PERMITE OPERAR, SE HACEN VALIDACIONES Y SE ESCALA PARA VISITA TECNICA_x000a_0_x000a_03-06 SE REALIZA VALIDACION TELEFONICA CON LA USUARIA QUIEN INDICA QUE EL DATAFONO NO LE DEJA TRANSAR PERO FUE DE UN MOMENTO A OTRO, SE LE DAN INDICACIONES PARA VALIDAR LAS CONEXIONES, SE ENCUENTRA UN CABLE MAL CONECTADO, SE LE INDICA AL CLIENTE COMO DEBE DE IR LA CONEXION ADECUADA, SE PROCEDER A REALIARLA Y CONFIRMA OPERATIVIDAD DEL SERVICIO"/>
    <s v="HENAO CARDONA DIEGO FERNANDO"/>
    <s v="SOPORTE_TELEFÓNICO"/>
    <n v="0"/>
    <s v="NO"/>
    <s v="USUARIO"/>
    <s v="COMUNICACION"/>
    <s v="CONEXIONES DE COMERCIO"/>
    <s v="No"/>
    <n v="0"/>
    <n v="0"/>
    <n v="0"/>
    <n v="0"/>
    <n v="0"/>
    <s v="TIPO IV"/>
    <s v="TERRESTRE"/>
    <n v="0"/>
    <n v="0"/>
    <n v="0"/>
    <n v="0"/>
    <n v="37904.65408"/>
    <n v="37904.65408"/>
  </r>
  <r>
    <s v="IBAGUE"/>
    <x v="2"/>
    <x v="2"/>
    <n v="73001"/>
    <n v="2238476"/>
    <s v="FO-25-1021495"/>
    <d v="2025-05-31T13:08:00"/>
    <d v="2025-06-03T15:09:00"/>
    <s v="TOLIMA"/>
    <s v="IBAGUE"/>
    <s v="BARRIO CENTRO IBAGUE 47"/>
    <n v="73076"/>
    <s v="INCIDENTE"/>
    <s v="REDEBAN"/>
    <s v="CB UNO A UNO"/>
    <m/>
    <s v="CERRADO"/>
    <s v="31-05 SE ESCALA PARA VISITA. LLAMAR ANTES DE VISITAR Y CONFIRMAR DATOS, DIRECCION Y SOLICITUD_x000a_01/06/2025 EN COMUNICACIÓN CON LA SEÑORA ALEJANDRA AL NUMERO DE CONTACTO DE LA ORDEN QUE NOS PUEDE ATENDER EL MARTES A PARTIR DE LAS 7AM._x000a_03-06 SE VÁLIDA ERROR EN COMUNICACIÓN DEBIDO A QUE EL CLIENTE TIENE UNA MALA CONEXIÓN PARA EL DATÁFONO, SE RECOMIENDA VALIDAR PROVEEDOR DE SERVICIOS DE INTERNET DEL CLIENTE. SE REALIZA PRUEBAS DE FUNCIONAMIENTO OK."/>
    <s v="BARRAGAN TAFUR EDWIN ESTEBAN"/>
    <s v="VISITA_TÉCNICA"/>
    <s v="MN00R030"/>
    <s v="NO"/>
    <s v="USUARIO"/>
    <s v="COMUNICACION"/>
    <s v="CONEXIONES DE COMERCIO"/>
    <s v="No"/>
    <n v="0"/>
    <n v="0"/>
    <n v="0"/>
    <n v="0"/>
    <n v="0"/>
    <s v="TIPO I"/>
    <s v="TERRESTRE"/>
    <n v="1"/>
    <n v="0"/>
    <n v="0"/>
    <n v="0"/>
    <n v="65960.473639999997"/>
    <n v="65960.473639999997"/>
  </r>
  <r>
    <s v="MEDELLIN"/>
    <x v="3"/>
    <x v="3"/>
    <n v="5001"/>
    <n v="2242577"/>
    <s v="FO-25-1028603"/>
    <d v="2025-06-03T08:55:00"/>
    <d v="2025-06-03T15:17:00"/>
    <s v="ANTIOQUIA"/>
    <s v="MEDELLIN"/>
    <s v="PAGAFACIL COLTEJER II"/>
    <n v="29112"/>
    <s v="INCIDENTE"/>
    <s v="REDEBAN"/>
    <s v="ROBUSTO"/>
    <m/>
    <s v="CERRADO"/>
    <s v="3-06 SE ESCALA PARA VISITA. LLAMAR ANTES DE VISITAR Y CONFIRMAR DATOS, DIRECCION Y SOLICITUD_x000a_0_x000a_03-06 SE HACE MANTENIMIENTO DE EQUIPO Y CABLEADO TODO OK "/>
    <s v="MORENO MEDINA JUAN PABLO"/>
    <s v="VISITA_TÉCNICA"/>
    <s v="BBBBE639"/>
    <s v="NO"/>
    <s v="USUARIO"/>
    <s v="MANTENIMIENTO"/>
    <s v="MANTENIMIENTO GENERAL"/>
    <s v="No"/>
    <n v="0"/>
    <n v="0"/>
    <n v="0"/>
    <n v="0"/>
    <n v="0"/>
    <s v="TIPO I"/>
    <s v="TERRESTRE"/>
    <n v="1"/>
    <n v="0"/>
    <n v="0"/>
    <n v="0"/>
    <n v="65960.473639999997"/>
    <n v="65960.473639999997"/>
  </r>
  <r>
    <s v="CALI"/>
    <x v="1"/>
    <x v="1"/>
    <n v="76001"/>
    <n v="2244482"/>
    <s v="FO-25-1030127"/>
    <d v="2025-06-03T10:56:00"/>
    <d v="2025-06-03T16:05:07"/>
    <s v="VALLE DEL CAUCA"/>
    <s v="CALI"/>
    <s v="BARRIO LOS ANDES CALI"/>
    <n v="57564"/>
    <s v="INCIDENTE"/>
    <s v="REDEBAN"/>
    <s v="CB UNO A UNO"/>
    <m/>
    <s v="CERRADO"/>
    <s v="3-06 SE ESCALA PARA VISITA. LLAMAR ANTES DE VISITAR Y CONFIRMAR DATOS, DIRECCION Y SOLICITUD_x000a_0_x000a_03-06 SE HACEN PRUEVAS Y NOS DAMOS CUENTA QUR LA CONEXIÓN DEL ESTABLECIMIENTO ESTABA INTERMITENTE CONECTAMOS DIRECTAMENTE AL ROUTER Y FUNCIONA CORRECTAMENTE "/>
    <s v="CUERO RUIZ JHONNY"/>
    <s v="VISITA_TÉCNICA"/>
    <s v="9A09Z495"/>
    <s v="NO"/>
    <s v="USUARIO"/>
    <s v="COMUNICACION"/>
    <s v="CONEXIONES DE COMERCIO"/>
    <s v="No"/>
    <n v="0"/>
    <n v="0"/>
    <n v="0"/>
    <n v="0"/>
    <n v="0"/>
    <s v="TIPO I"/>
    <s v="TERRESTRE"/>
    <n v="1"/>
    <n v="0"/>
    <n v="0"/>
    <n v="0"/>
    <n v="65960.473639999997"/>
    <n v="65960.473639999997"/>
  </r>
  <r>
    <s v="MEDELLIN"/>
    <x v="3"/>
    <x v="3"/>
    <n v="5091"/>
    <n v="2239287"/>
    <s v="FO-25-1023137"/>
    <d v="2025-06-01T10:37:00"/>
    <d v="2025-06-04T08:14:23"/>
    <s v="ANTIOQUIA"/>
    <s v="BETANIA"/>
    <s v="BARRIO CENTRO BETANIA"/>
    <n v="66548"/>
    <s v="INCIDENTE"/>
    <s v="REDEBAN"/>
    <s v="CB UNO A UNO"/>
    <m/>
    <s v="CERRADO"/>
    <s v="1-06 SE ESCALA PARA VISITA. LLAMAR ANTES DE VISITAR Y CONFIRMAR DATOS, DIRECCION Y SOLICITUD_x000a_04/06/2025 VISITA NO PUDO SER AGENDADA DESDE DÍA MARTES YA QUE NO SE CUENTA CON EQUIPOS EN BODEGA. DISTRIBUIDOR TUVO NOVEDAD CON ENTREGA Y AUN NO LLEGAN EQUIPOS A BODEGA._x000a_04-06 SE LLAMA AL 3225845336 Y SE HABLA CON LA SRA MARÍA JOSÉ LA CUAL INDICA QUE YA EL COMERCIO FUNCIONA BIEN Y NO NECESITA VISITA "/>
    <s v="ALVAREZ ARENAS VICTOR HUGO"/>
    <s v="SOPORTE_TELEFÓNICO"/>
    <n v="0"/>
    <s v="NO"/>
    <s v="USUARIO"/>
    <s v="COMUNICACION"/>
    <s v="CANAL DEL COMERCIO"/>
    <s v="No"/>
    <n v="0"/>
    <n v="0"/>
    <n v="0"/>
    <n v="0"/>
    <n v="0"/>
    <s v="TIPO III"/>
    <s v="TERRESTRE"/>
    <n v="0"/>
    <n v="0"/>
    <n v="0"/>
    <n v="0"/>
    <n v="37904.65408"/>
    <n v="37904.65408"/>
  </r>
  <r>
    <s v="VALLEDUPAR"/>
    <x v="0"/>
    <x v="0"/>
    <n v="20383"/>
    <n v="2249361"/>
    <s v="FO-25-1036197"/>
    <d v="2025-06-04T08:00:00"/>
    <d v="2025-06-04T08:42:47"/>
    <s v="CESAR"/>
    <s v="LA GLORIA"/>
    <s v="BARRIO SIMANAÑA LA GLORIA"/>
    <n v="75732"/>
    <s v="INCIDENTE"/>
    <s v="REDEBAN"/>
    <s v="CB UNO A UNO"/>
    <m/>
    <s v="CERRADO"/>
    <s v="04-06 SE REALIZA CONTACTO TELEFONICO CON LA SRA MARGY CORDERO AL NUMERO 3023025760 INDICA QUE ESTA MAÑANA CONECTO EL DATAFONO Y QUE YA ESTA FUNCIONANDO CON NORMALIDAD QUE NO ES NECESARIA LA VISITA Y QUE SE HABIA INTENTADO COMUNICAR CON LA LINEA PERO NO LE RESPONDIAN SE LE INDICA QUE SE CERRARA LA VISITA Y ELLA AUTORIZA INDICA CB OK_x000a_0_x000a_0"/>
    <n v="0"/>
    <s v="SOPORTE_TELEFÓNICO"/>
    <n v="0"/>
    <s v="NO"/>
    <s v="USUARIO"/>
    <s v="COMUNICACION"/>
    <s v="CONEXIONES DE COMERCIO"/>
    <s v="No"/>
    <n v="0"/>
    <n v="0"/>
    <n v="0"/>
    <n v="0"/>
    <n v="0"/>
    <s v="TIPO IV"/>
    <s v="TERRESTRE"/>
    <n v="0"/>
    <n v="0"/>
    <n v="0"/>
    <n v="0"/>
    <n v="37904.65408"/>
    <n v="37904.65408"/>
  </r>
  <r>
    <s v="APARTADO"/>
    <x v="3"/>
    <x v="3"/>
    <n v="5045"/>
    <n v="2245980"/>
    <s v="FO-25-1031771"/>
    <d v="2025-06-03T12:46:13"/>
    <d v="2025-06-04T09:12:00"/>
    <s v="ANTIOQUIA"/>
    <s v="APARTADO"/>
    <s v="DISTRICOL DROGUERIA PORVENIR"/>
    <n v="70794"/>
    <s v="INCIDENTE"/>
    <s v="REDEBAN"/>
    <s v="AGREGADOR"/>
    <m/>
    <s v="CERRADO"/>
    <s v="3-06 SE ESCALA PARA VISITA. LLAMAR ANTES DE VISITAR Y CONFIRMAR DATOS, DIRECCION Y SOLICITUD_x000a_0_x000a_04-06 TAPABDSTAFONO MALA, SE REALIZA CAMBIO Y DSTSFONO QUEDA OPERATIVO "/>
    <s v="CASTRO HENAO DANIEL ESTEBAN"/>
    <s v="VISITA_TÉCNICA"/>
    <s v="A30IZ529"/>
    <s v="NO"/>
    <s v="USUARIO"/>
    <s v="MANTENIMIENTO"/>
    <s v="MANTENIMIENTO GENERAL"/>
    <s v="No"/>
    <n v="0"/>
    <n v="0"/>
    <n v="0"/>
    <n v="0"/>
    <n v="0"/>
    <s v="TIPO I"/>
    <s v="TERRESTRE"/>
    <n v="1"/>
    <n v="0"/>
    <n v="0"/>
    <n v="0"/>
    <n v="65960.473639999997"/>
    <n v="65960.473639999997"/>
  </r>
  <r>
    <s v="BOGOTA"/>
    <x v="4"/>
    <x v="4"/>
    <n v="11001"/>
    <n v="2247152"/>
    <s v="FO-25-1033782"/>
    <d v="2025-06-03T14:43:00"/>
    <d v="2025-06-04T11:43:27"/>
    <s v="CUNDINAMARCA"/>
    <s v="BOGOTA"/>
    <s v="DISTRICOL FERRELECTRICOS ALCON"/>
    <n v="49043"/>
    <s v="INCIDENTE"/>
    <s v="REDEBAN"/>
    <s v="AGREGADOR"/>
    <m/>
    <s v="CERRADO"/>
    <s v="3-06 SE ESCALA PARA VISITA. LLAMAR ANTES DE VISITAR Y CONFIRMAR DATOS, DIRECCION Y SOLICITUD_x000a_0_x000a_04-06 SE RESTABLECE CLAVE DE SUPERVISOR, COMERCIO REALIZA PRUEBAS DE FUNCIONAMIENTO, CIERRE FUNCIONA OK"/>
    <s v="MICHELI LOPEZ MIGUEL ANGEL"/>
    <s v="VISITA_TÉCNICA"/>
    <s v="AD00O680"/>
    <s v="NO"/>
    <s v="USUARIO"/>
    <s v="CIERRE"/>
    <s v="COMERCIO NO REALIZA CIERRE"/>
    <s v="No"/>
    <n v="0"/>
    <n v="0"/>
    <n v="0"/>
    <n v="0"/>
    <n v="0"/>
    <s v="TIPO I"/>
    <s v="TERRESTRE"/>
    <n v="1"/>
    <n v="0"/>
    <n v="0"/>
    <n v="0"/>
    <n v="65960.473639999997"/>
    <n v="65960.473639999997"/>
  </r>
  <r>
    <s v="MEDELLIN"/>
    <x v="3"/>
    <x v="3"/>
    <n v="5001"/>
    <n v="2249086"/>
    <s v="FO-25-1034661"/>
    <d v="2025-06-03T17:32:00"/>
    <d v="2025-06-04T12:12:44"/>
    <s v="ANTIOQUIA"/>
    <s v="MEDELLIN"/>
    <s v="COMCARD MEDELLIN SALVADOR BELL"/>
    <n v="23659"/>
    <s v="INCIDENTE"/>
    <s v="REDEBAN"/>
    <s v="AGREGADOR"/>
    <m/>
    <s v="CERRADO"/>
    <s v="3-06 SE ESCALA PARA VISITA. LLAMAR ANTES DE VISITAR Y CONFIRMAR DATOS, DIRECCION Y SOLICITUD_x000a_0_x000a_04-06 SE REALIZA MANTENIMIENTO Y SE CONFIGURA PARÁMETROS DE NUEVO "/>
    <s v="CERPA SUAREZ DUVAN CAMILO"/>
    <s v="VISITA_TÉCNICA"/>
    <s v="ABC0D992"/>
    <s v="NO"/>
    <s v="USUARIO"/>
    <s v="MANTENIMIENTO"/>
    <s v="MANTENIMIENTO GENERAL"/>
    <s v="No"/>
    <n v="0"/>
    <n v="0"/>
    <n v="0"/>
    <n v="0"/>
    <n v="0"/>
    <s v="TIPO I"/>
    <s v="TERRESTRE"/>
    <n v="1"/>
    <n v="0"/>
    <n v="0"/>
    <n v="0"/>
    <n v="65960.473639999997"/>
    <n v="65960.473639999997"/>
  </r>
  <r>
    <s v="TUNJA"/>
    <x v="5"/>
    <x v="5"/>
    <n v="15001"/>
    <n v="2249070"/>
    <s v="FO-25-1034562"/>
    <d v="2025-06-03T17:26:00"/>
    <d v="2025-06-04T12:25:19"/>
    <s v="BOYACA"/>
    <s v="TUNJA"/>
    <s v="BARRIO CENTRO TUNJA 31"/>
    <n v="79424"/>
    <s v="INCIDENTE"/>
    <s v="REDEBAN"/>
    <s v="CB UNO A UNO"/>
    <m/>
    <s v="CERRADO"/>
    <s v="3-06 SE ESCALA PARA VISITA. LLAMAR ANTES DE VISITAR Y CONFIRMAR DATOS, DIRECCION Y SOLICITUD_x000a_0_x000a_04-06 SE REALIZA VISITA AL COMERCIO,  SE VALIDA QUE EL CLIENTE ESTA HACIENDO MALA MANIPULACIÓN DEL DATAFONO Y LECTOR, SE HACEN PRUEBAS OK."/>
    <s v="SOLER HOYOS CRISTIAN LEONARDO"/>
    <s v="VISITA_TÉCNICA"/>
    <s v="10XZZ962"/>
    <s v="NO"/>
    <s v="USUARIO"/>
    <s v="LECTOR DE BARRAS"/>
    <s v="ERROR PAGOS PARCIALES DE FACTURAS"/>
    <s v="No"/>
    <n v="0"/>
    <n v="0"/>
    <n v="0"/>
    <n v="0"/>
    <n v="0"/>
    <s v="TIPO I"/>
    <s v="TERRESTRE"/>
    <n v="1"/>
    <n v="0"/>
    <n v="0"/>
    <n v="0"/>
    <n v="65960.473639999997"/>
    <n v="65960.473639999997"/>
  </r>
  <r>
    <s v="MEDELLIN"/>
    <x v="3"/>
    <x v="3"/>
    <n v="5001"/>
    <n v="2251343"/>
    <s v="FO-25-1038564"/>
    <d v="2025-06-04T09:37:00"/>
    <d v="2025-06-04T13:23:20"/>
    <s v="ANTIOQUIA"/>
    <s v="MEDELLIN"/>
    <s v="BARRIO ROBLEDO BELLO HORIZONTE"/>
    <n v="47724"/>
    <s v="INCIDENTE"/>
    <s v="REDEBAN"/>
    <s v="CB UNO A UNO"/>
    <m/>
    <s v="CERRADO"/>
    <s v="4-06 SE ESCALA PARA VISITA. LLAMAR ANTES DE VISITAR Y CONFIRMAR DATOS, DIRECCION Y SOLICITUD_x000a_0_x000a_04-06 SE REALIZA MANTENIMIENTO Y SE CAMBIA CABLE ENTORCHADO "/>
    <s v="CERPA SUAREZ DUVAN CAMILO"/>
    <s v="VISITA_TÉCNICA"/>
    <s v="XP00F471-9CUZZ009"/>
    <s v="NO"/>
    <s v="USUARIO"/>
    <s v="MANTENIMIENTO"/>
    <s v="MANTENIMIENTO GENERAL"/>
    <s v="No"/>
    <n v="0"/>
    <n v="0"/>
    <n v="0"/>
    <n v="0"/>
    <s v="Cable de red "/>
    <s v="TIPO I"/>
    <s v="TERRESTRE"/>
    <n v="1"/>
    <n v="0"/>
    <n v="0"/>
    <n v="0"/>
    <n v="65960.473639999997"/>
    <n v="65960.473639999997"/>
  </r>
  <r>
    <s v="MEDELLIN"/>
    <x v="3"/>
    <x v="3"/>
    <n v="5001"/>
    <n v="2253135"/>
    <s v="FO-25-1041040"/>
    <d v="2025-06-04T12:15:00"/>
    <d v="2025-06-04T15:47:24"/>
    <s v="ANTIOQUIA"/>
    <s v="MEDELLIN"/>
    <s v="BARRIO ARANJUEZ SAN CAYETANO M"/>
    <n v="43256"/>
    <s v="INCIDENTE"/>
    <s v="REDEBAN"/>
    <s v="CB UNO A UNO"/>
    <m/>
    <s v="CERRADO"/>
    <s v="4-06 SE ESCALA PARA VISITA. LLAMAR ANTES DE VISITAR Y CONFIRMAR DATOS, DIRECCION Y SOLICITUD_x000a_0_x000a_04-06 SE REALIZA MANTENIMIENTO Y SE CONFIGURA PARÁMETROS DE NUEVO"/>
    <s v="CERPA SUAREZ DUVAN CAMILO"/>
    <s v="VISITA_TÉCNICA"/>
    <s v="9ACZZ042"/>
    <s v="NO"/>
    <s v="USUARIO"/>
    <s v="MANTENIMIENTO"/>
    <s v="MANTENIMIENTO GENERAL"/>
    <s v="No"/>
    <n v="0"/>
    <n v="0"/>
    <n v="0"/>
    <n v="0"/>
    <n v="0"/>
    <s v="TIPO I"/>
    <s v="TERRESTRE"/>
    <n v="1"/>
    <n v="0"/>
    <n v="0"/>
    <n v="0"/>
    <n v="65960.473639999997"/>
    <n v="65960.473639999997"/>
  </r>
  <r>
    <s v="TUNJA"/>
    <x v="5"/>
    <x v="5"/>
    <n v="15001"/>
    <n v="2244959"/>
    <s v="FO-25-1030481"/>
    <d v="2025-06-03T11:15:00"/>
    <d v="2025-06-04T16:12:19"/>
    <s v="BOYACA"/>
    <s v="TUNJA"/>
    <s v="BARRIO SAN ANTONIO  TUNJA"/>
    <n v="71303"/>
    <s v="INCIDENTE"/>
    <s v="REDEBAN"/>
    <s v="CB UNO A UNO"/>
    <m/>
    <s v="CERRADO"/>
    <s v="3-06 SE ESCALA PARA VISITA. LLAMAR ANTES DE VISITAR Y CONFIRMAR DATOS, DIRECCION Y SOLICITUD_x000a_04/06/2025 SE LOGRA COMUNICACION CON LA SEÑORA BLANCA SUSANA BOHORQUEZ PARA CONFIRMAR LA VISITA, CLIENTE INFORMA QUE EN EL MOMENTO NO CUENTA CON SERVICIO DE RED ELECTRICA EN LA ZONA POR ARREGLOS DE LA EMPRESA DE ENERGIA, CLIENTE SOLICITA QUE SE LE LLAME A LAS 2PM PARA CONFIRMAR LA VISITA._x000a_04/06/2025 SE LOGRA COMUNICACION CON EL CLIENTE, CLIENTE MANIFIESTA QUE YA TIENE SERVICIO DE LUZ ELÉCTRICA,  SE VISITARA A LAS 3PM._x000a_04-06 SE REALIZA VISITA AL COMERCIO, SE VALIDA QUE EL INTERNET DEL CLIENTE PRESENTA FALLAS, SE HACEN PRUEBAS OK."/>
    <s v="SOLER HOYOS CRISTIAN LEONARDO"/>
    <s v="VISITA_TÉCNICA"/>
    <s v="SV00C126"/>
    <s v="NO"/>
    <s v="USUARIO"/>
    <s v="COMUNICACION"/>
    <s v="CANAL DEL COMERCIO"/>
    <s v="No"/>
    <n v="0"/>
    <n v="0"/>
    <n v="0"/>
    <n v="0"/>
    <n v="0"/>
    <s v="TIPO I"/>
    <s v="TERRESTRE"/>
    <n v="1"/>
    <n v="0"/>
    <n v="0"/>
    <n v="0"/>
    <n v="65960.473639999997"/>
    <n v="65960.473639999997"/>
  </r>
  <r>
    <s v="PASTO"/>
    <x v="1"/>
    <x v="1"/>
    <n v="52001"/>
    <n v="2253326"/>
    <s v="FO-25-1041046"/>
    <d v="2025-06-04T12:39:24"/>
    <d v="2025-06-04T16:13:37"/>
    <s v="NARIÑO"/>
    <s v="PASTO"/>
    <s v="BARRIO CENTRO PASTO 35"/>
    <n v="76097"/>
    <s v="INCIDENTE"/>
    <s v="REDEBAN"/>
    <s v="CB UNO A UNO"/>
    <m/>
    <s v="CERRADO"/>
    <s v="4-06 SE ESCALA PARA VISITA. LLAMAR ANTES DE VISITAR Y CONFIRMAR DATOS, DIRECCION Y SOLICITUD_x000a_0_x000a_04-06 SE VISITA EL CB PARA VERIFICAR FALLA, USUARIA REPORTO DATAFONO SIN CONEXIÓN, FUE DEBIDO A UNA CAIDA DE ENERGÍA, PERO EN EL MOMENTO FUNCIONA SIN INCONVENIENTES, SE VERIFICA CABLEADO OK, SE TOMAN PRUEBAS OK, CB OPERATIVO "/>
    <s v="GUERRERO RAMIREZ OSCAR DARIO"/>
    <s v="VISITA_TÉCNICA"/>
    <s v="LA0EZ272"/>
    <s v="NO"/>
    <s v="USUARIO"/>
    <s v="COMUNICACION"/>
    <s v="CANAL DEL COMERCIO"/>
    <s v="No"/>
    <n v="0"/>
    <n v="0"/>
    <n v="0"/>
    <n v="0"/>
    <n v="0"/>
    <s v="TIPO I"/>
    <s v="TERRESTRE"/>
    <n v="1"/>
    <n v="0"/>
    <n v="0"/>
    <n v="0"/>
    <n v="65960.473639999997"/>
    <n v="65960.473639999997"/>
  </r>
  <r>
    <s v="CALI"/>
    <x v="1"/>
    <x v="1"/>
    <n v="19110"/>
    <n v="2245754"/>
    <s v="FO-25-1031198"/>
    <d v="2025-06-03T12:14:00"/>
    <d v="2025-06-04T17:06:09"/>
    <s v="CAUCA"/>
    <s v="BUENOS AIRES"/>
    <s v="DISTRICOL VARIEDADES Y ESTILOS"/>
    <n v="44111"/>
    <s v="INCIDENTE"/>
    <s v="REDEBAN"/>
    <s v="AGREGADOR"/>
    <m/>
    <s v="CERRADO"/>
    <s v="3-06 SE ESCALA PARA VISITA. LLAMAR ANTES DE VISITAR Y CONFIRMAR DATOS, DIRECCION Y SOLICITUD_x000a_0_x000a_04-06 SE HABLA CON EL CLIENTE QUIEN INDICA QUE EL EQUIPO EL DIA DE HOY A OPERADO CON NORMALIDAD, A TRANZADO SIN PROBLEMA, EL CLIENTE INDICA QUE DE UN MOMENTO A OTRO SE QUEDA SIN CONEXION, SE REALIZA VALIDACIONES EL CLIENTE INDICA QUE EL DATAFONO SIEMPRE QUEDA CON LA RED ACTIVA PERO NO LE PERMITE TRANZAR, SE LE INDICA REVISAR EL SERVICIO DE INTERNET PUES PUEDE ESTA PRESENTANDO CAIDAS Y ESO AFECTA EL FUNCIONAMIENTO DEL EQUIPO, "/>
    <s v="HENAO CARDONA DIEGO FERNANDO"/>
    <s v="SOPORTE_TELEFÓNICO"/>
    <n v="0"/>
    <s v="NO"/>
    <s v="USUARIO"/>
    <s v="COMUNICACION"/>
    <s v="CANAL DEL COMERCIO"/>
    <s v="No"/>
    <n v="0"/>
    <n v="0"/>
    <n v="0"/>
    <n v="0"/>
    <n v="0"/>
    <s v="TIPO II"/>
    <s v="TERRESTRE"/>
    <n v="0"/>
    <n v="0"/>
    <n v="0"/>
    <n v="0"/>
    <n v="37904.65408"/>
    <n v="37904.65408"/>
  </r>
  <r>
    <s v="CUCUTA"/>
    <x v="5"/>
    <x v="5"/>
    <n v="54874"/>
    <n v="2251383"/>
    <s v="FO-25-1038911"/>
    <d v="2025-06-04T09:47:00"/>
    <d v="2025-06-04T18:51:20"/>
    <s v="NORTE DE SANTANDER"/>
    <s v="VILLA DEL ROSARIO"/>
    <s v="PTM VILLA DEL ROSARIO  PLASTIC"/>
    <n v="75547"/>
    <s v="INCIDENTE"/>
    <s v="REDEBAN"/>
    <s v="AGREGADOR"/>
    <m/>
    <s v="CERRADO"/>
    <s v="4-06 SE ESCALA PARA VISITA. LLAMAR ANTES DE VISITAR Y CONFIRMAR DATOS, DIRECCION Y SOLICITUD_x000a_0_x000a_04-06 SE VISITA COMERCIO Y SE REALIZA MANTENIMIENTO PREVENTIVO AL DATAFONO, SE ENCUENTRA BATERÍA DESAJUSTADA, SE VERIFICAN PARÁMETROS, SE REALIZAN PRUEBAS DE IMPRESIÓN CONSTANTES SE VERIFICA CON EL CLIENTE QUE EL EQUIPO QUEDÓ FUNCIONANDO OK, CIERRES Y PRUEBAS OK."/>
    <s v="TORRES MANTILLA JOSE DANIEL"/>
    <s v="VISITA_TÉCNICA"/>
    <s v="SX00J104 - LN00U394"/>
    <s v="NO"/>
    <s v="USUARIO"/>
    <s v="MANTENIMIENTO"/>
    <s v="MANTENIMIENTO GENERAL"/>
    <s v="No"/>
    <n v="0"/>
    <n v="0"/>
    <n v="0"/>
    <n v="0"/>
    <n v="0"/>
    <s v="TIPO I"/>
    <s v="TERRESTRE"/>
    <n v="1"/>
    <n v="0"/>
    <n v="0"/>
    <n v="0"/>
    <n v="65960.473639999997"/>
    <n v="65960.473639999997"/>
  </r>
  <r>
    <s v="VALLEDUPAR"/>
    <x v="0"/>
    <x v="0"/>
    <n v="20001"/>
    <n v="2250781"/>
    <s v="FO-25-1037765"/>
    <d v="2025-06-04T09:00:00"/>
    <d v="2025-06-05T08:33:00"/>
    <s v="CESAR"/>
    <s v="VALLEDUPAR"/>
    <s v="NUEVA ESPERANZA 2"/>
    <n v="68355"/>
    <s v="INCIDENTE"/>
    <s v="REDEBAN"/>
    <s v="CB UNO A UNO"/>
    <m/>
    <s v="CERRADO"/>
    <s v="4-06 SE ESCALA PARA VISITA. LLAMAR ANTES DE VISITAR Y CONFIRMAR DATOS, DIRECCION Y SOLICITUD_x000a_0_x000a_05-06 SE REALIZA VISITÁ POR SOLICITUD DE CLIENTE LA CUAL NOS INDICA QUE EL EQUIPO NO LE PERMITE REALIZAR CIERRE LE ALARECE CLAVE INCORRECTA, SE LLEGA A SITIO Y SE REALIZAN CONFIGURACIÓN SE CLAVE SUPERVISOR QUEDANDO OPERATIVO PRUEBAS OK CIERRE EXITOSO "/>
    <s v="MAESTRE MENGUAL EDGAR ENRIQUE"/>
    <s v="VISITA_TÉCNICA"/>
    <s v="AALFZ677"/>
    <s v="NO"/>
    <s v="USUARIO"/>
    <s v="USUARIOS"/>
    <s v="USUARIOS BLOQUEADOS"/>
    <s v="No"/>
    <n v="0"/>
    <n v="0"/>
    <n v="0"/>
    <n v="0"/>
    <n v="0"/>
    <s v="TIPO I"/>
    <s v="TERRESTRE"/>
    <n v="1"/>
    <n v="0"/>
    <n v="0"/>
    <n v="0"/>
    <n v="65960.473639999997"/>
    <n v="65960.473639999997"/>
  </r>
  <r>
    <s v="MEDELLIN"/>
    <x v="3"/>
    <x v="3"/>
    <n v="5088"/>
    <n v="2251354"/>
    <s v="FO-25-1038554"/>
    <d v="2025-06-04T09:40:00"/>
    <d v="2025-06-05T09:05:00"/>
    <s v="ANTIOQUIA"/>
    <s v="BELLO"/>
    <s v="BARRIO ARAUCARIAS 1 BELLO"/>
    <n v="56825"/>
    <s v="INCIDENTE"/>
    <s v="REDEBAN"/>
    <s v="CB UNO A UNO"/>
    <m/>
    <s v="CERRADO"/>
    <s v="4-06 SE ESCALA PARA VISITA. LLAMAR ANTES DE VISITAR Y CONFIRMAR DATOS, DIRECCION Y SOLICITUD_x000a_0_x000a_05-06 SE LLAMA AL USUARIO E INDICA QUE YA ESTÁ ACTIVO EL CB DE NUEVO , ERA UN PROBLEMA CON LA ENTIDAD DEL INTERNET "/>
    <s v="MONTOYA VELEZ ANDRES FELIPE"/>
    <s v="SOPORTE_TELEFÓNICO"/>
    <n v="0"/>
    <s v="NO"/>
    <s v="USUARIO"/>
    <s v="COMUNICACION"/>
    <s v="CONEXIONES DE COMERCIO"/>
    <s v="No"/>
    <n v="0"/>
    <n v="0"/>
    <n v="0"/>
    <n v="0"/>
    <n v="0"/>
    <s v="TIPO I"/>
    <s v="TERRESTRE"/>
    <n v="0"/>
    <n v="0"/>
    <n v="0"/>
    <n v="0"/>
    <n v="37904.65408"/>
    <n v="37904.65408"/>
  </r>
  <r>
    <s v="MEDELLIN"/>
    <x v="3"/>
    <x v="3"/>
    <n v="5360"/>
    <n v="2253177"/>
    <s v="FO-25-1041313"/>
    <d v="2025-06-04T12:36:28"/>
    <d v="2025-06-05T09:57:05"/>
    <s v="ANTIOQUIA"/>
    <s v="ITAGUI"/>
    <s v="COMCARD ITAGUI LUCETE"/>
    <n v="31145"/>
    <s v="INCIDENTE"/>
    <s v="REDEBAN"/>
    <s v="AGREGADOR"/>
    <m/>
    <s v="CERRADO"/>
    <s v="04-06 SE REALIZA CONTACTO CON LA SEÑORA FELENI AL NUMERO 3127054614 QUIEN INDICA QUE LE CAMBIARON EL DATAFONO POR DETERIORO DEL TECLADO PERO EL NUEVO NO LEE LAS TARJETAS APENAS LA INSERTA DICE TRANSACCION CANCELADA O RECHAZO GENERAL, SE HACEN VALIDACIONES Y SE ESCALA PARA VISITA TECNICA_x000a_0_x000a_05-06 SE HACE MANTENIMIENTO DE EQUIPO Y CABLEADO TODO OK "/>
    <s v="MORENO MEDINA JUAN PABLO"/>
    <s v="VISITA_TÉCNICA"/>
    <s v="11113849"/>
    <s v="NO"/>
    <s v="USUARIO"/>
    <s v="LECTOR DE TARJETAS"/>
    <s v="OBSTRUCCION DEL LECTOR"/>
    <s v="No"/>
    <n v="0"/>
    <n v="0"/>
    <n v="0"/>
    <n v="0"/>
    <n v="0"/>
    <s v="TIPO I"/>
    <s v="TERRESTRE"/>
    <n v="1"/>
    <n v="0"/>
    <n v="0"/>
    <n v="0"/>
    <n v="65960.473639999997"/>
    <n v="65960.473639999997"/>
  </r>
  <r>
    <s v="CARTAGENA"/>
    <x v="0"/>
    <x v="0"/>
    <n v="13873"/>
    <n v="2245774"/>
    <s v="FO-25-1031298"/>
    <d v="2025-06-03T12:22:00"/>
    <d v="2025-06-05T10:12:32"/>
    <s v="BOLIVAR"/>
    <s v="VILLANUEVA"/>
    <s v="BARRIO CL GRANDE VILLANUEVA."/>
    <n v="74954"/>
    <s v="INCIDENTE"/>
    <s v="REDEBAN"/>
    <s v="CB UNO A UNO"/>
    <m/>
    <s v="CERRADO"/>
    <s v="3-06 SE ESCALA PARA VISITA. LLAMAR ANTES DE VISITAR Y CONFIRMAR DATOS, DIRECCION Y SOLICITUD_x000a_05/06/2025 HAY PROTESTAS EN LA SALIDA DE CARTAGENA POR TAL MOTIVO HAY TRANCÓN EN LA VÍA_x000a_05-06 SE REALIZA LIMPIEZA EN LA RANURA TENÍA SUCIO QUEDA FUNCIONANDO SIN PROBLEMAS SE HACEN PRUEBAS TODO OK "/>
    <s v="CANEDO HERRERA ALEXANDER"/>
    <s v="VISITA_TÉCNICA"/>
    <s v="EHZZZ870"/>
    <s v="NO"/>
    <s v="USUARIO"/>
    <s v="LECTOR DE TARJETAS"/>
    <s v="OBSTRUCCION DEL LECTOR"/>
    <s v="No"/>
    <n v="0"/>
    <n v="0"/>
    <n v="0"/>
    <n v="0"/>
    <n v="0"/>
    <s v="TIPO II"/>
    <s v="TERRESTRE"/>
    <n v="1"/>
    <n v="0"/>
    <n v="0"/>
    <n v="0"/>
    <n v="163813.55812"/>
    <n v="163813.55812"/>
  </r>
  <r>
    <s v="APARTADO"/>
    <x v="3"/>
    <x v="3"/>
    <n v="5147"/>
    <n v="2255738"/>
    <s v="FO-25-1043010"/>
    <d v="2025-06-04T17:36:16"/>
    <d v="2025-06-05T10:17:06"/>
    <s v="ANTIOQUIA"/>
    <s v="CAREPA"/>
    <s v="DISTRICOL ABARROTES LOS DUENDE"/>
    <n v="40705"/>
    <s v="INCIDENTE"/>
    <s v="REDEBAN"/>
    <s v="AGREGADOR"/>
    <m/>
    <s v="CERRADO"/>
    <s v="04-06 SE ESCALA PARA VISITA, LLAMAR ANTES DE VISITAR Y CONFIRMAR DATOS, DIRECCION Y SOLICITUD_x000a_0_x000a_05-06 SE HABLO CON USUARIO Y NOS INFORMA QUE EL EQUIPO AYER NO PERMITIA HACER NADA Y YA HOY AMANECIÓ BUENO. CB ESTA OPERATIVO. SE CIERRA INCIDENTE."/>
    <s v="RIOS CASTRILLON JUAN SEBASTIAN"/>
    <s v="SOPORTE_TELEFÓNICO"/>
    <n v="0"/>
    <s v="NO"/>
    <s v="USUARIO"/>
    <s v="NO ENCIENDE"/>
    <s v="CONEXIONES DE COMERCIO"/>
    <s v="No"/>
    <n v="0"/>
    <n v="0"/>
    <n v="0"/>
    <n v="0"/>
    <n v="0"/>
    <s v="TIPO I"/>
    <s v="TERRESTRE"/>
    <n v="0"/>
    <n v="0"/>
    <n v="0"/>
    <n v="0"/>
    <n v="37904.65408"/>
    <n v="37904.65408"/>
  </r>
  <r>
    <s v="VILLAVICENCIO"/>
    <x v="2"/>
    <x v="2"/>
    <n v="50006"/>
    <n v="2249363"/>
    <s v="FO-25-1035510"/>
    <d v="2025-06-04T08:00:00"/>
    <d v="2025-06-05T10:34:52"/>
    <s v="META"/>
    <s v="ACACIAS"/>
    <s v="BARRIO BACHUE ACACIAS 11"/>
    <n v="67760"/>
    <s v="INCIDENTE"/>
    <s v="REDEBAN"/>
    <s v="CB UNO A UNO"/>
    <m/>
    <s v="CERRADO"/>
    <s v="4-06 SE ESCALA PARA VISITA. LLAMAR ANTES DE VISITAR Y CONFIRMAR DATOS, DIRECCION Y SOLICITUD_x000a_0_x000a_05-06 ME COMUNICO CON LA SEÑORA JESSICA DIAZ Y SE LE INDICA LA FORMA CORRECTA DE HACER EL CIERRE Y LA CLAVE 1526. YA LE ESTÁ FUNCIONANDO CORRECTAMENTE. CLIENTE INFORMA QUE YA SOLUCIONÓ EL INCONVENIENTE DEL CIERRE. DATAFONO LE ESTÁ FUNCIONANDO CORRECTAMENTE "/>
    <s v="GARZON RUIZ LUIS MIGUEL"/>
    <s v="SOPORTE_TELEFÓNICO"/>
    <n v="0"/>
    <s v="NO"/>
    <s v="USUARIO"/>
    <s v="USUARIOS"/>
    <s v="MALA MANIPULACION POS"/>
    <s v="No"/>
    <n v="0"/>
    <n v="0"/>
    <n v="0"/>
    <n v="0"/>
    <n v="0"/>
    <s v="TIPO II"/>
    <s v="TERRESTRE"/>
    <n v="0"/>
    <n v="0"/>
    <n v="0"/>
    <n v="0"/>
    <n v="37904.65408"/>
    <n v="37904.65408"/>
  </r>
  <r>
    <s v="MEDELLIN"/>
    <x v="3"/>
    <x v="3"/>
    <n v="5001"/>
    <n v="2257315"/>
    <s v="FO-25-1044494"/>
    <d v="2025-06-05T09:03:00"/>
    <d v="2025-06-05T10:57:49"/>
    <s v="ANTIOQUIA"/>
    <s v="MEDELLIN"/>
    <s v="BARRIO SAN PABLO MEDELLIN 3"/>
    <n v="76332"/>
    <s v="INCIDENTE"/>
    <s v="REDEBAN"/>
    <s v="CB UNO A UNO"/>
    <m/>
    <s v="CERRADO"/>
    <s v="05-06 SE ESCALA PARA VISITA, LLAMAR ANTES DE VISITAR Y CONFIRMAR DATOS, DIRECCION Y SOLICITUD_x000a_0_x000a_05-06 SE HACE MANTENIMIENTO DE EQUIPO Y CABLEADO TODO OK "/>
    <s v="MORENO MEDINA JUAN PABLO"/>
    <s v="VISITA_TÉCNICA"/>
    <s v="V10OZ409"/>
    <s v="NO"/>
    <s v="USUARIO"/>
    <s v="MANTENIMIENTO"/>
    <s v="MANTENIMIENTO GENERAL"/>
    <s v="No"/>
    <n v="0"/>
    <n v="0"/>
    <n v="0"/>
    <n v="0"/>
    <n v="0"/>
    <s v="TIPO I"/>
    <s v="TERRESTRE"/>
    <n v="1"/>
    <n v="0"/>
    <n v="0"/>
    <n v="0"/>
    <n v="65960.473639999997"/>
    <n v="65960.473639999997"/>
  </r>
  <r>
    <s v="MEDELLIN"/>
    <x v="3"/>
    <x v="3"/>
    <n v="5001"/>
    <n v="2253155"/>
    <s v="FO-25-1041042"/>
    <d v="2025-06-04T12:23:00"/>
    <d v="2025-06-05T12:17:55"/>
    <s v="ANTIOQUIA"/>
    <s v="MEDELLIN"/>
    <s v="COMCARD MED PAPELERIA DETALLES"/>
    <n v="27547"/>
    <s v="INCIDENTE"/>
    <s v="REDEBAN"/>
    <s v="AGREGADOR"/>
    <m/>
    <s v="CERRADO"/>
    <s v="4-06 SE ESCALA PARA VISITA. LLAMAR ANTES DE VISITAR Y CONFIRMAR DATOS, DIRECCION Y SOLICITUD_x000a_0_x000a_05-06 SE REALIZA MANTENIMIENTO AL EQUIPO "/>
    <s v="CERPA SUAREZ DUVAN CAMILO"/>
    <s v="VISITA_TÉCNICA"/>
    <s v="99DZZ430-HA006830"/>
    <s v="NO"/>
    <s v="USUARIO"/>
    <s v="MANTENIMIENTO"/>
    <s v="MANTENIMIENTO GENERAL"/>
    <s v="No"/>
    <n v="0"/>
    <n v="0"/>
    <n v="0"/>
    <n v="0"/>
    <n v="0"/>
    <s v="TIPO I"/>
    <s v="TERRESTRE"/>
    <n v="1"/>
    <n v="0"/>
    <n v="0"/>
    <n v="0"/>
    <n v="65960.473639999997"/>
    <n v="65960.473639999997"/>
  </r>
  <r>
    <s v="MEDELLIN"/>
    <x v="3"/>
    <x v="3"/>
    <n v="5088"/>
    <n v="2240557"/>
    <s v="FO-25-1025646"/>
    <d v="2025-06-02T11:46:00"/>
    <d v="2025-06-05T12:47:40"/>
    <s v="ANTIOQUIA"/>
    <s v="BELLO"/>
    <s v="PTM BELLO GRANERO EL JULI"/>
    <n v="69093"/>
    <s v="INCIDENTE"/>
    <s v="REDEBAN"/>
    <s v="AGREGADOR"/>
    <m/>
    <s v="CERRADO"/>
    <s v="02-06 DEBIDO A FALLO, SOLICITUD DEL CLIENTE, REQUIERE CAMBIO DE DATAFONO, NO ESTA DISPONIBLE EL SOPORTE DE ACTIVOS PARA PARTE DE RBM, POR LO CUAL SE PROGRAMA ACTIVIDAD PARA DIA HABIL_x000a_03/06/2025 SEGÚN EL DAÑO SE NECESITA CAMBIO EQUIPO Y NO HAY EQUIPOS EN BODEGA LOS QUE HAY SE VAN A UTILIZAR EN APERTURAS SE APLAZA VISITA_x000a_05-06 SE REALIZÓ LIMPIEZA DE LECTOR CHIP "/>
    <s v="CASTAÑEDA PALACIO CARLOS FELIPE"/>
    <s v="VISITA_TÉCNICA"/>
    <s v="A103Z499 A104Z891"/>
    <s v="NO"/>
    <s v="USUARIO"/>
    <s v="LECTOR DE TARJETAS"/>
    <s v="OBSTRUCCION DEL LECTOR"/>
    <s v="No"/>
    <n v="0"/>
    <n v="0"/>
    <n v="0"/>
    <n v="0"/>
    <n v="0"/>
    <s v="TIPO I"/>
    <s v="TERRESTRE"/>
    <n v="1"/>
    <n v="0"/>
    <n v="0"/>
    <n v="0"/>
    <n v="65960.473639999997"/>
    <n v="65960.473639999997"/>
  </r>
  <r>
    <s v="MEDELLIN"/>
    <x v="3"/>
    <x v="3"/>
    <n v="5088"/>
    <n v="2257980"/>
    <s v="FO-25-1045165"/>
    <d v="2025-06-05T10:03:00"/>
    <d v="2025-06-05T13:09:45"/>
    <s v="ANTIOQUIA"/>
    <s v="BELLO"/>
    <s v="REVAL SUPERMERCADO OR"/>
    <n v="31253"/>
    <s v="INCIDENTE"/>
    <s v="REDEBAN"/>
    <s v="ROBUSTO"/>
    <m/>
    <s v="CERRADO"/>
    <s v="05-06 SE ESCALA PARA VISITA, LLAMAR ANTES DE VISITAR Y CONFIRMAR DATOS, DIRECCION Y SOLICITUD_x000a_0_x000a_05-06 SE REALIZÓ LIMPIEZA DE LECTOR CHIP "/>
    <s v="CASTAÑEDA PALACIO CARLOS FELIPE"/>
    <s v="VISITA_TÉCNICA"/>
    <s v="11113605 - 1113608"/>
    <s v="NO"/>
    <s v="USUARIO"/>
    <s v="LECTOR DE TARJETAS"/>
    <s v="OBSTRUCCION DEL LECTOR"/>
    <s v="No"/>
    <n v="0"/>
    <n v="0"/>
    <n v="0"/>
    <n v="0"/>
    <n v="0"/>
    <s v="TIPO I"/>
    <s v="TERRESTRE"/>
    <n v="1"/>
    <n v="0"/>
    <n v="0"/>
    <n v="0"/>
    <n v="65960.473639999997"/>
    <n v="65960.473639999997"/>
  </r>
  <r>
    <s v="CARTAGENA"/>
    <x v="0"/>
    <x v="0"/>
    <n v="13001"/>
    <n v="2247140"/>
    <s v="FO-25-1033794"/>
    <d v="2025-06-03T14:40:00"/>
    <d v="2025-06-05T13:23:06"/>
    <s v="BOLIVAR"/>
    <s v="CARTAGENA"/>
    <s v="BARRIO AV EL CONSULADAO BRR ESCALLONVILLA CARTAGENA DE INDIAS"/>
    <n v="79072"/>
    <s v="INCIDENTE"/>
    <s v="REDEBAN"/>
    <s v="CB UNO A UNO"/>
    <m/>
    <s v="CERRADO"/>
    <s v="3-06 SE ESCALA PARA VISITA. LLAMAR ANTES DE VISITAR Y CONFIRMAR DATOS, DIRECCION Y SOLICITUD ..05-06 ACTIVIDAD PROGRAMADA PARA EL DÍA DE HOY 05-06-2025_x000a_05/06/2025 SE LLEGA AL SITIO Y NO SE ENCUENTRA LA PERSONA EN CARGADA INFORMA QUE LLEGA EN UNA HORA SE REGRESARA AL SITIO_x000a_05-06 SE VALIDA PROBLEMA DE LECTORA Y SE ENCUENTRA OPERATIVA SE DAN INDICACIONES DE COMO PODER LEER LA FACTURA CORRECTAMENTE Y TODO QUEDA OK"/>
    <s v="MARTINEZ SALGUEDO ANDRES AUGUSTO"/>
    <s v="VISITA_TÉCNICA"/>
    <s v="SASZZ647"/>
    <s v="NO"/>
    <s v="USUARIO"/>
    <s v="LECTOR DE BARRAS"/>
    <s v="CAPACITACION MANIPULACION DE COMERCIO"/>
    <s v="No"/>
    <n v="0"/>
    <n v="0"/>
    <n v="0"/>
    <n v="0"/>
    <n v="0"/>
    <s v="TIPO I"/>
    <s v="TERRESTRE"/>
    <n v="1"/>
    <n v="0"/>
    <n v="0"/>
    <n v="0"/>
    <n v="65960.473639999997"/>
    <n v="65960.473639999997"/>
  </r>
  <r>
    <s v="CALI"/>
    <x v="1"/>
    <x v="1"/>
    <n v="76001"/>
    <n v="2257374"/>
    <s v="FO-25-1044528"/>
    <d v="2025-06-05T09:14:00"/>
    <d v="2025-06-05T14:32:39"/>
    <s v="VALLE DEL CAUCA"/>
    <s v="CALI"/>
    <s v="BARRIO COMUNEROS I CALI 1"/>
    <n v="73730"/>
    <s v="INCIDENTE"/>
    <s v="REDEBAN"/>
    <s v="CB UNO A UNO"/>
    <m/>
    <s v="CERRADO"/>
    <s v="05-06 SE ESCALA PARA VISITA, LLAMAR ANTES DE VISITAR Y CONFIRMAR DATOS, DIRECCION Y SOLICITUD_x000a_0_x000a_05-06 SE LLAMA AL COMERCIO Y ME DICE QUE YA SE SOLUCIONO LA FALLA "/>
    <s v="CUERO RUIZ JHONNY"/>
    <s v="SOPORTE_TELEFÓNICO"/>
    <n v="0"/>
    <s v="NO"/>
    <s v="USUARIO"/>
    <s v="COMUNICACION"/>
    <s v="CONEXIONES DE COMERCIO"/>
    <s v="No"/>
    <n v="0"/>
    <n v="0"/>
    <n v="0"/>
    <n v="0"/>
    <n v="0"/>
    <s v="TIPO I"/>
    <s v="TERRESTRE"/>
    <n v="0"/>
    <n v="0"/>
    <n v="0"/>
    <n v="0"/>
    <n v="37904.65408"/>
    <n v="37904.65408"/>
  </r>
  <r>
    <s v="CUCUTA"/>
    <x v="5"/>
    <x v="5"/>
    <n v="54001"/>
    <n v="2259951"/>
    <s v="FO-25-1047107"/>
    <d v="2025-06-05T13:23:00"/>
    <d v="2025-06-05T15:22:00"/>
    <s v="NORTE DE SANTANDER"/>
    <s v="CUCUTA"/>
    <s v="BARRIO SAN LUIS CUCUTA 17"/>
    <n v="58678"/>
    <s v="INCIDENTE"/>
    <s v="REDEBAN"/>
    <s v="CB UNO A UNO"/>
    <m/>
    <s v="CERRADO"/>
    <s v="05-06 SE ESCALA PARA VISITA, LLAMAR ANTES DE VISITAR Y CONFIRMAR DATOS, DIRECCION Y SOLICITUD_x000a_0_x000a_05-06 SE REALIZA VISITA AL COMERCIO Y SE ENCUENTRA DATAFONO SIN REALIZAR TRANSACCIONES DE RETIRO, SE REALIZA INCIALIZACION OK, PRUEBAS EXITOSAS "/>
    <s v="MORA VEGA JEAMPIER"/>
    <s v="VISITA_TÉCNICA"/>
    <s v="IVZZZ993"/>
    <s v="NO"/>
    <s v="USUARIO"/>
    <s v="MANTENIMIENTO"/>
    <s v="MANTENIMIENTO GENERAL"/>
    <s v="No"/>
    <n v="0"/>
    <n v="0"/>
    <n v="0"/>
    <n v="0"/>
    <n v="0"/>
    <s v="TIPO I"/>
    <s v="TERRESTRE"/>
    <n v="1"/>
    <n v="0"/>
    <n v="0"/>
    <n v="0"/>
    <n v="65960.473639999997"/>
    <n v="65960.473639999997"/>
  </r>
  <r>
    <s v="BUCARAMANGA"/>
    <x v="5"/>
    <x v="5"/>
    <n v="68406"/>
    <n v="2257993"/>
    <s v="FO-25-1045161"/>
    <d v="2025-06-05T10:07:00"/>
    <d v="2025-06-05T15:25:00"/>
    <s v="SANTANDER"/>
    <s v="LEBRIJA"/>
    <s v="BARRIO CENTRO LEBRIJA 3"/>
    <n v="39413"/>
    <s v="INCIDENTE"/>
    <s v="REDEBAN"/>
    <s v="CB UNO A UNO"/>
    <m/>
    <s v="CERRADO"/>
    <s v="05-06 SE ESCALA PARA VISITA, LLAMAR ANTES DE VISITAR Y CONFIRMAR DATOS, DIRECCION Y SOLICITUD_x000a_0_x000a_05-06 SE REALIZA VISITA AL COMERCIO CB, SE VALIDA Y SE ENCUENTRA QUE EL DATÁFONO PERDIÓ LA CONFIGURACIÓN DE LOS USUARIOS PARA EL CORRESPONSAL Y CLAVES PARA REALIZAR CIERRE Y DEMÁS SE REALIZA EL FORMATEO DEL DATÁFONO SE DESCARGA SISTEMA OPERATIVO NUEVO Y VERSIÓN 9.90 SE HACEN LAS RESPECTIVAS CONFIGURACIONES PRUEBAS OKAY"/>
    <s v="GONZALEZ ESTUPIÑAN YEISON WALTER ANTONIO"/>
    <s v="VISITA_TÉCNICA"/>
    <s v="AA08Z557"/>
    <s v="NO"/>
    <s v="USUARIO"/>
    <s v="USUARIOS"/>
    <s v="MALA MANIPULACION POS"/>
    <s v="No"/>
    <n v="0"/>
    <n v="0"/>
    <n v="0"/>
    <n v="0"/>
    <n v="0"/>
    <s v="TIPO II"/>
    <s v="TERRESTRE"/>
    <n v="1"/>
    <n v="0"/>
    <n v="0"/>
    <n v="0"/>
    <n v="163813.55812"/>
    <n v="163813.55812"/>
  </r>
  <r>
    <s v="MEDELLIN"/>
    <x v="3"/>
    <x v="3"/>
    <n v="27361"/>
    <n v="2242568"/>
    <s v="FO-25-1028617"/>
    <d v="2025-06-03T08:53:00"/>
    <d v="2025-06-06T07:55:00"/>
    <s v="CHOCO"/>
    <s v="ISTMINA"/>
    <s v="BARRIO CUBIS ISTMINA CHOCO 2"/>
    <n v="33856"/>
    <s v="INCIDENTE"/>
    <s v="REDEBAN"/>
    <s v="CB UNO A UNO"/>
    <m/>
    <s v="CERRADO"/>
    <s v="03-06 SE REALIZA CONTACTO CON LA SEÑORA JOHANA AL NUMERO 3182063717 QUIEN INDICA QUE EL DATAFONO LE ARROJA ERROR TCP IP CABLE DE RED DESCONECTADO, SE HACEN VALIDACIONES Y SE ESCALA PARA VISITA TECNICA_x000a_0_x000a_06-06 SE LLEGABA SITIO, SE REALIZA MANTENIMIENTO Y SE EVIDENCIA FALLA EN CANAL DE COMERCIO SE REALIZAN ADECUADOS Y EL CB QUEDA OPERATIVO "/>
    <s v="ROBLEDO DIAZ ANDRES FELIPE"/>
    <s v="VISITA_TÉCNICA"/>
    <s v="1MZZZ115"/>
    <s v="NO"/>
    <s v="USUARIO"/>
    <s v="COMUNICACION"/>
    <s v="CANAL DEL COMERCIO"/>
    <s v="No"/>
    <n v="0"/>
    <n v="0"/>
    <n v="0"/>
    <n v="0"/>
    <n v="0"/>
    <s v="TIPO IV ESPECIAL"/>
    <s v="AEREO"/>
    <n v="1"/>
    <n v="0"/>
    <n v="0"/>
    <n v="0"/>
    <n v="479589.73656000005"/>
    <n v="479589.73656000005"/>
  </r>
  <r>
    <s v="CUCUTA"/>
    <x v="5"/>
    <x v="5"/>
    <n v="54405"/>
    <n v="2258236"/>
    <s v="FO-25-1045385"/>
    <d v="2025-06-05T10:17:00"/>
    <d v="2025-06-06T08:21:00"/>
    <s v="NORTE DE SANTANDER"/>
    <s v="LOS PATIOS"/>
    <s v="BARRIO LLANO GRANDE LOS PATIOS 3"/>
    <n v="76013"/>
    <s v="INCIDENTE"/>
    <s v="REDEBAN"/>
    <s v="CB UNO A UNO"/>
    <m/>
    <s v="CERRADO"/>
    <s v="05-06 SE ESCALA PARA VISITA, LLAMAR ANTES DE VISITAR Y CONFIRMAR DATOS, DIRECCION Y SOLICITUD_x000a_0_x000a_05-06 SE CONTACTA TELEFÓNICAMENTE A LA SEÑORA CARMEN MONTERREY, SE REALIZA CAMBIO DE CLAVE DE SUPERVISOR. CLIENTE TIENE CONOCIMIENTO PREVIO DE LA CLAVE DE ADMINISTRADOR PARA REALIZAR EL CAMBIO. SE CONFIRMA SERVICIO OPERATIVO POR PARTE DEL CLIENTE."/>
    <s v="PACHECO BUITRAGO JAVIER ALONSO"/>
    <s v="SOPORTE_TELEFÓNICO"/>
    <n v="0"/>
    <s v="NO"/>
    <s v="USUARIO"/>
    <s v="USUARIOS"/>
    <s v="USUARIOS BLOQUEADOS"/>
    <s v="No"/>
    <n v="0"/>
    <n v="0"/>
    <n v="0"/>
    <n v="0"/>
    <n v="0"/>
    <s v="TIPO I"/>
    <s v="TERRESTRE"/>
    <n v="0"/>
    <n v="0"/>
    <n v="0"/>
    <n v="0"/>
    <n v="37904.65408"/>
    <n v="37904.65408"/>
  </r>
  <r>
    <s v="BOGOTA"/>
    <x v="4"/>
    <x v="4"/>
    <n v="11001"/>
    <n v="2262247"/>
    <s v="FO-25-1050909"/>
    <d v="2025-06-06T08:00:00"/>
    <d v="2025-06-06T15:28:23"/>
    <s v="CUNDINAMARCA"/>
    <s v="BOGOTA"/>
    <s v="PTM REDES JC"/>
    <n v="53571"/>
    <s v="INCIDENTE"/>
    <s v="REDEBAN"/>
    <s v="AGREGADOR"/>
    <m/>
    <s v="CERRADO"/>
    <s v="06-06 SE ESCALA PARA VISITA, LLAMAR ANTES DE VISITAR Y CONFIRMAR DATOS, DIRECCION Y SOLICITUD_x000a_0_x000a_06-06 DURANTE LA VISITA TECNICA PARA ATENDER INCIDENTE REPORTADO POR CORRESPONSAL BANCARIO, CORRESPONSAL NOS INDICA QUE EL DAÑO YA FUE SOLUCIONADO,  SE HACEN PRUEBAS CONFIRMANDO QUE SERVICIO SE ENCUENTRA FUNCIONAL Y OPERATIVO A CONFORMIDAD DEL CB SIN NOVEDAD EN EL INCIDENTE SALDO OK"/>
    <s v="GALEANO SORIANO JUAN DAVID"/>
    <s v="VISITA_TÉCNICA"/>
    <s v="TR0VZ648-TR0FZ326"/>
    <s v="NO"/>
    <s v="USUARIO"/>
    <s v="MANTENIMIENTO"/>
    <s v="MANTENIMIENTO GENERAL"/>
    <s v="No"/>
    <n v="0"/>
    <n v="0"/>
    <n v="0"/>
    <n v="0"/>
    <n v="0"/>
    <s v="TIPO I"/>
    <s v="TERRESTRE"/>
    <n v="1"/>
    <n v="0"/>
    <n v="0"/>
    <n v="0"/>
    <n v="65960.473639999997"/>
    <n v="65960.473639999997"/>
  </r>
  <r>
    <s v="PEREIRA"/>
    <x v="1"/>
    <x v="6"/>
    <n v="63001"/>
    <n v="2262511"/>
    <s v="FO-25-1050897"/>
    <d v="2025-06-06T08:00:00"/>
    <d v="2025-06-07T10:24:43"/>
    <s v="QUINDIO"/>
    <s v="ARMENIA"/>
    <s v="BARRIO LAS COLINAS ARMENIA"/>
    <n v="67674"/>
    <s v="INCIDENTE"/>
    <s v="REDEBAN"/>
    <s v="CB UNO A UNO"/>
    <m/>
    <s v="CERRADO"/>
    <s v="06-06 SE ESCALA PARA VISITA, LLAMAR ANTES DE VISITAR Y CONFIRMAR DATOS, DIRECCION Y SOLICITUD_x000a_0_x000a_07-06 SE VISITA COMERCIO,   NO SE PERMITE EL INGRESO A TÉCNICO PARA REALIZAR LA VERIFICACIÓN FÍSICA Y LECTURA DE PLACA DE DATAFONO CLIENTE INDICA QUE YA ESTÁ FUNCIONANDO EL DATAFONO Y QUE EL DÍA DE AYER EL PASO EL REPORTE DE QUE YA ESTABA FUNCIONANDO. "/>
    <s v="SANCHEZ SOLORZANO JUAN SEBASTIAN"/>
    <s v="VISITA_TÉCNICA"/>
    <s v="AAQ0N448"/>
    <s v="NO"/>
    <s v="USUARIO"/>
    <s v="MANTENIMIENTO"/>
    <s v="MANTENIMIENTO GENERAL"/>
    <s v="No"/>
    <n v="0"/>
    <n v="0"/>
    <n v="0"/>
    <n v="0"/>
    <n v="0"/>
    <s v="TIPO II"/>
    <s v="TERRESTRE"/>
    <n v="1"/>
    <n v="0"/>
    <n v="0"/>
    <n v="0"/>
    <n v="163813.55812"/>
    <n v="163813.55812"/>
  </r>
  <r>
    <s v="BOGOTA"/>
    <x v="4"/>
    <x v="4"/>
    <n v="11001"/>
    <n v="2265056"/>
    <s v="FO-25-1053149"/>
    <d v="2025-06-06T11:26:00"/>
    <d v="2025-06-07T11:01:00"/>
    <s v="CUNDINAMARCA"/>
    <s v="BOGOTA"/>
    <s v="BARRIO SAN CIPRIANO BOGOTA 4"/>
    <n v="79607"/>
    <s v="INCIDENTE"/>
    <s v="REDEBAN"/>
    <s v="CB UNO A UNO"/>
    <m/>
    <s v="CERRADO"/>
    <s v="06-06 SE ESCALA PARA VISITA, LLAMAR ANTES DE VISITAR Y CONFIRMAR DATOS, DIRECCION Y SOLICITUD_x000a_0_x000a_07-06 SE VISITA CORRESPONSAL BANCARIO POR REUBICACIÓN DE CABLE DE RED YA QUE EL CABLE EXISTENTE ESTABA MAL UBICADO Y HACIA QUE LA GENTE SE TRIPEZAEA SE PROCEDE A GENERAR CAMBIO DE CABLE INSTALANDO UN NUEVO CABLE DE 8 MTRS A SOLICITUD DE CLIENTE , SE PROCEDE A INSTALAR Y SE REALIZAN TRANSACCIONES DE PRUEBA OK,SE DEJA CB OPERANDO SIN NOVEDAD"/>
    <s v="ROMERO ROJAS BREIDY JHOHAN"/>
    <s v="VISITA_TÉCNICA"/>
    <s v="SXUZZ133"/>
    <s v="SI"/>
    <s v="USUARIO"/>
    <s v="COMUNICACION"/>
    <s v="CONEXIONES DE COMERCIO"/>
    <s v="No"/>
    <n v="0"/>
    <n v="0"/>
    <n v="0"/>
    <n v="0"/>
    <s v="Cable de red "/>
    <s v="TIPO I"/>
    <s v="TERRESTRE"/>
    <n v="1"/>
    <n v="8"/>
    <n v="0"/>
    <n v="0"/>
    <n v="65960.473639999997"/>
    <n v="195838.03716000001"/>
  </r>
  <r>
    <s v="CALI"/>
    <x v="1"/>
    <x v="1"/>
    <n v="76001"/>
    <n v="2268464"/>
    <s v="FO-25-1057042"/>
    <d v="2025-06-07T10:16:00"/>
    <d v="2025-06-07T12:43:48"/>
    <s v="VALLE DEL CAUCA"/>
    <s v="CALI"/>
    <s v="PTM CALI ALL NET CENTRO DE SOL"/>
    <n v="45396"/>
    <s v="INCIDENTE"/>
    <s v="REDEBAN"/>
    <s v="AGREGADOR"/>
    <m/>
    <s v="CERRADO"/>
    <s v="07-06 SE ESCALA PARA VISITA, LLAMAR ANTES DE VISITAR Y CONFIRMAR DATOS, DIRECCION Y SOLICITUD_x000a_0_x000a_07-06 CLIENTE CAMBIO CONFIGURACIÓN DEL EQUIPO POR ESO NO FUNCIONABA SE VUELVE A CONFIGURAR Y FUNCIONA CORRECTAMENTE "/>
    <s v="CUERO RUIZ JHONNY"/>
    <s v="VISITA_TÉCNICA"/>
    <s v="AC0MZ730"/>
    <s v="NO"/>
    <s v="USUARIO"/>
    <s v="MANTENIMIENTO"/>
    <s v="MANTENIMIENTO GENERAL"/>
    <s v="No"/>
    <n v="0"/>
    <n v="0"/>
    <n v="0"/>
    <n v="0"/>
    <n v="0"/>
    <s v="TIPO I"/>
    <s v="TERRESTRE"/>
    <n v="1"/>
    <n v="0"/>
    <n v="0"/>
    <n v="0"/>
    <n v="65960.473639999997"/>
    <n v="65960.473639999997"/>
  </r>
  <r>
    <s v="MANIZALES"/>
    <x v="1"/>
    <x v="6"/>
    <n v="17001"/>
    <n v="2268488"/>
    <s v="FO-25-1057348"/>
    <d v="2025-06-07T10:39:00"/>
    <d v="2025-06-07T12:15:00"/>
    <s v="CALDAS"/>
    <s v="MANIZALES"/>
    <s v="BARRIO COLINAS MANIZALES"/>
    <n v="75659"/>
    <s v="INCIDENTE"/>
    <s v="REDEBAN"/>
    <s v="CB UNO A UNO"/>
    <m/>
    <s v="CERRADO"/>
    <s v="07-06 SE ESCALA PARA VISITA, LLAMAR ANTES DE VISITAR Y CONFIRMAR DATOS, DIRECCION Y SOLICITUD_x000a_0_x000a_07-06 SE REALIZA VALIDACION CON EL CLIENTE, PERO SE ENCUENTRA QUE EL CLIENTE ESTABA REALIZANDO EL CIERRE DEMANERA INCORRECTA, A TRAVES DEL MODULO DE COMERCIO Y EL DATAOFNO NO ES MIXTO, SE LE EXPLICA CORRECTAMENTE LA UBICACION DE LA OPCION DE CIERRE Y EL PROCESO CORRECTO Y EL CLIENTE LO REALIZA SON ONCONVENIENTE"/>
    <s v="HENAO CARDONA DIEGO FERNANDO"/>
    <s v="SOPORTE_TELEFÓNICO"/>
    <n v="0"/>
    <s v="NO"/>
    <s v="USUARIO"/>
    <s v="CIERRE"/>
    <s v="COMERCIO NO REALIZA CIERRE"/>
    <s v="No"/>
    <n v="0"/>
    <n v="0"/>
    <n v="0"/>
    <n v="0"/>
    <n v="0"/>
    <s v="TIPO I"/>
    <s v="TERRESTRE"/>
    <n v="0"/>
    <n v="0"/>
    <n v="0"/>
    <n v="0"/>
    <n v="37904.65408"/>
    <n v="37904.65408"/>
  </r>
  <r>
    <s v="MEDELLIN"/>
    <x v="3"/>
    <x v="3"/>
    <n v="5001"/>
    <n v="2268558"/>
    <s v="FO-25-1058020"/>
    <d v="2025-06-07T12:43:00"/>
    <d v="2025-06-08T10:04:09"/>
    <s v="ANTIOQUIA"/>
    <s v="MEDELLIN"/>
    <s v="BARRIO BAYADERA MEDELLIN 2"/>
    <n v="50309"/>
    <s v="INCIDENTE"/>
    <s v="REDEBAN"/>
    <s v="CB UNO A UNO"/>
    <m/>
    <s v="CERRADO"/>
    <s v="07-06 SE ESCALA PARA VISITA, LLAMAR ANTES DE VISITAR Y CONFIRMAR DATOS, DIRECCION Y SOLICITUD_x000a_0_x000a_08-06 SE REALIZÓ LIMPIEZA DE LECTOR CHIP "/>
    <s v="CASTAÑEDA PALACIO CARLOS FELIPE"/>
    <s v="VISITA_TÉCNICA"/>
    <s v="XP00W434"/>
    <s v="NO"/>
    <s v="USUARIO"/>
    <s v="LECTOR DE TARJETAS"/>
    <s v="OBSTRUCCION DEL LECTOR"/>
    <s v="No"/>
    <n v="0"/>
    <n v="0"/>
    <n v="0"/>
    <n v="0"/>
    <n v="0"/>
    <s v="TIPO I"/>
    <s v="TERRESTRE"/>
    <n v="1"/>
    <n v="0"/>
    <n v="0"/>
    <n v="0"/>
    <n v="65960.473639999997"/>
    <n v="65960.473639999997"/>
  </r>
  <r>
    <s v="CUCUTA"/>
    <x v="5"/>
    <x v="5"/>
    <n v="54099"/>
    <n v="2268565"/>
    <s v="FO-25-1058289"/>
    <d v="2025-06-07T13:12:00"/>
    <d v="2025-06-09T11:46:00"/>
    <s v="NORTE DE SANTANDER"/>
    <s v="BOCHALEMA"/>
    <s v="BARRIO BOCHALEMA BOCHALEMA 1"/>
    <n v="57278"/>
    <s v="INCIDENTE"/>
    <s v="REDEBAN"/>
    <s v="CB UNO A UNO"/>
    <m/>
    <s v="CERRADO"/>
    <s v="07-06 SE ESCALA PARA VISITA, LLAMAR ANTES DE VISITAR Y CONFIRMAR DATOS, DIRECCION Y SOLICITUD_x000a_0_x000a_09-06 SE REALIZÓ VISITA AL COMERCIO Y SE REALIZA MANTENIMIENTO AL DATAFONO, SE FORMATEA EQUIPO, SE MONTA SISTEMA OPERATIVO Y VERSIÓN, PRUEBAS EXITOSAS "/>
    <s v="MORA VEGA JEAMPIER"/>
    <s v="VISITA_TÉCNICA"/>
    <s v="TRSZZ845"/>
    <s v="NO"/>
    <s v="USUARIO"/>
    <s v="MANTENIMIENTO"/>
    <s v="MANTENIMIENTO GENERAL"/>
    <s v="No"/>
    <n v="0"/>
    <n v="0"/>
    <n v="0"/>
    <n v="0"/>
    <n v="0"/>
    <s v="TIPO II"/>
    <s v="TERRESTRE"/>
    <n v="1"/>
    <n v="0"/>
    <n v="0"/>
    <n v="0"/>
    <n v="163813.55812"/>
    <n v="163813.55812"/>
  </r>
  <r>
    <s v="APARTADO"/>
    <x v="3"/>
    <x v="3"/>
    <n v="5045"/>
    <n v="2271509"/>
    <s v="FO-25-1061535"/>
    <d v="2025-06-09T09:18:00"/>
    <d v="2025-06-09T11:50:00"/>
    <s v="ANTIOQUIA"/>
    <s v="APARTADO"/>
    <s v="DISTRICOL COMUNICACIONES KATEB"/>
    <n v="35610"/>
    <s v="INCIDENTE"/>
    <s v="REDEBAN"/>
    <s v="AGREGADOR"/>
    <m/>
    <s v="CERRADO"/>
    <s v="09-06 SE ESCALA PARA VISITA, LLAMAR ANTES DE VISITAR Y CONFIRMAR DATOS, DIRECCION Y SOLICITUD_x000a_0_x000a_09-06 CLIENTE INDICA QUE EN MOMENTO NO PUEDE ATENDER TÉCNICO DE REDEBAN POR QUE NO PARAR LA OPERACIÓN DE SU PUNTO. CLIENTE INDICA QUE VA SOLICITAR OTRA TAREA EN HORARIO ESPECÍFICO. "/>
    <s v="CASTRO HENAO DANIEL ESTEBAN"/>
    <s v="VISITA_TÉCNICA"/>
    <s v="CLIENTE INDICA QUE EN MOMENTO NO PUEDE ATENDER TÉCNICO DE REDEBAN POR QUE NO PARAR LA OPERACIÓN DE SU PUNTO. CLIENTE INDICA QUE VA SOLICITAR OTRA TAREA EN HORARIO ESPECÍFICO. "/>
    <s v="NO"/>
    <s v="USUARIO"/>
    <s v="MANTENIMIENTO"/>
    <s v="MANTENIMIENTO GENERAL"/>
    <s v="No"/>
    <n v="0"/>
    <n v="0"/>
    <n v="0"/>
    <n v="0"/>
    <n v="0"/>
    <s v="TIPO I"/>
    <s v="TERRESTRE"/>
    <n v="1"/>
    <n v="0"/>
    <n v="0"/>
    <n v="0"/>
    <n v="65960.473639999997"/>
    <n v="65960.473639999997"/>
  </r>
  <r>
    <s v="BOGOTA"/>
    <x v="4"/>
    <x v="4"/>
    <n v="11001"/>
    <n v="2268418"/>
    <s v="FO-25-1056793"/>
    <d v="2025-06-07T09:37:00"/>
    <d v="2025-06-09T13:00:00"/>
    <s v="CUNDINAMARCA"/>
    <s v="BOGOTA"/>
    <s v="BARRIO LAS FERIAS BOGOTA 3"/>
    <n v="49448"/>
    <s v="INCIDENTE"/>
    <s v="REDEBAN"/>
    <s v="CB UNO A UNO"/>
    <m/>
    <s v="CERRADO"/>
    <s v="07-06 SE ESCALA PARA VISITA, LLAMAR ANTES DE VISITAR Y CONFIRMAR DATOS, DIRECCION Y SOLICITUD_x000a_07/06/2025 SE REALIZA COMUNICACIÓN A LA LÍNEA 3163297345 DONDE CLIENTE CONFIRMA FALLA DE CONEXIÓN, NO HAY SOPORTE DE RBM PARA  VISITAR, SE PROGRAMA PARA LA PRÓXIMA SEMANA._x000a_09-06 SE REALIZA VISITA A CB PARA ATENDER INCIDENTE SE REALIZA REPORTE CON REDEBAN SOBRE FALLA RECHAZO GENERAL,SE REALIZAN PRUEBAS OK "/>
    <s v="GALINDO ROJAS LUIS FELIPE"/>
    <s v="VISITA_TÉCNICA"/>
    <s v="AD00P298"/>
    <s v="NO"/>
    <s v="ENTIDAD"/>
    <s v="ERROR DE TRANSACCIONES"/>
    <s v="TRANSACCION NO PERMITIDA"/>
    <s v="No"/>
    <n v="0"/>
    <n v="0"/>
    <n v="0"/>
    <n v="0"/>
    <n v="0"/>
    <s v="TIPO I"/>
    <s v="TERRESTRE"/>
    <n v="1"/>
    <n v="0"/>
    <n v="0"/>
    <n v="0"/>
    <n v="65960.473639999997"/>
    <n v="65960.473639999997"/>
  </r>
  <r>
    <s v="APARTADO"/>
    <x v="3"/>
    <x v="3"/>
    <n v="5045"/>
    <n v="2268612"/>
    <s v="FO-25-1057440"/>
    <d v="2025-06-07T11:02:00"/>
    <d v="2025-06-09T13:06:00"/>
    <s v="ANTIOQUIA"/>
    <s v="APARTADO"/>
    <s v="DISTRICOL MISCELANEA ARTEMISA"/>
    <n v="44405"/>
    <s v="INCIDENTE"/>
    <s v="REDEBAN"/>
    <s v="AGREGADOR"/>
    <m/>
    <s v="CERRADO"/>
    <s v="07-06 SE ESCALA PARA VISITA, LLAMAR ANTES DE VISITAR Y CONFIRMAR DATOS, DIRECCION Y SOLICITUD_x000a_07/06/2025 SEGÚN DESCRIPCIÓN DE INCIDENTE EN PUNTO ES NECESARIO CAMBIO DE PLACA. POR HORA DE CREACIÓN DE ACTIVIDAD NO SE LOGRA VISITAR SITIO TIPO II PARA SOLUCIÓN ANTES DE VENCIMIENTO, VISITA SE REALIZARÁ EN DÍA HÁBIL._x000a_09-06 SE VERIFICA DATAFONO PERO NO SE ENCUENTRA ANOMALÍA, SE REALIZA PRUEBA. "/>
    <s v="CASTRO HENAO DANIEL ESTEBAN"/>
    <s v="VISITA_TÉCNICA"/>
    <s v="AB19Z210"/>
    <s v="NO"/>
    <s v="USUARIO"/>
    <s v="CIERRE"/>
    <s v="COMERCIO NO REALIZA CIERRE"/>
    <s v="No"/>
    <n v="0"/>
    <n v="0"/>
    <n v="0"/>
    <n v="0"/>
    <n v="0"/>
    <s v="TIPO I"/>
    <s v="TERRESTRE"/>
    <n v="1"/>
    <n v="0"/>
    <n v="0"/>
    <n v="0"/>
    <n v="65960.473639999997"/>
    <n v="65960.473639999997"/>
  </r>
  <r>
    <s v="MEDELLIN"/>
    <x v="3"/>
    <x v="3"/>
    <n v="5120"/>
    <n v="2260533"/>
    <s v="FO-25-1047754"/>
    <d v="2025-06-05T14:37:00"/>
    <d v="2025-06-09T14:26:32"/>
    <s v="ANTIOQUIA"/>
    <s v="CACERES"/>
    <s v="DISTRICOL MIL COSAS Y ALGO MAS"/>
    <n v="66858"/>
    <s v="INCIDENTE"/>
    <s v="REDEBAN"/>
    <s v="AGREGADOR"/>
    <m/>
    <s v="CERRADO"/>
    <s v="05-06 SE REALIZA CONTACTO CON LA SEÑORA MARLYS AL NUMERO 3137654516 QUIEN INDICA QUE EL DATAFONO SALE ERROR CONEXION CABLE RED DESCONECTADO, SE HACEN VALIDACIONES Y SE ESCALA PARA VISITA TECNICA_x000a_0_x000a_09-06 SE VISITA SITIO, SE REVISAN CONEXIONES DEL DATAFONO OK. SE DETECTA PROBLEMAS EN CANAL DE COMERCIO (SWITCH) SE REINICIA CONSTANTEMENTE, DATAFONO SE CONECTA DIRECTO AL MODEM Y SE LE INFORMA AL CB DAÑO EN CANAL DE COMUNICACIÓN OK._x000a_PRUEBAS EXITOSAS "/>
    <s v="COGOLLO VERTEL EDER LUIS"/>
    <s v="VISITA_TÉCNICA"/>
    <s v="4A0AZ386"/>
    <s v="NO"/>
    <s v="USUARIO"/>
    <s v="COMUNICACION"/>
    <s v="CANAL DEL COMERCIO"/>
    <s v="No"/>
    <n v="0"/>
    <n v="0"/>
    <n v="0"/>
    <n v="0"/>
    <n v="0"/>
    <s v="TIPO IV"/>
    <s v="TERRESTRE"/>
    <n v="1"/>
    <n v="0"/>
    <n v="0"/>
    <n v="0"/>
    <n v="479589.73656000005"/>
    <n v="479589.73656000005"/>
  </r>
  <r>
    <s v="MEDELLIN"/>
    <x v="3"/>
    <x v="3"/>
    <n v="5400"/>
    <n v="2269488"/>
    <s v="FO-25-1060456"/>
    <d v="2025-06-08T15:12:00"/>
    <d v="2025-06-09T14:53:00"/>
    <s v="ANTIOQUIA"/>
    <s v="LA UNION"/>
    <s v="PARQUE PRINCIPAL LA UNION ANTI"/>
    <n v="69294"/>
    <s v="INCIDENTE"/>
    <s v="REDEBAN"/>
    <s v="CB UNO A UNO"/>
    <m/>
    <s v="CERRADO"/>
    <s v="08-06 SE ESCALA PARA VISITA, LLAMAR ANTES DE VISITAR Y CONFIRMAR DATOS, DIRECCION Y SOLICITUD_x000a_0_x000a_09-06 SE REALIZÓ GESTIÓN TELEFÓNICA SE HABLO CON LA SEÑORA CLAUDIA CALLE, SE REALIZÓ RESTABLECE CLAVE SUPERVISOR SE REALIZA UNA PRUEBA SIENDO EXITOSA "/>
    <s v="CASTAÑEDA PALACIO CARLOS FELIPE"/>
    <s v="SOPORTE_TELEFÓNICO"/>
    <n v="0"/>
    <s v="NO"/>
    <s v="USUARIO"/>
    <s v="USUARIOS"/>
    <s v="USUARIOS BLOQUEADOS"/>
    <s v="No"/>
    <n v="0"/>
    <n v="0"/>
    <n v="0"/>
    <n v="0"/>
    <n v="0"/>
    <s v="TIPO II"/>
    <s v="TERRESTRE"/>
    <n v="0"/>
    <n v="0"/>
    <n v="0"/>
    <n v="0"/>
    <n v="37904.65408"/>
    <n v="37904.65408"/>
  </r>
  <r>
    <s v="SINCELEJO"/>
    <x v="0"/>
    <x v="0"/>
    <n v="70001"/>
    <n v="2268175"/>
    <s v="FO-25-1058818"/>
    <d v="2025-06-07T08:57:00"/>
    <d v="2025-06-09T16:14:00"/>
    <s v="SUCRE"/>
    <s v="SINCELEJO"/>
    <s v="BARRIO PIONEROS SINCELEJO 4"/>
    <n v="77185"/>
    <s v="INCIDENTE"/>
    <s v="REDEBAN"/>
    <s v="CB UNO A UNO"/>
    <m/>
    <s v="CERRADO"/>
    <s v="07-06 SE ESCALA PARA VISITA, LLAMAR ANTES DE VISITAR Y CONFIRMAR DATOS, DIRECCION Y SOLICITUD_x000a_0_x000a_07-06 SE VISITA COMERCIO POR FALLA, YA QUE LE SALE FALLA DE COMUNICACIÓN VERIFIQUE PARÁMETROS, SE INTENTA INICIALIZAR LA TERMINAL DEL COMERCIO PERO NO ES POSIBLE, HAY QUE ESCALAR CON RBM YA QUE LA TERMINAL NO ESTÁ EN BASE 24, COD: 12 TERMINAL NO EXISTE EN PTD O CSECD, SE REPROGRAMAR PAR EL LUNES YA QUE NO HAY SOPORTE DE ACTIVOS RBM._x000a_0_x000a_09-06 SE VISITA COMERCIO NUEVAMENTE, YA QUE SALE &quot;FALLA DE COMUNICACIÓN VERIFIQUE PARÁMETROS&quot; SE ESCALA CON RBM Y SE CONFIRMA QUE LA TERMINAL ESTÁ BLOQUEADA, SE HABLA CON LA ENCARGADA _DEL CB_ Y SE LE INFORMA PARA QUE SE COMUNIQUE CON INCOCREDITO PARA LA ACTIVACIÓN DEL CODIGO UNICO, UNA VEZ QUE LE ACTIVEN LA TERMINAL LLAMAR NUEVAMENTE A LA ENTIDAD PARA AGENDAR LA VISITA; EL USUARIO YA SE ENCUENTRA EN EL PROCESO CON INCOCREDITO."/>
    <s v="CACERES HERNANDEZ ANDRES"/>
    <s v="VISITA_TÉCNICA"/>
    <s v="FAEZZ033 - SX6ZZ444"/>
    <s v="NO"/>
    <s v="ENTIDAD"/>
    <s v="ERROR DE TRANSACCIONES"/>
    <s v="TRANSACCION NO PERMITIDA"/>
    <s v="No"/>
    <n v="0"/>
    <n v="0"/>
    <n v="0"/>
    <n v="0"/>
    <n v="0"/>
    <s v="TIPO I"/>
    <s v="TERRESTRE"/>
    <n v="2"/>
    <n v="0"/>
    <n v="0"/>
    <n v="0"/>
    <n v="65960.473639999997"/>
    <n v="131920.94727999999"/>
  </r>
  <r>
    <s v="PEREIRA"/>
    <x v="1"/>
    <x v="6"/>
    <n v="63001"/>
    <n v="2272102"/>
    <s v="FO-25-1061913"/>
    <d v="2025-06-09T09:52:00"/>
    <d v="2025-06-09T16:47:00"/>
    <s v="QUINDIO"/>
    <s v="ARMENIA"/>
    <s v="BARRIO LA CASTILLA ARMENIA"/>
    <n v="79275"/>
    <s v="INCIDENTE"/>
    <s v="REDEBAN"/>
    <s v="CB UNO A UNO"/>
    <m/>
    <s v="CERRADO"/>
    <s v="09-06 SE ESCALA PARA VISITA, LLAMAR ANTES DE VISITAR Y CONFIRMAR DATOS, DIRECCION Y SOLICITUD_x000a_0_x000a_09-06 SE LLEGA A COMERCIO SE VÁLIDA SERVICIO OK FALLA CONSISTE EN CONEXIONES DE PROVEEDOR INTERNET CLIENTE. "/>
    <s v="SANCHEZ SOLORZANO JUAN SEBASTIAN"/>
    <s v="VISITA_TÉCNICA"/>
    <s v="A4WZZ802"/>
    <s v="NO"/>
    <s v="USUARIO"/>
    <s v="COMUNICACION"/>
    <s v="CONEXIONES DE COMERCIO"/>
    <s v="No"/>
    <n v="0"/>
    <n v="0"/>
    <n v="0"/>
    <n v="0"/>
    <n v="0"/>
    <s v="TIPO II"/>
    <s v="TERRESTRE"/>
    <n v="1"/>
    <n v="0"/>
    <n v="0"/>
    <n v="0"/>
    <n v="163813.55812"/>
    <n v="163813.55812"/>
  </r>
  <r>
    <s v="CUCUTA"/>
    <x v="5"/>
    <x v="5"/>
    <n v="54001"/>
    <n v="2274080"/>
    <s v="FO-25-1063441"/>
    <d v="2025-06-09T12:44:00"/>
    <d v="2025-06-10T10:29:00"/>
    <s v="NORTE DE SANTANDER"/>
    <s v="CUCUTA"/>
    <s v="BARRIO EL CENTRO CUCUTA 79"/>
    <n v="78626"/>
    <s v="INCIDENTE"/>
    <s v="REDEBAN"/>
    <s v="CB UNO A UNO"/>
    <m/>
    <s v="CERRADO"/>
    <s v="09-06 SE ESCALA PARA VISITA, LLAMAR ANTES DE VISITAR Y CONFIRMAR DATOS, DIRECCION Y SOLICITUD_x000a_10/06/2025 SE VISITA EL PUNTO SE ENCUENTRA CERRADO, SE PROCEDE A LLAMAR AL CLIENTE Y NO SE OBTIENE RESPUESTA, SE ESCALA A COORDINADOR QUIEN NOS INDICA QUE ESPEREMOS HASTA LAS 10:00 AM._x000a_10-06 SE VISITA COMERCIO Y SE ENCUENTRA CERRADO, SE LLAMA AL CLIENTE Y NOS INDICA QUE EL DATAFONO SE ENCUENTRA OPERATIVO, NO SE ADJUNTAN PRUEBAS PORQUE EL CLIENTE SE ENCUENTRA EN URGENCIAS."/>
    <s v="TORRES MANTILLA JOSE DANIEL"/>
    <s v="VISITA_TÉCNICA"/>
    <n v="0"/>
    <s v="NO"/>
    <s v="USUARIO"/>
    <s v="COMUNICACION"/>
    <s v="CANAL DEL COMERCIO"/>
    <s v="No"/>
    <n v="0"/>
    <n v="0"/>
    <n v="0"/>
    <n v="0"/>
    <n v="0"/>
    <s v="TIPO I"/>
    <s v="TERRESTRE"/>
    <n v="1"/>
    <n v="0"/>
    <n v="0"/>
    <n v="0"/>
    <n v="65960.473639999997"/>
    <n v="65960.473639999997"/>
  </r>
  <r>
    <s v="CALI"/>
    <x v="1"/>
    <x v="1"/>
    <n v="19824"/>
    <n v="2279311"/>
    <s v="FO-25-1066772"/>
    <d v="2025-06-10T09:17:00"/>
    <d v="2025-06-10T11:06:00"/>
    <s v="CAUCA"/>
    <s v="TOTORO"/>
    <s v="BARRIO TOTORO TOTORO"/>
    <n v="69035"/>
    <s v="INCIDENTE"/>
    <s v="REDEBAN"/>
    <s v="CB UNO A UNO"/>
    <m/>
    <s v="CERRADO"/>
    <s v="10-06 SE ESCALA PARA VISITA, LLAMAR ANTES DE VISITAR Y CONFIRMAR DATOS, DIRECCION Y SOLICITUD_x000a_0_x000a_10-06 SE REALIZA VALIDACION CON EL CLIENTE QUIEN INDICA QUE EL SERVICIO YA SE RESTABLECIO, ERA UN PROBLEMA CON EL PROVEEDOR DE INTERNET, EL CLIENTE YA ESTA TRANSANDO NORMAL. SE CIERRA CASO"/>
    <s v="HENAO CARDONA DIEGO FERNANDO"/>
    <s v="SOPORTE_TELEFÓNICO"/>
    <n v="0"/>
    <s v="NO"/>
    <s v="USUARIO"/>
    <s v="COMUNICACION"/>
    <s v="CANAL DEL COMERCIO"/>
    <s v="No"/>
    <n v="0"/>
    <n v="0"/>
    <n v="0"/>
    <n v="0"/>
    <n v="0"/>
    <s v="TIPO III"/>
    <s v="TERRESTRE"/>
    <n v="0"/>
    <n v="0"/>
    <n v="0"/>
    <n v="0"/>
    <n v="37904.65408"/>
    <n v="37904.65408"/>
  </r>
  <r>
    <s v="CALI"/>
    <x v="1"/>
    <x v="1"/>
    <n v="19392"/>
    <n v="2279305"/>
    <s v="FO-25-1066777"/>
    <d v="2025-06-10T09:16:00"/>
    <d v="2025-06-10T11:10:00"/>
    <s v="CAUCA"/>
    <s v="LA SIERRA"/>
    <s v="BARRIO LA SIERRA LA SIERRA"/>
    <n v="76459"/>
    <s v="INCIDENTE"/>
    <s v="REDEBAN"/>
    <s v="CB UNO A UNO"/>
    <m/>
    <s v="CERRADO"/>
    <s v="10-06 SE ESCALA PARA VISITA, LLAMAR ANTES DE VISITAR Y CONFIRMAR DATOS, DIRECCION Y SOLICITUD_x000a_0_x000a_10-06 SE REALIZA VALIDACIÓN CON EL CLIENTE QUIEN INDICA QUE EL SERVICIO YA SE RESTABLECIÓ, ERA UN PROBLEMA CON EL PROVEEDOR DE INTERNET, EL CLIENTE YA ESTA CON TRANSACCIÓN NORMAL. SE CIERRA CASO_x000a_"/>
    <s v="HENAO CARDONA DIEGO FERNANDO"/>
    <s v="SOPORTE_TELEFÓNICO"/>
    <n v="0"/>
    <s v="NO"/>
    <s v="USUARIO"/>
    <s v="COMUNICACION"/>
    <s v="CANAL DEL COMERCIO"/>
    <s v="No"/>
    <n v="0"/>
    <n v="0"/>
    <n v="0"/>
    <n v="0"/>
    <n v="0"/>
    <s v="TIPO III"/>
    <s v="TERRESTRE"/>
    <n v="0"/>
    <n v="0"/>
    <n v="0"/>
    <n v="0"/>
    <n v="37904.65408"/>
    <n v="37904.65408"/>
  </r>
  <r>
    <s v="MEDELLIN"/>
    <x v="3"/>
    <x v="3"/>
    <n v="5088"/>
    <n v="2275410"/>
    <s v="FO-25-1064328"/>
    <d v="2025-06-09T15:03:00"/>
    <d v="2025-06-10T12:35:00"/>
    <s v="ANTIOQUIA"/>
    <s v="BELLO"/>
    <s v="BARRIO LA GABRIELA BELLO 2"/>
    <n v="56388"/>
    <s v="INCIDENTE"/>
    <s v="REDEBAN"/>
    <s v="CB UNO A UNO"/>
    <m/>
    <s v="CERRADO"/>
    <s v="09-06 SE ESCALA PARA VISITA, LLAMAR ANTES DE VISITAR Y CONFIRMAR DATOS, DIRECCION Y SOLICITUD_x000a_0_x000a_10-06 SE HACE MANTENIMIENTO DE EQUIPO Y CABLEADO "/>
    <s v="MORENO MEDINA JUAN PABLO"/>
    <s v="VISITA_TÉCNICA"/>
    <s v="9B0ZZ145"/>
    <s v="NO"/>
    <s v="USUARIO"/>
    <s v="MANTENIMIENTO"/>
    <s v="MANTENIMIENTO GENERAL"/>
    <s v="No"/>
    <n v="0"/>
    <n v="0"/>
    <n v="0"/>
    <n v="0"/>
    <n v="0"/>
    <s v="TIPO I"/>
    <s v="TERRESTRE"/>
    <n v="1"/>
    <n v="0"/>
    <n v="0"/>
    <n v="0"/>
    <n v="65960.473639999997"/>
    <n v="65960.473639999997"/>
  </r>
  <r>
    <s v="MEDELLIN"/>
    <x v="3"/>
    <x v="3"/>
    <n v="5440"/>
    <n v="2275844"/>
    <s v="FO-25-1064536"/>
    <d v="2025-06-09T15:34:00"/>
    <d v="2025-06-10T14:49:00"/>
    <s v="ANTIOQUIA"/>
    <s v="MARINILLA"/>
    <s v="MULTIPAGAS MARINILLA"/>
    <n v="20726"/>
    <s v="INCIDENTE"/>
    <s v="REDEBAN"/>
    <s v="ROBUSTO"/>
    <m/>
    <s v="CERRADO"/>
    <s v="09-06 SE ESCALA PARA VISITA, LLAMAR ANTES DE VISITAR Y CONFIRMAR DATOS, DIRECCION Y SOLICITUD_x000a_0_x000a_10-06 SE FORMATEA EL EQUIPO DEJANDO LOS PARÁMETROS OK, INICIALIZACION OK, FUERON 2 EQUIPOS A LOS QUE SE LES HIZO ESTE PROCESO "/>
    <s v="RUA ALVAREZ RICHARD ANDRES"/>
    <s v="VISITA_TÉCNICA"/>
    <s v="AAAAX315-AAAAX316"/>
    <s v="NO"/>
    <s v="USUARIO"/>
    <s v="MANTENIMIENTO"/>
    <s v="MANTENIMIENTO GENERAL"/>
    <s v="No"/>
    <n v="0"/>
    <n v="0"/>
    <n v="0"/>
    <n v="0"/>
    <n v="0"/>
    <s v="TIPO II"/>
    <s v="TERRESTRE"/>
    <n v="1"/>
    <n v="0"/>
    <n v="0"/>
    <n v="0"/>
    <n v="163813.55812"/>
    <n v="163813.55812"/>
  </r>
  <r>
    <s v="MEDELLIN"/>
    <x v="3"/>
    <x v="3"/>
    <n v="5209"/>
    <n v="2268754"/>
    <s v="FO-25-1058979"/>
    <d v="2025-06-07T14:08:00"/>
    <d v="2025-06-10T14:52:00"/>
    <s v="ANTIOQUIA"/>
    <s v="CONCORDIA"/>
    <s v="BARRIO UNICO CIUDAD BOLIVAR"/>
    <n v="14866"/>
    <s v="INCIDENTE"/>
    <s v="REDEBAN"/>
    <s v="CB UNO A UNO"/>
    <m/>
    <s v="CERRADO"/>
    <s v="07-06 SE ESCALA PARA VISITA, LLAMAR ANTES DE VISITAR Y CONFIRMAR DATOS, DIRECCION Y SOLICITUD_x000a_0_x000a_10-06 SE ENVIDENCIA PROBLEMAS CON EL CANAL DE COMUNICACIÓN SE CONECTA DIRECTAMENTE AL CANAL Y FUNCIONA NORMALMENTE LM"/>
    <s v="CASTAÑEDA PALACIO CARLOS FELIPE"/>
    <s v="VISITA_TÉCNICA"/>
    <s v="JAZZZ622"/>
    <s v="NO"/>
    <s v="USUARIO"/>
    <s v="COMUNICACION"/>
    <s v="CANAL DEL COMERCIO"/>
    <s v="No"/>
    <n v="0"/>
    <n v="0"/>
    <n v="0"/>
    <n v="0"/>
    <n v="0"/>
    <s v="TIPO III"/>
    <s v="TERRESTRE"/>
    <n v="1"/>
    <n v="0"/>
    <n v="0"/>
    <n v="0"/>
    <n v="275728.37943999999"/>
    <n v="275728.37943999999"/>
  </r>
  <r>
    <s v="TUNJA"/>
    <x v="5"/>
    <x v="5"/>
    <n v="15759"/>
    <n v="2275102"/>
    <s v="FO-25-1064077"/>
    <d v="2025-06-09T14:35:00"/>
    <d v="2025-06-10T14:58:00"/>
    <s v="BOYACA"/>
    <s v="SOGAMOSO"/>
    <s v="BARRIO SOGAMOSO SOGAMOSO"/>
    <n v="77977"/>
    <s v="INCIDENTE"/>
    <s v="REDEBAN"/>
    <s v="CB UNO A UNO"/>
    <m/>
    <s v="CERRADO"/>
    <s v="09-06 SE ESCALA PARA VISITA, LLAMAR ANTES DE VISITAR Y CONFIRMAR DATOS, DIRECCION Y SOLICITUD_x000a_0_x000a_10-06 SE ESTABLECE COMUNICACIÓN TELEFÓNICA CON LA SEÑORA YESI ALFONSO AL DE CONTACTO 3213914853 CLIENTE INDICA QUE LE DATAFONO SE ENCUENTRA FUNCIONANDO CORRECTAMENTE OPERATIVO INFORMA QUE LA SOLICITUD QUE REALIZO ES DEBIDO A QUE REQUERÍA QUÉ LA INFORMACIÓN DEL TITULAR DE NEQUI LE APARECIERA EN PANTALLA ANTES DE FINALIZAR LA TRANSACCIÓN IGUAL QUE BANCOLOMBIA SE LE INDICA QUE PARA NEQUI NUNCA HAN TENIDO ESA OPCIÓN YA ES UN TEMA DE LA ENTIDAD EL NOMBRE DE TITULAR NEQUI SOLO SE VE REFLEJADO EN LA TIRILLA UNA VEZ FINALIZADA LA TX NO ANTES DE FINALIZAR LA TX SE LE INFORMA QUE SE PROCEDERÁ CON EL CIERRE DE LA ORDEN DE TRABAJO GENERADA YA QUE SE EVIDENCIA QUE EL EQUIPO ESTA FUNCIONANDO CORRECTAMENTE Y NO REQUIERE DE LA ASISTENCIA TÉCNICA CLIENTE COMPRENDE QUEDANDO CONFORME. "/>
    <s v="RODRIGUEZ MURCIA YERSON IVAN"/>
    <s v="SOPORTE_TELEFÓNICO"/>
    <n v="0"/>
    <s v="NO"/>
    <s v="USUARIO"/>
    <s v="MANTENIMIENTO"/>
    <s v="MANTENIMIENTO GENERAL"/>
    <s v="No"/>
    <n v="0"/>
    <n v="0"/>
    <n v="0"/>
    <n v="0"/>
    <n v="0"/>
    <s v="TIPO II"/>
    <s v="TERRESTRE"/>
    <n v="0"/>
    <n v="0"/>
    <n v="0"/>
    <n v="0"/>
    <n v="37904.65408"/>
    <n v="37904.65408"/>
  </r>
  <r>
    <s v="MEDELLIN"/>
    <x v="3"/>
    <x v="3"/>
    <n v="5887"/>
    <n v="2277281"/>
    <s v="FO-25-1065819"/>
    <d v="2025-06-10T08:00:00"/>
    <d v="2025-06-10T15:00:25"/>
    <s v="ANTIOQUIA"/>
    <s v="YARUMAL"/>
    <s v="TERMINAL DE TRANSPORTE YARUMAL"/>
    <n v="17989"/>
    <s v="INCIDENTE"/>
    <s v="REDEBAN"/>
    <s v="CB UNO A UNO"/>
    <m/>
    <s v="CERRADO"/>
    <s v="10-06 SE ESCALA PARA VISITA, LLAMAR ANTES DE VISITAR Y CONFIRMAR DATOS, DIRECCION Y SOLICITUD_x000a_0_x000a_10-06 SE HACE MANTENIMIENTO OK SE CREA CLAVE SUPERVISOR OK. EQUIPOS OPERATIVOS "/>
    <s v="DIAZ ZABALA FRANCIS DUBAN"/>
    <s v="VISITA_TÉCNICA"/>
    <s v="A00JZ413"/>
    <s v="NO"/>
    <s v="USUARIO"/>
    <s v="MANTENIMIENTO"/>
    <s v="MANTENIMIENTO GENERAL"/>
    <s v="No"/>
    <n v="0"/>
    <n v="0"/>
    <n v="0"/>
    <n v="0"/>
    <n v="0"/>
    <s v="TIPO III"/>
    <s v="TERRESTRE"/>
    <n v="1"/>
    <n v="0"/>
    <n v="0"/>
    <n v="0"/>
    <n v="275728.37943999999"/>
    <n v="275728.37943999999"/>
  </r>
  <r>
    <s v="VILLAVICENCIO"/>
    <x v="2"/>
    <x v="2"/>
    <n v="50001"/>
    <n v="2275836"/>
    <s v="FO-25-1064543"/>
    <d v="2025-06-09T15:32:00"/>
    <d v="2025-06-10T15:22:00"/>
    <s v="META"/>
    <s v="VILLAVICENCIO"/>
    <s v="BARRIO MANANTIAL VILLAVICENCIO"/>
    <n v="74210"/>
    <s v="INCIDENTE"/>
    <s v="REDEBAN"/>
    <s v="CB UNO A UNO"/>
    <m/>
    <s v="CERRADO"/>
    <s v="09-06 SE ESCALA PARA VISITA, LLAMAR ANTES DE VISITAR Y CONFIRMAR DATOS, DIRECCION Y SOLICITUD_x000a_0_x000a_10-06 SE VISITA CB Y AL LLEGAT AL SITIO EL COMERCIO SE ENCUENTRA CERRADO. ME COMUNICO CON CLIENTE Y E INFORMA QUE SOLO ABREN EN HORAS DE LA MAÑANA Y QUE EL DIA DE HOY LA LECTORA LES HA FUNCIONANDO NORMALMENTE "/>
    <s v="GARZON RUIZ LUIS MIGUEL"/>
    <s v="VISITA_TÉCNICA"/>
    <n v="0"/>
    <s v="NO"/>
    <s v="USUARIO"/>
    <s v="LECTOR DE BARRAS"/>
    <s v="CAPACITACION MANIPULACION DE COMERCIO"/>
    <s v="No"/>
    <n v="0"/>
    <n v="0"/>
    <n v="0"/>
    <n v="0"/>
    <n v="0"/>
    <s v="TIPO I"/>
    <s v="TERRESTRE"/>
    <n v="1"/>
    <n v="0"/>
    <n v="0"/>
    <n v="0"/>
    <n v="65960.473639999997"/>
    <n v="65960.473639999997"/>
  </r>
  <r>
    <s v="CALI"/>
    <x v="1"/>
    <x v="1"/>
    <n v="19473"/>
    <n v="2278861"/>
    <s v="FO-25-1066409"/>
    <d v="2025-06-10T09:02:00"/>
    <d v="2025-06-10T15:38:00"/>
    <s v="CAUCA"/>
    <s v="MORALES"/>
    <s v="BARRIO CHIMBORAZO MORALES"/>
    <n v="60816"/>
    <s v="INCIDENTE"/>
    <s v="REDEBAN"/>
    <s v="CB UNO A UNO"/>
    <m/>
    <s v="CERRADO"/>
    <s v="10-06 SE ESCALA PARA VISITA, LLAMAR ANTES DE VISITAR Y CONFIRMAR DATOS, DIRECCION Y SOLICITUD_x000a_0_x000a_10-06 SE REALIZA VALIDACION CON EL CLIENTE QUIEN INDICA QUE EL SERVICIO YA SE RESTABLECIO, ERA UN PROBLEMA CON EL PROVEEDOR DE INTERNET, EL CLIENTE YA ESTA TRANSACION NORMAL. SE CIERRA CASO_x000a_"/>
    <s v="HENAO CARDONA DIEGO FERNANDO"/>
    <s v="SOPORTE_TELEFÓNICO"/>
    <n v="0"/>
    <s v="NO"/>
    <s v="USUARIO"/>
    <s v="COMUNICACION"/>
    <s v="CANAL DEL COMERCIO"/>
    <s v="No"/>
    <n v="0"/>
    <n v="0"/>
    <n v="0"/>
    <n v="0"/>
    <n v="0"/>
    <s v="TIPO III"/>
    <s v="TERRESTRE"/>
    <n v="0"/>
    <n v="0"/>
    <n v="0"/>
    <n v="0"/>
    <n v="37904.65408"/>
    <n v="37904.65408"/>
  </r>
  <r>
    <s v="MEDELLIN"/>
    <x v="3"/>
    <x v="3"/>
    <n v="5368"/>
    <n v="2277286"/>
    <s v="FO-25-1065812"/>
    <d v="2025-06-10T08:00:00"/>
    <d v="2025-06-10T16:20:00"/>
    <s v="ANTIOQUIA"/>
    <s v="JERICO"/>
    <s v="BARRIO PUENTE IGLESIAS JERICO"/>
    <n v="58393"/>
    <s v="INCIDENTE"/>
    <s v="REDEBAN"/>
    <s v="CB UNO A UNO"/>
    <m/>
    <s v="CERRADO"/>
    <s v="10-06 SE ESCALA PARA VISITA, LLAMAR ANTES DE VISITAR Y CONFIRMAR DATOS, DIRECCION Y SOLICITUD_x000a_0_x000a_10-06 SE LE EXPLICA AL CORRESPONSAL COMO REALIZAR CIERRES POS OK LECTOR OK"/>
    <s v="CASTAÑEDA PALACIO CARLOS FELIPE"/>
    <s v="VISITA_TÉCNICA"/>
    <s v="TXZZZ476"/>
    <s v="NO"/>
    <s v="USUARIO"/>
    <s v="CIERRE"/>
    <s v="COMERCIO NO REALIZA CIERRE"/>
    <s v="No"/>
    <n v="0"/>
    <n v="0"/>
    <n v="0"/>
    <n v="0"/>
    <n v="0"/>
    <s v="TIPO III"/>
    <s v="TERRESTRE"/>
    <n v="1"/>
    <n v="0"/>
    <n v="0"/>
    <n v="0"/>
    <n v="275728.37943999999"/>
    <n v="275728.37943999999"/>
  </r>
  <r>
    <s v="CALI"/>
    <x v="1"/>
    <x v="1"/>
    <n v="19050"/>
    <n v="2278813"/>
    <s v="FO-25-1066263"/>
    <d v="2025-06-10T08:48:00"/>
    <d v="2025-06-11T08:59:17"/>
    <s v="CAUCA"/>
    <s v="ARGELIA"/>
    <s v="PTM ARGELIA ELECTRICOS Y VARI"/>
    <n v="66182"/>
    <s v="INCIDENTE"/>
    <s v="REDEBAN"/>
    <s v="AGREGADOR"/>
    <m/>
    <s v="CERRADO"/>
    <s v="10-06 SE ESCALA PARA VISITA, LLAMAR ANTES DE VISITAR Y CONFIRMAR DATOS, DIRECCION Y SOLICITUD_x000a_0_x000a_11-06 SE HABLA CON EL CLIENTE QUIEN INDICA QUE DEBIDO A UNA CAIDA DEL PROVEEDOR DE INTERNET EL SERVICIO SE CAYO PERO QUE EN EL TRANSCURSO DEL DIA SE RESTABLECIO Y ESTA OERANDO SIN PROBLEMA."/>
    <s v="HENAO CARDONA DIEGO FERNANDO"/>
    <s v="SOPORTE_TELEFÓNICO"/>
    <n v="0"/>
    <s v="NO"/>
    <s v="USUARIO"/>
    <s v="COMUNICACION"/>
    <s v="CANAL DEL COMERCIO"/>
    <s v="No"/>
    <n v="0"/>
    <n v="0"/>
    <n v="0"/>
    <n v="0"/>
    <n v="0"/>
    <s v="TIPO IV"/>
    <s v="TERRESTRE"/>
    <n v="0"/>
    <n v="0"/>
    <n v="0"/>
    <n v="0"/>
    <n v="37904.65408"/>
    <n v="37904.65408"/>
  </r>
  <r>
    <s v="MEDELLIN"/>
    <x v="3"/>
    <x v="3"/>
    <n v="5001"/>
    <n v="2282464"/>
    <s v="FO-25-1069515"/>
    <d v="2025-06-10T14:48:00"/>
    <d v="2025-06-11T09:53:56"/>
    <s v="ANTIOQUIA"/>
    <s v="MEDELLIN"/>
    <s v="PTM MEDELLIN  ABARROTES CASTRO"/>
    <n v="50147"/>
    <s v="INCIDENTE"/>
    <s v="REDEBAN"/>
    <s v="AGREGADOR"/>
    <m/>
    <s v="CERRADO"/>
    <s v="10-06 SE ESCALA PARA VISITA, LLAMAR ANTES DE VISITAR Y CONFIRMAR DATOS, DIRECCION Y SOLICITUD_x000a_0_x000a_11-06 SE LLAMA AL SEÑOR JORGE E INDICA QUE EL CB FUNCIONA CORRECTAMENTE "/>
    <s v="MORENO MEDINA JUAN PABLO"/>
    <s v="SOPORTE_TELEFÓNICO"/>
    <n v="0"/>
    <s v="NO"/>
    <s v="USUARIO"/>
    <s v="MANTENIMIENTO"/>
    <s v="MANTENIMIENTO GENERAL"/>
    <s v="No"/>
    <n v="0"/>
    <n v="0"/>
    <n v="0"/>
    <n v="0"/>
    <n v="0"/>
    <s v="TIPO I"/>
    <s v="TERRESTRE"/>
    <n v="0"/>
    <n v="0"/>
    <n v="0"/>
    <n v="0"/>
    <n v="37904.65408"/>
    <n v="37904.65408"/>
  </r>
  <r>
    <s v="BOGOTA"/>
    <x v="4"/>
    <x v="4"/>
    <n v="11001"/>
    <n v="2286870"/>
    <s v="FO-25-1073856"/>
    <d v="2025-06-11T09:38:00"/>
    <d v="2025-06-11T12:31:00"/>
    <s v="CUNDINAMARCA"/>
    <s v="BOGOTA"/>
    <s v="BARRIO PALOQUEMAO"/>
    <n v="12232"/>
    <s v="INCIDENTE"/>
    <s v="REDEBAN"/>
    <s v="CB UNO A UNO"/>
    <m/>
    <s v="CERRADO"/>
    <s v="11-06 SE ESCALA PARA VISITA. LLAMAR ANTES DE VISITAR, CONFIRMAR FALLA Y DATOS_x000a_0_x000a_11-06 SE LLEGA AL PUNTO DATÁFONO SE ENCUENTRA FUNCIONANDO EN PERFECTAS CONDICIONES, LA FALLA PUDO SER AL MÓDEM DEL CB QUE ALTERAN EN IP FIJA A DHCP, CB REALIZA PRUEBAS OK "/>
    <s v="MICHELI LOPEZ MIGUEL ANGEL"/>
    <s v="VISITA_TÉCNICA"/>
    <s v="JAAAQ389"/>
    <s v="NO"/>
    <s v="USUARIO"/>
    <s v="COMUNICACION"/>
    <s v="CONEXIONES DE COMERCIO"/>
    <s v="No"/>
    <n v="0"/>
    <n v="0"/>
    <n v="0"/>
    <n v="0"/>
    <n v="0"/>
    <s v="TIPO I"/>
    <s v="TERRESTRE"/>
    <n v="1"/>
    <n v="0"/>
    <n v="0"/>
    <n v="0"/>
    <n v="65960.473639999997"/>
    <n v="65960.473639999997"/>
  </r>
  <r>
    <s v="MEDELLIN"/>
    <x v="3"/>
    <x v="3"/>
    <n v="5001"/>
    <n v="2284400"/>
    <s v="FO-25-1070559"/>
    <d v="2025-06-10T17:23:00"/>
    <d v="2025-06-11T14:01:02"/>
    <s v="ANTIOQUIA"/>
    <s v="MEDELLIN"/>
    <s v="BARRIO PLAYON MEDELLIN 2"/>
    <n v="36971"/>
    <s v="INCIDENTE"/>
    <s v="REDEBAN"/>
    <s v="CB UNO A UNO"/>
    <m/>
    <s v="CERRADO"/>
    <s v="10-06 SE ESCALA PARA VISITA. LLAMAR ANTES DE VISITAR, CONFIRMAR FALLA Y DATOS_x000a_0_x000a_11-06 SE REALIZA MANTENIMIENTO A LA IMPRESORA Y EQUIPO POR QUE NO LEÍA TARJETA"/>
    <s v="CERPA SUAREZ DUVAN CAMILO"/>
    <s v="VISITA_TÉCNICA"/>
    <s v="AB00H664"/>
    <s v="NO"/>
    <s v="USUARIO"/>
    <s v="MANTENIMIENTO"/>
    <s v="MANTENIMIENTO GENERAL"/>
    <s v="No"/>
    <n v="0"/>
    <n v="0"/>
    <n v="0"/>
    <n v="0"/>
    <n v="0"/>
    <s v="TIPO I"/>
    <s v="TERRESTRE"/>
    <n v="1"/>
    <n v="0"/>
    <n v="0"/>
    <n v="0"/>
    <n v="65960.473639999997"/>
    <n v="65960.473639999997"/>
  </r>
  <r>
    <s v="NEIVA"/>
    <x v="2"/>
    <x v="2"/>
    <n v="41797"/>
    <n v="2278833"/>
    <s v="FO-25-1066403"/>
    <d v="2025-06-10T08:55:00"/>
    <d v="2025-06-11T14:51:26"/>
    <s v="HUILA"/>
    <s v="TESALIA"/>
    <s v="BARRIO VENECIA TESALIA"/>
    <n v="54453"/>
    <s v="INCIDENTE"/>
    <s v="REDEBAN"/>
    <s v="CB UNO A UNO"/>
    <m/>
    <s v="CERRADO"/>
    <s v="10-06 SE ESCALA PARA VISITA, LLAMAR ANTES DE VISITAR Y CONFIRMAR DATOS, DIRECCION Y SOLICITUD_x000a_0_x000a_11-06 SE REALIZA FORMATEO , CONFIGURACIÓN Y SE INICIALIZA DATAFONO , SE CREA USUARIO Y CLAVE CON EL CLIENTE, SE REALIZA PRUEBAS OK "/>
    <s v="ANDRADE HERNANDEZ JUAN CARLOS"/>
    <s v="VISITA_TÉCNICA"/>
    <s v="XP5ZZ733"/>
    <s v="NO"/>
    <s v="USUARIO"/>
    <s v="COMUNICACION"/>
    <s v="CONEXIONES DE COMERCIO"/>
    <s v="No"/>
    <n v="0"/>
    <n v="0"/>
    <n v="0"/>
    <n v="0"/>
    <n v="0"/>
    <s v="TIPO II"/>
    <s v="TERRESTRE"/>
    <n v="1"/>
    <n v="0"/>
    <n v="0"/>
    <n v="0"/>
    <n v="163813.55812"/>
    <n v="163813.55812"/>
  </r>
  <r>
    <s v="CUCUTA"/>
    <x v="5"/>
    <x v="5"/>
    <n v="54874"/>
    <n v="2284339"/>
    <s v="FO-25-1070683"/>
    <d v="2025-06-10T17:39:00"/>
    <d v="2025-06-11T16:01:06"/>
    <s v="NORTE DE SANTANDER"/>
    <s v="VILLA DEL ROSARIO"/>
    <s v="PTM VILLA DEL ROSARIO PAPELERI"/>
    <n v="78996"/>
    <s v="INCIDENTE"/>
    <s v="REDEBAN"/>
    <s v="AGREGADOR"/>
    <m/>
    <s v="CERRADO"/>
    <s v="10-06 SE ESCALA PARA VISITA. LLAMAR ANTES DE VISITAR, CONFIRMAR FALLA Y DATOS_x000a_0_x000a_11-06 SE REALIZA VISITA, SE ENCUENTRA CONEXIÓN DEL COMERCIO MAL CONECTADO, SE REALIZAN PRUEBAS Y CIERRES OK."/>
    <s v="PACHECO BUITRAGO JAVIER ALONSO"/>
    <s v="VISITA_TÉCNICA"/>
    <s v="FATZZ900-FATZZ535"/>
    <s v="NO"/>
    <s v="USUARIO"/>
    <s v="COMUNICACION"/>
    <s v="CONEXIONES DE COMERCIO"/>
    <s v="No"/>
    <n v="0"/>
    <n v="0"/>
    <n v="0"/>
    <n v="0"/>
    <n v="0"/>
    <s v="TIPO I"/>
    <s v="TERRESTRE"/>
    <n v="1"/>
    <n v="0"/>
    <n v="0"/>
    <n v="0"/>
    <n v="65960.473639999997"/>
    <n v="65960.473639999997"/>
  </r>
  <r>
    <s v="MEDELLIN"/>
    <x v="3"/>
    <x v="3"/>
    <n v="27001"/>
    <n v="2268184"/>
    <s v="FO-25-1056510"/>
    <d v="2025-06-07T09:09:00"/>
    <d v="2025-06-11T17:55:00"/>
    <s v="CHOCO"/>
    <s v="QUIBDO"/>
    <s v="BARRIO VILLA LA PAZ CORREGIMIE"/>
    <n v="66808"/>
    <s v="INCIDENTE"/>
    <s v="REDEBAN"/>
    <s v="CB UNO A UNO"/>
    <m/>
    <s v="CERRADO"/>
    <s v="07-06 SE LLAMA AL 3108257270; SE REALIZA CONTACTO CON USUARIO, SE CONFIRMA DATOS Y FALLA, CB INFORMA QUE YA LE FUNCIONA PERO ES CONSTANTE QUE SE LE QUEDE SIN CONEXION Y EL INTERNET FUNCIONA BIEN EN LOS OTROS EQUIPOS,  SE ESCALA PARA VISITA. LLAMAR ANTES DE VISITAR _x000a_10/06/2025 EN SITIO SE PRESENTAN PROBLEMAS DE CANAL. USUARIA INFORMA QUE EL DÍA LUNES EL PROVEEDOR DE INTERNET ESTUVO MUY INTERMITENTE TODO EL DÍA Y DEBIDO A ESTO HAN SIDO LAS NOVEDADES DE CONEXIÓN EN EL SECTOR. SE ACUERDA CON USUARIA SEGUIMIENTO Y ESPERA HASTA EL DÍA DE MAÑANA QUE EL PROVEEDOR SOLUCIONE LA NOVEDAD PARA CONFIRMAR SI ES PROBLEMA DE DATAFONO FINALMENTE. VISITA PENDIENTE._x000a_11-06 SE REALIZA VISITA Y SE CONFIRMA CORRECTO FUNCIONAMIENTO DEL EQUIPO Y DEL MÁGIC BOX, SE DETECTA FALLA DE PARTE DE CONEXION DEL COMERCIO"/>
    <s v="QUINTERO SANCHEZ JUAN SEBASTIAN"/>
    <s v="VISITA_TÉCNICA"/>
    <s v="3A0CZ768"/>
    <s v="NO"/>
    <s v="USUARIO"/>
    <s v="COMUNICACION"/>
    <s v="CANAL DEL COMERCIO"/>
    <s v="No"/>
    <n v="0"/>
    <n v="0"/>
    <n v="0"/>
    <n v="0"/>
    <n v="0"/>
    <s v="TIPO IV ESPECIAL"/>
    <s v="AEREO"/>
    <n v="1"/>
    <n v="0"/>
    <n v="0"/>
    <n v="0"/>
    <n v="479589.73656000005"/>
    <n v="479589.73656000005"/>
  </r>
  <r>
    <s v="SINCELEJO"/>
    <x v="0"/>
    <x v="0"/>
    <n v="70001"/>
    <n v="2286271"/>
    <s v="FO-25-1073681"/>
    <d v="2025-06-11T08:57:00"/>
    <d v="2025-06-12T07:36:14"/>
    <s v="SUCRE"/>
    <s v="SINCELEJO"/>
    <s v="BARRIO PIONEROS SINCELEJO 4"/>
    <n v="77185"/>
    <s v="INCIDENTE"/>
    <s v="REDEBAN"/>
    <s v="CB UNO A UNO"/>
    <m/>
    <s v="CERRADO"/>
    <s v="11-06 SE ESCALA PARA VISITA. LLAMAR ANTES DE VISITAR, CONFIRMAR FALLA Y DATOS_x000a_0_x000a_11-06 SE VISITA COMERCIO POR FALLA, SE CONFIGURA DATÁFONO NUEVAMENTE, SE DEJA CON LA VERSIÓN 9.90, SE REALIZAN PRUEBAS OK DEL COMERCIO, NO SE REALIZAN PRUEBAS DEL CB YA QUE SE ENCUENTRA BLOQUEADO POR PARTE DE LA ENTIDAD, SE LLAMO ALA LÍNEA Y LE INFORMARON QUE HASTA EL DÍA DE MAÑANA NO SE HABILITA, COMERCIO MIXTO CU: 22684591_x000a_TERMINAL: FAEZZ033."/>
    <s v="CACERES HERNANDEZ ANDRES"/>
    <s v="VISITA_TÉCNICA"/>
    <s v="FAEZZ033 - SX6ZZ444"/>
    <s v="NO"/>
    <s v="ENTIDAD"/>
    <s v="ERROR DE TRANSACCIONES"/>
    <s v="TRANSACCION NO PERMITIDA"/>
    <s v="No"/>
    <n v="0"/>
    <n v="0"/>
    <n v="0"/>
    <n v="0"/>
    <n v="0"/>
    <s v="TIPO I"/>
    <s v="TERRESTRE"/>
    <n v="1"/>
    <n v="0"/>
    <n v="0"/>
    <n v="0"/>
    <n v="65960.473639999997"/>
    <n v="65960.473639999997"/>
  </r>
  <r>
    <s v="VILLAVICENCIO"/>
    <x v="2"/>
    <x v="2"/>
    <n v="50001"/>
    <n v="2290866"/>
    <s v="FO-25-1077032"/>
    <d v="2025-06-11T16:19:00"/>
    <d v="2025-06-12T11:39:00"/>
    <s v="META"/>
    <s v="VILLAVICENCIO"/>
    <s v="BARRIO PORVENIR VILLAVICENCIO"/>
    <n v="75353"/>
    <s v="INCIDENTE"/>
    <s v="REDEBAN"/>
    <s v="CB UNO A UNO"/>
    <m/>
    <s v="CERRADO"/>
    <s v="11-06 SE ESCALA PARA VISITA. LLAMAR ANTES DE VISITAR, CONFIRMAR FALLA Y DATOS_x000a_0_x000a_12-06 ME.COMUNICO CON CLIENTE LA SEÑORA TATIANA RIAÑO Y ME INFORMA QUE EL DIA DE HOY YA LE ESTA FUNCIONANDO CORRECTAMENTE EL DATAFONO. ERA UN PROBLEMA CON EL INTERNET DEL COMERCIO. INFORMAN QUE ESTAN HACIENDO TRANSACCIONES SIN NINGÚN PROBLEMA "/>
    <s v="GARZON RUIZ LUIS MIGUEL"/>
    <s v="SOPORTE_TELEFÓNICO"/>
    <n v="0"/>
    <s v="NO"/>
    <s v="USUARIO"/>
    <s v="COMUNICACION"/>
    <s v="CANAL DEL COMERCIO"/>
    <s v="No"/>
    <n v="0"/>
    <n v="0"/>
    <n v="0"/>
    <n v="0"/>
    <n v="0"/>
    <s v="TIPO I"/>
    <s v="TERRESTRE"/>
    <n v="0"/>
    <n v="0"/>
    <n v="0"/>
    <n v="0"/>
    <n v="37904.65408"/>
    <n v="37904.65408"/>
  </r>
  <r>
    <s v="BARRANQUILLA"/>
    <x v="0"/>
    <x v="0"/>
    <n v="8560"/>
    <n v="2288579"/>
    <s v="FO-25-1075307"/>
    <d v="2025-06-11T11:55:00"/>
    <d v="2025-06-12T12:26:00"/>
    <s v="ATLANTICO"/>
    <s v="PONEDERA"/>
    <s v="PTM PONEDERA BABY JULI"/>
    <n v="56886"/>
    <s v="INCIDENTE"/>
    <s v="REDEBAN"/>
    <s v="AGREGADOR"/>
    <m/>
    <s v="CERRADO"/>
    <s v="11-06 SE ESCALA PARA VISITA. LLAMAR ANTES DE VISITAR, CONFIRMAR FALLA Y DATOS_x000a_0_x000a_12-06 SE REALIZA VISITA SE VALIDA DATAFONO ,LECTOR Y TODO OK ,CABLES OK , SE PROCEDE A REALIZAR PRUEBAS Y TODO OK ,POSIBLE MANIPULACIÓN DEL CLIENTE , SE LE INDICA COMO REALIZAR EL MANEJO PARA EL PAGO DE FACTURAS POR CÓDIGOS DE BARRAS, Y TODO OK CB OK OPERATIVO "/>
    <s v="PORRAS CASTRO DARLON NASCK"/>
    <s v="VISITA_TÉCNICA"/>
    <s v="9CQZZ644"/>
    <s v="NO"/>
    <s v="USUARIO"/>
    <s v="LECTOR DE BARRAS"/>
    <s v="CAPACITACION MANIPULACION DE COMERCIO"/>
    <s v="No"/>
    <n v="0"/>
    <n v="0"/>
    <n v="0"/>
    <n v="0"/>
    <n v="0"/>
    <s v="TIPO II"/>
    <s v="TERRESTRE"/>
    <n v="1"/>
    <n v="0"/>
    <n v="0"/>
    <n v="0"/>
    <n v="163813.55812"/>
    <n v="163813.55812"/>
  </r>
  <r>
    <s v="CALI"/>
    <x v="1"/>
    <x v="1"/>
    <n v="76111"/>
    <n v="2287072"/>
    <s v="FO-25-1074064"/>
    <d v="2025-06-11T09:56:00"/>
    <d v="2025-06-12T13:34:00"/>
    <s v="VALLE DEL CAUCA"/>
    <s v="GUADALAJARA DE BUGA"/>
    <s v="BARRIO CENTRO GUADALAJARA DE B"/>
    <n v="67292"/>
    <s v="INCIDENTE"/>
    <s v="REDEBAN"/>
    <s v="CB UNO A UNO"/>
    <m/>
    <s v="CERRADO"/>
    <s v="11-06 SE ESCALA PARA VISITA. LLAMAR ANTES DE VISITAR, CONFIRMAR FALLA Y DATOS_x000a_0_x000a_12-06 SE INICIALIZA TERMINAL DE EQUIPO DE CB BANCOLOMBIA PURO DEBIDO A HORA DESCONFIGURADA, SE REALIZAN PRUEBAS OK."/>
    <s v="MONTERO MUESES GIAN CARLO"/>
    <s v="VISITA_TÉCNICA"/>
    <s v="AAJ05746"/>
    <s v="NO"/>
    <s v="USUARIO"/>
    <s v="MANTENIMIENTO"/>
    <s v="MANTENIMIENTO GENERAL"/>
    <s v="No"/>
    <n v="0"/>
    <n v="0"/>
    <n v="0"/>
    <n v="0"/>
    <n v="0"/>
    <s v="TIPO II"/>
    <s v="TERRESTRE"/>
    <n v="1"/>
    <n v="0"/>
    <n v="0"/>
    <n v="0"/>
    <n v="163813.55812"/>
    <n v="163813.55812"/>
  </r>
  <r>
    <s v="BOGOTA"/>
    <x v="4"/>
    <x v="4"/>
    <n v="25486"/>
    <n v="2288553"/>
    <s v="FO-25-1075208"/>
    <d v="2025-06-11T11:50:00"/>
    <d v="2025-06-12T13:37:00"/>
    <s v="CUNDINAMARCA"/>
    <s v="NEMOCON"/>
    <s v="BARRIO VILLA LUZ NEMOCON"/>
    <n v="77905"/>
    <s v="INCIDENTE"/>
    <s v="REDEBAN"/>
    <s v="CB UNO A UNO"/>
    <m/>
    <s v="CERRADO"/>
    <s v="11-06 SE ESCALA PARA VISITA. LLAMAR ANTES DE VISITAR, CONFIRMAR FALLA Y DATOS_x000a_0_x000a_12-06 SE REALIZA VISITA A COMERCIO, SE REALIZA REVISIÓN DE CABLEADO FÍSICO SE ENCUENTRA OK, PRUEBAS DE COMUNICACIÓN DATAFONO OK, SE REALIZA ACOMPAÑAMIENTO DURANTE 20 MINUTOS PARA VALIDAR FUNCIONAMIENTO NO SE PRESENTAN FALLAS, PRUEBAS DE  TRANSACCIONES OK, SE ENCUENTRA DATAFONO CONECTADO A EQUIPO DE RESPALDO DE ENERGÍA, SE CONECTA DIRECTO AL TOMA CORRIENTE Y NO PRESENTA FALLAS DE ENCENDIDO E REINICIO."/>
    <s v="MURCIA HERNANDEZ HARVEY IGNACIO"/>
    <s v="VISITA_TÉCNICA"/>
    <s v="A1MZZ089"/>
    <s v="NO"/>
    <s v="USUARIO"/>
    <s v="MANTENIMIENTO"/>
    <s v="MANTENIMIENTO GENERAL"/>
    <s v="No"/>
    <n v="0"/>
    <n v="0"/>
    <n v="0"/>
    <n v="0"/>
    <n v="0"/>
    <s v="TIPO II"/>
    <s v="TERRESTRE"/>
    <n v="1"/>
    <n v="0"/>
    <n v="0"/>
    <n v="0"/>
    <n v="163813.55812"/>
    <n v="163813.55812"/>
  </r>
  <r>
    <s v="BOGOTA"/>
    <x v="4"/>
    <x v="4"/>
    <n v="25777"/>
    <n v="2295174"/>
    <s v="FO-25-1081664"/>
    <d v="2025-06-12T11:55:00"/>
    <d v="2025-06-12T13:49:58"/>
    <s v="CUNDINAMARCA"/>
    <s v="SUPATA"/>
    <s v="BARRIO VEREDA LA MAGOLA SUPATA"/>
    <n v="26368"/>
    <s v="INCIDENTE"/>
    <s v="REDEBAN"/>
    <s v="CB UNO A UNO"/>
    <m/>
    <s v="CERRADO"/>
    <s v="12-06 SE ESCALA SOLICITUD A LA RED PARA VALIDAR SU ATENCION.. RESPUESTA DE LA RED: DE ACUERDO CON TU SOLICITUD POR FAVOR INDICARLE AL CLIENTE QUE DEBE COMUNICARSE CON LA ENTIDAD, SON ELLOS LOS ENCARGADOS DE GESTIONAR ESTE TIPO DE SOLICITUDES. PROCEDER CON EL CIERRE DEL CASO._x000a_0_x000a_0"/>
    <n v="0"/>
    <s v="SOPORTE_TELEFÓNICO"/>
    <n v="0"/>
    <s v="NO"/>
    <s v="USUARIO"/>
    <s v="MANTENIMIENTO"/>
    <s v="MANTENIMIENTO GENERAL"/>
    <s v="No"/>
    <n v="0"/>
    <n v="0"/>
    <n v="0"/>
    <n v="0"/>
    <n v="0"/>
    <s v="TIPO II"/>
    <s v="TERRESTRE"/>
    <n v="0"/>
    <n v="0"/>
    <n v="0"/>
    <n v="0"/>
    <n v="37904.65408"/>
    <n v="37904.65408"/>
  </r>
  <r>
    <s v="MEDELLIN"/>
    <x v="3"/>
    <x v="3"/>
    <n v="5440"/>
    <n v="2287976"/>
    <s v="FO-25-1074802"/>
    <d v="2025-06-11T11:03:00"/>
    <d v="2025-06-12T15:51:00"/>
    <s v="ANTIOQUIA"/>
    <s v="MARINILLA"/>
    <s v="DISTRICOL CAFE JUANITA"/>
    <n v="52755"/>
    <s v="INCIDENTE"/>
    <s v="REDEBAN"/>
    <s v="AGREGADOR"/>
    <m/>
    <s v="CERRADO"/>
    <s v="11-06 SE ESCALA PARA VISITA. LLAMAR ANTES DE VISITAR, CONFIRMAR FALLA Y DATOS_x000a_0_x000a_12-06 SE LLAMA A CLIENTE PARA CONFIRMAR VISITA Y EL SEÑOR LUIS DAVID MUÑOZ COMENTA QUE SE COMUNICÓ A LA LINEA FUE A SOLICITAR ROLLOS PARA EL DATAFONO NO A PEDIR SERVICIO TÉCNICO. SE LE INDICA QUE LLAME NUEVAMENTE A SOLICITAR."/>
    <s v="BADEL ACUÑA LUIS ALBERTO"/>
    <s v="SOPORTE_TELEFÓNICO"/>
    <n v="0"/>
    <s v="NO"/>
    <s v="USUARIO"/>
    <s v="MANTENIMIENTO"/>
    <s v="MANTENIMIENTO GENERAL"/>
    <s v="No"/>
    <n v="0"/>
    <n v="0"/>
    <n v="0"/>
    <n v="0"/>
    <n v="0"/>
    <s v="TIPO II"/>
    <s v="TERRESTRE"/>
    <n v="0"/>
    <n v="0"/>
    <n v="0"/>
    <n v="0"/>
    <n v="37904.65408"/>
    <n v="37904.65408"/>
  </r>
  <r>
    <s v="IBAGUE"/>
    <x v="2"/>
    <x v="2"/>
    <n v="73001"/>
    <n v="2293758"/>
    <s v="FO-25-1079438"/>
    <d v="2025-06-12T09:46:00"/>
    <d v="2025-06-12T15:57:00"/>
    <s v="TOLIMA"/>
    <s v="IBAGUE"/>
    <s v="BARRIO PRADERAS DE SANTA RITA"/>
    <n v="63485"/>
    <s v="INCIDENTE"/>
    <s v="REDEBAN"/>
    <s v="CB UNO A UNO"/>
    <m/>
    <s v="CERRADO"/>
    <s v="12-06 SE ESCALA PARA VISITA. LLAMAR ANTES DE VISITAR, CONFIRMAR FALLA Y DATOS_x000a_0_x000a_12-06 SE VÁLIDA ERROR DE CONEXIÓN DEBIDO A CAÍDA DEL PROVEEDOR DE INTERNET DEL CLIENTE, SE REALIZA PRUEBAS DE FUNCIONAMIENTO OK. CUBRE CLAVE INSTALADO "/>
    <s v="BARRAGAN TAFUR EDWIN ESTEBAN"/>
    <s v="VISITA_TÉCNICA"/>
    <s v="HA00W595"/>
    <s v="NO"/>
    <s v="USUARIO"/>
    <s v="COMUNICACION"/>
    <s v="CANAL DEL COMERCIO"/>
    <s v="No"/>
    <n v="0"/>
    <n v="0"/>
    <n v="0"/>
    <n v="0"/>
    <n v="0"/>
    <s v="TIPO I"/>
    <s v="TERRESTRE"/>
    <n v="1"/>
    <n v="0"/>
    <n v="0"/>
    <n v="0"/>
    <n v="65960.473639999997"/>
    <n v="65960.473639999997"/>
  </r>
  <r>
    <s v="PEREIRA"/>
    <x v="1"/>
    <x v="6"/>
    <n v="63001"/>
    <n v="2291719"/>
    <s v="FO-25-1078139"/>
    <d v="2025-06-12T08:00:00"/>
    <d v="2025-06-12T16:11:00"/>
    <s v="QUINDIO"/>
    <s v="ARMENIA"/>
    <s v="PTM ARMENIA LA SEN@L"/>
    <n v="51278"/>
    <s v="INCIDENTE"/>
    <s v="REDEBAN"/>
    <s v="AGREGADOR"/>
    <m/>
    <s v="CERRADO"/>
    <s v="12-06 SE ESCALA PARA VISITA. LLAMAR ANTES DE VISITAR, CONFIRMAR FALLA Y DATOS_x000a_0_x000a_12-06 SE LLAMA AL SEÑORA  ALBERTO CASTAÑEDA  AL TELÉFONO 3104237086 INDICA QUE LA FALLA ERA EL SERVICIO DE INTERNET DEL LOCAL QUE AYER EN LA TARDE YA EL DATAFONO ESTABA FUNCIONANDO CORRECTAMENTE. "/>
    <s v="SANCHEZ SOLORZANO JUAN SEBASTIAN"/>
    <s v="SOPORTE_TELEFÓNICO"/>
    <n v="0"/>
    <s v="NO"/>
    <s v="USUARIO"/>
    <s v="COMUNICACION"/>
    <s v="CONEXIONES DE COMERCIO"/>
    <s v="No"/>
    <n v="0"/>
    <n v="0"/>
    <n v="0"/>
    <n v="0"/>
    <n v="0"/>
    <s v="TIPO II"/>
    <s v="TERRESTRE"/>
    <n v="0"/>
    <n v="0"/>
    <n v="0"/>
    <n v="0"/>
    <n v="37904.65408"/>
    <n v="37904.65408"/>
  </r>
  <r>
    <s v="APARTADO"/>
    <x v="3"/>
    <x v="3"/>
    <n v="5045"/>
    <n v="2293224"/>
    <s v="FO-25-1078966"/>
    <d v="2025-06-12T08:55:00"/>
    <d v="2025-06-12T17:25:00"/>
    <s v="ANTIOQUIA"/>
    <s v="APARTADO"/>
    <s v="DISTRICOL COMUNICACIONES KATEB"/>
    <n v="35610"/>
    <s v="INCIDENTE"/>
    <s v="REDEBAN"/>
    <s v="AGREGADOR"/>
    <m/>
    <s v="CERRADO"/>
    <s v="12-06 SE ESCALA PARA VISITA. LLAMAR ANTES DE VISITAR, CONFIRMAR FALLA Y DATOS_x000a_0_x000a_12-06 SE ESTABLECE COMUNICACION CON USUARIO VALIDANDO FALLA REPORTADA, SE PROCEDE CON INDICACIONES REMOTAS SOLUCIONANDO INCONVENIENTE, SE REALIZAN PRUEBAS OK DE FUNSIONAMIENTO EQUIPO SIN NOVEDAD "/>
    <s v="JULIO TUBERQUIA JOSE SEBASTIAN"/>
    <s v="SOPORTE_TELEFÓNICO"/>
    <n v="0"/>
    <s v="NO"/>
    <s v="USUARIO"/>
    <s v="COMUNICACION"/>
    <s v="CANAL DEL COMERCIO"/>
    <s v="No"/>
    <n v="0"/>
    <n v="0"/>
    <n v="0"/>
    <n v="0"/>
    <n v="0"/>
    <s v="TIPO I"/>
    <s v="TERRESTRE"/>
    <n v="0"/>
    <n v="0"/>
    <n v="0"/>
    <n v="0"/>
    <n v="37904.65408"/>
    <n v="37904.65408"/>
  </r>
  <r>
    <s v="IBAGUE"/>
    <x v="2"/>
    <x v="2"/>
    <n v="73001"/>
    <n v="2293788"/>
    <s v="FO-25-1079430"/>
    <d v="2025-06-12T09:49:00"/>
    <d v="2025-06-12T18:03:00"/>
    <s v="TOLIMA"/>
    <s v="IBAGUE"/>
    <s v="BARRIO AMBALA IBAGUE 4"/>
    <n v="50001"/>
    <s v="INCIDENTE"/>
    <s v="REDEBAN"/>
    <s v="CB UNO A UNO"/>
    <m/>
    <s v="CERRADO"/>
    <s v="12-06 SE ESCALA PARA VISITA. LLAMAR ANTES DE VISITAR, CONFIRMAR FALLA Y DATOS_x000a_0_x000a_12-06 SE REALIZA VALIDACIÓN DE USUARIO BLOQUEADO, SE DESBLOQUEA Y SE REALIZA PRUEBAS DE FUNCIONAMIENTO OK; CUBRE CLAVE INSTALADO."/>
    <s v="BARRAGAN TAFUR EDWIN ESTEBAN"/>
    <s v="VISITA_TÉCNICA"/>
    <s v="II00S485"/>
    <s v="NO"/>
    <s v="USUARIO"/>
    <s v="USUARIOS"/>
    <s v="USUARIOS BLOQUEADOS"/>
    <s v="No"/>
    <n v="0"/>
    <n v="0"/>
    <n v="0"/>
    <n v="0"/>
    <n v="0"/>
    <s v="TIPO I"/>
    <s v="TERRESTRE"/>
    <n v="1"/>
    <n v="0"/>
    <n v="0"/>
    <n v="0"/>
    <n v="65960.473639999997"/>
    <n v="65960.473639999997"/>
  </r>
  <r>
    <s v="MEDELLIN"/>
    <x v="3"/>
    <x v="3"/>
    <n v="5604"/>
    <n v="2280241"/>
    <s v="FO-25-1067723"/>
    <d v="2025-06-10T10:34:00"/>
    <d v="2025-06-13T07:40:03"/>
    <s v="ANTIOQUIA"/>
    <s v="REMEDIOS"/>
    <s v="7 AGOSTO REMEDIO"/>
    <n v="70814"/>
    <s v="INCIDENTE"/>
    <s v="REDEBAN"/>
    <s v="CB UNO A UNO"/>
    <m/>
    <s v="CERRADO"/>
    <s v="10-06 10:41  3127330175 SE INTENTA COMUNICACION CON CB NO ES POSIBLE VALIDAR LA SOLICITUD, POR FAVOR LLAMAR ANTES DE DESPLAZARSE_x000a_0_x000a_12-06 SE LLEGA AL SITIO Y SE REQUIERE UNA BASE DE REALIZA LA INSTALACIÓN DE LA BASE Y TODO SE ENCUENTRA OK "/>
    <s v="ZAPATA LOPEZ EDWARD ASDRUBAL"/>
    <s v="VISITA_TÉCNICA"/>
    <s v="EF00B344"/>
    <s v="NO"/>
    <s v="USUARIO"/>
    <s v="MANTENIMIENTO"/>
    <s v="MANTENIMIENTO GENERAL"/>
    <s v="No"/>
    <n v="0"/>
    <n v="0"/>
    <n v="0"/>
    <n v="0"/>
    <s v="Base de datofono "/>
    <s v="TIPO IV"/>
    <s v="TERRESTRE"/>
    <n v="1"/>
    <n v="0"/>
    <n v="0"/>
    <n v="0"/>
    <n v="479589.73656000005"/>
    <n v="479589.73656000005"/>
  </r>
  <r>
    <s v="CARTAGENA"/>
    <x v="0"/>
    <x v="0"/>
    <n v="13001"/>
    <n v="2299143"/>
    <s v="FO-25-1084215"/>
    <d v="2025-06-13T08:02:00"/>
    <d v="2025-06-13T08:53:01"/>
    <s v="BOLIVAR"/>
    <s v="CARTAGENA"/>
    <s v="ARA0141 CTG CRESPO AEROPUERTO"/>
    <n v="25275"/>
    <s v="INCIDENTE"/>
    <s v="REDEBAN"/>
    <s v="RETAIL"/>
    <m/>
    <s v="CERRADO"/>
    <s v="13-6 SE ESCALA CASO A LA RED PARA ATENCIÓN POR MEDIO DE LA FUERZA COMERCIAL YA QUE ES UN CB ARA, SE PROCEDE A CERRAR...RESPUESTA DE LA RED: TU SOLICITUD REFERENTE A GENERACIÓN DE CASOS CB ARA BANCOLOMBIA QUEDÓ RADICADA BAJO EL TICKET NÚMERO 5673585 AL ÁREA ENCARGADA. _x000a_0_x000a_0"/>
    <n v="0"/>
    <s v="SOPORTE_TELEFÓNICO"/>
    <n v="0"/>
    <s v="NO"/>
    <s v="USUARIO"/>
    <s v="MANTENIMIENTO"/>
    <s v="MANTENIMIENTO GENERAL"/>
    <s v="No"/>
    <n v="0"/>
    <n v="0"/>
    <n v="0"/>
    <n v="0"/>
    <n v="0"/>
    <s v="TIPO I"/>
    <s v="TERRESTRE"/>
    <n v="0"/>
    <n v="0"/>
    <n v="0"/>
    <n v="0"/>
    <n v="37904.65408"/>
    <n v="37904.65408"/>
  </r>
  <r>
    <s v="MEDELLIN"/>
    <x v="3"/>
    <x v="3"/>
    <n v="5858"/>
    <n v="2295522"/>
    <s v="FO-25-1081355"/>
    <d v="2025-06-12T12:12:00"/>
    <d v="2025-06-13T10:04:00"/>
    <s v="ANTIOQUIA"/>
    <s v="VEGACHI"/>
    <s v="DISTRICOL KOLOR FASHION"/>
    <n v="49712"/>
    <s v="INCIDENTE"/>
    <s v="REDEBAN"/>
    <s v="AGREGADOR"/>
    <m/>
    <s v="CERRADO"/>
    <s v="12-06 SE ESCALA PARA VISITA. LLAMAR ANTES DE VISITAR, CONFIRMAR FALLA Y DATOS_x000a_0_x000a_13-06 SE LLEGA AL SITIO Y SE CREA LA CLAVE SUPERVISOR SE REALIZA MANTENIMIENTO AL EQUIPO Y AL PINPAD LIMPIEZA SE REALIZAN PRUEBAS EXITOSAS SERVICIO OPERATIVO "/>
    <s v="ZAPATA LOPEZ EDWARD ASDRUBAL"/>
    <s v="VISITA_TÉCNICA"/>
    <s v="AD00S291"/>
    <s v="NO"/>
    <s v="USUARIO"/>
    <s v="CIERRE"/>
    <s v="COMERCIO NO REALIZA CIERRE"/>
    <s v="No"/>
    <n v="0"/>
    <n v="0"/>
    <n v="0"/>
    <n v="0"/>
    <n v="0"/>
    <s v="TIPO III"/>
    <s v="TERRESTRE"/>
    <n v="1"/>
    <n v="0"/>
    <n v="0"/>
    <n v="0"/>
    <n v="275728.37943999999"/>
    <n v="275728.37943999999"/>
  </r>
  <r>
    <s v="MEDELLIN"/>
    <x v="3"/>
    <x v="3"/>
    <n v="5129"/>
    <n v="2296722"/>
    <s v="FO-25-1082117"/>
    <d v="2025-06-12T14:56:00"/>
    <d v="2025-06-13T12:30:00"/>
    <s v="ANTIOQUIA"/>
    <s v="CALDAS"/>
    <s v="BARRIO LA MIEL II CALDAS"/>
    <n v="15962"/>
    <s v="INCIDENTE"/>
    <s v="REDEBAN"/>
    <s v="CB UNO A UNO"/>
    <m/>
    <s v="CERRADO"/>
    <s v="12-06 SE ESCALA PARA VISITA. LLAMAR ANTES DE VISITAR, CONFIRMAR FALLA Y DATOS_x000a_0_x000a_13-06 SE REALIZÓ MANTENIMIENTO GENERAL AL CABLEADO DEL DATÁFONO "/>
    <s v="CASTAÑEDA PALACIO CARLOS FELIPE"/>
    <s v="VISITA_TÉCNICA"/>
    <s v="BL01Y320"/>
    <s v="NO"/>
    <s v="USUARIO"/>
    <s v="MANTENIMIENTO"/>
    <s v="MANTENIMIENTO GENERAL"/>
    <s v="No"/>
    <n v="0"/>
    <n v="0"/>
    <n v="0"/>
    <n v="0"/>
    <n v="0"/>
    <s v="TIPO I"/>
    <s v="TERRESTRE"/>
    <n v="1"/>
    <n v="0"/>
    <n v="0"/>
    <n v="0"/>
    <n v="65960.473639999997"/>
    <n v="65960.473639999997"/>
  </r>
  <r>
    <s v="APARTADO"/>
    <x v="3"/>
    <x v="3"/>
    <n v="5045"/>
    <n v="2296745"/>
    <s v="FO-25-1082187"/>
    <d v="2025-06-12T15:00:00"/>
    <d v="2025-06-13T12:32:00"/>
    <s v="ANTIOQUIA"/>
    <s v="APARTADO"/>
    <s v="BARRIO FUNDADORES APARTADO"/>
    <n v="24468"/>
    <s v="INCIDENTE"/>
    <s v="REDEBAN"/>
    <s v="CB UNO A UNO"/>
    <m/>
    <s v="CERRADO"/>
    <s v="12-06 SE ESCALA PARA VISITA. LLAMAR ANTES DE VISITAR, CONFIRMAR FALLA Y DATOS_x000a_0_x000a_13-06 REPISADO DE PARÁMETROS Y REINICIALIZACION "/>
    <s v="CASTRO HENAO DANIEL ESTEBAN"/>
    <s v="VISITA_TÉCNICA"/>
    <s v="A00FZ740"/>
    <s v="NO"/>
    <s v="USUARIO"/>
    <s v="COMUNICACION"/>
    <s v="CONEXIONES DE COMERCIO"/>
    <s v="No"/>
    <n v="0"/>
    <n v="0"/>
    <n v="0"/>
    <n v="0"/>
    <n v="0"/>
    <s v="TIPO I"/>
    <s v="TERRESTRE"/>
    <n v="1"/>
    <n v="0"/>
    <n v="0"/>
    <n v="0"/>
    <n v="65960.473639999997"/>
    <n v="65960.473639999997"/>
  </r>
  <r>
    <s v="MEDELLIN"/>
    <x v="3"/>
    <x v="3"/>
    <n v="5088"/>
    <n v="2298472"/>
    <s v="FO-25-1084233"/>
    <d v="2025-06-13T08:00:00"/>
    <d v="2025-06-13T12:35:00"/>
    <s v="ANTIOQUIA"/>
    <s v="BELLO"/>
    <s v="BARRIO MIRADOR BELLO 1"/>
    <n v="41753"/>
    <s v="INCIDENTE"/>
    <s v="REDEBAN"/>
    <s v="CB UNO A UNO"/>
    <m/>
    <s v="CERRADO"/>
    <s v="13-06 SE ESCALA PARA VISITA. LLAMAR ANTES DE VISITAR, CONFIRMAR FALLA Y DATOS_x000a_0_x000a_13-06 SE REALIZA MANTENIMIENTO AL EQUIPO POR QUÉ NO LEÍA ALGUNAS TARJETAS "/>
    <s v="CERPA SUAREZ DUVAN CAMILO"/>
    <s v="VISITA_TÉCNICA"/>
    <s v="AB0WZ559"/>
    <s v="NO"/>
    <s v="USUARIO"/>
    <s v="MANTENIMIENTO"/>
    <s v="MANTENIMIENTO GENERAL"/>
    <s v="No"/>
    <n v="0"/>
    <n v="0"/>
    <n v="0"/>
    <n v="0"/>
    <n v="0"/>
    <s v="TIPO I"/>
    <s v="TERRESTRE"/>
    <n v="1"/>
    <n v="0"/>
    <n v="0"/>
    <n v="0"/>
    <n v="65960.473639999997"/>
    <n v="65960.473639999997"/>
  </r>
  <r>
    <s v="APARTADO"/>
    <x v="3"/>
    <x v="3"/>
    <n v="5045"/>
    <n v="2296859"/>
    <s v="FO-25-1082203"/>
    <d v="2025-06-12T15:08:00"/>
    <d v="2025-06-13T13:29:00"/>
    <s v="ANTIOQUIA"/>
    <s v="APARTADO"/>
    <s v="PAGAFACIL NUESTRO URABA"/>
    <n v="32312"/>
    <s v="INCIDENTE"/>
    <s v="REDEBAN"/>
    <s v="ROBUSTO"/>
    <m/>
    <s v="CERRADO"/>
    <s v="12-06 SE ESCALA PARA VISITA. LLAMAR ANTES DE VISITAR, CONFIRMAR FALLA Y DATOS_x000a_0_x000a_13-06 CAMBIO CABLE MÁGIC BOX "/>
    <s v="CASTRO HENAO DANIEL ESTEBAN"/>
    <s v="VISITA_TÉCNICA"/>
    <s v="111JZ576"/>
    <s v="NO"/>
    <s v="USUARIO"/>
    <s v="COMUNICACION"/>
    <s v="CONEXIONES DE COMERCIO"/>
    <s v="No"/>
    <n v="0"/>
    <n v="0"/>
    <n v="0"/>
    <n v="0"/>
    <s v="Cable de red "/>
    <s v="TIPO I"/>
    <s v="TERRESTRE"/>
    <n v="1"/>
    <n v="0"/>
    <n v="0"/>
    <n v="0"/>
    <n v="65960.473639999997"/>
    <n v="65960.473639999997"/>
  </r>
  <r>
    <s v="PEREIRA"/>
    <x v="1"/>
    <x v="6"/>
    <n v="63001"/>
    <n v="2302718"/>
    <s v="FO-25-1087390"/>
    <d v="2025-06-13T14:50:00"/>
    <d v="2025-06-13T15:02:28"/>
    <s v="QUINDIO"/>
    <s v="ARMENIA"/>
    <s v="ARA0010 SAN FRANCISCO"/>
    <n v="25339"/>
    <s v="INCIDENTE"/>
    <s v="REDEBAN"/>
    <s v="RETAIL"/>
    <m/>
    <s v="CERRADO"/>
    <s v="13-6 SE ESCALA CASO A LA RED PARA ATENCIÓN POR MEDIO DE LA FUERZA COMERCIAL YA QUE ES UN CB ARA, SE PROCEDE A CERRAR....RESPUESTA DE LA RED: TU SOLICITUD REFERENTE A GENERACIÓN DE CASOS CB ARA BANCOLOMBIA QUEDÓ RADICADA BAJO EL TICKET NÚMERO 5674241 AL ÁREA ENCARGADA. _x000a_0_x000a_0"/>
    <n v="0"/>
    <s v="SOPORTE_TELEFÓNICO"/>
    <n v="0"/>
    <s v="NO"/>
    <s v="USUARIO"/>
    <s v="MANTENIMIENTO"/>
    <s v="MANTENIMIENTO GENERAL"/>
    <s v="No"/>
    <n v="0"/>
    <n v="0"/>
    <n v="0"/>
    <n v="0"/>
    <n v="0"/>
    <s v="TIPO II"/>
    <s v="TERRESTRE"/>
    <n v="0"/>
    <n v="0"/>
    <n v="0"/>
    <n v="0"/>
    <n v="37904.65408"/>
    <n v="37904.65408"/>
  </r>
  <r>
    <s v="MEDELLIN"/>
    <x v="3"/>
    <x v="3"/>
    <n v="5001"/>
    <n v="2299826"/>
    <s v="FO-25-1084703"/>
    <d v="2025-06-13T09:02:00"/>
    <d v="2025-06-13T15:29:00"/>
    <s v="ANTIOQUIA"/>
    <s v="MEDELLIN"/>
    <s v="PTM MEDELLIN SERVICIO ELECTRIC"/>
    <n v="48794"/>
    <s v="INCIDENTE"/>
    <s v="REDEBAN"/>
    <s v="AGREGADOR"/>
    <m/>
    <s v="CERRADO"/>
    <s v="13-06 SE ESCALA PARA VISITA. LLAMAR ANTES DE VISITAR, CONFIRMAR FALLA Y DATOS_x000a_0_x000a_13-06 SE ATIENDE INCIDENTE SE SE HACE VALIDACION OK SE DETECTA QUE LA FALLA ES POR LAS CONEXIONES DEL COMERCIO SE LE INDICA AL CLIENTE QUIEN INMEDIATAMENTE CAMBIE DE PUTO DE RED Y SE SOLUCIONA LA FALLA "/>
    <s v="DIAZ ZABALA FRANCIS DUBAN"/>
    <s v="VISITA_TÉCNICA"/>
    <s v="II00L306-TRZZZ946"/>
    <s v="NO"/>
    <s v="USUARIO"/>
    <s v="COMUNICACION"/>
    <s v="CONEXIONES DE COMERCIO"/>
    <s v="No"/>
    <n v="0"/>
    <n v="0"/>
    <n v="0"/>
    <n v="0"/>
    <n v="0"/>
    <s v="TIPO I"/>
    <s v="TERRESTRE"/>
    <n v="1"/>
    <n v="0"/>
    <n v="0"/>
    <n v="0"/>
    <n v="65960.473639999997"/>
    <n v="65960.473639999997"/>
  </r>
  <r>
    <s v="MEDELLIN"/>
    <x v="3"/>
    <x v="3"/>
    <n v="5001"/>
    <n v="2297631"/>
    <s v="FO-25-1082800"/>
    <d v="2025-06-12T16:03:00"/>
    <d v="2025-06-13T15:59:00"/>
    <s v="ANTIOQUIA"/>
    <s v="MEDELLIN"/>
    <s v="BARRIO CENTRO BOMBONA MEDELLIN"/>
    <n v="35402"/>
    <s v="INCIDENTE"/>
    <s v="REDEBAN"/>
    <s v="CB UNO A UNO"/>
    <m/>
    <s v="CERRADO"/>
    <s v="12-06 SE ESCALA PARA VISITA. LLAMAR ANTES DE VISITAR, CONFIRMAR FALLA Y DATOS_x000a_0_x000a_13-06 SE REALIZA VISITA USUARIA IMFORMA QUE TODO ESTA BIENN HACEN PRUEBAS "/>
    <s v="CERPA SUAREZ DUVAN CAMILO"/>
    <s v="VISITA_TÉCNICA"/>
    <s v="AA002181"/>
    <s v="NO"/>
    <s v="USUARIO"/>
    <s v="MANTENIMIENTO"/>
    <s v="MANTENIMIENTO GENERAL"/>
    <s v="No"/>
    <n v="0"/>
    <n v="0"/>
    <n v="0"/>
    <n v="0"/>
    <n v="0"/>
    <s v="TIPO I"/>
    <s v="TERRESTRE"/>
    <n v="1"/>
    <n v="0"/>
    <n v="0"/>
    <n v="0"/>
    <n v="65960.473639999997"/>
    <n v="65960.473639999997"/>
  </r>
  <r>
    <s v="CALI"/>
    <x v="1"/>
    <x v="1"/>
    <n v="76890"/>
    <n v="2301800"/>
    <s v="FO-25-1086341"/>
    <d v="2025-06-13T12:02:00"/>
    <d v="2025-06-13T16:14:00"/>
    <s v="VALLE DEL CAUCA"/>
    <s v="YOTOCO"/>
    <s v="BARRIO YOTOCO YOTOCO"/>
    <n v="59887"/>
    <s v="INCIDENTE"/>
    <s v="REDEBAN"/>
    <s v="CB UNO A UNO"/>
    <m/>
    <s v="CERRADO"/>
    <s v="13-06 SE ESCALA PARA VISITA. LLAMAR ANTES DE VISITAR, CONFIRMAR FALLA Y DATOS_x000a_0_x000a_13-06 EN LA VISITA TÉCNICA REALIZADA AL CB POR UN ERROR CON LAS TRANSACCIONES QUE REPORTÓ EN LA LÍNEA DE BANCOLOMBIA, EL CLIENTE NO ATENDIÓ LA VISITA YA QUE ME SOLICITÓ EL NÚMERO DE RADICADO SE LE INDICÓ EL NÚMERO DE LA TEA PERO EL CLIENTE MANIFIESTA QUE NO ES EL MISMO NÚMERO SE LE INDICÓ QUE DEBE DE LLAMAR A LA LÍNEA PARA CONFIRMAR MIS DATOS CON MI DOCUMENTO DE IDENTIDAD PERO EL CLIENTE SE NEGÓ A HACERLO,EL CLIENTE NO FIRMÓ EL DOCUMENTO NI BRINDÓ SUS DATOS PERSONALES,(TENIENDO EN CUENTA QUE SE HABÍA REALIZADO GESTIÓN TELEFÓNICA Y SE HABÍA CONFIRMADO LA VISITA CON EL CLIENTE)"/>
    <s v="SANCHEZ URREGO ROBINSON DAVID"/>
    <s v="VISITA_TÉCNICA"/>
    <s v="SE REALIZÓ LA VISITA AL CB PERO EL CLIENTE NO ATENDIÓ LA VISITA "/>
    <s v="NO"/>
    <s v="ENTIDAD"/>
    <s v="ERROR DE TRANSACCIONES"/>
    <s v="TRANSACCION NO PERMITIDA"/>
    <s v="No"/>
    <n v="0"/>
    <n v="0"/>
    <n v="0"/>
    <n v="0"/>
    <n v="0"/>
    <s v="TIPO II"/>
    <s v="TERRESTRE"/>
    <n v="1"/>
    <n v="0"/>
    <n v="0"/>
    <n v="0"/>
    <n v="163813.55812"/>
    <n v="163813.55812"/>
  </r>
  <r>
    <s v="PEREIRA"/>
    <x v="1"/>
    <x v="6"/>
    <n v="66170"/>
    <n v="2302524"/>
    <s v="FO-25-1087131"/>
    <d v="2025-06-13T14:22:00"/>
    <d v="2025-06-13T16:50:00"/>
    <s v="RISARALDA"/>
    <s v="DOSQUEBRADAS"/>
    <s v="BARRIO OTUN DOSQUEBRADAS 1"/>
    <n v="78248"/>
    <s v="INCIDENTE"/>
    <s v="REDEBAN"/>
    <s v="CB UNO A UNO"/>
    <m/>
    <s v="CERRADO"/>
    <s v="13-06 SE ESCALA PARA VISITA. LLAMAR ANTES DE VISITAR, CONFIRMAR FALLA Y DATOS - COORDINADOR LO SOLICITA TAMBIEN_x000a_0_x000a_13-06 VISITAMOS COMERCIO PERO LA PERSONA ESTÁ MUY OCUPADA INDICA QUE EN ESTE HORARIO NO ES POSIBLE ATENDERNOS, NO PERMITE EL INGRESO LE INDICAMOS QUE SE DEBE CERRAR LA ACTIVIDAD Y QUE NUEVAMENTE LLAMAR A LA LÍNEA PARA SOLICITAR OTRO SERVICIO EL DATAFONO ESTA OPERATIVO CLIENTE NO FIRMA. "/>
    <s v="ARROYAVE CANO MANUEL GUILLERMO"/>
    <s v="VISITA_TÉCNICA"/>
    <s v="NO MANIPULAMOS EQUIPO "/>
    <s v="NO"/>
    <s v="USUARIO"/>
    <s v="MANTENIMIENTO"/>
    <s v="MANTENIMIENTO GENERAL"/>
    <s v="No"/>
    <n v="0"/>
    <n v="0"/>
    <n v="0"/>
    <n v="0"/>
    <n v="0"/>
    <s v="TIPO I"/>
    <s v="TERRESTRE"/>
    <n v="1"/>
    <n v="0"/>
    <n v="0"/>
    <n v="0"/>
    <n v="65960.473639999997"/>
    <n v="65960.473639999997"/>
  </r>
  <r>
    <s v="CALI"/>
    <x v="1"/>
    <x v="1"/>
    <n v="76001"/>
    <s v="TA-25-756128"/>
    <s v="FO-25-1086508"/>
    <d v="2025-06-13T12:22:00"/>
    <d v="2025-06-13T17:01:31"/>
    <s v="VALLE DEL CAUCA"/>
    <s v="CALI"/>
    <s v="BARRIO MOJICA CALI 1"/>
    <n v="73965"/>
    <s v="INCIDENTE"/>
    <s v="REDEBAN"/>
    <s v="CB UNO A UNO"/>
    <m/>
    <s v="CERRADO"/>
    <s v="13-06 SE CREA POR SOLICITUD DE LA RED ..SE ESCALA PARA VISITA. LLAMAR ANTES DE VISITAR, CONFIRMAR FALLA Y DATOS_x000a_0_x000a_16-06 SE REALIZA CAMBIO DE DATÁFONO EN CB BANCOLOMBIA PURO DEBIDO A PLACA BLOQUEADA POR EQUIPO DADO DE BAJA, SE REALIZA CAMBIO DE PIN PAD POR TECNOLOGÍA, SE REALIZAN PRUEBAS OK."/>
    <s v="MONTERO MUESES GIAN CARLO"/>
    <s v="VISITA_TÉCNICA"/>
    <s v="MNS0SZ979"/>
    <s v="NO"/>
    <s v="ENTIDAD"/>
    <s v="ERROR DE TRANSACCIONES"/>
    <s v="TRANSACCION NO PERMITIDA"/>
    <s v="Si"/>
    <s v="DATAFONO ERI EQUIPO ROBADO Y/O ILOCALIZABLE"/>
    <n v="0"/>
    <s v="HUB HB3 NO RECONOCE CONECTOR"/>
    <s v="PINPAD CPT CAMBIO POR TECNOLOGÍA"/>
    <n v="0"/>
    <s v="TIPO I"/>
    <s v="TERRESTRE"/>
    <n v="1"/>
    <n v="0"/>
    <n v="0"/>
    <n v="0"/>
    <n v="65960.473639999997"/>
    <n v="65960.473639999997"/>
  </r>
  <r>
    <s v="MEDELLIN"/>
    <x v="3"/>
    <x v="3"/>
    <n v="5789"/>
    <n v="2298490"/>
    <s v="FO-25-1084217"/>
    <d v="2025-06-13T08:00:00"/>
    <d v="2025-06-14T10:11:12"/>
    <s v="ANTIOQUIA"/>
    <s v="TAMESIS"/>
    <s v="PTM TAMESIS DISTRIBUIDOR ITALC"/>
    <n v="79725"/>
    <s v="INCIDENTE"/>
    <s v="REDEBAN"/>
    <s v="AGREGADOR"/>
    <m/>
    <s v="CERRADO"/>
    <s v="13-06 SE ESCALA PARA VISITA. LLAMAR ANTES DE VISITAR, CONFIRMAR FALLA Y DATOS_x000a_0_x000a_14-06 SE REALIZÓ LIMPIEZA DE LECTOR CHIP "/>
    <s v="CASTAÑEDA PALACIO CARLOS FELIPE"/>
    <s v="VISITA_TÉCNICA"/>
    <s v="F1WZZ966 - F1XZZ137"/>
    <s v="NO"/>
    <s v="USUARIO"/>
    <s v="LECTOR DE TARJETAS"/>
    <s v="OBSTRUCCION DEL LECTOR"/>
    <s v="No"/>
    <n v="0"/>
    <n v="0"/>
    <n v="0"/>
    <n v="0"/>
    <n v="0"/>
    <s v="TIPO III"/>
    <s v="TERRESTRE"/>
    <n v="1"/>
    <n v="0"/>
    <n v="0"/>
    <n v="0"/>
    <n v="275728.37943999999"/>
    <n v="275728.37943999999"/>
  </r>
  <r>
    <s v="MEDELLIN"/>
    <x v="3"/>
    <x v="3"/>
    <n v="5360"/>
    <n v="2303284"/>
    <s v="FO-25-1087872"/>
    <d v="2025-06-13T15:52:00"/>
    <d v="2025-06-14T10:32:49"/>
    <s v="ANTIOQUIA"/>
    <s v="ITAGUI"/>
    <s v="PTM ITAGUI EL ENCANTO DE MAFE"/>
    <n v="75240"/>
    <s v="INCIDENTE"/>
    <s v="REDEBAN"/>
    <s v="AGREGADOR"/>
    <m/>
    <s v="CERRADO"/>
    <s v="13-06 SE ESCALA PARA VISITA. LLAMAR ANTES DE VISITAR, CONFIRMAR FALLA Y DATOS - COORDINADOR LO SOLICITA TAMBIEN_x000a_0_x000a_14-06 SE LLAMA AL CLIENTE Y DICE QUE EL CORRESPONSAL ESTA FUNCIONANDO CORRECTAMENTE "/>
    <s v="MORENO MEDINA JUAN PABLO"/>
    <s v="SOPORTE_TELEFÓNICO"/>
    <n v="0"/>
    <s v="NO"/>
    <s v="USUARIO"/>
    <s v="LECTOR DE TARJETAS"/>
    <s v="OBSTRUCCION DEL LECTOR"/>
    <s v="No"/>
    <n v="0"/>
    <n v="0"/>
    <n v="0"/>
    <n v="0"/>
    <n v="0"/>
    <s v="TIPO I"/>
    <s v="TERRESTRE"/>
    <n v="0"/>
    <n v="0"/>
    <n v="0"/>
    <n v="0"/>
    <n v="37904.65408"/>
    <n v="37904.65408"/>
  </r>
  <r>
    <s v="IBAGUE"/>
    <x v="2"/>
    <x v="2"/>
    <n v="73168"/>
    <n v="2300738"/>
    <s v="FO-25-1085579"/>
    <d v="2025-06-13T10:28:00"/>
    <d v="2025-06-14T11:04:33"/>
    <s v="TOLIMA"/>
    <s v="CHAPARRAL"/>
    <s v="BARRIO CERCA A LA ESTACION DE"/>
    <n v="31730"/>
    <s v="INCIDENTE"/>
    <s v="REDEBAN"/>
    <s v="CB UNO A UNO"/>
    <m/>
    <s v="CERRADO"/>
    <s v="13-06 SE ESCALA PARA VISITA. LLAMAR ANTES DE VISITAR, CONFIRMAR FALLA Y DATOS_x000a_0_x000a_14-06 SE COMUNICA AL NÚMERO 3153964619 LA SEÑORA MARISOL MOSQUERA INDICA TENER INCONVENIENTES SOLAMENTE CON LA FACTURA DE ACUEDUCTO AL PARECER LA IMPRESIÓN QUEDO DEFECTUOSA; NOS INDICA QUE EN TROS FACTURAS SI LAS RECIBE SOLICITA NO VISITAR EL SITIO HASTA PODER VALIDAR CON LA ENTIDAD UNA NUEVA IMPRESIÓN."/>
    <s v="BARRAGAN TAFUR EDWIN ESTEBAN"/>
    <s v="SOPORTE_TELEFÓNICO"/>
    <n v="0"/>
    <s v="NO"/>
    <s v="USUARIO"/>
    <s v="LECTOR DE BARRAS"/>
    <s v="ERROR PAGOS PARCIALES DE FACTURAS"/>
    <s v="No"/>
    <n v="0"/>
    <n v="0"/>
    <n v="0"/>
    <n v="0"/>
    <n v="0"/>
    <s v="TIPO III"/>
    <s v="TERRESTRE"/>
    <n v="0"/>
    <n v="0"/>
    <n v="0"/>
    <n v="0"/>
    <n v="37904.65408"/>
    <n v="37904.65408"/>
  </r>
  <r>
    <s v="MANIZALES"/>
    <x v="1"/>
    <x v="6"/>
    <n v="17001"/>
    <n v="2304761"/>
    <s v="FO-25-1090598"/>
    <d v="2025-06-14T08:51:00"/>
    <d v="2025-06-14T11:20:33"/>
    <s v="CALDAS"/>
    <s v="MANIZALES"/>
    <s v="PLAZA DE MERCADO MANIZALES"/>
    <n v="10249"/>
    <s v="INCIDENTE"/>
    <s v="REDEBAN"/>
    <s v="CB UNO A UNO"/>
    <m/>
    <s v="CERRADO"/>
    <s v="14-06 SE ESCALA PARA VISITA, LLAMAR ANTES DE VISITAR Y CONFIRMAR DATOS, DIRECCION Y SOLICITUD_x000a_0_x000a_14-06 SE REALIZA VISITA SE FORMATEA DATAFONO POR PARAMETROS MAL CONFIGURADOS SE INICIALIZA SE CREAN USUARIOS SE HACEN PRUEBAS SERVICIO OK "/>
    <s v="AGUIRRE HENAO RAUL EDUARDO"/>
    <s v="VISITA_TÉCNICA"/>
    <s v="BBVZZ554 IZ8ZZ794"/>
    <s v="NO"/>
    <s v="USUARIO"/>
    <s v="COMUNICACION"/>
    <s v="CONEXIONES DE COMERCIO"/>
    <s v="No"/>
    <n v="0"/>
    <n v="0"/>
    <n v="0"/>
    <n v="0"/>
    <n v="0"/>
    <s v="TIPO I"/>
    <s v="TERRESTRE"/>
    <n v="1"/>
    <n v="0"/>
    <n v="0"/>
    <n v="0"/>
    <n v="65960.473639999997"/>
    <n v="65960.473639999997"/>
  </r>
  <r>
    <s v="MEDELLIN"/>
    <x v="3"/>
    <x v="3"/>
    <n v="5679"/>
    <n v="2296297"/>
    <s v="FO-25-1081895"/>
    <d v="2025-06-12T14:26:00"/>
    <d v="2025-06-14T12:00:34"/>
    <s v="ANTIOQUIA"/>
    <s v="SANTA BARBARA"/>
    <s v="BARRIO GALERIA SANTA BARBARA"/>
    <n v="37908"/>
    <s v="INCIDENTE"/>
    <s v="REDEBAN"/>
    <s v="CB UNO A UNO"/>
    <m/>
    <s v="CERRADO"/>
    <s v="12-06 SE ESCALA PARA VISITA. LLAMAR ANTES DE VISITAR, CONFIRMAR FALLA Y DATOS_x000a_0_x000a_14-06 SE REALIZÓ LIMPIEZA DE LECTOR CHIP "/>
    <s v="CASTAÑEDA PALACIO CARLOS FELIPE"/>
    <s v="VISITA_TÉCNICA"/>
    <s v="9A1ZZ791"/>
    <s v="NO"/>
    <s v="USUARIO"/>
    <s v="LECTOR DE TARJETAS"/>
    <s v="OBSTRUCCION DEL LECTOR"/>
    <s v="No"/>
    <n v="0"/>
    <n v="0"/>
    <n v="0"/>
    <n v="0"/>
    <n v="0"/>
    <s v="TIPO II"/>
    <s v="TERRESTRE"/>
    <n v="1"/>
    <n v="0"/>
    <n v="0"/>
    <n v="0"/>
    <n v="163813.55812"/>
    <n v="163813.55812"/>
  </r>
  <r>
    <s v="BARRANQUILLA"/>
    <x v="0"/>
    <x v="0"/>
    <n v="8001"/>
    <n v="2304759"/>
    <s v="FO-25-1090602"/>
    <d v="2025-06-14T08:49:00"/>
    <d v="2025-06-14T14:29:50"/>
    <s v="ATLANTICO"/>
    <s v="BARRANQUILLA"/>
    <s v="MULTIPAGAS VIVA BARRANQUILLA"/>
    <n v="32342"/>
    <s v="INCIDENTE"/>
    <s v="REDEBAN"/>
    <s v="ROBUSTO"/>
    <m/>
    <s v="CERRADO"/>
    <s v="14-06 SE ESCALA PARA VISITA, LLAMAR ANTES DE VISITAR Y CONFIRMAR DATOS, DIRECCION Y SOLICITUD_x000a_0_x000a_14-06 SE REALIZA VISITA TÉCNICA, SE CONFIGURA LA IP FIJA DEL CLIENTE, SE REALIZA PRUEBAS EXITOSAS, EQUIPO FUNCIONA CORRECTAMENTE, CB OPERATIVO."/>
    <s v="DE AGUAS MUÑOZ DAVID JOSE"/>
    <s v="VISITA_TÉCNICA"/>
    <s v="111UZ632 - 111UZ635"/>
    <s v="NO"/>
    <s v="USUARIO"/>
    <s v="COMUNICACION"/>
    <s v="CANAL DEL COMERCIO"/>
    <s v="No"/>
    <n v="0"/>
    <n v="0"/>
    <n v="0"/>
    <n v="0"/>
    <n v="0"/>
    <s v="TIPO I"/>
    <s v="TERRESTRE"/>
    <n v="1"/>
    <n v="0"/>
    <n v="0"/>
    <n v="0"/>
    <n v="65960.473639999997"/>
    <n v="65960.473639999997"/>
  </r>
  <r>
    <s v="PEREIRA"/>
    <x v="1"/>
    <x v="6"/>
    <n v="63001"/>
    <n v="2305238"/>
    <s v="FO-25-1092181"/>
    <d v="2025-06-14T12:40:00"/>
    <d v="2025-06-14T14:43:46"/>
    <s v="QUINDIO"/>
    <s v="ARMENIA"/>
    <s v="BARRIO TRESESQUINAS ARMENIA"/>
    <n v="26918"/>
    <s v="INCIDENTE"/>
    <s v="REDEBAN"/>
    <s v="CB UNO A UNO"/>
    <m/>
    <s v="CERRADO"/>
    <s v="14-06 SE ESCALA PARA VISITA, LLAMAR ANTES DE VISITAR Y CONFIRMAR DATOS, DIRECCION Y SOLICITUD_x000a_0_x000a_14-06 SE HABLA CON LA SEÑORA VALENTINA QUIEN INDICA QUE EL CIERRE LE SALIO EN CEROS EL DATAFONO LE DICE SIN TRANSACCIONES, SE LE INDAGA SI FUE QUE LE REALIZO BORRADO DE MEMORIA AL DATAFONO E INDICA QUE SI, SE LE EXPLICA QUE DESPUES DE ESTO EL DATAFONO YA NO QUEDA CON TRANSACCIONES Y YA NO ES POSIBLE SACAR DE NUEVO EL CIERRE. POR ESTE MOTIVO DEBE ESPERAR A VOLVER A TRANSAR CON EL PARA REALIZAR DE NUEVO UN CIERRE"/>
    <s v="HENAO CARDONA DIEGO FERNANDO"/>
    <s v="SOPORTE_TELEFÓNICO"/>
    <n v="0"/>
    <s v="NO"/>
    <s v="USUARIO"/>
    <s v="CIERRE"/>
    <s v="COMERCIO NO REALIZA CIERRE"/>
    <s v="No"/>
    <n v="0"/>
    <n v="0"/>
    <n v="0"/>
    <n v="0"/>
    <n v="0"/>
    <s v="TIPO II"/>
    <s v="TERRESTRE"/>
    <n v="0"/>
    <n v="0"/>
    <n v="0"/>
    <n v="0"/>
    <n v="37904.65408"/>
    <n v="37904.65408"/>
  </r>
  <r>
    <s v="MEDELLIN"/>
    <x v="3"/>
    <x v="3"/>
    <n v="5360"/>
    <n v="2304990"/>
    <s v="FO-25-1091580"/>
    <d v="2025-06-14T11:00:00"/>
    <d v="2025-06-14T14:54:57"/>
    <s v="ANTIOQUIA"/>
    <s v="ITAGUI"/>
    <s v="PAGAFACIL EURO ITAGUI"/>
    <n v="27318"/>
    <s v="INCIDENTE"/>
    <s v="REDEBAN"/>
    <s v="ROBUSTO"/>
    <m/>
    <s v="CERRADO"/>
    <s v="14-06 SE ESCALA PARA VISITA, LLAMAR ANTES DE VISITAR Y CONFIRMAR DATOS, DIRECCION Y SOLICITUD_x000a_0_x000a_14-06 SE HACE MANTENIMIENTO DE EQUIPO Y CABLEADO TODO OK "/>
    <s v="MORENO MEDINA JUAN PABLO"/>
    <s v="VISITA_TÉCNICA"/>
    <s v="999VZ125"/>
    <s v="NO"/>
    <s v="USUARIO"/>
    <s v="MANTENIMIENTO"/>
    <s v="MANTENIMIENTO GENERAL"/>
    <s v="No"/>
    <n v="0"/>
    <n v="0"/>
    <n v="0"/>
    <n v="0"/>
    <n v="0"/>
    <s v="TIPO I"/>
    <s v="TERRESTRE"/>
    <n v="1"/>
    <n v="0"/>
    <n v="0"/>
    <n v="0"/>
    <n v="65960.473639999997"/>
    <n v="65960.473639999997"/>
  </r>
  <r>
    <s v="MEDELLIN"/>
    <x v="3"/>
    <x v="3"/>
    <n v="5615"/>
    <n v="2300712"/>
    <s v="FO-25-1085474"/>
    <d v="2025-06-13T10:24:00"/>
    <d v="2025-06-14T15:27:54"/>
    <s v="ANTIOQUIA"/>
    <s v="RIONEGRO"/>
    <s v="DISTRICOL RESPONSIBLE MARKET"/>
    <n v="44522"/>
    <s v="INCIDENTE"/>
    <s v="REDEBAN"/>
    <s v="AGREGADOR"/>
    <m/>
    <s v="CERRADO"/>
    <s v="13-06 SE ESCALA PARA VISITA. LLAMAR ANTES DE VISITAR, CONFIRMAR FALLA Y DATOS_x000a_0_x000a_14-06 SE HABLA CON ADMINISTRADOR DEL COMERCIO E INDICA QUE HUBO PROBLEMAS CON EL INTERNET, PERO QUE YA EL DATÁFONO ESTA FUNCIONANDO CORRECTAMENTE "/>
    <s v="BADEL ACUÑA LUIS ALBERTO"/>
    <s v="SOPORTE_TELEFÓNICO"/>
    <n v="0"/>
    <s v="NO"/>
    <s v="USUARIO"/>
    <s v="COMUNICACION"/>
    <s v="CANAL DEL COMERCIO"/>
    <s v="No"/>
    <n v="0"/>
    <n v="0"/>
    <n v="0"/>
    <n v="0"/>
    <n v="0"/>
    <s v="TIPO II"/>
    <s v="TERRESTRE"/>
    <n v="0"/>
    <n v="0"/>
    <n v="0"/>
    <n v="0"/>
    <n v="37904.65408"/>
    <n v="37904.65408"/>
  </r>
  <r>
    <s v="MEDELLIN"/>
    <x v="3"/>
    <x v="3"/>
    <n v="5001"/>
    <n v="2304278"/>
    <s v="FO-25-1090121"/>
    <d v="2025-06-14T08:00:00"/>
    <d v="2025-06-14T15:41:59"/>
    <s v="ANTIOQUIA"/>
    <s v="MEDELLIN"/>
    <s v="BARRIO CENTRO MEDELLIN 55"/>
    <n v="44998"/>
    <s v="INCIDENTE"/>
    <s v="REDEBAN"/>
    <s v="CB UNO A UNO"/>
    <m/>
    <s v="CERRADO"/>
    <s v="14-06 SE ESCALA PARA VISITA, LLAMAR ANTES DE VISITAR Y CONFIRMAR DATOS, DIRECCION Y SOLICITUD_x000a_14/06/2025 COMERCIO ABRE DESPUES DEL MEDIO DIA SE VISITA AHORA DESPUES DEL MEDIO DIA_x000a_14-06 SE ENCONTRA DATAFONO SIN RED SE VERIFICA CANAL DEL COMERCIO Y SE ENCUENTRA QUE LA CONEXION DEL RACK A DONDE ESTA EL DATAFONO NO TIENE RED SE PRUEBA EN OTRA CONEXION Y ESTA OPERATIVO PRUEBAS OK COMERCIO REVISARA CANAL "/>
    <s v="PAREJA ECHAVARRIA JHON DAVID"/>
    <s v="VISITA_TÉCNICA"/>
    <s v="AB1IZ080"/>
    <s v="NO"/>
    <s v="USUARIO"/>
    <s v="COMUNICACION"/>
    <s v="CANAL DEL COMERCIO"/>
    <s v="No"/>
    <n v="0"/>
    <n v="0"/>
    <n v="0"/>
    <n v="0"/>
    <n v="0"/>
    <s v="TIPO I"/>
    <s v="TERRESTRE"/>
    <n v="1"/>
    <n v="0"/>
    <n v="0"/>
    <n v="0"/>
    <n v="65960.473639999997"/>
    <n v="65960.473639999997"/>
  </r>
  <r>
    <s v="MEDELLIN"/>
    <x v="3"/>
    <x v="3"/>
    <n v="5001"/>
    <n v="2305350"/>
    <s v="FO-25-1093473"/>
    <d v="2025-06-14T16:57:00"/>
    <d v="2025-06-15T11:16:00"/>
    <s v="ANTIOQUIA"/>
    <s v="MEDELLIN"/>
    <s v="BARRIO SANTA CRUZ MEDELLIN"/>
    <n v="73507"/>
    <s v="INCIDENTE"/>
    <s v="REDEBAN"/>
    <s v="CB UNO A UNO"/>
    <m/>
    <s v="CERRADO"/>
    <s v="15-06 SE ESCALA PARA VISITA, POR FAVOR LLAMAR ANTES DE DESPLAZARSE_x000a_15/06/2025 EN COMUNICACIÓN CON LA SEÑORA JANETH ESPOSA DEL SEÑOR JHON. NOS INDICA QUE LA FALLA QUE PRESENTA EL DATAFONO ES EN EL DISPLAY D_x000a_15-06 EN COMUNICACIÓN CON EL SEÑOR JHON Y SU ESPOSA LA SRA JANETH, SE HACE SOPORTE TELEFÓNICO LA FALLA QUE PRESENTA EL DATAFONO ES POR QUE EL CLIENTE NO HACE LOS CIERRES ADECUADO Y BORRADO DE MEMORIA. SE LE EXPLICA COMO DEBE DE HACERSE Y QUE DEBE HACERSE TODOS LOS DÍAS PARA ENVITAR SATURACIONES DEL DATAFONO. CLIENTE COMFIMA ESTAR OPERADO CON NORMALIDAD. "/>
    <s v="DIAZ ZABALA FRANCIS DUBAN"/>
    <s v="SOPORTE_TELEFÓNICO"/>
    <n v="0"/>
    <s v="NO"/>
    <s v="USUARIO"/>
    <s v="CIERRE"/>
    <s v="COMERCIO NO REALIZA CIERRE"/>
    <s v="No"/>
    <n v="0"/>
    <n v="0"/>
    <n v="0"/>
    <n v="0"/>
    <n v="0"/>
    <s v="TIPO I"/>
    <s v="TERRESTRE"/>
    <n v="0"/>
    <n v="0"/>
    <n v="0"/>
    <n v="0"/>
    <n v="37904.65408"/>
    <n v="37904.65408"/>
  </r>
  <r>
    <s v="CALI"/>
    <x v="1"/>
    <x v="1"/>
    <n v="19573"/>
    <n v="2307981"/>
    <s v="FO-25-1095887"/>
    <d v="2025-06-16T09:38:00"/>
    <d v="2025-06-16T11:08:42"/>
    <s v="CAUCA"/>
    <s v="PUERTO TEJADA"/>
    <s v="PUERTO TEJADA II - CAUCA"/>
    <n v="11008"/>
    <s v="INCIDENTE"/>
    <s v="REDEBAN"/>
    <s v="CB UNO A UNO"/>
    <m/>
    <s v="CERRADO"/>
    <s v="16-06 SE ESCALA PARA VISITA. LLAMAR ANTES DE VISITAR, CONFIRMAR FALLA Y DATOS_x000a_0_x000a_16-06 SE CAMBIA CLAVE DE SUPERVISOR YA QUE EL CLIENTE NO PUEDE HACER CIERRE"/>
    <s v="CUERO RUIZ JHONNY"/>
    <s v="VISITA_TÉCNICA"/>
    <s v="9A0WZ952"/>
    <s v="NO"/>
    <s v="USUARIO"/>
    <s v="MANTENIMIENTO"/>
    <s v="MANTENIMIENTO GENERAL"/>
    <s v="No"/>
    <n v="0"/>
    <n v="0"/>
    <n v="0"/>
    <n v="0"/>
    <n v="0"/>
    <s v="TIPO II"/>
    <s v="TERRESTRE"/>
    <n v="1"/>
    <n v="0"/>
    <n v="0"/>
    <n v="0"/>
    <n v="163813.55812"/>
    <n v="163813.55812"/>
  </r>
  <r>
    <s v="CALI"/>
    <x v="1"/>
    <x v="1"/>
    <n v="76126"/>
    <n v="2306993"/>
    <s v="FO-25-1095368"/>
    <d v="2025-06-16T08:25:00"/>
    <d v="2025-06-16T12:31:29"/>
    <s v="VALLE DEL CAUCA"/>
    <s v="CALIMA"/>
    <s v="BARRIO CENTRO CALIMA  6 "/>
    <n v="78603"/>
    <s v="INCIDENTE"/>
    <s v="REDEBAN"/>
    <s v="CB UNO A UNO"/>
    <m/>
    <s v="CERRADO"/>
    <s v="16-06 SE ESCALA PARA VISITA, POR FAVOR LLAMAR ANTES DE DESPLAZARSE_x000a_0_x000a_16-06 SE REALIZA VISITA TÉCNICA POR REPORTE DE QUE EL DATAFONO NO LEE TARJETA CHIP, AL LLEGAR AL CB SE REALIZAN LAS PRUEBAS CON 2 TARJETAS Y SALEN OK."/>
    <s v="MONTERO MUESES GIAN CARLO"/>
    <s v="VISITA_TÉCNICA"/>
    <s v="F1MZZ632"/>
    <s v="NO"/>
    <s v="USUARIO"/>
    <s v="LECTOR DE TARJETAS"/>
    <s v="OBSTRUCCION DEL LECTOR"/>
    <s v="No"/>
    <n v="0"/>
    <n v="0"/>
    <n v="0"/>
    <n v="0"/>
    <n v="0"/>
    <s v="TIPO II"/>
    <s v="TERRESTRE"/>
    <n v="1"/>
    <n v="0"/>
    <n v="0"/>
    <n v="0"/>
    <n v="163813.55812"/>
    <n v="163813.55812"/>
  </r>
  <r>
    <s v="PEREIRA"/>
    <x v="1"/>
    <x v="6"/>
    <n v="63001"/>
    <n v="2305560"/>
    <s v="FO-25-1093489"/>
    <d v="2025-06-15T08:00:00"/>
    <d v="2025-06-16T15:06:46"/>
    <s v="QUINDIO"/>
    <s v="ARMENIA"/>
    <s v="BARRIO LAS COLINAS ARMENIA"/>
    <n v="67674"/>
    <s v="INCIDENTE"/>
    <s v="REDEBAN"/>
    <s v="CB UNO A UNO"/>
    <m/>
    <s v="CERRADO"/>
    <s v="15-06 SE ESCALA PARA VISITA, POR FAVOR LLAMAR ANTES DE DESPLAZARSE_x000a_0_x000a_16-06 SE VISITA COMERCIO SE REALIZÓ VERIFICACIÓN DE CONFIGURACIÓN Y COMUNICACIÓN DATAFONO EN PERFECTO FUNCIONAMIENTO. "/>
    <s v="SANCHEZ SOLORZANO JUAN SEBASTIAN"/>
    <s v="VISITA_TÉCNICA"/>
    <s v="AAQ0N448"/>
    <s v="NO"/>
    <s v="USUARIO"/>
    <s v="COMUNICACION"/>
    <s v="CONEXIONES DE COMERCIO"/>
    <s v="No"/>
    <n v="0"/>
    <n v="0"/>
    <n v="0"/>
    <n v="0"/>
    <n v="0"/>
    <s v="TIPO II"/>
    <s v="TERRESTRE"/>
    <n v="1"/>
    <n v="0"/>
    <n v="0"/>
    <n v="0"/>
    <n v="163813.55812"/>
    <n v="163813.55812"/>
  </r>
  <r>
    <s v="CUCUTA"/>
    <x v="5"/>
    <x v="5"/>
    <n v="54405"/>
    <n v="2307423"/>
    <s v="FO-25-1095376"/>
    <d v="2025-06-16T08:49:00"/>
    <d v="2025-06-16T15:54:57"/>
    <s v="NORTE DE SANTANDER"/>
    <s v="LOS PATIOS"/>
    <s v="BARRIO TIERRA LINDA LOS PATIOS"/>
    <n v="65758"/>
    <s v="INCIDENTE"/>
    <s v="REDEBAN"/>
    <s v="CB UNO A UNO"/>
    <m/>
    <s v="CERRADO"/>
    <s v="16-06 SE ESCALA PARA VISITA, POR FAVOR LLAMAR ANTES DE DESPLAZARSE_x000a_0_x000a_16-06 SE VISITA COMERCIO Y SE REALIZA CONFIGURACIÓN DE IP ESTÁTICA AL DATÁFONO POR CAMBIO EN EL SEGMENTO DE RED DEL CLIENTE, SE REALIZAN CIERRES Y PRUEBAS OK."/>
    <s v="TORRES MANTILLA JOSE DANIEL"/>
    <s v="VISITA_TÉCNICA"/>
    <s v="6Z00H061"/>
    <s v="NO"/>
    <s v="USUARIO"/>
    <s v="MANTENIMIENTO"/>
    <s v="MANTENIMIENTO GENERAL"/>
    <s v="No"/>
    <n v="0"/>
    <n v="0"/>
    <n v="0"/>
    <n v="0"/>
    <n v="0"/>
    <s v="TIPO I"/>
    <s v="TERRESTRE"/>
    <n v="1"/>
    <n v="0"/>
    <n v="0"/>
    <n v="0"/>
    <n v="65960.473639999997"/>
    <n v="65960.473639999997"/>
  </r>
  <r>
    <s v="APARTADO"/>
    <x v="3"/>
    <x v="3"/>
    <n v="5665"/>
    <n v="2292851"/>
    <s v="FO-25-1078787"/>
    <d v="2025-06-12T08:39:00"/>
    <d v="2025-06-16T16:07:08"/>
    <s v="ANTIOQUIA"/>
    <s v="SAN PEDRO DE URABA"/>
    <s v="DISTRICOL SHEYOMA TECNOLOGIA"/>
    <n v="33586"/>
    <s v="INCIDENTE"/>
    <s v="REDEBAN"/>
    <s v="AGREGADOR"/>
    <m/>
    <s v="CERRADO"/>
    <s v="12-06 SE ESCALA PARA VISITA. LLAMAR ANTES DE VISITAR, CONFIRMAR FALLA Y DATOS_x000a_0_x000a_16-06 CAMBIO FUENTE DE PODER "/>
    <s v="CASTRO HENAO DANIEL ESTEBAN"/>
    <s v="VISITA_TÉCNICA"/>
    <s v="1BZZZ825"/>
    <s v="NO"/>
    <s v="USUARIO"/>
    <s v="COMUNICACION"/>
    <s v="CONEXIONES DE COMERCIO"/>
    <s v="No"/>
    <n v="0"/>
    <n v="0"/>
    <n v="0"/>
    <n v="0"/>
    <s v="Fuente de poder "/>
    <s v="TIPO III"/>
    <s v="TERRESTRE"/>
    <n v="1"/>
    <n v="0"/>
    <n v="0"/>
    <n v="0"/>
    <n v="275728.37943999999"/>
    <n v="275728.37943999999"/>
  </r>
  <r>
    <s v="PEREIRA"/>
    <x v="1"/>
    <x v="6"/>
    <n v="66001"/>
    <n v="2308820"/>
    <s v="FO-25-1096374"/>
    <d v="2025-06-16T10:29:00"/>
    <d v="2025-06-16T16:26:24"/>
    <s v="RISARALDA"/>
    <s v="PEREIRA"/>
    <s v="BARRIO PARQUE INDUSTRIAL PEREI"/>
    <n v="65068"/>
    <s v="INCIDENTE"/>
    <s v="REDEBAN"/>
    <s v="CB UNO A UNO"/>
    <m/>
    <s v="CERRADO"/>
    <s v="16-06 SE ESCALA PARA VISITA. LLAMAR ANTES DE VISITAR, CONFIRMAR FALLA Y DATOS_x000a_0_x000a_16-06 VISITAMOS COMERCIO PERO EL LECTOR DE BARRAS YA ESTA FUNCIONANDO CON NORMALIDAD REALIZAMOS PRUEBAS OK ESTA FUNCIONANDO CON NORMALIDAD. "/>
    <s v="ARROYAVE CANO MANUEL GUILLERMO"/>
    <s v="VISITA_TÉCNICA"/>
    <s v="6Z005736"/>
    <s v="NO"/>
    <s v="USUARIO"/>
    <s v="MANTENIMIENTO"/>
    <s v="MANTENIMIENTO GENERAL"/>
    <s v="No"/>
    <n v="0"/>
    <n v="0"/>
    <n v="0"/>
    <n v="0"/>
    <n v="0"/>
    <s v="TIPO I"/>
    <s v="TERRESTRE"/>
    <n v="1"/>
    <n v="0"/>
    <n v="0"/>
    <n v="0"/>
    <n v="65960.473639999997"/>
    <n v="65960.473639999997"/>
  </r>
  <r>
    <s v="MONTERIA"/>
    <x v="0"/>
    <x v="0"/>
    <n v="23162"/>
    <n v="2305364"/>
    <s v="FO-25-1093485"/>
    <d v="2025-06-15T08:00:00"/>
    <d v="2025-06-16T16:36:31"/>
    <s v="CORDOBA"/>
    <s v="CERETE"/>
    <s v="BARRIO CORREGIMIENTO EL QUEMAO"/>
    <n v="66025"/>
    <s v="INCIDENTE"/>
    <s v="REDEBAN"/>
    <s v="CB UNO A UNO"/>
    <m/>
    <s v="CERRADO"/>
    <s v="15-06 SE ESCALA PARA VISITA, POR FAVOR LLAMAR ANTES DE DESPLAZARSE - 15-06  DE ACUERDO A DIAGNOSTICO, SE REQUIERE CAMBIO DE EQUIPO EQUIPO NO ENCIENDE, LUEGO DE UNA DESCARGA ELÉCTRICA, NO HAY SOPORTE ACTIVOS RBM, SE REAGENDA LUNES 16 JUNIO_x000a_0_x000a_16-06 SE VISITA SITIO, SE REVISAN CONEXIONES OK SE DETECTA PROBLEMAS EN CANAL DE COMUNICACIÓN DEL CLIENTE (SWITCH MALO) SE CONECTA DATAFONO DIRECTO AL MODEM Y SE REALIZAN PRUEBAS EXITOSAS OK_x000a_CB OPERATIVO "/>
    <s v="COGOLLO VERTEL EDER LUIS"/>
    <s v="VISITA_TÉCNICA"/>
    <s v="9A00N489"/>
    <s v="NO"/>
    <s v="USUARIO"/>
    <s v="COMUNICACION"/>
    <s v="CANAL DEL COMERCIO"/>
    <s v="No"/>
    <n v="0"/>
    <n v="0"/>
    <n v="0"/>
    <n v="0"/>
    <n v="0"/>
    <s v="TIPO I"/>
    <s v="TERRESTRE"/>
    <n v="1"/>
    <n v="0"/>
    <n v="0"/>
    <n v="0"/>
    <n v="65960.473639999997"/>
    <n v="65960.473639999997"/>
  </r>
  <r>
    <s v="BOGOTA"/>
    <x v="4"/>
    <x v="4"/>
    <n v="25035"/>
    <n v="2315017"/>
    <s v="FO-25-1102098"/>
    <d v="2025-06-17T09:52:00"/>
    <d v="2025-06-17T11:29:00"/>
    <s v="CUNDINAMARCA"/>
    <s v="ANAPOIMA"/>
    <s v="ARA0303   ANAPOIMA"/>
    <n v="27354"/>
    <s v="INCIDENTE"/>
    <s v="REDEBAN"/>
    <s v="RETAIL"/>
    <m/>
    <s v="CERRADO"/>
    <s v="17-06 SE ESCALA CASO A SERVICIO AL CLIENTE, SE PROCEDE A CERRAR YA QUE NO ATENDEMOS CADENA ARA - 16-06 LA RED: TU SOLICITUD REFERENTE A GENERACIÓN DE CASOS CB ARA BANCOLOMBIA QUEDÓ RADICADA BAJO EL TICKET NÚMERO 5678518 AL ÁREA ENCARGADA. _x000a_0_x000a_0"/>
    <n v="0"/>
    <s v="SOPORTE_TELEFÓNICO"/>
    <n v="0"/>
    <s v="NO"/>
    <s v="USUARIO"/>
    <s v="COMUNICACION"/>
    <s v="CONEXIONES DE COMERCIO"/>
    <s v="No"/>
    <n v="0"/>
    <n v="0"/>
    <n v="0"/>
    <n v="0"/>
    <n v="0"/>
    <s v="TIPO II"/>
    <s v="TERRESTRE"/>
    <n v="0"/>
    <n v="0"/>
    <n v="0"/>
    <n v="0"/>
    <n v="37904.65408"/>
    <n v="37904.65408"/>
  </r>
  <r>
    <s v="IBAGUE"/>
    <x v="2"/>
    <x v="2"/>
    <n v="73217"/>
    <n v="2305956"/>
    <s v="FO-25-1094123"/>
    <d v="2025-06-15T13:28:00"/>
    <d v="2025-06-17T12:05:57"/>
    <s v="TOLIMA"/>
    <s v="COYAIMA"/>
    <s v="BARRIO LA LOMA COYAIMA"/>
    <n v="48554"/>
    <s v="INCIDENTE"/>
    <s v="REDEBAN"/>
    <s v="CB UNO A UNO"/>
    <m/>
    <s v="CERRADO"/>
    <s v="15-06 SE ESCALA PARA VISITA, POR FAVOR LLAMAR ANTES DE DESPLAZARSE_x000a_0_x000a_17-06 SE LLEGA A LA DIRECCIÓN DEL CB BANCOLOMBIA Y ESTÁ CERRADO. SE LLAMA AL NÚMERO DE CONTACTO 3107882120 Y SE HABLA CON LA SEÑORA NURY YARA, ME EXPLICA QUE SALIÓ DE COYAIMA Y VUELVE HASTA EL JUEVES."/>
    <s v="VARGAS HERRERA JHON JAIRO"/>
    <s v="VISITA_TÉCNICA"/>
    <s v="NONE"/>
    <s v="NO"/>
    <s v="USUARIO"/>
    <s v="COMUNICACION"/>
    <s v="CONEXIONES DE COMERCIO"/>
    <s v="No"/>
    <n v="0"/>
    <n v="0"/>
    <n v="0"/>
    <n v="0"/>
    <n v="0"/>
    <s v="TIPO III"/>
    <s v="TERRESTRE"/>
    <n v="1"/>
    <n v="0"/>
    <n v="0"/>
    <n v="0"/>
    <n v="275728.37943999999"/>
    <n v="275728.37943999999"/>
  </r>
  <r>
    <s v="CUCUTA"/>
    <x v="5"/>
    <x v="5"/>
    <n v="54001"/>
    <n v="2315061"/>
    <s v="FO-25-1101543"/>
    <d v="2025-06-17T10:00:00"/>
    <d v="2025-06-17T13:02:48"/>
    <s v="NORTE DE SANTANDER"/>
    <s v="CUCUTA"/>
    <s v="BARRIO LOMA DE BOLIVAR CUCUTA 4"/>
    <n v="76191"/>
    <s v="INCIDENTE"/>
    <s v="REDEBAN"/>
    <s v="CB UNO A UNO"/>
    <m/>
    <s v="CERRADO"/>
    <s v="17-06 SE ESCALA PARA VISITA. LLAMAR ANTES DE VISITAR, CONFIRMAR FALLA Y DATOS_x000a_0_x000a_17-06 EN COMUNICACIÓN CON EL CLIENTE ME INFORMA LA SRA ISABEL DURAN DE SERRANO QUE EL ERROR YA SE SOLUCIONÓ QUE AL PARECER ERA UN CABLE MAL CONECTADO DEL MÓDEM QUE YA SE ENCONTRÓ FUNCIONANDO CON NORMALIDAD EL DATAFONO "/>
    <s v="DURAN ACOSTA FRANK YONNY"/>
    <s v="SOPORTE_TELEFÓNICO"/>
    <n v="0"/>
    <s v="NO"/>
    <s v="USUARIO"/>
    <s v="COMUNICACION"/>
    <s v="CONEXIONES DE COMERCIO"/>
    <s v="No"/>
    <n v="0"/>
    <n v="0"/>
    <n v="0"/>
    <n v="0"/>
    <n v="0"/>
    <s v="TIPO I"/>
    <s v="TERRESTRE"/>
    <n v="0"/>
    <n v="0"/>
    <n v="0"/>
    <n v="0"/>
    <n v="37904.65408"/>
    <n v="37904.65408"/>
  </r>
  <r>
    <s v="TUNJA"/>
    <x v="5"/>
    <x v="5"/>
    <n v="15001"/>
    <n v="2316625"/>
    <s v="FO-25-1102622"/>
    <d v="2025-06-17T12:08:00"/>
    <d v="2025-06-17T15:13:20"/>
    <s v="BOYACA"/>
    <s v="TUNJA"/>
    <s v="BARRIO LA COLINA TUNJA"/>
    <n v="65782"/>
    <s v="INCIDENTE"/>
    <s v="REDEBAN"/>
    <s v="CB UNO A UNO"/>
    <m/>
    <s v="CERRADO"/>
    <s v=" 17-06 SE ESCALA PARA VISITA. LLAMAR ANTES DE VISITAR, CONFIRMAR FALLA Y DATOS_x000a_0_x000a_17-06 SE VISITA CB MANTENIMIENTO POS....FALLA INTERNET DE CLIENTE SE INDICA A CLIENTE LLAMAR A OPERADOR PARA SOLICITAR MANTENIMIENTO DEL MISMO...PRUEBA CON OTRO EQUIPO Y PRESENTA LA MISMA FALLA"/>
    <s v="GONZALEZ GONZALEZ MARIO ALBERTO"/>
    <s v="VISITA_TÉCNICA"/>
    <s v="1A00F269"/>
    <s v="NO"/>
    <s v="USUARIO"/>
    <s v="COMUNICACION"/>
    <s v="CANAL DEL COMERCIO"/>
    <s v="No"/>
    <n v="0"/>
    <n v="0"/>
    <n v="0"/>
    <n v="0"/>
    <n v="0"/>
    <s v="TIPO I"/>
    <s v="TERRESTRE"/>
    <n v="1"/>
    <n v="0"/>
    <n v="0"/>
    <n v="0"/>
    <n v="65960.473639999997"/>
    <n v="65960.473639999997"/>
  </r>
  <r>
    <s v="CALI"/>
    <x v="1"/>
    <x v="1"/>
    <n v="19845"/>
    <n v="2311558"/>
    <s v="FO-25-1098116"/>
    <d v="2025-06-16T15:22:00"/>
    <d v="2025-06-17T16:28:40"/>
    <s v="CAUCA"/>
    <s v="VILLA RICA"/>
    <s v="BARRIO TERRONAL VILLA RICAN 1"/>
    <n v="74852"/>
    <s v="INCIDENTE"/>
    <s v="REDEBAN"/>
    <s v="CB UNO A UNO"/>
    <m/>
    <s v="CERRADO"/>
    <s v="16-06 SE ESCALA PARA VISITA. LLAMAR ANTES DE VISITAR, CONFIRMAR FALLA Y DATOS_x000a_0_x000a_17-06 SE REALIZA BORRADO DE TRANSACCIONES POR MOTIVO QUE LA ENTIDAD NUNCA LO HAN REALIZADO._x000a_SE REALIZA CAMBIO DE FUENTE DE PODER._x000a_SE REALIZAN PRUEBAS OPERATIVAS SIN NOVEDAD._x000a_CB QUEDA OKEY."/>
    <s v="TORRES GARCIA JENDRY JOSE"/>
    <s v="VISITA_TÉCNICA"/>
    <s v="0NTZZ173"/>
    <s v="NO"/>
    <s v="USUARIO"/>
    <s v="CIERRE"/>
    <s v="COMERCIO NO REALIZA CIERRE"/>
    <s v="No"/>
    <n v="0"/>
    <n v="0"/>
    <n v="0"/>
    <n v="0"/>
    <s v="Fuente de poder "/>
    <s v="TIPO IV"/>
    <s v="TERRESTRE"/>
    <n v="1"/>
    <n v="0"/>
    <n v="0"/>
    <n v="0"/>
    <n v="479589.73656000005"/>
    <n v="479589.73656000005"/>
  </r>
  <r>
    <s v="MEDELLIN"/>
    <x v="3"/>
    <x v="3"/>
    <n v="5001"/>
    <n v="2317395"/>
    <s v="FO-25-1103688"/>
    <d v="2025-06-17T14:35:00"/>
    <d v="2025-06-18T09:49:09"/>
    <s v="ANTIOQUIA"/>
    <s v="MEDELLIN"/>
    <s v="BARRIO GUAYABAL"/>
    <n v="10276"/>
    <s v="INCIDENTE"/>
    <s v="REDEBAN"/>
    <s v="CB UNO A UNO"/>
    <m/>
    <s v="CERRADO"/>
    <s v=" 17-06 SE ESCALA PARA VISITA. LLAMAR ANTES DE VISITAR, CONFIRMAR FALLA Y DATOS_x000a_0_x000a_18-06 SE HACE MANTENIMIENTO DE EQUIPO "/>
    <s v="HERNANDEZ CHAVARRIA JUAN CAMILO"/>
    <s v="VISITA_TÉCNICA"/>
    <s v="TROZZ865"/>
    <s v="NO"/>
    <s v="USUARIO"/>
    <s v="MANTENIMIENTO"/>
    <s v="MANTENIMIENTO GENERAL"/>
    <s v="No"/>
    <n v="0"/>
    <n v="0"/>
    <n v="0"/>
    <n v="0"/>
    <n v="0"/>
    <s v="TIPO I"/>
    <s v="TERRESTRE"/>
    <n v="1"/>
    <n v="0"/>
    <n v="0"/>
    <n v="0"/>
    <n v="65960.473639999997"/>
    <n v="65960.473639999997"/>
  </r>
  <r>
    <s v="VALLEDUPAR"/>
    <x v="0"/>
    <x v="0"/>
    <n v="20001"/>
    <n v="2319150"/>
    <s v="FO-25-1104575"/>
    <d v="2025-06-17T17:26:00"/>
    <d v="2025-06-18T10:01:59"/>
    <s v="CESAR"/>
    <s v="VALLEDUPAR"/>
    <s v="VALLEDUPAR VILLA DARIANA"/>
    <n v="72847"/>
    <s v="INCIDENTE"/>
    <s v="REDEBAN"/>
    <s v="CB UNO A UNO"/>
    <m/>
    <s v="CERRADO"/>
    <s v=" 17-06 SE ESCALA PARA VISITA. LLAMAR ANTES DE VISITAR, CONFIRMAR FALLA Y DATOS_x000a_0_x000a_18-06 SE LLEGA A SITIO, SE REALIZAN PRUEBAS, LA CUAL ARROJA ERROR DE CONEXIÓN Y SE EVIDENCIA QUE EL DATAFONO NO TENIA CONEXIÓN A RED POR CABLE, SE INSPECCIONA LA CABINA EN DONDE ESTA EL COMERCIO Y SE EVIDENCIA QUE EL CABLE QUE VIENE DEL MODEM ESTA DAÑADO EN ALGUN TRAMO, EL MODEM MISMO SE ENCUENTRA EN UN APARTAMENTO DEL SEGUNDO PISO DE DONDE ESTA EL COMERCIO, SE REALIZAN PRUEBAS CON EL DATAFONO PEGADO AL MODEM Y SE EVIDENCIA QUE EL SERVICO OPERA SIN PROBLEMAS Y AGARRA LA CONEXION DE RED CON NORMALIDAD, EL CABLE PASA POR EL TECHO DEL MISMO HASTA LLEGAR A LA CABINA EN DONDE ESTA EL CB, HAY APROXIMADAMENTE 15MT DE CABLE UTP, EL CUAL HABRIA QUE MONTAR EL TECHO PARA PODERLO VISUALIZAR, SE LE INDICA AL CLIENTE QUE DEBIDO A QUE EL PUNTO DE INTERNET VIENE CON UNA ACOMETIDA DE DATOS DESDE OTRO LOCAL HASTA EL CB, DEBE VALIDAR QUE ESTÉ EN BUEN ESTADO PARA QUE SE GARANTICE LA OPERATIVIDAD DEL DATAFONO. "/>
    <s v="MONTES DIAZ JOHN FRED"/>
    <s v="VISITA_TÉCNICA"/>
    <s v="EF00S387"/>
    <s v="NO"/>
    <s v="USUARIO"/>
    <s v="COMUNICACION"/>
    <s v="CONEXIONES DE COMERCIO"/>
    <s v="No"/>
    <n v="0"/>
    <n v="0"/>
    <n v="0"/>
    <n v="0"/>
    <n v="0"/>
    <s v="TIPO I"/>
    <s v="TERRESTRE"/>
    <n v="1"/>
    <n v="0"/>
    <n v="0"/>
    <n v="0"/>
    <n v="65960.473639999997"/>
    <n v="65960.473639999997"/>
  </r>
  <r>
    <s v="APARTADO"/>
    <x v="3"/>
    <x v="3"/>
    <n v="5045"/>
    <n v="2316933"/>
    <s v="FO-25-1102961"/>
    <d v="2025-06-17T13:21:00"/>
    <d v="2025-06-18T11:00:16"/>
    <s v="ANTIOQUIA"/>
    <s v="APARTADO"/>
    <s v="BARRIO APARTADO OBRERO APARATADO"/>
    <n v="76063"/>
    <s v="INCIDENTE"/>
    <s v="REDEBAN"/>
    <s v="CB UNO A UNO"/>
    <m/>
    <s v="CERRADO"/>
    <s v=" 17-06 SE ESCALA PARA VISITA. LLAMAR ANTES DE VISITAR, CONFIRMAR FALLA Y DATOS_x000a_0_x000a_18-06 VÍA TELEFÓNICA, CLIENTE INDICA IMPRESIÓN LENTA, TECLADO DURO, SE LE INFORMA AL CLIENTE QUE LOS DATAFONOS SON ASÍ Y NO SE PUEDE CAMBIAR HASTA QUE NO FALLEN LAS TRANSACCIONES. CLIENTE INDICA QUE DATAFONO FUNCIONA TODAS LAS TRANSACCIONES. "/>
    <s v="CASTRO HENAO DANIEL ESTEBAN"/>
    <s v="SOPORTE_TELEFÓNICO"/>
    <n v="0"/>
    <s v="NO"/>
    <s v="USUARIO"/>
    <s v="CIERRE"/>
    <s v="COMERCIO NO REALIZA CIERRE"/>
    <s v="No"/>
    <n v="0"/>
    <n v="0"/>
    <n v="0"/>
    <n v="0"/>
    <n v="0"/>
    <s v="TIPO I"/>
    <s v="TERRESTRE"/>
    <n v="0"/>
    <n v="0"/>
    <n v="0"/>
    <n v="0"/>
    <n v="37904.65408"/>
    <n v="37904.65408"/>
  </r>
  <r>
    <s v="MEDELLIN"/>
    <x v="3"/>
    <x v="3"/>
    <n v="5042"/>
    <n v="2319441"/>
    <s v="FO-25-1105529"/>
    <d v="2025-06-18T08:00:00"/>
    <d v="2025-06-18T11:04:56"/>
    <s v="ANTIOQUIA"/>
    <s v="SANTA FE DE ANTIOQUIA"/>
    <s v="REVAL SANTAFE DE ANTIOQUIA"/>
    <n v="53091"/>
    <s v="INCIDENTE"/>
    <s v="REDEBAN"/>
    <s v="ROBUSTO"/>
    <m/>
    <s v="CERRADO"/>
    <s v=" 18-06 SE ESCALA PARA VISITA. LLAMAR ANTES DE VISITAR, CONFIRMAR FALLA Y DATOS_x000a_0_x000a_18-06 SE HABLA CON SEÑORA MILENA, NOS INFORMA QUE AYER EN LA NOCHE LOGRÓ DESBLOQUEAR EL USUARIO Y PUDO REALIZAR EL CIERRE SIN NOVEDAD. INFORMA QUE AYER FINALMENTE SOLUCIONO EL PROBLEMA. CB ESTA OPERATIVO. SE CIERRA INCIDENTE."/>
    <s v="MORENO MEDINA JUAN PABLO"/>
    <s v="SOPORTE_TELEFÓNICO"/>
    <n v="0"/>
    <s v="NO"/>
    <s v="USUARIO"/>
    <s v="CIERRE"/>
    <s v="COMERCIO NO REALIZA CIERRE"/>
    <s v="No"/>
    <n v="0"/>
    <n v="0"/>
    <n v="0"/>
    <n v="0"/>
    <n v="0"/>
    <s v="TIPO II"/>
    <s v="TERRESTRE"/>
    <n v="0"/>
    <n v="0"/>
    <n v="0"/>
    <n v="0"/>
    <n v="37904.65408"/>
    <n v="37904.65408"/>
  </r>
  <r>
    <s v="MEDELLIN"/>
    <x v="3"/>
    <x v="3"/>
    <n v="5001"/>
    <n v="2321425"/>
    <s v="FO-25-1105501"/>
    <d v="2025-06-18T08:03:00"/>
    <d v="2025-06-18T12:10:29"/>
    <s v="ANTIOQUIA"/>
    <s v="MEDELLIN"/>
    <s v="DISTRICOL MERCADOS DULAZAR"/>
    <n v="37071"/>
    <s v="INCIDENTE"/>
    <s v="REDEBAN"/>
    <s v="AGREGADOR"/>
    <m/>
    <s v="CERRADO"/>
    <s v=" 18-06 SE ESCALA PARA VISITA. LLAMAR ANTES DE VISITAR, CONFIRMAR FALLA Y DATOS_x000a_0_x000a_18-06 SE REALIZA MANTENIMIENTO "/>
    <s v="HERNANDEZ CHAVARRIA JUAN CAMILO"/>
    <s v="VISITA_TÉCNICA"/>
    <s v="9A00K108"/>
    <s v="NO"/>
    <s v="USUARIO"/>
    <s v="LECTOR DE TARJETAS"/>
    <s v="OBSTRUCCION DEL LECTOR"/>
    <s v="No"/>
    <n v="0"/>
    <n v="0"/>
    <n v="0"/>
    <n v="0"/>
    <n v="0"/>
    <s v="TIPO I"/>
    <s v="TERRESTRE"/>
    <n v="1"/>
    <n v="0"/>
    <n v="0"/>
    <n v="0"/>
    <n v="65960.473639999997"/>
    <n v="65960.473639999997"/>
  </r>
  <r>
    <s v="MEDELLIN"/>
    <x v="3"/>
    <x v="3"/>
    <n v="5318"/>
    <n v="2314624"/>
    <s v="FO-25-1101239"/>
    <d v="2025-06-17T09:29:00"/>
    <d v="2025-06-18T12:31:01"/>
    <s v="ANTIOQUIA"/>
    <s v="GUARNE"/>
    <s v="PTM GUARNE FERRELCOM"/>
    <n v="40230"/>
    <s v="INCIDENTE"/>
    <s v="REDEBAN"/>
    <s v="AGREGADOR"/>
    <m/>
    <s v="CERRADO"/>
    <s v="17-06 SE ESCALA PARA VISITA. LLAMAR ANTES DE VISITAR, CONFIRMAR FALLA Y DATOS_x000a_0_x000a_18-06 SE REALIZA VISITA SE EVIDENCIA QUE HAY BUENA CONEXIÓN DE INTERNET TODO OK"/>
    <s v="CERPA SUAREZ DUVAN CAMILO"/>
    <s v="VISITA_TÉCNICA"/>
    <s v="AAOJZ977"/>
    <s v="NO"/>
    <s v="USUARIO"/>
    <s v="MANTENIMIENTO"/>
    <s v="MANTENIMIENTO GENERAL"/>
    <s v="No"/>
    <n v="0"/>
    <n v="0"/>
    <n v="0"/>
    <n v="0"/>
    <n v="0"/>
    <s v="TIPO II"/>
    <s v="TERRESTRE"/>
    <n v="1"/>
    <n v="0"/>
    <n v="0"/>
    <n v="0"/>
    <n v="163813.55812"/>
    <n v="163813.55812"/>
  </r>
  <r>
    <s v="MEDELLIN"/>
    <x v="3"/>
    <x v="3"/>
    <n v="5088"/>
    <n v="2322527"/>
    <s v="FO-25-1106410"/>
    <d v="2025-06-18T09:47:00"/>
    <d v="2025-06-18T15:01:52"/>
    <s v="ANTIOQUIA"/>
    <s v="BELLO"/>
    <s v="BARRIO NIQUIA BELLO 18"/>
    <n v="68708"/>
    <s v="INCIDENTE"/>
    <s v="REDEBAN"/>
    <s v="CB UNO A UNO"/>
    <m/>
    <s v="CERRADO"/>
    <s v=" 18-06 SE ESCALA PARA VISITA. LLAMAR ANTES DE VISITAR, CONFIRMAR FALLA Y DATOS_x000a_0_x000a_18-06 SE COMUNICA EL USUARIO PARA CONFIRMAR LA VISITA, Y INDICA QUE YA SE ENCUENTRA CON SERVICIO INFORMA QUE ERA UN PROBLEMA CON LA RED DE INTERNET PERO YA ESTÁ FUNCIONANDO CORRECTAMENTE "/>
    <s v="ZAPATA LOPEZ EDWARD ASDRUBAL"/>
    <s v="SOPORTE_TELEFÓNICO"/>
    <n v="0"/>
    <s v="NO"/>
    <s v="USUARIO"/>
    <s v="COMUNICACION"/>
    <s v="CONEXIONES DE COMERCIO"/>
    <s v="No"/>
    <n v="0"/>
    <n v="0"/>
    <n v="0"/>
    <n v="0"/>
    <n v="0"/>
    <s v="TIPO I"/>
    <s v="TERRESTRE"/>
    <n v="0"/>
    <n v="0"/>
    <n v="0"/>
    <n v="0"/>
    <n v="37904.65408"/>
    <n v="37904.65408"/>
  </r>
  <r>
    <s v="CALI"/>
    <x v="1"/>
    <x v="1"/>
    <n v="76109"/>
    <n v="2322272"/>
    <s v="FO-25-1106302"/>
    <d v="2025-06-18T09:30:00"/>
    <d v="2025-06-18T17:28:56"/>
    <s v="VALLE DEL CAUCA"/>
    <s v="BUENAVENTURA"/>
    <s v="BARRIO EL DORADO - BUENAVENTUR"/>
    <n v="10970"/>
    <s v="INCIDENTE"/>
    <s v="REDEBAN"/>
    <s v="CB UNO A UNO"/>
    <m/>
    <s v="CERRADO"/>
    <s v=" 18-06 SE ESCALA PARA VISITA. LLAMAR ANTES DE VISITAR, CONFIRMAR FALLA Y DATOS_x000a_0_x000a_18-6 SE HABLA CON EL CLIENTE QUIEN INDICA QUE EL ERROR ESTABA EN EL MODEM DE INTERNET, QUE AL RATO DE REPORTAR LA FALLA VALIDARON Y DESPUES DEL PROVEEDOR FUE A REVISAR Y INMEDIATAMENTE SUBIO EL SERVICIO Y YA ESTA OPERANDO CON EL DATAFONO, SE CIERRA EL CASO"/>
    <s v="HENAO CARDONA DIEGO FERNANDO"/>
    <s v="SOPORTE_TELEFÓNICO"/>
    <n v="0"/>
    <s v="NO"/>
    <s v="USUARIO"/>
    <s v="COMUNICACION"/>
    <s v="CANAL DEL COMERCIO"/>
    <s v="No"/>
    <n v="0"/>
    <n v="0"/>
    <n v="0"/>
    <n v="0"/>
    <n v="0"/>
    <s v="TIPO III"/>
    <s v="TERRESTRE"/>
    <n v="0"/>
    <n v="0"/>
    <n v="0"/>
    <n v="0"/>
    <n v="37904.65408"/>
    <n v="37904.65408"/>
  </r>
  <r>
    <s v="MEDELLIN"/>
    <x v="3"/>
    <x v="3"/>
    <n v="5001"/>
    <n v="2324781"/>
    <s v="FO-25-1108668"/>
    <d v="2025-06-18T14:23:00"/>
    <d v="2025-06-19T09:30:01"/>
    <s v="ANTIOQUIA"/>
    <s v="MEDELLIN"/>
    <s v="PTM MED EMPAKANDO SENTIMIENTOS"/>
    <n v="38792"/>
    <s v="INCIDENTE"/>
    <s v="REDEBAN"/>
    <s v="AGREGADOR"/>
    <m/>
    <s v="CERRADO"/>
    <s v=" 18-06 SE ESCALA PARA VISITA. LLAMAR ANTES DE VISITAR, CONFIRMAR FALLA Y DATOS_x000a_0_x000a_19-06 SE HACE CONEXIÓN DE INTERNET EL CB QUEDA FUNCIONANDO CORRECTAMENTE "/>
    <s v="MORENO MEDINA JUAN PABLO"/>
    <s v="VISITA_TÉCNICA"/>
    <s v="IICZZ632 - 9A04Z409"/>
    <s v="NO"/>
    <s v="USUARIO"/>
    <s v="COMUNICACION"/>
    <s v="CONEXIONES DE COMERCIO"/>
    <s v="No"/>
    <n v="0"/>
    <n v="0"/>
    <n v="0"/>
    <n v="0"/>
    <n v="0"/>
    <s v="TIPO I"/>
    <s v="TERRESTRE"/>
    <n v="1"/>
    <n v="0"/>
    <n v="0"/>
    <n v="0"/>
    <n v="65960.473639999997"/>
    <n v="65960.473639999997"/>
  </r>
  <r>
    <s v="MEDELLIN"/>
    <x v="3"/>
    <x v="3"/>
    <n v="5001"/>
    <n v="2324172"/>
    <s v="FO-25-1108201"/>
    <d v="2025-06-18T12:31:00"/>
    <d v="2025-06-19T09:34:32"/>
    <s v="ANTIOQUIA"/>
    <s v="MEDELLIN"/>
    <s v="MULTIPAGAS JUMBO LA 65"/>
    <n v="24796"/>
    <s v="INCIDENTE"/>
    <s v="REDEBAN"/>
    <s v="ROBUSTO"/>
    <m/>
    <s v="CERRADO"/>
    <s v=" 18-06 SE ESCALA PARA VISITA. LLAMAR ANTES DE VISITAR, CONFIRMAR FALLA Y DATOS_x000a_0_x000a_19-06 SE LLAMA AL CLIENTE Y DICE QUE EL CORRESPONSAL ESTA FUNCIONANDO CORRECTAMENTE "/>
    <s v="MORENO MEDINA JUAN PABLO"/>
    <s v="SOPORTE_TELEFÓNICO"/>
    <n v="0"/>
    <s v="NO"/>
    <s v="USUARIO"/>
    <s v="MANTENIMIENTO"/>
    <s v="MANTENIMIENTO GENERAL"/>
    <s v="No"/>
    <n v="0"/>
    <n v="0"/>
    <n v="0"/>
    <n v="0"/>
    <n v="0"/>
    <s v="TIPO I"/>
    <s v="TERRESTRE"/>
    <n v="0"/>
    <n v="0"/>
    <n v="0"/>
    <n v="0"/>
    <n v="37904.65408"/>
    <n v="37904.65408"/>
  </r>
  <r>
    <s v="BOGOTA"/>
    <x v="4"/>
    <x v="4"/>
    <n v="11001"/>
    <n v="2326003"/>
    <s v="FO-25-1109220"/>
    <d v="2025-06-18T15:56:00"/>
    <d v="2025-06-19T10:24:09"/>
    <s v="CUNDINAMARCA"/>
    <s v="BOGOTA"/>
    <s v="PTM BOGOTA YIYO S MISCELANEA"/>
    <n v="68782"/>
    <s v="INCIDENTE"/>
    <s v="REDEBAN"/>
    <s v="AGREGADOR"/>
    <m/>
    <s v="CERRADO"/>
    <s v=" 18-06 SE ESCALA PARA VISITA. LLAMAR ANTES DE VISITAR, CONFIRMAR FALLA Y DATOS_x000a_0_x000a_19-06 SE LLEGA A LA DIRECCIÓN INDICADA SE REALIZAN PRUEBAS DE PING SE VALIDAN PUERTOS DE CONEXIÓN DE DATOS SE ENCUENTRA EN BUEN ESTADO SE REALIZAN PRUEBAS EXITOSAS, SE RECOMIENDA AL COMERCIO VALIDAR EL CABLEADO YA QUE EL MODEM SE ENCUENTRA BASTANTE RETIRADO."/>
    <s v="GARCIA PASTRANA KEVIN FERNANDO"/>
    <s v="VISITA_TÉCNICA"/>
    <s v="AALUZ382"/>
    <s v="NO"/>
    <s v="USUARIO"/>
    <s v="COMUNICACION"/>
    <s v="CONEXIONES DE COMERCIO"/>
    <s v="No"/>
    <n v="0"/>
    <n v="0"/>
    <n v="0"/>
    <n v="0"/>
    <n v="0"/>
    <s v="TIPO I"/>
    <s v="TERRESTRE"/>
    <n v="1"/>
    <n v="0"/>
    <n v="0"/>
    <n v="0"/>
    <n v="65960.473639999997"/>
    <n v="65960.473639999997"/>
  </r>
  <r>
    <s v="MEDELLIN"/>
    <x v="3"/>
    <x v="3"/>
    <n v="5001"/>
    <n v="2328615"/>
    <s v="FO-25-1111471"/>
    <d v="2025-06-19T09:41:00"/>
    <d v="2025-06-19T11:35:35"/>
    <s v="ANTIOQUIA"/>
    <s v="MEDELLIN"/>
    <s v="DISTRICOL TEOCELL COMUNICACION"/>
    <n v="44146"/>
    <s v="INCIDENTE"/>
    <s v="REDEBAN"/>
    <s v="AGREGADOR"/>
    <m/>
    <s v="CERRADO"/>
    <s v=" 19-06 SE ESCALA PARA VISITA. LLAMAR ANTES DE VISITAR, CONFIRMAR FALLA Y DATOS_x000a_0_x000a_19-06 SE LLAMA AL CLIENTE Y DICE QUE EL CORRESPONSAL ESTA FUNCIONANDO CORRECTAMENTE "/>
    <s v="MORENO MEDINA JUAN PABLO"/>
    <s v="SOPORTE_TELEFÓNICO"/>
    <n v="0"/>
    <s v="NO"/>
    <s v="USUARIO"/>
    <s v="MANTENIMIENTO"/>
    <s v="MANTENIMIENTO GENERAL"/>
    <s v="No"/>
    <n v="0"/>
    <n v="0"/>
    <n v="0"/>
    <n v="0"/>
    <n v="0"/>
    <s v="TIPO I"/>
    <s v="TERRESTRE"/>
    <n v="0"/>
    <n v="0"/>
    <n v="0"/>
    <n v="0"/>
    <n v="37904.65408"/>
    <n v="37904.65408"/>
  </r>
  <r>
    <s v="MEDELLIN"/>
    <x v="3"/>
    <x v="3"/>
    <n v="5088"/>
    <n v="2327445"/>
    <s v="FO-25-1110330"/>
    <d v="2025-06-19T08:00:00"/>
    <d v="2025-06-19T13:17:52"/>
    <s v="ANTIOQUIA"/>
    <s v="BELLO"/>
    <s v="BARRIO ZAMORA BELLO 2"/>
    <n v="34705"/>
    <s v="INCIDENTE"/>
    <s v="REDEBAN"/>
    <s v="CB UNO A UNO"/>
    <m/>
    <s v="CERRADO"/>
    <s v=" 19-06 SE ESCALA PARA VISITA. LLAMAR ANTES DE VISITAR, CONFIRMAR FALLA Y DATOS_x000a_0_x000a_19-06 SE LLEGA AL SITIO SE ESPERA AUTORIZACIÓN SE INGRESO SE ENCUENTRA EL EQUIPO QUE PERDÍO LA CONFIRMACIÓNSE RECONFIGURA SE REALIZAN PRUEBAS EXITOSAS SERVICIO OPERATIVO "/>
    <s v="ZAPATA LOPEZ EDWARD ASDRUBAL"/>
    <s v="VISITA_TÉCNICA"/>
    <s v="BL01G025"/>
    <s v="NO"/>
    <s v="USUARIO"/>
    <s v="MANTENIMIENTO"/>
    <s v="MANTENIMIENTO GENERAL"/>
    <s v="No"/>
    <n v="0"/>
    <n v="0"/>
    <n v="0"/>
    <n v="0"/>
    <n v="0"/>
    <s v="TIPO I"/>
    <s v="TERRESTRE"/>
    <n v="1"/>
    <n v="0"/>
    <n v="0"/>
    <n v="0"/>
    <n v="65960.473639999997"/>
    <n v="65960.473639999997"/>
  </r>
  <r>
    <s v="VILLAVICENCIO"/>
    <x v="2"/>
    <x v="2"/>
    <n v="50001"/>
    <n v="2326634"/>
    <s v="FO-25-1109727"/>
    <d v="2025-06-18T17:22:00"/>
    <d v="2025-06-19T15:38:00"/>
    <s v="META"/>
    <s v="VILLAVICENCIO"/>
    <s v="BARRIO QUINTAS DE AGUAS CLARAS VILLAVICENCIO"/>
    <n v="76287"/>
    <s v="INCIDENTE"/>
    <s v="REDEBAN"/>
    <s v="CB UNO A UNO"/>
    <m/>
    <s v="CERRADO"/>
    <s v=" 18-06 SE ESCALA PARA VISITA. LLAMAR ANTES DE VISITAR, CONFIRMAR FALLA Y DATOS_x000a_0_x000a_19-06 ME COMUNICO CON LA SEÑORA KATERINE Y ME INFORMA QUE EL PROBLEMA DE CONECCIÓN YA SE SOLUCIONO. DATAFONO LE ESTÁ FUNCIONANDO CORRECTAMENTE "/>
    <s v="GARZON RUIZ LUIS MIGUEL"/>
    <s v="SOPORTE_TELEFÓNICO"/>
    <n v="0"/>
    <s v="NO"/>
    <s v="USUARIO"/>
    <s v="COMUNICACION"/>
    <s v="CANAL DEL COMERCIO"/>
    <s v="No"/>
    <n v="0"/>
    <n v="0"/>
    <n v="0"/>
    <n v="0"/>
    <n v="0"/>
    <s v="TIPO I"/>
    <s v="TERRESTRE"/>
    <n v="0"/>
    <n v="0"/>
    <n v="0"/>
    <n v="0"/>
    <n v="37904.65408"/>
    <n v="37904.65408"/>
  </r>
  <r>
    <s v="MONTERIA"/>
    <x v="0"/>
    <x v="0"/>
    <n v="23068"/>
    <n v="2331581"/>
    <s v="FO-25-1114152"/>
    <d v="2025-06-19T15:22:00"/>
    <d v="2025-06-19T17:18:00"/>
    <s v="CORDOBA"/>
    <s v="AYAPEL"/>
    <s v="BARRIO EL CENTRO AYAPEL"/>
    <n v="60077"/>
    <s v="INCIDENTE"/>
    <s v="REDEBAN"/>
    <s v="CB UNO A UNO"/>
    <m/>
    <s v="CERRADO"/>
    <s v="19-06 SE ESCALA A LA RED: NOS LLEGA CASO COMO INCIDENTE SOLICITANDO LECTOR DE BARRAS, EN COMUNICACIÓN CON EL SEÑOR IBAN DELGADO AL NÚMERO 3024296716 INFORMA QUE ÉL NO RECUERDA QUE EN LA INSTALACIÓN LE DEJARAN LECTOR, PODRÍAS VALIDAR POR FAVOR EN EL INVENTARIO Y ME INFORMAS COMO PROCEDER. - 19-06 LA RED:DE ACUERDO CON TU SOLICITUD EL INVENTARIO DEL CB ME REGISTRA CON LECTOR PARA HACER REPOSICIÓN DEL EQUIPO NECESITAMOS QUE EL CLIENTE NOS ENVÍE EL DENUNCIO. - SE LE INFORMA A EL USUARIO. - 19-06 SE LE INFORMA A EL USUARIO QUE SI NO ENCUENTRA EL LECTOR DEBE REALIZAR EL DENUNCIO Y EN EL DEBE DE IR RELACIONADA LA PLACA DEL LECTOR QUE SERÍA 864453, Y CUANDO TENGA EL DOCUMENTO VUELVE Y SE COMUNICA._x000a_0_x000a_0"/>
    <n v="0"/>
    <s v="SOPORTE_TELEFÓNICO"/>
    <n v="0"/>
    <s v="NO"/>
    <s v="USUARIO"/>
    <s v="MANTENIMIENTO"/>
    <s v="MANTENIMIENTO GENERAL"/>
    <s v="No"/>
    <n v="0"/>
    <n v="0"/>
    <n v="0"/>
    <n v="0"/>
    <n v="0"/>
    <s v="TIPO III"/>
    <s v="TERRESTRE"/>
    <n v="0"/>
    <n v="0"/>
    <n v="0"/>
    <n v="0"/>
    <n v="37904.65408"/>
    <n v="37904.65408"/>
  </r>
  <r>
    <s v="MEDELLIN"/>
    <x v="3"/>
    <x v="3"/>
    <n v="5088"/>
    <n v="2330953"/>
    <s v="FO-25-1113205"/>
    <d v="2025-06-19T14:21:00"/>
    <d v="2025-06-20T10:41:52"/>
    <s v="ANTIOQUIA"/>
    <s v="BELLO"/>
    <s v="BARRIO LA GABRIELA BELLO 5"/>
    <n v="75938"/>
    <s v="INCIDENTE"/>
    <s v="REDEBAN"/>
    <s v="CB UNO A UNO"/>
    <m/>
    <s v="CERRADO"/>
    <s v=" 19-06 SE ESCALA PARA VISITA. LLAMAR ANTES DE VISITAR, CONFIRMAR FALLA Y DATOS_x000a_0_x000a_20-06 SE LLAMA AL CLIENTE Y DICE QUE EL CORRESPONSAL ESTA FUNCIONANDO CORRECTAMENTE "/>
    <s v="MORENO MEDINA JUAN PABLO"/>
    <s v="SOPORTE_TELEFÓNICO"/>
    <n v="0"/>
    <s v="NO"/>
    <s v="USUARIO"/>
    <s v="MANTENIMIENTO"/>
    <s v="MANTENIMIENTO GENERAL"/>
    <s v="No"/>
    <n v="0"/>
    <n v="0"/>
    <n v="0"/>
    <n v="0"/>
    <n v="0"/>
    <s v="TIPO I"/>
    <s v="TERRESTRE"/>
    <n v="0"/>
    <n v="0"/>
    <n v="0"/>
    <n v="0"/>
    <n v="37904.65408"/>
    <n v="37904.65408"/>
  </r>
  <r>
    <s v="PEREIRA"/>
    <x v="1"/>
    <x v="6"/>
    <n v="63130"/>
    <n v="2328978"/>
    <s v="FO-25-1111692"/>
    <d v="2025-06-19T10:25:00"/>
    <d v="2025-06-20T11:02:43"/>
    <s v="QUINDIO"/>
    <s v="CALARCA"/>
    <s v="BARCELONA  QUINDIO"/>
    <n v="11734"/>
    <s v="INCIDENTE"/>
    <s v="REDEBAN"/>
    <s v="CB UNO A UNO"/>
    <m/>
    <s v="CERRADO"/>
    <s v=" 19-06 SE ESCALA PARA VISITA. LLAMAR ANTES DE VISITAR, CONFIRMAR FALLA Y DATOS_x000a_0_x000a_20-06 SE VISITA COMERCIO SE REALIZÓ  VERIFICACIÓN CONFIGURACIÓN Y PRUEBAS DATAFONO, PRUEBAS OK. "/>
    <s v="SANCHEZ SOLORZANO JUAN SEBASTIAN"/>
    <s v="VISITA_TÉCNICA"/>
    <s v="JAAAD803-NA00F247"/>
    <s v="NO"/>
    <s v="USUARIO"/>
    <s v="MANTENIMIENTO"/>
    <s v="MANTENIMIENTO GENERAL"/>
    <s v="No"/>
    <n v="0"/>
    <n v="0"/>
    <n v="0"/>
    <n v="0"/>
    <n v="0"/>
    <s v="TIPO II"/>
    <s v="TERRESTRE"/>
    <n v="1"/>
    <n v="0"/>
    <n v="0"/>
    <n v="0"/>
    <n v="163813.55812"/>
    <n v="163813.55812"/>
  </r>
  <r>
    <s v="CUCUTA"/>
    <x v="5"/>
    <x v="5"/>
    <n v="54001"/>
    <n v="2333046"/>
    <s v="FO-25-1114783"/>
    <d v="2025-06-20T08:00:00"/>
    <d v="2025-06-20T11:06:00"/>
    <s v="NORTE DE SANTANDER"/>
    <s v="CUCUTA"/>
    <s v="PTM CUCUTA CENTRO DE PAGOS GER"/>
    <n v="69735"/>
    <s v="INCIDENTE"/>
    <s v="REDEBAN"/>
    <s v="AGREGADOR"/>
    <m/>
    <s v="CERRADO"/>
    <s v=" 20-06 SE ESCALA PARA VISITA. LLAMAR ANTES DE VISITAR, CONFIRMAR FALLA Y DATOS_x000a_0_x000a_20-06 SE COMUNICA CON AL CLIENTE YURLEY SOLER AL # 3112842742, NOS INFORMA QUE PROBLEMA YA SE SOLUCIONO YA QUE ERA UN PROBLEMA DE INTERNET PROPIO DEL COMERCIO. CB OPERATIVO SIN NOVEDAD."/>
    <s v="NARANJO AFANADOR RUBEN JESUS"/>
    <s v="SOPORTE_TELEFÓNICO"/>
    <n v="0"/>
    <s v="NO"/>
    <s v="USUARIO"/>
    <s v="COMUNICACION"/>
    <s v="CONEXIONES DE COMERCIO"/>
    <s v="No"/>
    <n v="0"/>
    <n v="0"/>
    <n v="0"/>
    <n v="0"/>
    <n v="0"/>
    <s v="TIPO I"/>
    <s v="TERRESTRE"/>
    <n v="0"/>
    <n v="0"/>
    <n v="0"/>
    <n v="0"/>
    <n v="37904.65408"/>
    <n v="37904.65408"/>
  </r>
  <r>
    <s v="CARTAGENA"/>
    <x v="0"/>
    <x v="0"/>
    <n v="13836"/>
    <n v="2334923"/>
    <s v="FO-25-1115754"/>
    <d v="2025-06-20T09:42:00"/>
    <d v="2025-06-20T11:48:46"/>
    <s v="BOLIVAR"/>
    <s v="TURBACO"/>
    <s v="DISTRICOL DROSALUD M C"/>
    <n v="55636"/>
    <s v="INCIDENTE"/>
    <s v="REDEBAN"/>
    <s v="AGREGADOR"/>
    <m/>
    <s v="CERRADO"/>
    <s v=" 20-06 SE ESCALA PARA VISITA. LLAMAR ANTES DE VISITAR, CONFIRMAR FALLA Y DATOS_x000a_0_x000a_20-06 SE VALIDA CLIENTE REALIZA VALIDACIÓN CON PROVEEDOR Y LE RESTABLECEN EL MODEM Y QUEDA OPERATIVO EL CORRESPONSAL "/>
    <s v="MARTINEZ SALGUEDO ANDRES AUGUSTO"/>
    <s v="SOPORTE_TELEFÓNICO"/>
    <n v="0"/>
    <s v="NO"/>
    <s v="USUARIO"/>
    <s v="COMUNICACION"/>
    <s v="CONEXIONES DE COMERCIO"/>
    <s v="No"/>
    <n v="0"/>
    <n v="0"/>
    <n v="0"/>
    <n v="0"/>
    <n v="0"/>
    <s v="TIPO II"/>
    <s v="TERRESTRE"/>
    <n v="0"/>
    <n v="0"/>
    <n v="0"/>
    <n v="0"/>
    <n v="37904.65408"/>
    <n v="37904.65408"/>
  </r>
  <r>
    <s v="BOGOTA"/>
    <x v="4"/>
    <x v="4"/>
    <n v="11001"/>
    <n v="2330614"/>
    <s v="FO-25-1112551"/>
    <d v="2025-06-19T12:53:00"/>
    <d v="2025-06-20T11:52:54"/>
    <s v="CUNDINAMARCA"/>
    <s v="BOGOTA"/>
    <s v="BARRIO VALLA MARIA DE SUBA BOG"/>
    <n v="17996"/>
    <s v="INCIDENTE"/>
    <s v="REDEBAN"/>
    <s v="CB UNO A UNO"/>
    <m/>
    <s v="CERRADO"/>
    <s v=" 19-06 SE ESCALA PARA VISITA. LLAMAR ANTES DE VISITAR, CONFIRMAR FALLA Y DATOS_x000a_0_x000a_20-06 SE REALIZA VISITA A COMERCIO, SE REALIZA REVISIÓN GENERAL, SE ENCUENTRA FUENTE DE PODER CON MALA CONEXIÓN, SE REALIZA AJUSTE EN CONEXIÓN, SE REALIZA PRUEBAS A LA FUENTE DE PODER, NO SE PRESENTA REINICIO DEL DATAFONO, SE ORGANIZA CABLEADO."/>
    <s v="MURCIA HERNANDEZ HARVEY IGNACIO"/>
    <s v="VISITA_TÉCNICA"/>
    <s v="A03ZZ932"/>
    <s v="NO"/>
    <s v="USUARIO"/>
    <s v="MANTENIMIENTO"/>
    <s v="MANTENIMIENTO GENERAL"/>
    <s v="No"/>
    <n v="0"/>
    <n v="0"/>
    <n v="0"/>
    <n v="0"/>
    <n v="0"/>
    <s v="TIPO I"/>
    <s v="TERRESTRE"/>
    <n v="1"/>
    <n v="0"/>
    <n v="0"/>
    <n v="0"/>
    <n v="65960.473639999997"/>
    <n v="65960.473639999997"/>
  </r>
  <r>
    <s v="MEDELLIN"/>
    <x v="3"/>
    <x v="3"/>
    <n v="5001"/>
    <n v="2330645"/>
    <s v="FO-25-1112647"/>
    <d v="2025-06-19T13:10:00"/>
    <d v="2025-06-20T11:56:23"/>
    <s v="ANTIOQUIA"/>
    <s v="MEDELLIN"/>
    <s v="COMCARD MEDELLIN SAN COSME"/>
    <n v="24790"/>
    <s v="INCIDENTE"/>
    <s v="REDEBAN"/>
    <s v="AGREGADOR"/>
    <m/>
    <s v="CERRADO"/>
    <s v=" 19-06 SE ESCALA PARA VISITA. LLAMAR ANTES DE VISITAR, CONFIRMAR FALLA Y DATOS_x000a_0_x000a_20-06 SE REALIZA MANTENIMIENTO AL EQUIPO Y LECTORA YA QUE NO ENCENDÍA SE CONECTA BIEN"/>
    <s v="CERPA SUAREZ DUVAN CAMILO"/>
    <s v="VISITA_TÉCNICA"/>
    <s v="ABGZZ588-NA001788"/>
    <s v="NO"/>
    <s v="USUARIO"/>
    <s v="MANTENIMIENTO"/>
    <s v="MANTENIMIENTO GENERAL"/>
    <s v="No"/>
    <n v="0"/>
    <n v="0"/>
    <n v="0"/>
    <n v="0"/>
    <n v="0"/>
    <s v="TIPO I"/>
    <s v="TERRESTRE"/>
    <n v="1"/>
    <n v="0"/>
    <n v="0"/>
    <n v="0"/>
    <n v="65960.473639999997"/>
    <n v="65960.473639999997"/>
  </r>
  <r>
    <s v="SINCELEJO"/>
    <x v="0"/>
    <x v="0"/>
    <n v="70001"/>
    <n v="2326996"/>
    <s v="FO-25-1110336"/>
    <d v="2025-06-19T08:00:00"/>
    <d v="2025-06-20T12:05:44"/>
    <s v="SUCRE"/>
    <s v="SINCELEJO"/>
    <s v="BARRIO BOTERO SINCELEJO"/>
    <n v="50737"/>
    <s v="INCIDENTE"/>
    <s v="REDEBAN"/>
    <s v="CB UNO A UNO"/>
    <m/>
    <s v="CERRADO"/>
    <s v=" 19-06 SE ESCALA PARA VISITA. LLAMAR ANTES DE VISITAR, CONFIRMAR FALLA Y DATOS_x000a_20/06/2025 COMERCIO ABRE APARTIR DE LAS 8:30AM_x000a_20-06 SE VISITA SITIO SE VERIFICA INFORMACIÓN SE , SE REALIZA PRIMEROS AUXILIOS , SE REALIZA PRUEBA DE LECTURA DE ESCÁNER EXITOSA, TECLADO OK LECTURA CHIP OK, IMPRESIÓN OK. LA FALLA CORRESPONDE A MANIPULACIÓN DEL ESCÁNER, SE RETROALIMENTA EN EL FUNCIONAMIENTO CORRECTO."/>
    <s v="SANTOS GUZMAN CHRISTIAN FELIPE"/>
    <s v="VISITA_TÉCNICA"/>
    <s v="II00Z017"/>
    <s v="NO"/>
    <s v="USUARIO"/>
    <s v="LECTOR DE BARRAS"/>
    <s v="CAPACITACION MANIPULACION DE COMERCIO"/>
    <s v="No"/>
    <n v="0"/>
    <n v="0"/>
    <n v="0"/>
    <n v="0"/>
    <n v="0"/>
    <s v="TIPO I"/>
    <s v="TERRESTRE"/>
    <n v="1"/>
    <n v="0"/>
    <n v="0"/>
    <n v="0"/>
    <n v="65960.473639999997"/>
    <n v="65960.473639999997"/>
  </r>
  <r>
    <s v="MEDELLIN"/>
    <x v="3"/>
    <x v="3"/>
    <n v="5001"/>
    <n v="2336299"/>
    <s v="FO-25-1116757"/>
    <d v="2025-06-20T11:47:00"/>
    <d v="2025-06-20T12:21:00"/>
    <n v="0"/>
    <n v="0"/>
    <n v="0"/>
    <n v="17794"/>
    <s v="INCIDENTE"/>
    <s v="REDEBAN"/>
    <s v="RETAIL"/>
    <m/>
    <s v="CERRADO"/>
    <s v="20-06 SE ESCALA A LA RED, SE PROCEDE A CERRAR YA QUE NO ATENDEMOS CADENA OLIMPICA - 20-06 TU SOLICITUD REFERENTE A GENERACIÓN DE CASOS CB OLIMPICA BANCOLOMBIA QUEDÓ RADICADA BAJO EL TICKET NÚMERO 5684088 AL ÁREA ENCARGADA. _x000a_0_x000a_20-06 "/>
    <n v="0"/>
    <s v="SOPORTE_TELEFÓNICO"/>
    <n v="0"/>
    <s v="NO"/>
    <s v="USUARIO"/>
    <s v="MANTENIMIENTO"/>
    <s v="MANTENIMIENTO GENERAL"/>
    <s v="No"/>
    <n v="0"/>
    <n v="0"/>
    <n v="0"/>
    <n v="0"/>
    <n v="0"/>
    <s v="TIPO I"/>
    <s v="TERRESTRE"/>
    <n v="0"/>
    <n v="0"/>
    <n v="0"/>
    <n v="0"/>
    <n v="37904.65408"/>
    <n v="37904.65408"/>
  </r>
  <r>
    <s v="APARTADO"/>
    <x v="3"/>
    <x v="3"/>
    <n v="5837"/>
    <n v="2324764"/>
    <s v="FO-25-1108682"/>
    <d v="2025-06-18T14:19:00"/>
    <d v="2025-06-20T12:40:34"/>
    <s v="ANTIOQUIA"/>
    <s v="TURBO"/>
    <s v="BARRIO JESUS MORA TURBO 2"/>
    <n v="58842"/>
    <s v="INCIDENTE"/>
    <s v="REDEBAN"/>
    <s v="CB UNO A UNO"/>
    <m/>
    <s v="CERRADO"/>
    <s v=" 18-06 SE ESCALA PARA VISITA. LLAMAR ANTES DE VISITAR, CONFIRMAR FALLA Y DATOS_x000a_0_x000a_20-06 SE LLEGA A SITIO, CORRESPONSAL SE ENCUENTRA CERRADO, SE INTENTA LOCALIZAR CLIENTE VÍA WHATSAPP Y TELEFÓNICA NO RESPONDE. SE LE INFORMA HA VECINO JHON WALTER INDICARLE A LA SEÑORA ARLEDYS NUESTRA VISITA. Y QUE DEBE GENERAR UNA NUEVA YA QUE NO SE PUDO CONCRETAR POR FALTA DE COMUNICACIÓN. "/>
    <s v="CASTRO HENAO DANIEL ESTEBAN"/>
    <s v="VISITA_TÉCNICA"/>
    <s v="NO SE INTERVIENE DATAFONO "/>
    <s v="NO"/>
    <s v="USUARIO"/>
    <s v="MANTENIMIENTO"/>
    <s v="MANTENIMIENTO GENERAL"/>
    <s v="No"/>
    <n v="0"/>
    <n v="0"/>
    <n v="0"/>
    <n v="0"/>
    <n v="0"/>
    <s v="TIPO II"/>
    <s v="TERRESTRE"/>
    <n v="1"/>
    <n v="0"/>
    <n v="0"/>
    <n v="0"/>
    <n v="163813.55812"/>
    <n v="163813.55812"/>
  </r>
  <r>
    <s v="TUNJA"/>
    <x v="5"/>
    <x v="5"/>
    <n v="15238"/>
    <n v="2333037"/>
    <s v="FO-25-1114789"/>
    <d v="2025-06-20T08:00:00"/>
    <d v="2025-06-20T13:07:06"/>
    <s v="BOYACA"/>
    <s v="DUITAMA"/>
    <s v="BARRIO BOYACA DUITAMA  2"/>
    <n v="78800"/>
    <s v="INCIDENTE"/>
    <s v="REDEBAN"/>
    <s v="CB UNO A UNO"/>
    <m/>
    <s v="CERRADO"/>
    <s v=" 20-06 SE ESCALA PARA VISITA. LLAMAR ANTES DE VISITAR, CONFIRMAR FALLA Y DATOS_x000a_0_x000a_20-06 SE VISITA PUNTO EVIDENCIANDO QUE LA FALLA REPORTADA ES DEBIDO AL INTERNET DEL COMERCIO PRESENTA INTERMITENCIA ESTA LENTO SE CAMBIA FUENTE DE PODER SE LE INDICA AL CLIENTE QUE DEBE SOLICITAR LA REVISIÓN DEL INTERNET PRUEBAS OK CLIENTE CONFORME "/>
    <s v="RODRIGUEZ MURCIA YERSON IVAN"/>
    <s v="VISITA_TÉCNICA"/>
    <s v="V1SZZ182"/>
    <s v="NO"/>
    <s v="USUARIO"/>
    <s v="COMUNICACION"/>
    <s v="CANAL DEL COMERCIO"/>
    <s v="No"/>
    <n v="0"/>
    <n v="0"/>
    <n v="0"/>
    <n v="0"/>
    <s v="Fuente de poder "/>
    <s v="TIPO II"/>
    <s v="TERRESTRE"/>
    <n v="1"/>
    <n v="0"/>
    <n v="0"/>
    <n v="0"/>
    <n v="163813.55812"/>
    <n v="163813.55812"/>
  </r>
  <r>
    <s v="PEREIRA"/>
    <x v="1"/>
    <x v="6"/>
    <n v="63001"/>
    <n v="2333792"/>
    <s v="FO-25-1114993"/>
    <d v="2025-06-20T08:12:00"/>
    <d v="2025-06-20T14:53:45"/>
    <s v="QUINDIO"/>
    <s v="ARMENIA"/>
    <s v="BARRIO CIUDAD DORADA ARMENIA 4"/>
    <n v="79595"/>
    <s v="INCIDENTE"/>
    <s v="REDEBAN"/>
    <s v="CB UNO A UNO"/>
    <m/>
    <s v="CERRADO"/>
    <s v=" 20-06 SE ESCALA PARA VISITA. LLAMAR ANTES DE VISITAR, CONFIRMAR FALLA Y DATOS_x000a_0_x000a_20-06 SE LLAMA AL SEÑOR  CAMILO GONZALEZ AL TELÉFONO 3116046658 INDICA QUE EL EQUIPO EL LO REINICIO A CORRIENTE Y QUE VOLVIO A TRABAJAR EN PERFECTO FUNCIONAMIENTO SE VÁLIDA Y INDICA QUE NO REQUIERE LA VISITA YA QUE EN TODO EL DÍA HA ESTADO EN PERFECTO OPERACION EL DATAFONO. "/>
    <s v="SANCHEZ SOLORZANO JUAN SEBASTIAN"/>
    <s v="SOPORTE_TELEFÓNICO"/>
    <n v="0"/>
    <s v="NO"/>
    <s v="USUARIO"/>
    <s v="MANTENIMIENTO"/>
    <s v="MANTENIMIENTO GENERAL"/>
    <s v="No"/>
    <n v="0"/>
    <n v="0"/>
    <n v="0"/>
    <n v="0"/>
    <n v="0"/>
    <s v="TIPO II"/>
    <s v="TERRESTRE"/>
    <n v="0"/>
    <n v="0"/>
    <n v="0"/>
    <n v="0"/>
    <n v="37904.65408"/>
    <n v="37904.65408"/>
  </r>
  <r>
    <s v="MEDELLIN"/>
    <x v="3"/>
    <x v="3"/>
    <n v="5001"/>
    <n v="2334915"/>
    <s v="FO-25-1115761"/>
    <d v="2025-06-20T09:40:00"/>
    <d v="2025-06-20T14:55:26"/>
    <s v="ANTIOQUIA"/>
    <s v="MEDELLIN"/>
    <s v="COMCARD PLAYON 1"/>
    <n v="24172"/>
    <s v="INCIDENTE"/>
    <s v="REDEBAN"/>
    <s v="AGREGADOR"/>
    <m/>
    <s v="CERRADO"/>
    <s v=" 20-06 SE ESCALA PARA VISITA. LLAMAR ANTES DE VISITAR, CONFIRMAR FALLA Y DATOS_x000a_0_x000a_20-06 SE HACE CONFIGURACIÓN DE PARÁMETROS "/>
    <s v="MORENO MEDINA JUAN PABLO"/>
    <s v="VISITA_TÉCNICA"/>
    <s v="TRZZZ939 - ABC3Z080"/>
    <s v="NO"/>
    <s v="USUARIO"/>
    <s v="MANTENIMIENTO"/>
    <s v="MANTENIMIENTO GENERAL"/>
    <s v="No"/>
    <n v="0"/>
    <n v="0"/>
    <n v="0"/>
    <n v="0"/>
    <n v="0"/>
    <s v="TIPO I"/>
    <s v="TERRESTRE"/>
    <n v="1"/>
    <n v="0"/>
    <n v="0"/>
    <n v="0"/>
    <n v="65960.473639999997"/>
    <n v="65960.473639999997"/>
  </r>
  <r>
    <s v="PEREIRA"/>
    <x v="1"/>
    <x v="6"/>
    <n v="66682"/>
    <n v="2335224"/>
    <s v="FO-25-1115898"/>
    <d v="2025-06-20T10:05:00"/>
    <d v="2025-06-20T15:31:53"/>
    <s v="RISARALDA"/>
    <s v="SANTA ROSA DE CABAL"/>
    <s v="MULTIPAGAS SANTA ROSA DE CABAL"/>
    <n v="32351"/>
    <s v="INCIDENTE"/>
    <s v="REDEBAN"/>
    <s v="ROBUSTO"/>
    <m/>
    <s v="CERRADO"/>
    <s v=" 20-06 SE ESCALA PARA VISITA. LLAMAR ANTES DE VISITAR, CONFIRMAR FALLA Y DATOS_x000a_0_x000a_20-06 SE VISITA COMERCIO EQUIPO QUE PRESENTÓ DERRAME DE AGUA SE REALIZA PRUEBAS DE COMUNICACIÓN IMPRESIÓN Y TRANSACCIONES DE PRUEBA DATÁFONO FUNCIONAL SE DEJA DATÁFONO OPERATIVO "/>
    <s v="LOAIZA LOPEZ JHON FREDDY"/>
    <s v="VISITA_TÉCNICA"/>
    <s v="AB0PZ907"/>
    <s v="NO"/>
    <s v="USUARIO"/>
    <s v="MANTENIMIENTO"/>
    <s v="MANTENIMIENTO GENERAL"/>
    <s v="No"/>
    <n v="0"/>
    <n v="0"/>
    <n v="0"/>
    <n v="0"/>
    <n v="0"/>
    <s v="TIPO I"/>
    <s v="TERRESTRE"/>
    <n v="1"/>
    <n v="0"/>
    <n v="0"/>
    <n v="0"/>
    <n v="65960.473639999997"/>
    <n v="65960.473639999997"/>
  </r>
  <r>
    <s v="PEREIRA"/>
    <x v="1"/>
    <x v="6"/>
    <n v="63001"/>
    <n v="2337733"/>
    <s v="FO-25-1117770"/>
    <d v="2025-06-20T14:55:00"/>
    <d v="2025-06-21T10:19:08"/>
    <s v="QUINDIO"/>
    <s v="ARMENIA"/>
    <s v="BARRIO LA CABA#A ARMENIA 2"/>
    <n v="74222"/>
    <s v="INCIDENTE"/>
    <s v="REDEBAN"/>
    <s v="CB UNO A UNO"/>
    <m/>
    <s v="CERRADO"/>
    <s v=" 20-06 SE ESCALA PARA VISITA. LLAMAR ANTES DE VISITAR, CONFIRMAR FALLA Y DATOS_x000a_0_x000a_21-06 SE VISITA COMERCIO SE VÁLIDA EQUIPO EN CONFIGURACIÓN CORRECTA PERO EL DAÑO SE PRESENTA EN EL MODEN DEL INTERNET QUE TIENE LOS PUERTOS ETHERNET MALOS Y NO TRASMITE INTERNET POR CABLEADO. "/>
    <s v="SANCHEZ SOLORZANO JUAN SEBASTIAN"/>
    <s v="VISITA_TÉCNICA"/>
    <s v="EG3ZZ020"/>
    <s v="NO"/>
    <s v="USUARIO"/>
    <s v="COMUNICACION"/>
    <s v="CONEXIONES DE COMERCIO"/>
    <s v="No"/>
    <n v="0"/>
    <n v="0"/>
    <n v="0"/>
    <n v="0"/>
    <n v="0"/>
    <s v="TIPO II"/>
    <s v="TERRESTRE"/>
    <n v="1"/>
    <n v="0"/>
    <n v="0"/>
    <n v="0"/>
    <n v="163813.55812"/>
    <n v="163813.55812"/>
  </r>
  <r>
    <s v="PEREIRA"/>
    <x v="1"/>
    <x v="6"/>
    <n v="66001"/>
    <n v="2338752"/>
    <s v="FO-25-1118581"/>
    <d v="2025-06-20T17:02:00"/>
    <d v="2025-06-21T11:19:09"/>
    <s v="RISARALDA"/>
    <s v="PEREIRA"/>
    <s v="BARRIO CENTRO PEREIRA 48"/>
    <n v="74597"/>
    <s v="INCIDENTE"/>
    <s v="REDEBAN"/>
    <s v="CB UNO A UNO"/>
    <m/>
    <s v="CERRADO"/>
    <s v=" 20-06 SE ESCALA PARA VISITA. LLAMAR ANTES DE VISITAR, CONFIRMAR FALLA Y DATOS_x000a_0_x000a_21-06 VISITAMOS COMERCIO EL DATÁFONO NO TIENE CONEXIÓN A RED VERIFICAMOS CABLEADO PONCHAMOS NUEVAMENTE EL CABLE UTP PERO CONTINUA LA FALLA REALIZAMOS PRUEBA CON OTRO CABLE Y ENCONTRAMOS QUE LA FALLA ES DEL MÓDEM DEL COMERCIO YA QUE TIENE LOS PUERTOS QUEMADOS LE INDICAMOS AL CLIENTE QUE SE DEBE COMUNICAR CON EL OPERADOR DE SERVICIO PARA QUE LE SOLUCIONEN ESA FALLA, NO SE REALIZAN PRUEBAS EXITOSAS YA QUE EL COMERCIO NO TIENE INTERNET. "/>
    <s v="ARROYAVE CANO MANUEL GUILLERMO"/>
    <s v="VISITA_TÉCNICA"/>
    <s v="TVHZZ347"/>
    <s v="NO"/>
    <s v="USUARIO"/>
    <s v="COMUNICACION"/>
    <s v="CANAL DEL COMERCIO"/>
    <s v="No"/>
    <n v="0"/>
    <n v="0"/>
    <n v="0"/>
    <n v="0"/>
    <n v="0"/>
    <s v="TIPO I"/>
    <s v="TERRESTRE"/>
    <n v="1"/>
    <n v="0"/>
    <n v="0"/>
    <n v="0"/>
    <n v="65960.473639999997"/>
    <n v="65960.473639999997"/>
  </r>
  <r>
    <s v="VALLEDUPAR"/>
    <x v="0"/>
    <x v="0"/>
    <n v="44378"/>
    <n v="2328426"/>
    <s v="FO-25-1111238"/>
    <d v="2025-06-19T09:24:00"/>
    <d v="2025-06-21T11:56:00"/>
    <s v="LA GUAJIRA"/>
    <s v="HATONUEVO"/>
    <s v="PTM HATONUEVO LA GUAJIRA ALFA"/>
    <n v="76832"/>
    <s v="INCIDENTE"/>
    <s v="REDEBAN"/>
    <s v="AGREGADOR"/>
    <m/>
    <s v="CERRADO"/>
    <s v="19-06 SE INTENTA COMUNICACION AL NÚMERO 3023504081 PERO NO HAY RESPUESTA. SE ESCALA PARA VISITA, POR FAVOR LLAMAR ANTES DE DESPLAZARSE_x000a_0_x000a_21-06 SE REALIZA GESTIÓN TELEFÓNICA ATIENDE LA SEÑORA YESENIA LA CUAL NOS INDICA DE QUE EL DATÁFONO NO LE ESTÁ TOMANDO UNA FACTURA DE GASES DE LA GUAJIRA POR MEDIO DE CONVENIO MANUAL LA CUAL SE LE EXPLICA A LA CLIENTE DE QUE EL CONVENIO MANUAL NO SE ENCUENTRA EN FUNCIONAMIENTO SE LE DA INDICACIONES DE QUE REALICE EL PAGO POR MEDIO DE CÓDIGO DE BARRA LA CUAL LA CLIENTE LO EJECUTA Y SALE EXITOSO Y NOS INDICA QUE NO TENIA CONOCIMIENTO QUE PODIA REALIZAR ESE PAGO CON CODIGO DE BARRAS"/>
    <s v="MAESTRE MENGUAL EDGAR ENRIQUE"/>
    <s v="SOPORTE_TELEFÓNICO"/>
    <n v="0"/>
    <s v="NO"/>
    <s v="ENTIDAD"/>
    <s v="ERROR DE TRANSACCIONES"/>
    <s v="CONVENIOS NO HABILITADOS"/>
    <s v="No"/>
    <n v="0"/>
    <n v="0"/>
    <n v="0"/>
    <n v="0"/>
    <n v="0"/>
    <s v="TIPO III"/>
    <s v="TERRESTRE"/>
    <n v="0"/>
    <n v="0"/>
    <n v="0"/>
    <n v="0"/>
    <n v="37904.65408"/>
    <n v="37904.65408"/>
  </r>
  <r>
    <s v="MEDELLIN"/>
    <x v="3"/>
    <x v="3"/>
    <n v="5036"/>
    <n v="2336280"/>
    <s v="FO-25-1116742"/>
    <d v="2025-06-20T11:39:00"/>
    <d v="2025-06-21T12:15:00"/>
    <s v="ANTIOQUIA"/>
    <s v="ANGELOPOLIS"/>
    <s v="PTM ANGELOPOLIS RELOJERIA MIXT"/>
    <n v="75958"/>
    <s v="INCIDENTE"/>
    <s v="REDEBAN"/>
    <s v="AGREGADOR"/>
    <m/>
    <s v="CERRADO"/>
    <s v=" 20-06 SE ESCALA PARA VISITA. LLAMAR ANTES DE VISITAR, CONFIRMAR FALLA Y DATOS_x000a_0_x000a_21-06 SE REALIZA MANTENIMIENTO AL EQUIPO YA QUE NO LEÍA ALGUNAS TARJETAS "/>
    <s v="CERPA SUAREZ DUVAN CAMILO"/>
    <s v="VISITA_TÉCNICA"/>
    <s v="FA09Z487"/>
    <s v="NO"/>
    <s v="USUARIO"/>
    <s v="MANTENIMIENTO"/>
    <s v="MANTENIMIENTO GENERAL"/>
    <s v="No"/>
    <n v="0"/>
    <n v="0"/>
    <n v="0"/>
    <n v="0"/>
    <n v="0"/>
    <s v="TIPO II"/>
    <s v="TERRESTRE"/>
    <n v="1"/>
    <n v="0"/>
    <n v="0"/>
    <n v="0"/>
    <n v="163813.55812"/>
    <n v="163813.55812"/>
  </r>
  <r>
    <s v="NEIVA"/>
    <x v="2"/>
    <x v="2"/>
    <n v="18001"/>
    <n v="2340013"/>
    <s v="FO-25-1121120"/>
    <d v="2025-06-21T11:47:00"/>
    <d v="2025-06-21T12:53:34"/>
    <s v="CAQUETA"/>
    <s v="FLORENCIA"/>
    <s v="BARRIO PRADOS DEL NORTE FLOREN"/>
    <n v="65542"/>
    <s v="INCIDENTE"/>
    <s v="REDEBAN"/>
    <s v="CB UNO A UNO"/>
    <m/>
    <s v="CERRADO"/>
    <s v=" 21-06 SE COMUNICA CON USUARIO E INDICA QUE NO TIENE PROBLEMAS CON LOS EQUIPOS, QUE QUERIA SOLICITAR UNA BASE, POR LO CUAL SE LE INDICA QUE QUEDO MAL RADICADA LA SOLICITUD, DEBE VOLVERSE COMUNICAR A LA LINEA._x000a_0_x000a_ 21-06 SE COMUNICA CON USUARIO E INDICA QUE NO TIENE PROBLEMAS CON LOS EQUIPOS, QUE QUERIA SOLICITAR UNA BASE, POR LO CUAL SE LE INDICA QUE QUEDO MAL RADICADA LA SOLICITUD, DEBE VOLVERSE COMUNICAR A LA LINEA."/>
    <n v="0"/>
    <s v="SOPORTE_TELEFÓNICO"/>
    <n v="0"/>
    <s v="NO"/>
    <s v="USUARIO"/>
    <s v="MANTENIMIENTO"/>
    <s v="MANTENIMIENTO GENERAL"/>
    <s v="No"/>
    <n v="0"/>
    <n v="0"/>
    <n v="0"/>
    <n v="0"/>
    <n v="0"/>
    <s v="TIPO IV"/>
    <s v="TERRESTRE"/>
    <n v="0"/>
    <n v="0"/>
    <n v="0"/>
    <n v="0"/>
    <n v="37904.65408"/>
    <n v="37904.65408"/>
  </r>
  <r>
    <s v="PASTO"/>
    <x v="1"/>
    <x v="1"/>
    <n v="52490"/>
    <n v="2332839"/>
    <s v="FO-25-1114174"/>
    <d v="2025-06-19T17:18:00"/>
    <d v="2025-06-21T13:18:01"/>
    <s v="NARIÑO"/>
    <s v="OLAYA HERRERA"/>
    <s v="BARRIO NATAL OLAYA HERRERA 1"/>
    <n v="78095"/>
    <s v="INCIDENTE"/>
    <s v="REDEBAN"/>
    <s v="CB UNO A UNO"/>
    <m/>
    <s v="CERRADO"/>
    <s v="19-06 SE INTENTA COMUNICACION AL NÚMERO 3184721305 PERO NO HAY RESPUESTA. SE ESCALA PARA VISITA, POR FAVOR LLAMAR ANTES DE DESPLAZARSE_x000a_0_x000a_21-06 SE REALIZA LLAMADA A LA CLIENTE PARA CONFIRMAR VISITA SE BRINDA PRIMEROS AUXILIOS Y SE ENCUENTRA QUE EL LECTOR SE ENCONTRABA DESCONECTADO DEL PUERTO USB Y AL CONECTARLO YA FUNCIONA CORRECTAMENTE POR LO CUAL LA CLIENTE INFORMA QUE YA NO SERÍA NECESARIA LA VISITA TÉCNICA, SE CIERRA LA TA "/>
    <s v="PAZ MARTINEZ RICHARD HUMBERTO"/>
    <s v="SOPORTE_TELEFÓNICO"/>
    <n v="0"/>
    <s v="NO"/>
    <s v="USUARIO"/>
    <s v="LECTOR DE BARRAS"/>
    <s v="CAPACITACION MANIPULACION DE COMERCIO"/>
    <s v="No"/>
    <n v="0"/>
    <n v="0"/>
    <n v="0"/>
    <n v="0"/>
    <n v="0"/>
    <s v="TIPO IV ESPECIAL"/>
    <s v="FLUVIAL"/>
    <n v="0"/>
    <n v="0"/>
    <n v="0"/>
    <n v="0"/>
    <n v="37904.65408"/>
    <n v="37904.65408"/>
  </r>
  <r>
    <s v="PEREIRA"/>
    <x v="1"/>
    <x v="6"/>
    <n v="66594"/>
    <n v="2337012"/>
    <s v="FO-25-1117099"/>
    <d v="2025-06-20T13:16:00"/>
    <d v="2025-06-21T13:21:43"/>
    <s v="RISARALDA"/>
    <s v="QUINCHIA"/>
    <s v="BARRIO MIRAFLORES QUINCHÍA"/>
    <n v="75671"/>
    <s v="INCIDENTE"/>
    <s v="REDEBAN"/>
    <s v="CB UNO A UNO"/>
    <m/>
    <s v="CERRADO"/>
    <s v=" 20-06 SE ESCALA PARA VISITA. LLAMAR ANTES DE VISITAR, CONFIRMAR FALLA Y DATOS_x000a_0_x000a_21-06 SE LLAMA USUARIO EL CUAL INDICA QUE AYER PRESENTE PROBLEMAS DE RED PERO YA EL DÍA DE HOY LE ESTA FUNCIONANDO CON NORMALIDAD Y SERVICIO SE ENCUENTRA OK"/>
    <s v="AGUIRRE HENAO RAUL EDUARDO"/>
    <s v="SOPORTE_TELEFÓNICO"/>
    <n v="0"/>
    <s v="NO"/>
    <s v="USUARIO"/>
    <s v="COMUNICACION"/>
    <s v="CONEXIONES DE COMERCIO"/>
    <s v="No"/>
    <n v="0"/>
    <n v="0"/>
    <n v="0"/>
    <n v="0"/>
    <n v="0"/>
    <s v="TIPO II"/>
    <s v="TERRESTRE"/>
    <n v="0"/>
    <n v="0"/>
    <n v="0"/>
    <n v="0"/>
    <n v="37904.65408"/>
    <n v="37904.65408"/>
  </r>
  <r>
    <s v="CUCUTA"/>
    <x v="5"/>
    <x v="5"/>
    <n v="54518"/>
    <n v="2339142"/>
    <s v="FO-25-1119352"/>
    <d v="2025-06-21T08:00:00"/>
    <d v="2025-06-21T15:26:07"/>
    <s v="NORTE DE SANTANDER"/>
    <s v="PAMPLONA"/>
    <s v="BARRIO LAS AMERICAS PAMPLONA"/>
    <n v="77556"/>
    <s v="INCIDENTE"/>
    <s v="REDEBAN"/>
    <s v="CB UNO A UNO"/>
    <m/>
    <s v="CERRADO"/>
    <s v=" 21-06 SE INTENTA COMUNICACION CON CB PERO NO HAY RESPUESTA, POR FAVOR INTENTAR CONTACTO ANTES DE IR A SITIO PARA VALIDAR UBICACION Y FALLLA. _x000a_0_x000a_21-06 SE VISITA COMERCIO Y SE VALIDA CONEXIÓN A INTERNET, SE REALIZAN PRUEBAS CON OTROS EQUIPOS, SE EVIDENCIA QUE EL CANAL DE INTERNET DEL COMERCIO SE ENCUENTRA CAÍDO Y CON INTERMITENCIAS, SE REALIZA CAMBIO DEL CABLE DE INTERNET SE REALIZAN CIERRES Y PRUEBAS OK."/>
    <s v="TORRES MANTILLA JOSE DANIEL"/>
    <s v="VISITA_TÉCNICA"/>
    <s v="10HZZ124"/>
    <s v="NO"/>
    <s v="USUARIO"/>
    <s v="COMUNICACION"/>
    <s v="CANAL DEL COMERCIO"/>
    <s v="No"/>
    <n v="0"/>
    <n v="0"/>
    <n v="0"/>
    <n v="0"/>
    <s v="Cable de ethernet "/>
    <s v="TIPO III"/>
    <s v="TERRESTRE"/>
    <n v="1"/>
    <n v="0"/>
    <n v="0"/>
    <n v="0"/>
    <n v="275728.37943999999"/>
    <n v="275728.37943999999"/>
  </r>
  <r>
    <s v="SINCELEJO"/>
    <x v="0"/>
    <x v="0"/>
    <n v="70001"/>
    <n v="2339915"/>
    <s v="FO-25-1120435"/>
    <d v="2025-06-21T10:09:00"/>
    <d v="2025-06-21T15:46:13"/>
    <s v="SUCRE"/>
    <s v="SINCELEJO"/>
    <s v="DISTRICOL DROGUERIA EL PROGRES"/>
    <n v="71033"/>
    <s v="INCIDENTE"/>
    <s v="REDEBAN"/>
    <s v="AGREGADOR"/>
    <m/>
    <s v="CERRADO"/>
    <s v=" 21-06 SE ESCALA PARA VISITA. LLAMAR ANTES DE VISITAR, CONFIRMAR FALLA Y DATOS_x000a_0_x000a_21-06 SE COMUNICA CON LA SRA ARLEY ROMERO 3002793122 VIA LLAMADA Y WHATSAPP INDICA QUE EL CB SE ENCUENTRA FUNCIONANDO LA FALLA CORRESPONDE A CONEXIÓN DEL INTERNET DEL COMERCIO. "/>
    <s v="SANTOS GUZMAN CHRISTIAN FELIPE"/>
    <s v="SOPORTE_TELEFÓNICO"/>
    <n v="0"/>
    <s v="NO"/>
    <s v="USUARIO"/>
    <s v="COMUNICACION"/>
    <s v="CONEXIONES DE COMERCIO"/>
    <s v="No"/>
    <n v="0"/>
    <n v="0"/>
    <n v="0"/>
    <n v="0"/>
    <n v="0"/>
    <s v="TIPO I"/>
    <s v="TERRESTRE"/>
    <n v="0"/>
    <n v="0"/>
    <n v="0"/>
    <n v="0"/>
    <n v="37904.65408"/>
    <n v="37904.65408"/>
  </r>
  <r>
    <s v="VILLAVICENCIO"/>
    <x v="2"/>
    <x v="2"/>
    <n v="50001"/>
    <n v="2340848"/>
    <s v="FO-25-1122803"/>
    <d v="2025-06-22T10:30:00"/>
    <d v="2025-06-22T12:50:21"/>
    <s v="META"/>
    <s v="VILLAVICENCIO"/>
    <s v="BARRIO VILLA LUCIANA VILLAVICENCIO"/>
    <n v="79959"/>
    <s v="INCIDENTE"/>
    <s v="REDEBAN"/>
    <s v="CB UNO A UNO"/>
    <m/>
    <s v="CERRADO"/>
    <s v=" 22-06 SE ESCALA PARA VISITA. LLAMAR ANTES DE VISITAR, CONFIRMAR FALLA Y DATOS_x000a_22/06/2025_x000a_22-06 SE REALIZA CONTACTO TELEFÓNICO CON SEÑOR CÉSAR 3132629918 QUIEN MANIFIESTA NO DESEA CONTINUAR CON EL SERVICIO DE CORRESPONSAL SE LE INFORMA DEBE COMUNICARSE A LA LÍNEA 018000953344 PARA SOLICITAR CIERRE "/>
    <s v="CASTRILLON URREA LONDIER LEANDRO"/>
    <s v="SOPORTE_TELEFÓNICO"/>
    <n v="0"/>
    <s v="NO"/>
    <s v="USUARIO"/>
    <s v="COMUNICACION"/>
    <s v="CONEXIONES DE COMERCIO"/>
    <s v="No"/>
    <n v="0"/>
    <n v="0"/>
    <n v="0"/>
    <n v="0"/>
    <n v="0"/>
    <s v="TIPO I"/>
    <s v="TERRESTRE"/>
    <n v="0"/>
    <n v="0"/>
    <n v="0"/>
    <n v="0"/>
    <n v="37904.65408"/>
    <n v="37904.65408"/>
  </r>
  <r>
    <s v="CARTAGENA"/>
    <x v="0"/>
    <x v="0"/>
    <n v="13810"/>
    <n v="2329755"/>
    <s v="FO-25-1112097"/>
    <d v="2025-06-19T11:17:00"/>
    <d v="2025-06-24T11:03:52"/>
    <s v="BOLIVAR"/>
    <s v="TIQUISIO"/>
    <s v="BARRIO SAN MARTIN TIQUISIO"/>
    <n v="36821"/>
    <s v="INCIDENTE"/>
    <s v="REDEBAN"/>
    <s v="CB UNO A UNO"/>
    <m/>
    <s v="CERRADO"/>
    <s v="19-06 SE INTENTA COMUNICACION AL NÚMERO 3016321086 PERO NO HAY RESPUESTA, SE FUE A BUZÓN. SE ESCALA PARA VISITA, POR FAVOR LLAMAR ANTES DE DESPLAZARSE..22-6 COMERCIO NO ATIENDE DOMINGO NI FESTIVO, SE REAGENDA MARTES 24 JUNIO_x000a_0_x000a_24-06 SE REALIZA SOPORTE POR VIDEO LLAMADA CON EL SR OSWALDO RIVERA +57 313 5459695, SE REALIZA PRIMEROS AUXILIOS Y EL ESCÁNER REALIZA LECTURA EXITOSA."/>
    <s v="SANTOS GUZMAN CHRISTIAN FELIPE"/>
    <s v="SOPORTE_TELEFÓNICO"/>
    <n v="0"/>
    <s v="NO"/>
    <s v="USUARIO"/>
    <s v="LECTOR DE BARRAS"/>
    <s v="CAPACITACION MANIPULACION DE COMERCIO"/>
    <s v="No"/>
    <n v="0"/>
    <n v="0"/>
    <n v="0"/>
    <n v="0"/>
    <n v="0"/>
    <s v="TIPO IV"/>
    <s v="TERRESTRE"/>
    <n v="0"/>
    <n v="0"/>
    <n v="0"/>
    <n v="0"/>
    <n v="37904.65408"/>
    <n v="37904.65408"/>
  </r>
  <r>
    <s v="MEDELLIN"/>
    <x v="3"/>
    <x v="3"/>
    <n v="5001"/>
    <s v="TA-25-795169"/>
    <s v="FO-25-1118406"/>
    <d v="2025-06-23T16:31:00"/>
    <d v="2025-06-24T11:13:00"/>
    <s v="ANTIOQUIA"/>
    <s v="MEDELLIN"/>
    <s v="PRUEBAS REDEBAN"/>
    <n v="22222"/>
    <s v="INCIDENTE"/>
    <s v="REDEBAN"/>
    <s v="PRUEBA"/>
    <m/>
    <s v="CERRADO"/>
    <s v=" 20-06 SE ESCALA PARA VISITA. LLAMAR ANTES DE VISITAR, CONFIRMAR FALLA Y DATOS_x000a_0_x000a_24-06 SE REALIZÓ VISITA SE VERIFICA DATÁFONO TIENE CONEXIÓN NORMAL CON INTERNET SE INICIALIZA Y FUNCIONA NORMALMENTE "/>
    <s v="CASTAÑEDA PALACIO CARLOS FELIPE"/>
    <s v="VISITA_TÉCNICA"/>
    <s v="CNBBCL95"/>
    <s v="NO"/>
    <s v="ENTIDAD"/>
    <s v="ERROR DE TRANSACCIONES"/>
    <s v="TRANSACCION NO PERMITIDA"/>
    <s v="No"/>
    <n v="0"/>
    <n v="0"/>
    <n v="0"/>
    <n v="0"/>
    <n v="0"/>
    <s v="TIPO I"/>
    <s v="TERRESTRE"/>
    <n v="1"/>
    <n v="0"/>
    <n v="0"/>
    <n v="0"/>
    <n v="65960.473639999997"/>
    <n v="65960.473639999997"/>
  </r>
  <r>
    <s v="CARTAGENA"/>
    <x v="0"/>
    <x v="0"/>
    <n v="13894"/>
    <n v="2339953"/>
    <s v="FO-25-1121123"/>
    <d v="2025-06-21T11:17:00"/>
    <d v="2025-06-24T11:17:08"/>
    <s v="BOLIVAR"/>
    <s v="ZAMBRANO"/>
    <s v="ZAMBRANO - BOLIVAR"/>
    <n v="11424"/>
    <s v="INCIDENTE"/>
    <s v="REDEBAN"/>
    <s v="CB UNO A UNO"/>
    <m/>
    <s v="CERRADO"/>
    <s v=" 21-06 SE ESCALA PARA VISITA. LLAMAR ANTES DE VISITAR, CONFIRMAR FALLA Y DATOS_x000a_24/06/2025 PARO EN LA ENTRADA DE SAN JACINTO_x000a_24-06 SE LLAMA AL SEÑOR JORGE CEL 3024211484 INFORMA QUE TENÍA PROBLEMA CON EL INTERNET DE EL QUE YA LO ARREGLARON Y ESTÁ FUNCIONANDO SIN PROBLEMA"/>
    <s v="CANEDO HERRERA ALEXANDER"/>
    <s v="SOPORTE_TELEFÓNICO"/>
    <n v="0"/>
    <s v="NO"/>
    <s v="USUARIO"/>
    <s v="COMUNICACION"/>
    <s v="CANAL DEL COMERCIO"/>
    <s v="No"/>
    <n v="0"/>
    <n v="0"/>
    <n v="0"/>
    <n v="0"/>
    <n v="0"/>
    <s v="TIPO IV"/>
    <s v="TERRESTRE"/>
    <n v="0"/>
    <n v="0"/>
    <n v="0"/>
    <n v="0"/>
    <n v="37904.65408"/>
    <n v="37904.65408"/>
  </r>
  <r>
    <s v="VALLEDUPAR"/>
    <x v="0"/>
    <x v="0"/>
    <n v="20013"/>
    <n v="2340185"/>
    <s v="FO-25-1122427"/>
    <d v="2025-06-21T16:28:00"/>
    <d v="2025-06-24T12:34:53"/>
    <s v="CESAR"/>
    <s v="AGUSTIN CODAZZI"/>
    <s v="BARRIO CENTRO AGUSTIN CODAZZI  8"/>
    <n v="77433"/>
    <s v="INCIDENTE"/>
    <s v="REDEBAN"/>
    <s v="CB UNO A UNO"/>
    <m/>
    <s v="CERRADO"/>
    <s v=" 22-06 SE ESCALA PARA VISITA. LLAMAR ANTES DE VISITAR, CONFIRMAR FALLA Y DATOS_x000a_22/06/2025 SE COMUNICA CON EL SR JORGE RODRÍGUEZ SARABIA, EL CUAL INDICA QUE EL DIA DE HOY DOMINGO NO ABRE EL COMERCIO_x000a_24-06 SE LLEGA A SITIO, Y EL CLIENTE FAMINIESTA QUE NO PODIA REALIZAR LAS TRANSACCIONES CON CUENTA EMPRESARIAL CORRIENTE, SE LE EXPLICA COMO REALIZAR LA TRANSACCIÓN, YA QUE LO ESTABA HACIENDO MAL, SE REALIZAN PRUEBAS DEJANDO SERVICIO FUNCIONAL AL 100 %"/>
    <s v="MONTES DIAZ JOHN FRED"/>
    <s v="VISITA_TÉCNICA"/>
    <s v="A4HZZ976"/>
    <s v="NO"/>
    <s v="ENTIDAD"/>
    <s v="ERROR DE TRANSACCIONES"/>
    <s v="TRANSACCION NO PERMITIDA"/>
    <s v="No"/>
    <n v="0"/>
    <n v="0"/>
    <n v="0"/>
    <n v="0"/>
    <n v="0"/>
    <s v="TIPO II"/>
    <s v="TERRESTRE"/>
    <n v="1"/>
    <n v="0"/>
    <n v="0"/>
    <n v="0"/>
    <n v="163813.55812"/>
    <n v="163813.55812"/>
  </r>
  <r>
    <s v="BOGOTA"/>
    <x v="4"/>
    <x v="4"/>
    <n v="25754"/>
    <n v="2339930"/>
    <s v="FO-25-1120428"/>
    <d v="2025-06-21T10:33:00"/>
    <d v="2025-06-24T13:57:32"/>
    <s v="CUNDINAMARCA"/>
    <s v="SOACHA"/>
    <s v="BARRIO SOACHA DUCLES SOACHA"/>
    <n v="48526"/>
    <s v="INCIDENTE"/>
    <s v="REDEBAN"/>
    <s v="CB UNO A UNO"/>
    <m/>
    <s v="CERRADO"/>
    <s v=" 21-06 SE ESCALA PARA VISITA. LLAMAR ANTES DE VISITAR, CONFIRMAR FALLA Y DATOS..22-6 ACTIVIDAD PENDIENTE POR PROGRAMAR, SE ESTÁ VALIDANDO FECHA PARA ATENDER LO MAS PRONTO POSIBLE_x000a_21/06/2025 SE HACE CONTACTO PREVIO CON CLIENTE YA QUE EL TÉCNICO ESTÁ BASTANTE RETIRADO AL MOMENTO QUE LE CARGAN LA ORDEN CONFIRMANDO 3142590593 LA SEÑORA ANDREA INDICA LLEVA VARÍOS DÍAS CON LA FALLA PODER CAMBIO DE DATAFONO, SE EXPLICA QUE EL DÍA DE HOY YA NO TENEMOS SOPORTE RBM PARA CAMBIOS DE ATENDERÁ EL DÍA MARTES 24 DE JUNIO YA QUE ES EL SIGUIENTE DÍA HÁBIL_x000a_24-06 SE LLEGA DIRECCIÓN ENCONTRANDO CERRADO SE HACE CONTANDO AL NÚMERO 3142590593 NO CONTESTAN SE DEJA REGISTRO FOTOGRÁFICO "/>
    <s v="BUSTOS MORA DIEGO MANUEL"/>
    <s v="VISITA_TÉCNICA"/>
    <s v="0"/>
    <s v="NO"/>
    <s v="USUARIO"/>
    <s v="CIERRE"/>
    <s v="COMERCIO NO REALIZA CIERRE"/>
    <s v="No"/>
    <n v="0"/>
    <n v="0"/>
    <n v="0"/>
    <n v="0"/>
    <n v="0"/>
    <s v="TIPO I"/>
    <s v="TERRESTRE"/>
    <n v="1"/>
    <n v="0"/>
    <n v="0"/>
    <n v="0"/>
    <n v="65960.473639999997"/>
    <n v="65960.473639999997"/>
  </r>
  <r>
    <s v="CALI"/>
    <x v="1"/>
    <x v="1"/>
    <n v="76001"/>
    <n v="2347738"/>
    <s v="FO-25-1129756"/>
    <d v="2025-06-24T14:19:00"/>
    <d v="2025-06-25T08:38:02"/>
    <s v="VALLE DEL CAUCA"/>
    <s v="CALI"/>
    <s v="MULTIPAGAS CC UNICO CALI"/>
    <n v="16653"/>
    <s v="INCIDENTE"/>
    <s v="REDEBAN"/>
    <s v="ROBUSTO"/>
    <m/>
    <s v="CERRADO"/>
    <s v="24-06 SE ESCALA PARA VISITA. LLAMAR ANTES DE VISITAR, CONFIRMAR FALLA Y DATOS_x000a_0_x000a_24-06 SE HACE MANTENIMIENTO Y SE CAMBIA IP EL EQUIPO QUEDA FUNCIONANDO CORRECTAMENTE "/>
    <s v="CUERO RUIZ JHONNY"/>
    <s v="VISITA_TÉCNICA"/>
    <s v="CZZZZ488"/>
    <s v="NO"/>
    <s v="USUARIO"/>
    <s v="COMUNICACION"/>
    <s v="CONEXIONES DE COMERCIO"/>
    <s v="No"/>
    <n v="0"/>
    <n v="0"/>
    <n v="0"/>
    <n v="0"/>
    <n v="0"/>
    <s v="TIPO I"/>
    <s v="TERRESTRE"/>
    <n v="1"/>
    <n v="0"/>
    <n v="0"/>
    <n v="0"/>
    <n v="65960.473639999997"/>
    <n v="65960.473639999997"/>
  </r>
  <r>
    <s v="BOGOTA"/>
    <x v="4"/>
    <x v="4"/>
    <n v="11001"/>
    <n v="2344805"/>
    <s v="FO-25-1126803"/>
    <d v="2025-06-24T09:45:00"/>
    <d v="2025-06-25T09:22:35"/>
    <s v="CUNDINAMARCA"/>
    <s v="BOGOTA"/>
    <s v="BARRIO BOSA LIBERTAD II BOGOTA"/>
    <n v="14090"/>
    <s v="INCIDENTE"/>
    <s v="REDEBAN"/>
    <s v="CB UNO A UNO"/>
    <m/>
    <s v="CERRADO"/>
    <s v="24-06 SE ESCALA PARA VISITA. LLAMAR ANTES DE VISITAR, CONFIRMAR FALLA Y DATOS_x000a_0_x000a_24-06 SE LLEGA A SITIO SE VÁLIDA FALLA EN BAUCHER SALEN CON UNA LÍNEA SE VÁLIDA QUE NO HAY INTERNET EN SITIO SE LE INFORMA A CLIENTE VOLVER A COMUNICARSE CUANDO SIRVA EL INTERNET  POSIBLE CAMBIO DE EQUIPO "/>
    <s v="INFANTE SIERRA MANUEL FERNANDO"/>
    <s v="VISITA_TÉCNICA"/>
    <s v="JAAZZ717"/>
    <s v="NO"/>
    <s v="USUARIO"/>
    <s v="COMUNICACION"/>
    <s v="CONEXIONES DE COMERCIO"/>
    <s v="No"/>
    <n v="0"/>
    <n v="0"/>
    <n v="0"/>
    <n v="0"/>
    <n v="0"/>
    <s v="TIPO I"/>
    <s v="TERRESTRE"/>
    <n v="1"/>
    <n v="0"/>
    <n v="0"/>
    <n v="0"/>
    <n v="65960.473639999997"/>
    <n v="65960.473639999997"/>
  </r>
  <r>
    <s v="BOGOTA"/>
    <x v="4"/>
    <x v="4"/>
    <n v="25053"/>
    <n v="2349280"/>
    <s v="FO-25-1132700"/>
    <d v="2025-06-24T16:39:00"/>
    <d v="2025-06-25T09:32:56"/>
    <s v="CUNDINAMARCA"/>
    <s v="ARBELAEZ"/>
    <s v="BARRIO CENTRO ARBELAEZ"/>
    <n v="23819"/>
    <s v="INCIDENTE"/>
    <s v="REDEBAN"/>
    <s v="CB UNO A UNO"/>
    <m/>
    <s v="CERRADO"/>
    <s v="24-06 SE INTENTA COMUNICACION CON CB AL NUMERO 3015455932 EN REPETIDAS OCASIONES SIN RESPUESTA, .. SE ESCALA A LA RED PARA SU ATENCION ..25-06 RESPUESTA DE LA RED: DE ACUERDO CON TU SOLICITUD LA DIRECCIÓN SE ENCUENTRA ERRADA EN EL SISTEMA, POR FAVOR INDICARLE AL CLIENTE QUE DEBE ACTUALIZARLA DIRECTAMENTE CON LA ENTIDAD. POR FAVOR PROCEDER CON EL CIERRE DEL CASO_x000a_0_x000a_0"/>
    <n v="0"/>
    <s v="SOPORTE_TELEFÓNICO"/>
    <n v="0"/>
    <s v="NO"/>
    <s v="USUARIO"/>
    <s v="MANTENIMIENTO"/>
    <s v="MANTENIMIENTO GENERAL"/>
    <s v="No"/>
    <n v="0"/>
    <n v="0"/>
    <n v="0"/>
    <n v="0"/>
    <n v="0"/>
    <s v="TIPO II"/>
    <s v="TERRESTRE"/>
    <n v="0"/>
    <n v="0"/>
    <n v="0"/>
    <n v="0"/>
    <n v="37904.65408"/>
    <n v="37904.65408"/>
  </r>
  <r>
    <s v="NEIVA"/>
    <x v="2"/>
    <x v="2"/>
    <n v="41668"/>
    <n v="2338551"/>
    <s v="FO-25-1118494"/>
    <d v="2025-06-20T16:36:00"/>
    <d v="2025-06-25T10:24:12"/>
    <s v="HUILA"/>
    <s v="SAN AGUSTIN"/>
    <s v="DISTRICOL CITYMOVIL"/>
    <n v="31314"/>
    <s v="INCIDENTE"/>
    <s v="REDEBAN"/>
    <s v="AGREGADOR"/>
    <m/>
    <s v="CERRADO"/>
    <s v="20-06 SE INTENTA COMUNICACIÓN AL NÚMERO 3102645430 PERO NO HAY RESPUESTA. SE ESCALA PARA VISITA, POR FAVOR LLAMAR ANTES DE DESPLAZARSE_x000a_24/06/2025 PARE Y SIGA EN VARIOS TRAMOS DE LA RUTA 45 NEIVA A PITALITO NO ME PERMITE LLEGAR A TIEMPO ATENDER REQUERIMIENTO, SE INFORMA AL CLIENTE QUE EL DÍA DE MAÑANA SERÁ ATENDIDO._x000a_25-06 SE REVISA CONFIGURACIÓN , SE HABILITA TECLADO , SE REALIZA PRUEBAS OK "/>
    <s v="ANDRADE HERNANDEZ JUAN CARLOS"/>
    <s v="VISITA_TÉCNICA"/>
    <s v="11115976"/>
    <s v="NO"/>
    <s v="USUARIO"/>
    <s v="MANTENIMIENTO"/>
    <s v="MANTENIMIENTO GENERAL"/>
    <s v="No"/>
    <n v="0"/>
    <n v="0"/>
    <n v="0"/>
    <n v="0"/>
    <n v="0"/>
    <s v="TIPO IV"/>
    <s v="TERRESTRE"/>
    <n v="1"/>
    <n v="0"/>
    <n v="0"/>
    <n v="0"/>
    <n v="479589.73656000005"/>
    <n v="479589.73656000005"/>
  </r>
  <r>
    <s v="APARTADO"/>
    <x v="3"/>
    <x v="3"/>
    <n v="5045"/>
    <n v="2346735"/>
    <s v="FO-25-1128069"/>
    <d v="2025-06-24T11:59:00"/>
    <d v="2025-06-25T11:52:07"/>
    <s v="ANTIOQUIA"/>
    <s v="APARTADO"/>
    <s v="DISTRICOL DROGUERIA SEVENTH"/>
    <n v="79884"/>
    <s v="INCIDENTE"/>
    <s v="REDEBAN"/>
    <s v="AGREGADOR"/>
    <m/>
    <s v="CERRADO"/>
    <s v="24-06 SE ESCALA PARA VISITA. LLAMAR ANTES DE VISITAR, CONFIRMAR FALLA Y DATOS_x000a_0_x000a_25-06 CONFIGURACIÓN LECTORA BARRAS"/>
    <s v="CASTRO HENAO DANIEL ESTEBAN"/>
    <s v="VISITA_TÉCNICA"/>
    <s v="SAUZZ981"/>
    <s v="NO"/>
    <s v="USUARIO"/>
    <s v="LECTOR DE BARRAS"/>
    <s v="ERROR PAGOS PARCIALES DE FACTURAS"/>
    <s v="No"/>
    <n v="0"/>
    <n v="0"/>
    <n v="0"/>
    <n v="0"/>
    <n v="0"/>
    <s v="TIPO I"/>
    <s v="TERRESTRE"/>
    <n v="1"/>
    <n v="0"/>
    <n v="0"/>
    <n v="0"/>
    <n v="65960.473639999997"/>
    <n v="65960.473639999997"/>
  </r>
  <r>
    <s v="MEDELLIN"/>
    <x v="3"/>
    <x v="3"/>
    <n v="5001"/>
    <n v="2346943"/>
    <s v="FO-25-1132084"/>
    <d v="2025-06-24T12:35:00"/>
    <d v="2025-06-25T12:26:12"/>
    <s v="ANTIOQUIA"/>
    <s v="MEDELLIN"/>
    <s v="MULTIPAGAS AVENIDA JUNIN"/>
    <n v="23500"/>
    <s v="INCIDENTE"/>
    <s v="REDEBAN"/>
    <s v="ROBUSTO"/>
    <m/>
    <s v="CERRADO"/>
    <s v="25-06 SE ESCALA PARA VISITA. LLAMAR ANTES DE VISITAR, CONFIRMAR FALLA Y DATOS_x000a_0_x000a_25-06 SE CAMBIA CABLE ENTORCHADO YA QUE EL OTRO ESTABA MALO"/>
    <s v="CERPA SUAREZ DUVAN CAMILO"/>
    <s v="VISITA_TÉCNICA"/>
    <s v="ABC09511"/>
    <s v="NO"/>
    <s v="USUARIO"/>
    <s v="MANTENIMIENTO"/>
    <s v="MANTENIMIENTO GENERAL"/>
    <s v="No"/>
    <n v="0"/>
    <n v="0"/>
    <n v="0"/>
    <n v="0"/>
    <s v="Cable entorchado "/>
    <s v="TIPO I"/>
    <s v="TERRESTRE"/>
    <n v="1"/>
    <n v="0"/>
    <n v="0"/>
    <n v="0"/>
    <n v="65960.473639999997"/>
    <n v="65960.473639999997"/>
  </r>
  <r>
    <s v="BOGOTA"/>
    <x v="4"/>
    <x v="4"/>
    <n v="25245"/>
    <n v="2353645"/>
    <s v="FO-25-1135715"/>
    <d v="2025-06-25T12:51:00"/>
    <d v="2025-06-25T16:13:40"/>
    <s v="CUNDINAMARCA"/>
    <s v="EL COLEGIO"/>
    <s v="ARA0550 - CENTRO EL COLEGIO"/>
    <n v="34785"/>
    <s v="INCIDENTE"/>
    <s v="REDEBAN"/>
    <s v="RETAIL"/>
    <m/>
    <s v="CERRADO"/>
    <s v="25-06 SE ESCALA A LA RED - SE PROCEDE A CERRAR YA QUE NO ATENDEMOS CADENA ARA ..25-06 RESPUESTA DE LA RED: TU SOLICITUD REFERENTE A GENERACIÓN DE CASOS CB ARA BANCOLOMBIA QUEDÓ RADICADA BAJO EL TICKET NÚMERO 5682710 AL ÁREA ENCARGADA. _x000a_0_x000a_0"/>
    <n v="0"/>
    <s v="SOPORTE_TELEFÓNICO"/>
    <n v="0"/>
    <s v="NO"/>
    <s v="USUARIO"/>
    <s v="MANTENIMIENTO"/>
    <s v="MANTENIMIENTO GENERAL"/>
    <s v="No"/>
    <n v="0"/>
    <n v="0"/>
    <n v="0"/>
    <n v="0"/>
    <n v="0"/>
    <s v="TIPO II"/>
    <s v="TERRESTRE"/>
    <n v="0"/>
    <n v="0"/>
    <n v="0"/>
    <n v="0"/>
    <n v="37904.65408"/>
    <n v="37904.65408"/>
  </r>
  <r>
    <s v="MEDELLIN"/>
    <x v="3"/>
    <x v="3"/>
    <n v="5001"/>
    <n v="2353279"/>
    <s v="FO-25-1133761"/>
    <d v="2025-06-25T12:00:00"/>
    <d v="2025-06-25T17:05:18"/>
    <s v="ANTIOQUIA"/>
    <s v="MEDELLIN"/>
    <s v="BARRIO  POPULAR II"/>
    <n v="10314"/>
    <s v="INCIDENTE"/>
    <s v="REDEBAN"/>
    <s v="CB UNO A UNO"/>
    <m/>
    <s v="CERRADO"/>
    <s v="25-06 SE ESCALA PARA VISITA. LLAMAR ANTES DE VISITAR, CONFIRMAR FALLA Y DATOS_x000a_0_x000a_25-06 SE HACE MANTENIMIENTO DE EQUIPO Y CABLEADO TODO OK "/>
    <s v="MORENO MEDINA JUAN PABLO"/>
    <s v="VISITA_TÉCNICA"/>
    <s v="JAAAC740"/>
    <s v="NO"/>
    <s v="USUARIO"/>
    <s v="MANTENIMIENTO"/>
    <s v="MANTENIMIENTO GENERAL"/>
    <s v="No"/>
    <n v="0"/>
    <n v="0"/>
    <n v="0"/>
    <n v="0"/>
    <n v="0"/>
    <s v="TIPO I"/>
    <s v="TERRESTRE"/>
    <n v="1"/>
    <n v="0"/>
    <n v="0"/>
    <n v="0"/>
    <n v="65960.473639999997"/>
    <n v="65960.473639999997"/>
  </r>
  <r>
    <s v="MEDELLIN"/>
    <x v="3"/>
    <x v="3"/>
    <n v="5001"/>
    <n v="2353913"/>
    <s v="FO-25-1134644"/>
    <d v="2025-06-25T13:44:00"/>
    <d v="2025-06-26T09:54:25"/>
    <s v="ANTIOQUIA"/>
    <s v="MEDELLIN"/>
    <s v="MULTIPAGAS LA PLAYA"/>
    <n v="22768"/>
    <s v="INCIDENTE"/>
    <s v="REDEBAN"/>
    <s v="ROBUSTO"/>
    <m/>
    <s v="CERRADO"/>
    <s v="25-06 SE ESCALA PARA VISITA. LLAMAR ANTES DE VISITAR, CONFIRMAR FALLA Y DATOS_x000a_0_x000a_26-06 SE REALIZA MANTENIMIENTO AL PINPAD YA QUE NO LEÍA ALGUNAS TARJETAS "/>
    <s v="CERPA SUAREZ DUVAN CAMILO"/>
    <s v="VISITA_TÉCNICA"/>
    <s v="AWZZZ533"/>
    <s v="NO"/>
    <s v="USUARIO"/>
    <s v="MANTENIMIENTO"/>
    <s v="MANTENIMIENTO GENERAL"/>
    <s v="No"/>
    <n v="0"/>
    <n v="0"/>
    <n v="0"/>
    <n v="0"/>
    <n v="0"/>
    <s v="TIPO I"/>
    <s v="TERRESTRE"/>
    <n v="1"/>
    <n v="0"/>
    <n v="0"/>
    <n v="0"/>
    <n v="65960.473639999997"/>
    <n v="65960.473639999997"/>
  </r>
  <r>
    <s v="PEREIRA"/>
    <x v="1"/>
    <x v="6"/>
    <n v="66400"/>
    <n v="2356585"/>
    <s v="FO-25-1136588"/>
    <d v="2025-06-26T08:00:00"/>
    <d v="2025-06-26T09:56:47"/>
    <s v="RISARALDA"/>
    <s v="LA VIRGINIA"/>
    <s v="PTM TIENDA R.L LA AMISTAD"/>
    <n v="56964"/>
    <s v="INCIDENTE"/>
    <s v="REDEBAN"/>
    <s v="AGREGADOR"/>
    <m/>
    <s v="CERRADO"/>
    <s v="26-06 SE ESCALA PARA VISITA. LLAMAR ANTES DE VISITAR, CONFIRMAR FALLA Y DATOS_x000a_0_x000a_26-06 SE VALIDA CON EL CLIENTE PERO NO ESTABA REALIZANDO EL CIERRE CORRECTAMENTE, ESTABA INGRESANDO POR LA OPCION DE ADQUIRENCIA, SE LE VALIDA LA FORMA CORRECTA Y EL CLIENTE REALIZA EL CIERRE EXITOSAMENTE."/>
    <s v="HENAO CARDONA DIEGO FERNANDO"/>
    <s v="SOPORTE_TELEFÓNICO"/>
    <n v="0"/>
    <s v="NO"/>
    <s v="USUARIO"/>
    <s v="CIERRE"/>
    <s v="COMERCIO NO REALIZA CIERRE"/>
    <s v="No"/>
    <n v="0"/>
    <n v="0"/>
    <n v="0"/>
    <n v="0"/>
    <n v="0"/>
    <s v="TIPO I"/>
    <s v="TERRESTRE"/>
    <n v="0"/>
    <n v="0"/>
    <n v="0"/>
    <n v="0"/>
    <n v="37904.65408"/>
    <n v="37904.65408"/>
  </r>
  <r>
    <s v="CALI"/>
    <x v="1"/>
    <x v="1"/>
    <n v="76520"/>
    <n v="2353268"/>
    <s v="FO-25-1133768"/>
    <d v="2025-06-25T11:57:00"/>
    <d v="2025-06-26T10:34:40"/>
    <s v="VALLE DEL CAUCA"/>
    <s v="PALMIRA"/>
    <s v="PTM PALMIRA AUTO LUJOS LIAM"/>
    <n v="78654"/>
    <s v="INCIDENTE"/>
    <s v="REDEBAN"/>
    <s v="AGREGADOR"/>
    <m/>
    <s v="CERRADO"/>
    <s v="25-06 SE ESCALA PARA VISITA. LLAMAR ANTES DE VISITAR, CONFIRMAR FALLA Y DATOS_x000a_0_x000a_26-06 EN LA VISITA TÉCNICA SE REALIZA MANTENIMIENTO GENERAL A LOS EQUIPOS Y ACCESORIOS DEL CB ,SE REALIZÓ CONFIGURACIÓN E INICIALIZACIÓN OK ,SE LE EXPLICÓ AL CLIENTE QUE CUANDO EL TIPO DE CUENTA ES RECAUDADORA SE REQUIERE UNA REFERENCIA PARA EL PAGO Y NO SE HACE POR DEPÓSITO SINO POR PAGO DE FACTURAS,SE LE EXPLICÓ QUE EL DATÁFONO SE LE REINICIA AL DESCONECTAR EL HUB CONSTANTEMENTE YA QUE LO DEBE DESCONECTAR PARA REALIZAR EL CIERRE DEL COMERCIO AL MEDIO DIA Y AL FIN DE JORNADA ,SE REALIZARON LAS PRUEBAS DEJANDO EL SERVICIO OPERANDO SIN FALLAS Y SIN NOVEDAD "/>
    <s v="SANCHEZ URREGO ROBINSON DAVID"/>
    <s v="VISITA_TÉCNICA"/>
    <s v="SAOZZ070 // SAOZZ654"/>
    <s v="NO"/>
    <s v="USUARIO"/>
    <s v="MANTENIMIENTO"/>
    <s v="MANTENIMIENTO GENERAL"/>
    <s v="No"/>
    <n v="0"/>
    <n v="0"/>
    <n v="0"/>
    <n v="0"/>
    <n v="0"/>
    <s v="TIPO I"/>
    <s v="TERRESTRE"/>
    <n v="1"/>
    <n v="0"/>
    <n v="0"/>
    <n v="0"/>
    <n v="65960.473639999997"/>
    <n v="65960.473639999997"/>
  </r>
  <r>
    <s v="PASTO"/>
    <x v="1"/>
    <x v="1"/>
    <n v="52001"/>
    <n v="2354575"/>
    <s v="FO-25-1135378"/>
    <d v="2025-06-25T15:13:00"/>
    <d v="2025-06-26T10:43:04"/>
    <s v="NARIÑO"/>
    <s v="PASTO"/>
    <s v="PTM PASTO QUE BARATO SUPERMERC"/>
    <n v="63204"/>
    <s v="INCIDENTE"/>
    <s v="REDEBAN"/>
    <s v="AGREGADOR"/>
    <m/>
    <s v="CERRADO"/>
    <s v="25-06 SE ESCALA PARA VISITA. LLAMAR ANTES DE VISITAR, CONFIRMAR FALLA Y DATOS_x000a_0_x000a_26-06 SE VERIFICÓ FALLA DE COMUNICACIÓN ERROR DE CONEXIÓN TCP IP, PERO AL REALIZAR PRUEBAS SE ENCUENTRA OPERATIVO, SE VERIFICA CONEXIONES Y SE ENCUENTRAN EN BUEN ESTADO, SE CONSTATÓ QUE EL CLIENTE CAMBIÓ DE CONEXIONES INTERNAS Y SE DESCONFIGURO LA CONEXIÓN AL DATÁFONO PERO NO LO REINICIARON PARA QUE SE VOLVIERA A CONECTAR AL MÓDEM DEL CLIENTE, SE EJECUTAN PRUEBAS TX EXITOSAS QUEDA OPERATIVO. "/>
    <s v="REMICIO AMADO JOHN HEBER"/>
    <s v="VISITA_TÉCNICA"/>
    <s v="NA00T223 // NA00T326 "/>
    <s v="NO"/>
    <s v="USUARIO"/>
    <s v="COMUNICACION"/>
    <s v="CANAL DEL COMERCIO"/>
    <s v="No"/>
    <n v="0"/>
    <n v="0"/>
    <n v="0"/>
    <n v="0"/>
    <n v="0"/>
    <s v="TIPO I"/>
    <s v="TERRESTRE"/>
    <n v="1"/>
    <n v="0"/>
    <n v="0"/>
    <n v="0"/>
    <n v="65960.473639999997"/>
    <n v="65960.473639999997"/>
  </r>
  <r>
    <s v="MEDELLIN"/>
    <x v="3"/>
    <x v="3"/>
    <n v="5001"/>
    <n v="2353982"/>
    <s v="FO-25-1134651"/>
    <d v="2025-06-25T14:12:00"/>
    <d v="2025-06-26T10:55:00"/>
    <s v="ANTIOQUIA"/>
    <s v="MEDELLIN"/>
    <s v="BARRIO ARANJUEZ MEDELLIN 10"/>
    <n v="46208"/>
    <s v="INCIDENTE"/>
    <s v="REDEBAN"/>
    <s v="CB UNO A UNO"/>
    <m/>
    <s v="CERRADO"/>
    <s v="25-06 SE ESCALA PARA VISITA. LLAMAR ANTES DE VISITAR, CONFIRMAR FALLA Y DATOS_x000a_0_x000a_26-06 SE REALIZA MANTENIMIENTO GENERAL"/>
    <s v="HERNANDEZ CHAVARRIA JUAN CAMILO"/>
    <s v="VISITA_TÉCNICA"/>
    <s v="9C006162"/>
    <s v="NO"/>
    <s v="USUARIO"/>
    <s v="LECTOR DE TARJETAS"/>
    <s v="OBSTRUCCION DEL LECTOR"/>
    <s v="No"/>
    <n v="0"/>
    <n v="0"/>
    <n v="0"/>
    <n v="0"/>
    <n v="0"/>
    <s v="TIPO I"/>
    <s v="TERRESTRE"/>
    <n v="1"/>
    <n v="0"/>
    <n v="0"/>
    <n v="0"/>
    <n v="65960.473639999997"/>
    <n v="65960.473639999997"/>
  </r>
  <r>
    <s v="PEREIRA"/>
    <x v="1"/>
    <x v="6"/>
    <n v="66088"/>
    <n v="2353220"/>
    <s v="FO-25-1133754"/>
    <d v="2025-06-25T11:42:00"/>
    <d v="2025-06-26T11:02:39"/>
    <s v="RISARALDA"/>
    <s v="BELEN DE UMBRIA"/>
    <s v="DISTRICOL DROGUERIA MARVEL"/>
    <n v="73652"/>
    <s v="INCIDENTE"/>
    <s v="REDEBAN"/>
    <s v="AGREGADOR"/>
    <m/>
    <s v="CERRADO"/>
    <s v="25-06 SE ESCALA PARA VISITA. LLAMAR ANTES DE VISITAR, CONFIRMAR FALLA Y DATOS_x000a_0_x000a_26-06 SE VALIDA INCONVENIENTE CON EL CLIENTE, EL CLIENTE INDICA QUE AYER LE FUERON A REVISAR EL INTERNET POR QUE ESTABA DAÑADO PERO QIE YA EL TECNICO LES ARREGLO, SE LE SOLICITA REINICIAR EL ROUTER Y REINICIAR EL DATAFONO, SE PROCEDE A REALIZAR PRUEBAS Y CONFIRMA OPERATIVIDAD DEL SERVICIO, "/>
    <s v="HENAO CARDONA DIEGO FERNANDO"/>
    <s v="SOPORTE_TELEFÓNICO"/>
    <n v="0"/>
    <s v="NO"/>
    <s v="USUARIO"/>
    <s v="COMUNICACION"/>
    <s v="CANAL DEL COMERCIO"/>
    <s v="No"/>
    <n v="0"/>
    <n v="0"/>
    <n v="0"/>
    <n v="0"/>
    <n v="0"/>
    <s v="TIPO II"/>
    <s v="TERRESTRE"/>
    <n v="0"/>
    <n v="0"/>
    <n v="0"/>
    <n v="0"/>
    <n v="37904.65408"/>
    <n v="37904.65408"/>
  </r>
  <r>
    <s v="NEIVA"/>
    <x v="2"/>
    <x v="2"/>
    <n v="41319"/>
    <n v="2347790"/>
    <s v="FO-25-1129894"/>
    <d v="2025-06-24T14:33:00"/>
    <d v="2025-06-26T11:44:52"/>
    <s v="HUILA"/>
    <s v="GUADALUPE"/>
    <s v="SANTA LUCIA GUADALUPE"/>
    <n v="70491"/>
    <s v="INCIDENTE"/>
    <s v="REDEBAN"/>
    <s v="CB UNO A UNO"/>
    <m/>
    <s v="CERRADO"/>
    <s v="24-06 SE REALIZA CONTACTO CON NEARLY DUQUE AL NUMERO 3213708514 CONFIRMA FALLA, DATOS CORRECTOS. SE ESCALA PARA VISITA_x000a_0_x000a_26-06 SE REALIZA VISITA AL PUNTO, SE CONFIGURA EQUIPO A TIPO DE CONEXIÓN DHCP, YA QUE ESTABA CONFIGURADO CON IP FIJA, DEBIDO A QUE EL CLIENTE ANTES TENIA OTRA TIPO DE CANAL DE COMUNICACIÓN. PRUEBAS CB .CB OPERATIVO."/>
    <s v="DEVIA REINOSO JUAN CARLOS"/>
    <s v="VISITA_TÉCNICA"/>
    <s v="0N008898"/>
    <s v="NO"/>
    <s v="USUARIO"/>
    <s v="COMUNICACION"/>
    <s v="CANAL DEL COMERCIO"/>
    <s v="No"/>
    <n v="0"/>
    <n v="0"/>
    <n v="0"/>
    <n v="0"/>
    <n v="0"/>
    <s v="TIPO III"/>
    <s v="TERRESTRE"/>
    <n v="1"/>
    <n v="0"/>
    <n v="0"/>
    <n v="0"/>
    <n v="275728.37943999999"/>
    <n v="275728.37943999999"/>
  </r>
  <r>
    <s v="VALLEDUPAR"/>
    <x v="0"/>
    <x v="0"/>
    <n v="20001"/>
    <n v="2356623"/>
    <s v="FO-25-1136597"/>
    <d v="2025-06-26T08:00:00"/>
    <d v="2025-06-26T16:05:42"/>
    <s v="CESAR"/>
    <s v="VALLEDUPAR"/>
    <s v="BARRIO VILLA LEONOR VALLEDUPAR"/>
    <n v="26090"/>
    <s v="INCIDENTE"/>
    <s v="REDEBAN"/>
    <s v="CB UNO A UNO"/>
    <m/>
    <s v="CERRADO"/>
    <s v="26-06 SE ESCALA PARA VISITA. LLAMAR ANTES DE VISITAR, CONFIRMAR FALLA Y DATOS_x000a_0_x000a_26-06 SE REALIZA VISITA POR SOLICITUD DE CLIENTE,SE LLEFA SITIO, SE VALIDAN CONEXIONES DE CLIENTE LA CUAL PRESENTAN MANIPULACIÓN POR PARTE DEL CLIENTEDONDE PRESENTA MODEM DE INTERNET SIN CONEXIÓN,CLIENTE NOS INDICA QUE YA SOLICITO REVISIÓN TECNICA POR PARTE DEL OPERADOR DE INTERNET"/>
    <s v="MAESTRE MENGUAL EDGAR ENRIQUE"/>
    <s v="VISITA_TÉCNICA"/>
    <s v="A5ZZZ653"/>
    <s v="NO"/>
    <s v="USUARIO"/>
    <s v="COMUNICACION"/>
    <s v="CONEXIONES DE COMERCIO"/>
    <s v="No"/>
    <n v="0"/>
    <n v="0"/>
    <n v="0"/>
    <n v="0"/>
    <n v="0"/>
    <s v="TIPO I"/>
    <s v="TERRESTRE"/>
    <n v="1"/>
    <n v="0"/>
    <n v="0"/>
    <n v="0"/>
    <n v="65960.473639999997"/>
    <n v="65960.473639999997"/>
  </r>
  <r>
    <s v="VILLAVICENCIO"/>
    <x v="2"/>
    <x v="2"/>
    <n v="50001"/>
    <n v="2360582"/>
    <s v="FO-25-1139936"/>
    <d v="2025-06-26T14:30:00"/>
    <d v="2025-06-26T17:00:54"/>
    <s v="META"/>
    <s v="VILLAVICENCIO"/>
    <s v="BARRIO SAN ANTONIO VILLAVICENCIO 10"/>
    <n v="78919"/>
    <s v="INCIDENTE"/>
    <s v="REDEBAN"/>
    <s v="CB UNO A UNO"/>
    <m/>
    <s v="CERRADO"/>
    <s v="26-06 SE ESCALA PARA VISITA. LLAMAR ANTES DE VISITAR, CONFIRMAR FALLA Y DATOS_x000a_0_x000a_26-06 SE COMUNICÓ CON CLIENTE Y ME INFORMA QUE EL PROBLEMA YA AE RESOLVIÓ. ERA PROBLEMA DEL INTERNET DEL COMERCIO.  YA ESTAN OPERANDO EL CB SIN NIGUNA NOVEDAD "/>
    <s v="GARZON RUIZ LUIS MIGUEL"/>
    <s v="SOPORTE_TELEFÓNICO"/>
    <n v="0"/>
    <s v="NO"/>
    <s v="USUARIO"/>
    <s v="COMUNICACION"/>
    <s v="CANAL DEL COMERCIO"/>
    <s v="No"/>
    <n v="0"/>
    <n v="0"/>
    <n v="0"/>
    <n v="0"/>
    <n v="0"/>
    <s v="TIPO I"/>
    <s v="TERRESTRE"/>
    <n v="0"/>
    <n v="0"/>
    <n v="0"/>
    <n v="0"/>
    <n v="37904.65408"/>
    <n v="37904.65408"/>
  </r>
  <r>
    <s v="MEDELLIN"/>
    <x v="3"/>
    <x v="3"/>
    <n v="5001"/>
    <n v="2359820"/>
    <s v="FO-25-1139142"/>
    <d v="2025-06-26T11:46:00"/>
    <d v="2025-06-27T11:38:30"/>
    <s v="ANTIOQUIA"/>
    <s v="MEDELLIN"/>
    <s v="PTM MED GRANERO LA SOFIA"/>
    <n v="42482"/>
    <s v="INCIDENTE"/>
    <s v="REDEBAN"/>
    <s v="AGREGADOR"/>
    <m/>
    <s v="CERRADO"/>
    <s v="26-06 SE ESCALA PARA VISITA. LLAMAR ANTES DE VISITAR, CONFIRMAR FALLA Y DATOS_x000a_0_x000a_27-06 SE REALIZA MANTENIMIENTO GENERAL"/>
    <s v="HERNANDEZ CHAVARRIA JUAN CAMILO"/>
    <s v="VISITA_TÉCNICA"/>
    <s v="9A3ZZ564"/>
    <s v="NO"/>
    <s v="USUARIO"/>
    <s v="LECTOR DE TARJETAS"/>
    <s v="OBSTRUCCION DEL LECTOR"/>
    <s v="No"/>
    <n v="0"/>
    <n v="0"/>
    <n v="0"/>
    <n v="0"/>
    <n v="0"/>
    <s v="TIPO I"/>
    <s v="TERRESTRE"/>
    <n v="1"/>
    <n v="0"/>
    <n v="0"/>
    <n v="0"/>
    <n v="65960.473639999997"/>
    <n v="65960.473639999997"/>
  </r>
  <r>
    <s v="CALI"/>
    <x v="1"/>
    <x v="1"/>
    <n v="76001"/>
    <n v="2365092"/>
    <s v="FO-25-1143555"/>
    <d v="2025-06-27T10:48:00"/>
    <d v="2025-06-27T12:42:36"/>
    <s v="VALLE DEL CAUCA"/>
    <s v="CALI"/>
    <s v="PTM CALI TIENDA ADELA NARVAEZ"/>
    <n v="71362"/>
    <s v="INCIDENTE"/>
    <s v="REDEBAN"/>
    <s v="AGREGADOR"/>
    <m/>
    <s v="CERRADO"/>
    <s v="27-06 SE ESCALA PARA VISITA. LLAMAR ANTES DE VISITAR, CONFIRMAR FALLA Y DATOS_x000a_0_x000a_27-06 SE LLAMA AL CLIENTE Y NOS DAMOS QUE ES LA CONEXIÓN DEL COMERCIO NOS DICE QUE YA LO SOLUCIONO "/>
    <s v="CUERO RUIZ JHONNY"/>
    <s v="SOPORTE_TELEFÓNICO"/>
    <n v="0"/>
    <s v="NO"/>
    <s v="USUARIO"/>
    <s v="COMUNICACION"/>
    <s v="CONEXIONES DE COMERCIO"/>
    <s v="No"/>
    <n v="0"/>
    <n v="0"/>
    <n v="0"/>
    <n v="0"/>
    <n v="0"/>
    <s v="TIPO I"/>
    <s v="TERRESTRE"/>
    <n v="0"/>
    <n v="0"/>
    <n v="0"/>
    <n v="0"/>
    <n v="37904.65408"/>
    <n v="37904.65408"/>
  </r>
  <r>
    <s v="MEDELLIN"/>
    <x v="3"/>
    <x v="3"/>
    <n v="5789"/>
    <n v="2361698"/>
    <s v="FO-25-1140952"/>
    <d v="2025-06-26T16:22:20"/>
    <d v="2025-06-27T14:28:24"/>
    <s v="ANTIOQUIA"/>
    <s v="TAMESIS"/>
    <s v="BARRIO SANTA ANA TAMESIS 2"/>
    <n v="57780"/>
    <s v="INCIDENTE"/>
    <s v="REDEBAN"/>
    <s v="CB UNO A UNO"/>
    <m/>
    <s v="CERRADO"/>
    <s v="25-06 SE REALIZA CONTACTO CON CLAUDIA PALACIO AL NUMERO 3213346780 CONFIRMA FALLA, DATOS CORRECTOS. SE ESCALA PARA VISITA _x000a_0_x000a_27-06 SE REALIZA MANTENIMIENTO AL EQUIPO Y SE EXPLICA COMO REALIZAR BORRADO DE MEMORIA "/>
    <s v="CERPA SUAREZ DUVAN CAMILO"/>
    <s v="VISITA_TÉCNICA"/>
    <s v="TSZZZ636"/>
    <s v="NO"/>
    <s v="USUARIO"/>
    <s v="MANTENIMIENTO"/>
    <s v="MANTENIMIENTO GENERAL"/>
    <s v="No"/>
    <n v="0"/>
    <n v="0"/>
    <n v="0"/>
    <n v="0"/>
    <n v="0"/>
    <s v="TIPO III"/>
    <s v="TERRESTRE"/>
    <n v="1"/>
    <n v="0"/>
    <n v="0"/>
    <n v="0"/>
    <n v="275728.37943999999"/>
    <n v="275728.37943999999"/>
  </r>
  <r>
    <s v="SINCELEJO"/>
    <x v="0"/>
    <x v="0"/>
    <n v="70001"/>
    <n v="2362658"/>
    <s v="FO-25-1142017"/>
    <d v="2025-06-27T08:00:00"/>
    <d v="2025-06-27T13:19:54"/>
    <s v="SUCRE"/>
    <s v="SINCELEJO"/>
    <s v="BARRIO AV ARGELIA SINCELEJO"/>
    <n v="76748"/>
    <s v="INCIDENTE"/>
    <s v="REDEBAN"/>
    <s v="CB UNO A UNO"/>
    <m/>
    <s v="CERRADO"/>
    <s v="27-06 SE ESCALA PARA VISITA. LLAMAR ANTES DE VISITAR, CONFIRMAR FALLA Y DATOS_x000a_0_x000a_27-06 SE VISITA SITIO SE VERIFICA INFORMACIÓN SE REALIZA PRIMEROS AUXILIOS, LA FALLA CORRESPONDE AL CANAL DE COMERCIO, SE REALIZARON PRUEBAS EXITOSAS CON OTRO MÓDEM."/>
    <s v="SANTOS GUZMAN CHRISTIAN FELIPE"/>
    <s v="VISITA_TÉCNICA"/>
    <s v="SASZZ062"/>
    <s v="NO"/>
    <s v="USUARIO"/>
    <s v="COMUNICACION"/>
    <s v="CANAL DEL COMERCIO"/>
    <s v="No"/>
    <n v="0"/>
    <n v="0"/>
    <n v="0"/>
    <n v="0"/>
    <n v="0"/>
    <s v="TIPO I"/>
    <s v="TERRESTRE"/>
    <n v="1"/>
    <n v="0"/>
    <n v="0"/>
    <n v="0"/>
    <n v="65960.473639999997"/>
    <n v="65960.473639999997"/>
  </r>
  <r>
    <s v="CALI"/>
    <x v="1"/>
    <x v="1"/>
    <n v="76275"/>
    <n v="2364144"/>
    <s v="FO-25-1142712"/>
    <d v="2025-06-27T09:15:16"/>
    <d v="2025-06-28T08:30:00"/>
    <s v="VALLE DEL CAUCA"/>
    <s v="FLORIDA"/>
    <s v="PTM FLORIDA  TIENDA MI PUEBLIT"/>
    <n v="74350"/>
    <s v="INCIDENTE"/>
    <s v="REDEBAN"/>
    <s v="AGREGADOR"/>
    <m/>
    <s v="CERRADO"/>
    <s v="27-06 SE ESCALA PARA VISITA. LLAMAR ANTES DE VISITAR, CONFIRMAR FALLA Y DATOS_x000a_0_x000a_27-06 SE VISITA EL COMERCIO, SE HACE EL CIERRE ES DEMORADO POR LO QUE SE BORRA E INSTALA DE NUEVO LA VERSIÓN 9.90, SE INICIALIZA TERMINALES, PRUEBAS OK, TELECARGA TRNA "/>
    <s v="HERRERA MONAR GEOVANNY"/>
    <s v="VISITA_TÉCNICA"/>
    <s v="EF8ZZ150 - EF8ZZ431"/>
    <s v="NO"/>
    <s v="USUARIO"/>
    <s v="CIERRE"/>
    <s v="COMERCIO NO REALIZA CIERRE"/>
    <s v="No"/>
    <n v="0"/>
    <n v="0"/>
    <n v="0"/>
    <n v="0"/>
    <n v="0"/>
    <s v="TIPO II"/>
    <s v="TERRESTRE"/>
    <n v="1"/>
    <n v="0"/>
    <n v="0"/>
    <n v="0"/>
    <n v="163813.55812"/>
    <n v="163813.55812"/>
  </r>
  <r>
    <s v="BUCARAMANGA"/>
    <x v="5"/>
    <x v="5"/>
    <n v="68001"/>
    <n v="2367014"/>
    <s v="FO-25-1146856"/>
    <d v="2025-06-27T15:34:43"/>
    <d v="2025-06-28T10:06:00"/>
    <s v="SANTANDER"/>
    <s v="BUCARAMANGA"/>
    <s v="COOPENESSA  GUARIN"/>
    <n v="11742"/>
    <s v="INCIDENTE"/>
    <s v="REDEBAN"/>
    <s v="CB UNO A UNO"/>
    <m/>
    <s v="CERRADO"/>
    <s v="27-06 SE ESCALA PARA VISITA. LLAMAR ANTES DE VISITAR, CONFIRMAR FALLA Y DATOS_x000a_0_x000a_28-06 SE REALIZA VISITA EN FRÍO, YA QUE TELÉFONO DE CONTACTO NO RESPONDEN, SE VÁLIDAS CON PERSONA ENCARGADA E INDICA QUE YA FUNCIÓNA Y NO PERMITE INGRESO A ESTABLECIMIENTO,NO SE MANIPULA EQUIPOS, SE LE INFORMA DE REPORTAR UNA NUEVA FALLA DEBE SOLICITAR VISITA NUEVAMENTE. "/>
    <s v="SANTOS GONZALEZ JOHAN FABIAN"/>
    <s v="VISITA_TÉCNICA"/>
    <s v="JAAAF271"/>
    <s v="NO"/>
    <s v="USUARIO"/>
    <s v="LECTOR DE BARRAS"/>
    <s v="CAPACITACION MANIPULACION DE COMERCIO"/>
    <s v="No"/>
    <n v="0"/>
    <n v="0"/>
    <n v="0"/>
    <n v="0"/>
    <n v="0"/>
    <s v="TIPO I"/>
    <s v="TERRESTRE"/>
    <n v="1"/>
    <n v="0"/>
    <n v="0"/>
    <n v="0"/>
    <n v="65960.473639999997"/>
    <n v="65960.473639999997"/>
  </r>
  <r>
    <s v="VILLAVICENCIO"/>
    <x v="2"/>
    <x v="2"/>
    <n v="50001"/>
    <n v="2367093"/>
    <s v="FO-25-1147037"/>
    <d v="2025-06-27T16:09:39"/>
    <d v="2025-06-28T10:41:00"/>
    <s v="META"/>
    <s v="VILLAVICENCIO"/>
    <s v="BARRIO LA VAINILLA VILLAVICENC"/>
    <n v="63912"/>
    <s v="INCIDENTE"/>
    <s v="REDEBAN"/>
    <s v="CB UNO A UNO"/>
    <m/>
    <s v="CERRADO"/>
    <s v="27-06 SE ESCALA PARA VISITA. LLAMAR ANTES DE VISITAR, CONFIRMAR FALLA Y DATOS_x000a_0_x000a_28-06 SE REALIZA VISITA A COMERCIO SE REALIZA SOPORTES CONEXIONES DEL COMERCIO PRUEBAS OK SIN NOVEDADES "/>
    <s v="CASTRILLON URREA LONDIER LEANDRO"/>
    <s v="VISITA_TÉCNICA"/>
    <s v="LA00X275"/>
    <s v="NO"/>
    <s v="USUARIO"/>
    <s v="COMUNICACION"/>
    <s v="CONEXIONES DE COMERCIO"/>
    <s v="No"/>
    <n v="0"/>
    <n v="0"/>
    <n v="0"/>
    <n v="0"/>
    <n v="0"/>
    <s v="TIPO I"/>
    <s v="TERRESTRE"/>
    <n v="1"/>
    <n v="0"/>
    <n v="0"/>
    <n v="0"/>
    <n v="65960.473639999997"/>
    <n v="65960.473639999997"/>
  </r>
  <r>
    <s v="MEDELLIN"/>
    <x v="3"/>
    <x v="3"/>
    <n v="5360"/>
    <n v="2365991"/>
    <s v="FO-25-1145510"/>
    <d v="2025-06-27T12:49:39"/>
    <d v="2025-06-28T10:57:00"/>
    <s v="ANTIOQUIA"/>
    <s v="ITAGUI"/>
    <s v="DISTRICOL CONSULTORES TOTAL SS"/>
    <n v="78212"/>
    <s v="INCIDENTE"/>
    <s v="REDEBAN"/>
    <s v="AGREGADOR"/>
    <m/>
    <s v="CERRADO"/>
    <s v="27-06 SE ESCALA PARA VISITA. LLAMAR ANTES DE VISITAR, CONFIRMAR FALLA Y DATOS_x000a_0_x000a_28-06 SE REALIZÓ MANTENIMIENTO GENERAL Y AJUSTE DE TAPA DE IMPRESORA "/>
    <s v="CASTAÑEDA PALACIO CARLOS FELIPE"/>
    <s v="VISITA_TÉCNICA"/>
    <s v="V1OZZ603"/>
    <s v="NO"/>
    <s v="USUARIO"/>
    <s v="MANTENIMIENTO"/>
    <s v="MANTENIMIENTO GENERAL"/>
    <s v="No"/>
    <n v="0"/>
    <n v="0"/>
    <n v="0"/>
    <n v="0"/>
    <n v="0"/>
    <s v="TIPO I"/>
    <s v="TERRESTRE"/>
    <n v="1"/>
    <n v="0"/>
    <n v="0"/>
    <n v="0"/>
    <n v="65960.473639999997"/>
    <n v="65960.473639999997"/>
  </r>
  <r>
    <s v="MEDELLIN"/>
    <x v="3"/>
    <x v="3"/>
    <n v="5001"/>
    <n v="2367920"/>
    <s v="FO-25-1148053"/>
    <d v="2025-06-28T08:00:00"/>
    <d v="2025-06-28T11:35:00"/>
    <s v="ANTIOQUIA"/>
    <s v="MEDELLIN"/>
    <s v="MULTIPAGAS OVIEDO"/>
    <n v="21094"/>
    <s v="INCIDENTE"/>
    <s v="REDEBAN"/>
    <s v="ROBUSTO"/>
    <m/>
    <s v="CERRADO"/>
    <s v="28-06 SE ESCALA PARA VISITA. LLAMAR ANTES DE VISITAR, CONFIRMAR FALLA Y DATOS_x000a_0_x000a_28-06 SE HABLÓ CON SEÑORA ELIZABETH Y EN VALIDACIONES SE ENCUENTRA QUE NO ESTABA INGRESANDO BIEN USUARIO, SE DAN INDICACIONES, INTENTA INGRESO, REALIZA PROCEDIMIENTO DE CIERRE SIN NOVEDAD. CB OPERATIVO. SE CIERRA INCIDENTE."/>
    <s v="HERNANDEZ CHAVARRIA JUAN CAMILO"/>
    <s v="SOPORTE_TELEFÓNICO"/>
    <n v="0"/>
    <s v="NO"/>
    <s v="USUARIO"/>
    <s v="CIERRE"/>
    <s v="COMERCIO NO REALIZA CIERRE"/>
    <s v="No"/>
    <n v="0"/>
    <n v="0"/>
    <n v="0"/>
    <n v="0"/>
    <n v="0"/>
    <s v="TIPO I"/>
    <s v="TERRESTRE"/>
    <n v="0"/>
    <n v="0"/>
    <n v="0"/>
    <n v="0"/>
    <n v="37904.65408"/>
    <n v="37904.65408"/>
  </r>
  <r>
    <s v="MANIZALES"/>
    <x v="1"/>
    <x v="6"/>
    <n v="17001"/>
    <n v="2368518"/>
    <s v="FO-25-1148511"/>
    <d v="2025-06-28T08:40:00"/>
    <d v="2025-06-28T11:36:00"/>
    <s v="CALDAS"/>
    <s v="MANIZALES"/>
    <s v="BARRIO SAN JOAQUIN MANIZALES 1"/>
    <n v="59121"/>
    <s v="INCIDENTE"/>
    <s v="REDEBAN"/>
    <s v="CB UNO A UNO"/>
    <m/>
    <s v="CERRADO"/>
    <s v="28-06 SE ESCALA PARA VISITA. LLAMAR ANTES DE VISITAR, CONFIRMAR FALLA Y DATOS_x000a_0_x000a_28-06 SE REALIZA LLAMADA AL CLIENTE  Y SE VALIDA COMO ESTABA REALIZANDO LOS CIERRES YA QUE SE LE ESTABA ACUMULANDO , SE LE EXPLICA ADECUADAMENTE QUE DEBE REALIZAR EL CIERRE PARCIAL Y LUEGO EL CIERRE GENERAL Y DESPUES CONFIRMAR CON LA TECLA VERDE PARA QUE EL DATAFONO REALIZE EL PROCESO CORRECTO, EL CLIENTE REALIZA EL PROCESO Y CONFIRMA QUE SI BORRA LAS TRANSACCIONES, SE CIERRA EL CASO"/>
    <s v="HENAO CARDONA DIEGO FERNANDO"/>
    <s v="SOPORTE_TELEFÓNICO"/>
    <n v="0"/>
    <s v="NO"/>
    <s v="USUARIO"/>
    <s v="CIERRE"/>
    <s v="COMERCIO NO REALIZA CIERRE"/>
    <s v="No"/>
    <n v="0"/>
    <n v="0"/>
    <n v="0"/>
    <n v="0"/>
    <n v="0"/>
    <s v="TIPO I"/>
    <s v="TERRESTRE"/>
    <n v="0"/>
    <n v="0"/>
    <n v="0"/>
    <n v="0"/>
    <n v="37904.65408"/>
    <n v="37904.65408"/>
  </r>
  <r>
    <s v="BOGOTA"/>
    <x v="4"/>
    <x v="4"/>
    <n v="25286"/>
    <n v="2360174"/>
    <s v="FO-25-1139214"/>
    <d v="2025-06-26T12:36:00"/>
    <d v="2025-06-28T12:25:00"/>
    <s v="CUNDINAMARCA"/>
    <s v="FUNZA"/>
    <s v="DISTRICOL PHARMACYPC"/>
    <n v="79889"/>
    <s v="INCIDENTE"/>
    <s v="REDEBAN"/>
    <s v="AGREGADOR"/>
    <m/>
    <s v="CERRADO"/>
    <s v="26-06 SE ESCALA PARA VISITA. LLAMAR ANTES DE VISITAR, CONFIRMAR FALLA Y DATOS_x000a_0_x000a_28-06 SE VÁLIDAN CONEXIÓNES SE VÁLIDA FALLA EN CONECTOR RJ45 DEL CLIENTE SE LE INDICA CAMBIALO FALLA EN CONEXIÓNES DEL CLIENTE "/>
    <s v="INFANTE SIERRA MANUEL FERNANDO"/>
    <s v="VISITA_TÉCNICA"/>
    <s v="SAUZZ958"/>
    <s v="NO"/>
    <s v="USUARIO"/>
    <s v="COMUNICACION"/>
    <s v="CONEXIONES DE COMERCIO"/>
    <s v="No"/>
    <n v="0"/>
    <n v="0"/>
    <n v="0"/>
    <n v="0"/>
    <n v="0"/>
    <s v="TIPO II"/>
    <s v="TERRESTRE"/>
    <n v="1"/>
    <n v="0"/>
    <n v="0"/>
    <n v="0"/>
    <n v="163813.55812"/>
    <n v="163813.55812"/>
  </r>
  <r>
    <s v="MEDELLIN"/>
    <x v="3"/>
    <x v="3"/>
    <n v="5001"/>
    <n v="2369050"/>
    <s v="FO-25-1150680"/>
    <d v="2025-06-28T14:46:00"/>
    <d v="2025-06-29T12:00:30"/>
    <s v="ANTIOQUIA"/>
    <s v="MEDELLIN"/>
    <s v="PTM MEDELLIN POMPOSO DECORACIO"/>
    <n v="73769"/>
    <s v="INCIDENTE"/>
    <s v="REDEBAN"/>
    <s v="AGREGADOR"/>
    <m/>
    <s v="CERRADO"/>
    <s v="28-06 SE ESCALA PARA VISITA. LLAMAR ANTES DE VISITAR, CONFIRMAR FALLA Y DATOS_x000a_0_x000a_29-06 SE HABLA CON SEÑOR JUAN, NOS INFORMA QUE CB YA ESTÁ OPERANDO, PROBLEMA DE CONEXIÓN SE DIÓ AYER PERO HOY OPERAN SIN PROBLEMA, CB OPERATIVO. SE CIERRA INCIDENTE "/>
    <s v="PAREJA ECHAVARRIA JHON DAVID"/>
    <s v="SOPORTE_TELEFÓNICO"/>
    <n v="0"/>
    <s v="NO"/>
    <s v="USUARIO"/>
    <s v="COMUNICACION"/>
    <s v="CANAL DEL COMERCIO"/>
    <s v="No"/>
    <n v="0"/>
    <n v="0"/>
    <n v="0"/>
    <n v="0"/>
    <n v="0"/>
    <s v="TIPO I"/>
    <s v="TERRESTRE"/>
    <n v="0"/>
    <n v="0"/>
    <n v="0"/>
    <n v="0"/>
    <n v="37904.65408"/>
    <n v="37904.65408"/>
  </r>
  <r>
    <s v="TUNJA"/>
    <x v="5"/>
    <x v="5"/>
    <n v="15001"/>
    <n v="2369712"/>
    <s v="FO-25-1151829"/>
    <d v="2025-06-29T10:00:00"/>
    <d v="2025-06-30T08:52:00"/>
    <s v="TUNJA"/>
    <s v="BOYACA"/>
    <s v="BARRIO CENTRO TUNJA 30"/>
    <n v="78395"/>
    <s v="INCIDENTE"/>
    <s v="REDEBAN"/>
    <s v="CB UNO A UNO"/>
    <m/>
    <s v="CERRADO"/>
    <s v="29-06 SE ESCALA PARA VISITA. LLAMAR ANTES DE VISITAR, CONFIRMAR FALLA Y DATOS_x000a_0_x000a_29-06 EN COMUNICACIÓN CON LA SEÑORA MARIA NOS INFORMA QUE EL DATAFONO SE ENCUENTRA OPERATIVO,Y NO NECESITA LA VISITA TECNICA, SE CIERRA  ORDEN"/>
    <s v="GELVEZ MOGOLLON JOSE ELISEO"/>
    <s v="VISITA_TÉCNICA"/>
    <n v="0"/>
    <s v="NO"/>
    <s v="USUARIO"/>
    <s v="COMUNICACION"/>
    <s v="CANAL DEL COMERCIO"/>
    <s v="No"/>
    <n v="0"/>
    <n v="0"/>
    <n v="0"/>
    <n v="0"/>
    <n v="0"/>
    <s v="TIPO I"/>
    <s v="TERRESTRE"/>
    <n v="1"/>
    <n v="0"/>
    <n v="0"/>
    <n v="0"/>
    <n v="65960.473639999997"/>
    <n v="65960.473639999997"/>
  </r>
  <r>
    <m/>
    <x v="6"/>
    <x v="7"/>
    <m/>
    <m/>
    <m/>
    <m/>
    <m/>
    <m/>
    <m/>
    <m/>
    <m/>
    <m/>
    <m/>
    <m/>
    <m/>
    <m/>
    <m/>
    <m/>
    <m/>
    <m/>
    <m/>
    <m/>
    <m/>
    <m/>
    <m/>
    <m/>
    <m/>
    <m/>
    <m/>
    <m/>
    <m/>
    <m/>
    <m/>
    <m/>
    <m/>
    <m/>
    <m/>
    <n v="17712902.414919998"/>
  </r>
  <r>
    <m/>
    <x v="6"/>
    <x v="7"/>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BOGOTA"/>
    <x v="0"/>
    <x v="0"/>
    <n v="11001"/>
    <n v="13323464"/>
    <s v="FO-25-1032850"/>
    <n v="73244"/>
    <s v="CUNDINAMARCA"/>
    <s v="BOGOTA"/>
    <s v="DISTRICOL PAPELERIA LA ESQUINA"/>
    <s v="REDEBAN"/>
    <s v="AGREGADOR"/>
    <s v="DISTRICOL"/>
    <d v="2025-06-03T12:15:00"/>
    <d v="2025-06-06T15:04:00"/>
    <s v="EJECUTADO_CANCELADO"/>
    <s v="PETICIÓN BANCOLOMBIA"/>
    <s v="ORDEN DE CAMBIO"/>
    <s v="TRASLADO"/>
    <s v="TRASLADO EXTERNO"/>
    <s v="VISITA_TÉCNICA"/>
    <s v="06/06/2025 SE VISITA CB POR TRASLADO INTERNO DE CB AL LLEGAR A LA DIRECCIÓN REGISTRADA EN LA ORDEN SE EVIDENCIA QUE HAY UN PTM A MENOS DE 50 MTS SOBRE LA MISMA CARRERA (CERCANÍA) SE ESCALA PROCESO CON ÁREA ENCARGADA QUIEN CONFIRMA *ESCALARA EL CASO CON ENTIDAD* POR POLÍTICAS DE BANCO SE INDICA A CLIENTE QUE EN EL PUNTO NO PODRA TENER SERVICIO DE BANCOLOMBIA POR CERCANÍA DE CORRESPONSALES VÍA TELEFÓNICA YA QUE CLIENTE NO SE ENCUENTRA Y EL EQUIPO TAMPOCO  Y SE FINALIZA ACTIVIDAD SIN MÁS NOVEDAD. Ninguna "/>
    <s v=" "/>
    <s v="    "/>
    <s v="NO APLICA "/>
    <s v="ROMERO ROJAS BREIDY JHOHAN"/>
    <s v="TIPO I"/>
    <s v="TERRESTRE"/>
    <n v="1"/>
    <n v="0"/>
    <n v="0"/>
    <n v="0"/>
    <n v="65960.473639999997"/>
    <n v="65960.473639999997"/>
  </r>
  <r>
    <s v="BOGOTA"/>
    <x v="0"/>
    <x v="0"/>
    <n v="11001"/>
    <n v="13403305"/>
    <s v="FO-25-1077765"/>
    <n v="52996"/>
    <s v="CUNDINAMARCA"/>
    <s v="BOGOTA"/>
    <s v="BARRIO MONTECARLO BOGOTA"/>
    <s v="REDEBAN"/>
    <s v="CB UNO A UNO"/>
    <s v="CB UNO A UNO"/>
    <d v="2025-06-11T15:25:00"/>
    <d v="2025-06-16T14:06:53"/>
    <s v="EJECUTADO_CANCELADO"/>
    <s v="PETICIÓN USUARIO"/>
    <s v="ORDEN DE CAMBIO"/>
    <s v="TRASLADO"/>
    <s v="TRASLADO EXTERNO"/>
    <s v="VISITA_TÉCNICA"/>
    <s v="16/06/2025  Se visita comercio por traslado externo de cb al.llegar a la dirección registrada en la orden, el comercio se encuentra cerrado se intenta comunicación a líneas registradas 3134086553 sin éxito se brinda tiempo de espera de 30 min en sitio cliente no llega se escribe vía WhatsApp Pero no hay respuesta se procede a cerrar solicitud sin más novedad "/>
    <s v="0"/>
    <n v="0"/>
    <n v="0"/>
    <s v="ROMERO ROJAS BREIDY JHOHAN"/>
    <s v="TIPO I"/>
    <s v="TERRESTRE"/>
    <n v="1"/>
    <n v="0"/>
    <n v="0"/>
    <n v="0"/>
    <n v="65960.473639999997"/>
    <n v="65960.473639999997"/>
  </r>
  <r>
    <s v="MONTERIA"/>
    <x v="1"/>
    <x v="1"/>
    <n v="23162"/>
    <n v="13433928"/>
    <s v="FO-25-1077776"/>
    <n v="71384"/>
    <s v="CORDOBA"/>
    <s v="CERETE"/>
    <s v="BARRIO CORREGIMIENTO EL CANITO"/>
    <s v="REDEBAN"/>
    <s v="CB UNO A UNO"/>
    <s v="CB UNO A UNO"/>
    <d v="2025-06-11T15:25:00"/>
    <d v="2025-06-16T17:01:17"/>
    <s v="GESTIÓN_TELEFÓNICA"/>
    <s v="CANCELADO POR EL USUARIO"/>
    <s v="ORDEN DE CAMBIO"/>
    <s v="TRASLADO"/>
    <s v="TRASLADO EXTERNO"/>
    <s v="SOPORTE_TELEFÓNICO"/>
    <s v="16/06/2025  Se llama al CB sra enadis quien indica que el CB ya le hicieron traslado el 05 de febrero y no ha solicitado más traslado, indica que el equipo se encuentra en la dirección de traslado actual ok._x000a_Se cierra orden por gestión telefónica ok."/>
    <s v="0"/>
    <n v="0"/>
    <n v="0"/>
    <s v="COGOLLO VERTEL EDER LUIS"/>
    <s v="TIPO I"/>
    <s v="TERRESTRE"/>
    <n v="0"/>
    <n v="0"/>
    <n v="0"/>
    <n v="0"/>
    <n v="37904.65408"/>
    <n v="37904.65408"/>
  </r>
  <r>
    <s v="MEDELLIN"/>
    <x v="2"/>
    <x v="2"/>
    <n v="5044"/>
    <n v="13515465"/>
    <s v="FO-25-1102932"/>
    <n v="67295"/>
    <s v="ANTIOQUIA"/>
    <s v="ANZA"/>
    <s v="BARRIO CALLE LA PUNTA SECTRO E"/>
    <s v="REDEBAN"/>
    <s v="CB UNO A UNO"/>
    <s v="CB UNO A UNO"/>
    <d v="2025-06-17T12:10:00"/>
    <d v="2025-06-24T10:12:15"/>
    <s v="EJECUTADO_CANCELADO"/>
    <s v="DIRECCION ERRADA"/>
    <s v="ORDEN DE CAMBIO"/>
    <s v="TRASLADO"/>
    <s v="TRASLADO EXTERNO"/>
    <s v="VISITA_TÉCNICA"/>
    <s v="24/06/2025  Se llega a la dirección indicada Pero la dirección que llegamos no está el negocio el negocio está aproximadamente en la dirección calle 9 9-20 y en la camara de comercio registra otra dirección también errónea calle 9 9-09 por lo que se escala a la red se le informa al cliente los pasos a seguir se cierra actividad "/>
    <s v="0"/>
    <n v="0"/>
    <n v="0"/>
    <s v="ALVAREZ ARENAS VICTOR HUGO"/>
    <s v="TIPO III"/>
    <s v="TERRESTRE"/>
    <n v="1"/>
    <n v="0"/>
    <n v="0"/>
    <n v="0"/>
    <n v="275728.37943999999"/>
    <n v="275728.37943999999"/>
  </r>
  <r>
    <s v="CALI"/>
    <x v="3"/>
    <x v="3"/>
    <n v="76001"/>
    <n v="13604062"/>
    <s v="FO-25-1130046"/>
    <n v="76363"/>
    <s v="VALLE DEL CAUCA"/>
    <s v="CALI"/>
    <s v="BARRIO UNICENTRO CALI CALI"/>
    <s v="REDEBAN"/>
    <s v="CB UNO A UNO"/>
    <s v="CB UNO A UNO"/>
    <d v="2025-06-24T11:39:00"/>
    <d v="2025-06-27T11:36:29"/>
    <s v="EJECUTADO_CANCELADO"/>
    <s v="PETICIÓN USUARIO"/>
    <s v="ORDEN DE CAMBIO"/>
    <s v="TRASLADO"/>
    <s v="TRASLADO EXTERNO"/>
    <s v="VISITA_TÉCNICA"/>
    <s v="27/06/2025  SE HABLA ANTES DEL DESPLAZAMIENTO Y EL SEÑOR CHRISTIAN INDICA QUE SE ENCONTRABA EN UNA REUNIÓN. SE LE INDICÓ QUE SE REALIZARIA OTRA ACTIVIDADES MIENTRAS SE DESOCUPADA._x000a_SE LLEGO DESPUÉS A LA DORECCION Y SE COMUNICA DE NUEVO CON EL SEÑOR PIÑEROS HE INDICA QUE AÚN NO ESTA DISPONIBLE Y QUE ÉL ESTUVO ESPERANDO EL CORREO DE AUTORIZACIÓN PARA ESTAR PENDIENTE._x000a_SE LE INDICA QUE LA TAREA SERÁ CERRADA Y CUANDO ÉL ESTE DISPONIBLE DEBE DE LLAMAR DE NUEVO A SOLICITAR DE NUEVO EL TRASLADO."/>
    <s v="0"/>
    <n v="0"/>
    <n v="0"/>
    <s v="TORRES GARCIA JENDRY JOSE"/>
    <s v="TIPO I"/>
    <s v="TERRESTRE"/>
    <n v="1"/>
    <n v="0"/>
    <n v="0"/>
    <n v="0"/>
    <n v="65960.473639999997"/>
    <n v="65960.473639999997"/>
  </r>
  <r>
    <m/>
    <x v="4"/>
    <x v="4"/>
    <m/>
    <m/>
    <m/>
    <m/>
    <m/>
    <m/>
    <m/>
    <m/>
    <m/>
    <m/>
    <m/>
    <m/>
    <m/>
    <m/>
    <m/>
    <m/>
    <m/>
    <m/>
    <m/>
    <m/>
    <m/>
    <m/>
    <m/>
    <m/>
    <m/>
    <m/>
    <m/>
    <m/>
    <m/>
    <m/>
    <n v="511514.45444"/>
  </r>
  <r>
    <m/>
    <x v="4"/>
    <x v="4"/>
    <m/>
    <m/>
    <m/>
    <m/>
    <m/>
    <m/>
    <m/>
    <m/>
    <m/>
    <m/>
    <m/>
    <m/>
    <m/>
    <m/>
    <m/>
    <m/>
    <m/>
    <m/>
    <m/>
    <m/>
    <m/>
    <m/>
    <m/>
    <m/>
    <m/>
    <m/>
    <m/>
    <m/>
    <m/>
    <m/>
    <m/>
  </r>
  <r>
    <m/>
    <x v="4"/>
    <x v="4"/>
    <m/>
    <m/>
    <m/>
    <m/>
    <m/>
    <m/>
    <m/>
    <m/>
    <m/>
    <m/>
    <m/>
    <m/>
    <m/>
    <m/>
    <m/>
    <m/>
    <m/>
    <m/>
    <m/>
    <m/>
    <m/>
    <m/>
    <m/>
    <m/>
    <m/>
    <m/>
    <m/>
    <m/>
    <m/>
    <m/>
    <m/>
  </r>
  <r>
    <m/>
    <x v="4"/>
    <x v="4"/>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n v="568214.34039999987"/>
  </r>
  <r>
    <x v="1"/>
    <n v="1564265.30892"/>
  </r>
  <r>
    <x v="2"/>
    <n v="89119.969600000011"/>
  </r>
  <r>
    <x v="3"/>
    <n v="812123.49652000004"/>
  </r>
  <r>
    <x v="4"/>
    <n v="950331.69024000003"/>
  </r>
  <r>
    <x v="5"/>
    <n v="2617117.07124"/>
  </r>
  <r>
    <x v="6"/>
    <n v="868147.98795999994"/>
  </r>
  <r>
    <x v="7"/>
    <m/>
  </r>
  <r>
    <x v="7"/>
    <m/>
  </r>
  <r>
    <x v="7"/>
    <m/>
  </r>
  <r>
    <x v="7"/>
    <m/>
  </r>
  <r>
    <x v="7"/>
    <m/>
  </r>
  <r>
    <x v="8"/>
    <m/>
  </r>
  <r>
    <x v="0"/>
    <n v="1490012.0455199999"/>
  </r>
  <r>
    <x v="1"/>
    <n v="2139427.38344"/>
  </r>
  <r>
    <x v="2"/>
    <n v="1684056.6751599999"/>
  </r>
  <r>
    <x v="3"/>
    <n v="7828251.3451200081"/>
  </r>
  <r>
    <x v="4"/>
    <n v="1789995.0003200001"/>
  </r>
  <r>
    <x v="5"/>
    <n v="1578392.40652"/>
  </r>
  <r>
    <x v="6"/>
    <n v="1202767.5588399998"/>
  </r>
  <r>
    <x v="7"/>
    <m/>
  </r>
  <r>
    <x v="7"/>
    <m/>
  </r>
  <r>
    <x v="7"/>
    <m/>
  </r>
  <r>
    <x v="7"/>
    <m/>
  </r>
  <r>
    <x v="7"/>
    <m/>
  </r>
  <r>
    <x v="7"/>
    <m/>
  </r>
  <r>
    <x v="8"/>
    <m/>
  </r>
  <r>
    <x v="1"/>
    <n v="65960.473639999997"/>
  </r>
  <r>
    <x v="2"/>
    <n v="37904.65408"/>
  </r>
  <r>
    <x v="3"/>
    <n v="275728.37943999999"/>
  </r>
  <r>
    <x v="6"/>
    <n v="131920.94727999999"/>
  </r>
  <r>
    <x v="9"/>
    <n v="511514.45444"/>
  </r>
  <r>
    <x v="7"/>
    <m/>
  </r>
  <r>
    <x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E2F163-4274-43E8-BA0A-0AC626286D8D}" name="TablaDinámica1" cacheId="90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39">
    <pivotField compact="0" outline="0" showAll="0"/>
    <pivotField axis="axisRow" compact="0" outline="0" showAll="0" defaultSubtotal="0">
      <items count="7">
        <item x="1"/>
        <item x="5"/>
        <item x="0"/>
        <item x="4"/>
        <item x="2"/>
        <item x="3"/>
        <item h="1" x="6"/>
      </items>
    </pivotField>
    <pivotField axis="axisRow" compact="0" outline="0" showAll="0">
      <items count="9">
        <item x="6"/>
        <item x="4"/>
        <item x="1"/>
        <item x="3"/>
        <item x="0"/>
        <item x="5"/>
        <item x="2"/>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8" showDataAs="percentOfTotal" baseField="0" baseItem="0" numFmtId="10"/>
    <dataField name="$" fld="38" baseField="0" baseItem="0" numFmtId="182"/>
  </dataFields>
  <formats count="1">
    <format dxfId="8">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0818F6-F47F-4C26-8C5C-CCDB5FE18D8A}" name="TablaDinámica4" cacheId="90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J2:L10" firstHeaderRow="0" firstDataRow="1" firstDataCol="1"/>
  <pivotFields count="2">
    <pivotField axis="axisRow" compact="0" outline="0" showAll="0">
      <items count="11">
        <item h="1" x="8"/>
        <item x="6"/>
        <item x="2"/>
        <item x="0"/>
        <item x="3"/>
        <item x="4"/>
        <item x="5"/>
        <item x="1"/>
        <item h="1" x="7"/>
        <item h="1" x="9"/>
        <item t="default"/>
      </items>
    </pivotField>
    <pivotField dataField="1" compact="0" outline="0" showAll="0"/>
  </pivotFields>
  <rowFields count="1">
    <field x="0"/>
  </rowFields>
  <rowItems count="8">
    <i>
      <x v="1"/>
    </i>
    <i>
      <x v="2"/>
    </i>
    <i>
      <x v="3"/>
    </i>
    <i>
      <x v="4"/>
    </i>
    <i>
      <x v="5"/>
    </i>
    <i>
      <x v="6"/>
    </i>
    <i>
      <x v="7"/>
    </i>
    <i t="grand">
      <x/>
    </i>
  </rowItems>
  <colFields count="1">
    <field x="-2"/>
  </colFields>
  <colItems count="2">
    <i>
      <x/>
    </i>
    <i i="1">
      <x v="1"/>
    </i>
  </colItems>
  <dataFields count="2">
    <dataField name="Suma de VALOR" fld="1" baseField="0" baseItem="0"/>
    <dataField name="Suma de VALOR2" fld="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721691-3EE6-4F05-BF79-99128951D06B}" name="TablaDinámica3" cacheId="90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0:D35" firstHeaderRow="0" firstDataRow="1" firstDataCol="2"/>
  <pivotFields count="34">
    <pivotField compact="0" outline="0" showAll="0"/>
    <pivotField axis="axisRow" compact="0" outline="0" showAll="0" defaultSubtotal="0">
      <items count="7">
        <item x="3"/>
        <item x="1"/>
        <item x="2"/>
        <item m="1" x="6"/>
        <item m="1" x="5"/>
        <item x="0"/>
        <item h="1" x="4"/>
      </items>
    </pivotField>
    <pivotField axis="axisRow" compact="0" outline="0" showAll="0">
      <items count="9">
        <item x="1"/>
        <item x="3"/>
        <item x="0"/>
        <item x="2"/>
        <item m="1" x="6"/>
        <item m="1" x="5"/>
        <item x="4"/>
        <item m="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5">
    <i>
      <x/>
      <x v="1"/>
    </i>
    <i>
      <x v="1"/>
      <x/>
    </i>
    <i>
      <x v="2"/>
      <x v="3"/>
    </i>
    <i>
      <x v="5"/>
      <x v="2"/>
    </i>
    <i t="grand">
      <x/>
    </i>
  </rowItems>
  <colFields count="1">
    <field x="-2"/>
  </colFields>
  <colItems count="2">
    <i>
      <x/>
    </i>
    <i i="1">
      <x v="1"/>
    </i>
  </colItems>
  <dataFields count="2">
    <dataField name="%" fld="33" showDataAs="percentOfTotal" baseField="0" baseItem="0" numFmtId="10"/>
    <dataField name="$" fld="3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DBC2C3-47E1-41DC-9381-F513826CFABE}" name="TablaDinámica2" cacheId="90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6:D24" firstHeaderRow="0" firstDataRow="1" firstDataCol="2"/>
  <pivotFields count="39">
    <pivotField compact="0" outline="0" showAll="0"/>
    <pivotField axis="axisRow" compact="0" outline="0" showAll="0" defaultSubtotal="0">
      <items count="7">
        <item x="1"/>
        <item x="0"/>
        <item x="3"/>
        <item x="2"/>
        <item x="5"/>
        <item x="4"/>
        <item h="1" x="6"/>
      </items>
    </pivotField>
    <pivotField axis="axisRow" compact="0" outline="0" showAll="0">
      <items count="9">
        <item x="0"/>
        <item x="6"/>
        <item x="1"/>
        <item x="4"/>
        <item x="3"/>
        <item x="2"/>
        <item x="5"/>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8" showDataAs="percentOfTotal" baseField="0" baseItem="0" numFmtId="10"/>
    <dataField name="$" fld="3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abSelected="1" zoomScale="115" zoomScaleNormal="115" workbookViewId="0">
      <selection activeCell="D10" sqref="D10"/>
    </sheetView>
  </sheetViews>
  <sheetFormatPr defaultColWidth="11.42578125" defaultRowHeight="13.15"/>
  <cols>
    <col min="1" max="1" width="22.7109375" style="4" customWidth="1"/>
    <col min="2" max="2" width="11.5703125" style="4" customWidth="1"/>
    <col min="3" max="3" width="17.5703125" style="4" customWidth="1"/>
    <col min="4" max="4" width="14.85546875" style="4" customWidth="1"/>
    <col min="5" max="5" width="18.5703125" style="4" customWidth="1"/>
    <col min="6" max="7" width="23.7109375" style="4" customWidth="1"/>
    <col min="8" max="8" width="11.42578125" style="4"/>
    <col min="9" max="9" width="14.5703125" style="4" bestFit="1" customWidth="1"/>
    <col min="10" max="10" width="11.42578125" style="4"/>
    <col min="11" max="11" width="15.85546875" style="1" customWidth="1"/>
    <col min="12" max="12" width="16.85546875" style="1" customWidth="1"/>
    <col min="13" max="16384" width="11.42578125" style="1"/>
  </cols>
  <sheetData>
    <row r="1" spans="1:10">
      <c r="A1" s="130" t="s">
        <v>0</v>
      </c>
      <c r="B1" s="131"/>
      <c r="C1" s="131"/>
      <c r="D1" s="131"/>
      <c r="F1" s="118" t="s">
        <v>1</v>
      </c>
      <c r="G1" s="119"/>
      <c r="H1" s="119"/>
      <c r="I1" s="119"/>
      <c r="J1" s="120"/>
    </row>
    <row r="2" spans="1:10">
      <c r="A2" s="132" t="s">
        <v>2</v>
      </c>
      <c r="B2" s="132"/>
      <c r="C2" s="132"/>
      <c r="D2" s="132"/>
      <c r="F2" s="121">
        <f>A3</f>
        <v>45838</v>
      </c>
      <c r="G2" s="122"/>
      <c r="H2" s="122"/>
      <c r="I2" s="122"/>
      <c r="J2" s="123"/>
    </row>
    <row r="3" spans="1:10">
      <c r="A3" s="133">
        <v>45838</v>
      </c>
      <c r="B3" s="132"/>
      <c r="C3" s="132"/>
      <c r="D3" s="132"/>
      <c r="F3" s="5"/>
      <c r="G3" s="5"/>
      <c r="H3" s="5"/>
      <c r="I3" s="6"/>
      <c r="J3" s="6"/>
    </row>
    <row r="4" spans="1:10">
      <c r="A4" s="134"/>
      <c r="B4" s="134"/>
      <c r="C4" s="134"/>
      <c r="D4" s="134"/>
      <c r="F4" s="27" t="s">
        <v>3</v>
      </c>
      <c r="G4" s="27" t="s">
        <v>4</v>
      </c>
      <c r="H4" s="52" t="s">
        <v>5</v>
      </c>
      <c r="I4" s="27" t="s">
        <v>6</v>
      </c>
      <c r="J4" s="28" t="s">
        <v>5</v>
      </c>
    </row>
    <row r="5" spans="1:10">
      <c r="A5" s="24" t="s">
        <v>3</v>
      </c>
      <c r="B5" s="23" t="s">
        <v>7</v>
      </c>
      <c r="C5" s="25" t="s">
        <v>8</v>
      </c>
      <c r="D5" s="24" t="s">
        <v>9</v>
      </c>
      <c r="F5" s="104" t="s">
        <v>10</v>
      </c>
      <c r="G5" s="104" t="s">
        <v>11</v>
      </c>
      <c r="H5" s="51">
        <v>850800</v>
      </c>
      <c r="I5" s="51">
        <f t="shared" ref="I5:I6" si="0">H5*0.12</f>
        <v>102096</v>
      </c>
      <c r="J5" s="7">
        <f t="shared" ref="J5:J6" si="1">H5+I5</f>
        <v>952896</v>
      </c>
    </row>
    <row r="6" spans="1:10">
      <c r="A6" s="8" t="s">
        <v>12</v>
      </c>
      <c r="B6" s="9">
        <f>COUNTA(ADECUACIONES!A:A)-1</f>
        <v>45</v>
      </c>
      <c r="C6" s="10">
        <v>0</v>
      </c>
      <c r="D6" s="11">
        <f>ADECUACIONES!AM47</f>
        <v>7602999.8192799995</v>
      </c>
      <c r="F6" s="104" t="s">
        <v>13</v>
      </c>
      <c r="G6" s="104" t="s">
        <v>14</v>
      </c>
      <c r="H6" s="51">
        <v>457600</v>
      </c>
      <c r="I6" s="51">
        <f t="shared" si="0"/>
        <v>54912</v>
      </c>
      <c r="J6" s="7">
        <f t="shared" si="1"/>
        <v>512512</v>
      </c>
    </row>
    <row r="7" spans="1:10">
      <c r="A7" s="8" t="s">
        <v>15</v>
      </c>
      <c r="B7" s="9">
        <f>COUNTA(INCIDENTES!A:A)-1</f>
        <v>185</v>
      </c>
      <c r="C7" s="10">
        <v>0</v>
      </c>
      <c r="D7" s="12">
        <f>INCIDENTES!AM187</f>
        <v>17712902.414919998</v>
      </c>
      <c r="F7" s="31"/>
      <c r="G7" s="50"/>
      <c r="H7" s="49"/>
      <c r="I7" s="51">
        <f t="shared" ref="I7" si="2">H7*0.12</f>
        <v>0</v>
      </c>
      <c r="J7" s="7">
        <f t="shared" ref="J7" si="3">H7+I7</f>
        <v>0</v>
      </c>
    </row>
    <row r="8" spans="1:10">
      <c r="A8" s="8" t="s">
        <v>16</v>
      </c>
      <c r="B8" s="9">
        <f>COUNTA(OC!A:A)-1</f>
        <v>5</v>
      </c>
      <c r="C8" s="10">
        <v>0</v>
      </c>
      <c r="D8" s="12">
        <f>OC!AH7</f>
        <v>511514.45444</v>
      </c>
      <c r="F8" s="31"/>
      <c r="G8" s="50"/>
      <c r="H8" s="49"/>
      <c r="I8" s="51">
        <f t="shared" ref="I8:I9" si="4">H8*0.12</f>
        <v>0</v>
      </c>
      <c r="J8" s="7">
        <f t="shared" ref="J8:J9" si="5">H8+I8</f>
        <v>0</v>
      </c>
    </row>
    <row r="9" spans="1:10">
      <c r="A9" s="8" t="s">
        <v>17</v>
      </c>
      <c r="B9" s="9">
        <v>2</v>
      </c>
      <c r="C9" s="10">
        <v>0</v>
      </c>
      <c r="D9" s="12">
        <f>J12</f>
        <v>1465408</v>
      </c>
      <c r="F9" s="31"/>
      <c r="G9" s="50"/>
      <c r="H9" s="49"/>
      <c r="I9" s="51">
        <f t="shared" si="4"/>
        <v>0</v>
      </c>
      <c r="J9" s="7">
        <f t="shared" si="5"/>
        <v>0</v>
      </c>
    </row>
    <row r="10" spans="1:10">
      <c r="A10" s="135" t="s">
        <v>18</v>
      </c>
      <c r="B10" s="136"/>
      <c r="C10" s="137"/>
      <c r="D10" s="66">
        <f>SUM(D6:D9)</f>
        <v>27292824.688639998</v>
      </c>
      <c r="F10" s="31"/>
      <c r="G10" s="50"/>
      <c r="H10" s="49"/>
      <c r="I10" s="51">
        <f t="shared" ref="I10" si="6">H10*0.12</f>
        <v>0</v>
      </c>
      <c r="J10" s="7">
        <f t="shared" ref="J10" si="7">H10+I10</f>
        <v>0</v>
      </c>
    </row>
    <row r="11" spans="1:10">
      <c r="A11" s="124" t="s">
        <v>19</v>
      </c>
      <c r="B11" s="125"/>
      <c r="C11" s="126"/>
      <c r="D11" s="14">
        <f>D10*0.19</f>
        <v>5185636.6908415994</v>
      </c>
      <c r="F11" s="31"/>
      <c r="G11" s="50"/>
      <c r="H11" s="49"/>
      <c r="I11" s="51">
        <f t="shared" ref="I11" si="8">H11*0.12</f>
        <v>0</v>
      </c>
      <c r="J11" s="7">
        <f t="shared" ref="J11" si="9">H11+I11</f>
        <v>0</v>
      </c>
    </row>
    <row r="12" spans="1:10">
      <c r="A12" s="127" t="s">
        <v>5</v>
      </c>
      <c r="B12" s="128"/>
      <c r="C12" s="129"/>
      <c r="D12" s="26">
        <f>D10+D11</f>
        <v>32478461.379481599</v>
      </c>
      <c r="F12" s="29" t="s">
        <v>5</v>
      </c>
      <c r="G12" s="30"/>
      <c r="H12" s="48">
        <f>SUM(H5:H11)</f>
        <v>1308400</v>
      </c>
      <c r="I12" s="48">
        <f>SUM(I5:I11)</f>
        <v>157008</v>
      </c>
      <c r="J12" s="48">
        <f>SUM(J5:J11)</f>
        <v>1465408</v>
      </c>
    </row>
    <row r="14" spans="1:10">
      <c r="F14" s="15"/>
    </row>
    <row r="15" spans="1:10">
      <c r="D15" s="13"/>
    </row>
  </sheetData>
  <mergeCells count="9">
    <mergeCell ref="F1:J1"/>
    <mergeCell ref="F2:J2"/>
    <mergeCell ref="A11:C11"/>
    <mergeCell ref="A12:C12"/>
    <mergeCell ref="A1:D1"/>
    <mergeCell ref="A2:D2"/>
    <mergeCell ref="A3:D3"/>
    <mergeCell ref="A4:D4"/>
    <mergeCell ref="A10:C10"/>
  </mergeCells>
  <conditionalFormatting sqref="F5:F6">
    <cfRule type="duplicateValues" dxfId="7"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workbookViewId="0">
      <selection activeCell="D4" sqref="D4"/>
    </sheetView>
  </sheetViews>
  <sheetFormatPr defaultColWidth="11.42578125" defaultRowHeight="13.15"/>
  <cols>
    <col min="1" max="1" width="20" style="4" bestFit="1" customWidth="1"/>
    <col min="2" max="2" width="25.42578125" style="4" bestFit="1" customWidth="1"/>
    <col min="3" max="3" width="18.140625" style="4" bestFit="1" customWidth="1"/>
    <col min="4" max="4" width="18" style="4" bestFit="1" customWidth="1"/>
    <col min="5" max="5" width="15.85546875" style="2" customWidth="1"/>
    <col min="6" max="16384" width="11.42578125" style="2"/>
  </cols>
  <sheetData>
    <row r="1" spans="1:7">
      <c r="A1" s="138" t="s">
        <v>20</v>
      </c>
      <c r="B1" s="138"/>
      <c r="C1" s="138"/>
      <c r="D1" s="138"/>
      <c r="E1" s="22" t="s">
        <v>21</v>
      </c>
    </row>
    <row r="2" spans="1:7">
      <c r="A2" s="22" t="s">
        <v>22</v>
      </c>
      <c r="B2" s="22" t="s">
        <v>23</v>
      </c>
      <c r="C2" s="22" t="s">
        <v>24</v>
      </c>
      <c r="D2" s="22" t="s">
        <v>25</v>
      </c>
      <c r="E2" s="53">
        <v>5.1999999999999998E-2</v>
      </c>
    </row>
    <row r="3" spans="1:7">
      <c r="A3" s="16" t="s">
        <v>26</v>
      </c>
      <c r="B3" s="16" t="s">
        <v>27</v>
      </c>
      <c r="C3" s="54">
        <f>62700.07*(1+$E$2)</f>
        <v>65960.473639999997</v>
      </c>
      <c r="D3" s="54">
        <f>42357.4*(1+$E$2)</f>
        <v>44559.984800000006</v>
      </c>
      <c r="E3" s="3"/>
      <c r="F3" s="3"/>
      <c r="G3" s="3"/>
    </row>
    <row r="4" spans="1:7">
      <c r="A4" s="16" t="s">
        <v>28</v>
      </c>
      <c r="B4" s="16" t="s">
        <v>29</v>
      </c>
      <c r="C4" s="54">
        <f>155716.31*(1+$E$2)</f>
        <v>163813.55812</v>
      </c>
      <c r="D4" s="54">
        <f>127766.53*(1+$E$2)</f>
        <v>134410.38956000001</v>
      </c>
      <c r="E4" s="3"/>
      <c r="F4" s="3"/>
      <c r="G4" s="3"/>
    </row>
    <row r="5" spans="1:7">
      <c r="A5" s="16" t="s">
        <v>30</v>
      </c>
      <c r="B5" s="16" t="s">
        <v>31</v>
      </c>
      <c r="C5" s="54">
        <f>262099.22*(1+$E$2)</f>
        <v>275728.37943999999</v>
      </c>
      <c r="D5" s="54">
        <f>211886.19*(1+$E$2)</f>
        <v>222904.27188000001</v>
      </c>
      <c r="E5" s="3"/>
      <c r="F5" s="3"/>
      <c r="G5" s="3"/>
    </row>
    <row r="6" spans="1:7">
      <c r="A6" s="16" t="s">
        <v>32</v>
      </c>
      <c r="B6" s="16" t="s">
        <v>33</v>
      </c>
      <c r="C6" s="54">
        <f>455883.78*(1+$E$2)</f>
        <v>479589.73656000005</v>
      </c>
      <c r="D6" s="54">
        <f>441833.68*(1+$E$2)</f>
        <v>464809.03136000002</v>
      </c>
      <c r="E6" s="3"/>
      <c r="F6" s="3"/>
      <c r="G6" s="3"/>
    </row>
    <row r="7" spans="1:7">
      <c r="A7" s="16" t="s">
        <v>34</v>
      </c>
      <c r="B7" s="16" t="s">
        <v>35</v>
      </c>
      <c r="C7" s="54">
        <f>455883.78*(1+$E$2)</f>
        <v>479589.73656000005</v>
      </c>
      <c r="D7" s="54">
        <f>441833.68*(1+$E$2)</f>
        <v>464809.03136000002</v>
      </c>
      <c r="E7" s="3"/>
      <c r="F7" s="3"/>
      <c r="G7" s="3"/>
    </row>
    <row r="8" spans="1:7" ht="24" customHeight="1">
      <c r="A8" s="139" t="s">
        <v>36</v>
      </c>
      <c r="B8" s="140"/>
      <c r="C8" s="140"/>
      <c r="D8" s="141"/>
      <c r="E8" s="3"/>
    </row>
    <row r="9" spans="1:7">
      <c r="A9" s="17"/>
      <c r="B9" s="18"/>
      <c r="C9" s="18"/>
      <c r="D9" s="19"/>
    </row>
    <row r="10" spans="1:7">
      <c r="A10" s="16" t="s">
        <v>37</v>
      </c>
      <c r="B10" s="54">
        <f>36031.04*(1+$E$2)</f>
        <v>37904.65408</v>
      </c>
      <c r="C10" s="3"/>
      <c r="D10" s="3"/>
    </row>
    <row r="11" spans="1:7">
      <c r="A11" s="16" t="s">
        <v>38</v>
      </c>
      <c r="B11" s="54">
        <f>30182.1*(1+$E$2)</f>
        <v>31751.569199999998</v>
      </c>
      <c r="C11" s="3"/>
      <c r="D11" s="3"/>
    </row>
    <row r="12" spans="1:7">
      <c r="A12" s="16" t="s">
        <v>39</v>
      </c>
      <c r="B12" s="54">
        <f>15432.22*(1+$E$2)</f>
        <v>16234.69544</v>
      </c>
      <c r="C12" s="3"/>
      <c r="D12" s="3"/>
    </row>
    <row r="13" spans="1:7">
      <c r="A13" s="16" t="s">
        <v>40</v>
      </c>
      <c r="B13" s="54">
        <f>244669.03*(1+$E$2)</f>
        <v>257391.81956</v>
      </c>
      <c r="C13" s="3"/>
      <c r="D13" s="3"/>
    </row>
    <row r="14" spans="1:7">
      <c r="A14" s="16" t="s">
        <v>41</v>
      </c>
      <c r="B14" s="54">
        <f>291399.51*(1+$E$2)</f>
        <v>306552.28452000004</v>
      </c>
      <c r="C14" s="3"/>
      <c r="D14" s="3"/>
    </row>
    <row r="15" spans="1:7">
      <c r="A15" s="16" t="s">
        <v>42</v>
      </c>
      <c r="B15" s="55">
        <f>53547.34*(1+$E$2)</f>
        <v>56331.801679999997</v>
      </c>
      <c r="C15" s="3"/>
      <c r="D15" s="3"/>
    </row>
    <row r="16" spans="1:7">
      <c r="E16" s="3"/>
    </row>
  </sheetData>
  <mergeCells count="2">
    <mergeCell ref="A1:D1"/>
    <mergeCell ref="A8: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29889-F54C-4F8E-884B-5C7EB47FE05B}">
  <dimension ref="A2:L37"/>
  <sheetViews>
    <sheetView workbookViewId="0">
      <selection activeCell="J6" sqref="J3:J9"/>
    </sheetView>
  </sheetViews>
  <sheetFormatPr defaultColWidth="8.85546875" defaultRowHeight="13.15"/>
  <cols>
    <col min="1" max="1" width="34.7109375" bestFit="1" customWidth="1"/>
    <col min="2" max="2" width="32.85546875" bestFit="1" customWidth="1"/>
    <col min="3" max="3" width="8.28515625" bestFit="1" customWidth="1"/>
    <col min="4" max="4" width="12" bestFit="1" customWidth="1"/>
    <col min="5" max="5" width="13.5703125" customWidth="1"/>
    <col min="6" max="6" width="13.28515625" customWidth="1"/>
    <col min="10" max="10" width="33.7109375" bestFit="1" customWidth="1"/>
    <col min="11" max="11" width="15.7109375" bestFit="1" customWidth="1"/>
    <col min="12" max="12" width="16.7109375" bestFit="1" customWidth="1"/>
  </cols>
  <sheetData>
    <row r="2" spans="1:12">
      <c r="A2" s="47" t="s">
        <v>43</v>
      </c>
      <c r="J2" s="44" t="s">
        <v>44</v>
      </c>
      <c r="K2" t="s">
        <v>45</v>
      </c>
      <c r="L2" t="s">
        <v>46</v>
      </c>
    </row>
    <row r="3" spans="1:12">
      <c r="A3" s="44" t="s">
        <v>47</v>
      </c>
      <c r="B3" s="44" t="s">
        <v>48</v>
      </c>
      <c r="C3" t="s">
        <v>49</v>
      </c>
      <c r="D3" t="s">
        <v>50</v>
      </c>
      <c r="E3" t="s">
        <v>44</v>
      </c>
      <c r="F3" t="s">
        <v>51</v>
      </c>
      <c r="J3" t="s">
        <v>52</v>
      </c>
      <c r="K3">
        <v>2202836.4940799996</v>
      </c>
      <c r="L3" s="45">
        <v>8.5734376313759519E-2</v>
      </c>
    </row>
    <row r="4" spans="1:12">
      <c r="A4" t="s">
        <v>53</v>
      </c>
      <c r="B4" t="s">
        <v>54</v>
      </c>
      <c r="C4" s="45">
        <v>7.6073103131074529E-2</v>
      </c>
      <c r="D4" s="46">
        <v>568214.34039999987</v>
      </c>
      <c r="E4" t="str">
        <f>VLOOKUP(B4,'CENTRO DE COSTOS'!B:C,2,0)</f>
        <v>Redeban Eje Cafetero (Pereira)</v>
      </c>
      <c r="F4" s="46">
        <f>D4</f>
        <v>568214.34039999987</v>
      </c>
      <c r="J4" t="s">
        <v>55</v>
      </c>
      <c r="K4">
        <v>1811081.2988399998</v>
      </c>
      <c r="L4" s="45">
        <v>7.0487267678216503E-2</v>
      </c>
    </row>
    <row r="5" spans="1:12">
      <c r="B5" t="s">
        <v>56</v>
      </c>
      <c r="C5" s="45">
        <v>0.20942540113659078</v>
      </c>
      <c r="D5" s="46">
        <v>1564265.30892</v>
      </c>
      <c r="E5" t="str">
        <f>VLOOKUP(B5,'CENTRO DE COSTOS'!B:C,2,0)</f>
        <v>Redeban Suroccidente (Cali)</v>
      </c>
      <c r="F5" s="46">
        <f t="shared" ref="F5:F7" si="0">D5</f>
        <v>1564265.30892</v>
      </c>
      <c r="J5" t="s">
        <v>57</v>
      </c>
      <c r="K5">
        <v>2058226.3859199998</v>
      </c>
      <c r="L5" s="45">
        <v>8.0106152219469276E-2</v>
      </c>
    </row>
    <row r="6" spans="1:12">
      <c r="A6" t="s">
        <v>58</v>
      </c>
      <c r="B6" t="s">
        <v>59</v>
      </c>
      <c r="C6" s="45">
        <v>1.1931470496936845E-2</v>
      </c>
      <c r="D6" s="46">
        <v>89119.969600000011</v>
      </c>
      <c r="E6" t="str">
        <f>VLOOKUP(B6,'CENTRO DE COSTOS'!B:C,2,0)</f>
        <v>Redeban Costa (Barranqullla)</v>
      </c>
      <c r="F6" s="46">
        <f t="shared" si="0"/>
        <v>89119.969600000011</v>
      </c>
      <c r="J6" t="s">
        <v>60</v>
      </c>
      <c r="K6">
        <v>8916103.2210800089</v>
      </c>
      <c r="L6" s="45">
        <v>0.34701465626828126</v>
      </c>
    </row>
    <row r="7" spans="1:12">
      <c r="A7" t="s">
        <v>61</v>
      </c>
      <c r="B7" t="s">
        <v>62</v>
      </c>
      <c r="C7" s="45">
        <v>0.10872790444261519</v>
      </c>
      <c r="D7" s="46">
        <v>812123.49652000004</v>
      </c>
      <c r="E7" t="str">
        <f>VLOOKUP(B7,'CENTRO DE COSTOS'!B:C,2,0)</f>
        <v>Redeban Noroccidente (Medellín)</v>
      </c>
      <c r="F7" s="46">
        <f t="shared" si="0"/>
        <v>812123.49652000004</v>
      </c>
      <c r="J7" t="s">
        <v>63</v>
      </c>
      <c r="K7">
        <v>2740326.69056</v>
      </c>
      <c r="L7" s="45">
        <v>0.10665348987203498</v>
      </c>
    </row>
    <row r="8" spans="1:12">
      <c r="A8" t="s">
        <v>64</v>
      </c>
      <c r="B8" t="s">
        <v>65</v>
      </c>
      <c r="C8" s="45">
        <v>0.12723135538864325</v>
      </c>
      <c r="D8" s="46">
        <v>950331.69024000003</v>
      </c>
      <c r="E8" t="str">
        <f>VLOOKUP(B8,'CENTRO DE COSTOS'!B:C,2,0)</f>
        <v>Redeban Oriente (Otros)</v>
      </c>
      <c r="F8" s="46">
        <f t="shared" ref="F8:F10" si="1">D8</f>
        <v>950331.69024000003</v>
      </c>
      <c r="J8" t="s">
        <v>66</v>
      </c>
      <c r="K8">
        <v>4195509.4777600002</v>
      </c>
      <c r="L8" s="45">
        <v>0.16328919071428705</v>
      </c>
    </row>
    <row r="9" spans="1:12">
      <c r="A9" t="s">
        <v>67</v>
      </c>
      <c r="B9" t="s">
        <v>68</v>
      </c>
      <c r="C9" s="45">
        <v>0.35038224611927848</v>
      </c>
      <c r="D9" s="46">
        <v>2617117.07124</v>
      </c>
      <c r="E9" t="str">
        <f>VLOOKUP(B9,'CENTRO DE COSTOS'!B:C,2,0)</f>
        <v>Redeban Santander</v>
      </c>
      <c r="F9" s="46">
        <f t="shared" si="1"/>
        <v>2617117.07124</v>
      </c>
      <c r="J9" t="s">
        <v>69</v>
      </c>
      <c r="K9">
        <v>3769653.1660000002</v>
      </c>
      <c r="L9" s="45">
        <v>0.14671486693395133</v>
      </c>
    </row>
    <row r="10" spans="1:12">
      <c r="A10" t="s">
        <v>70</v>
      </c>
      <c r="B10" t="s">
        <v>71</v>
      </c>
      <c r="C10" s="45">
        <v>0.11622851928486094</v>
      </c>
      <c r="D10" s="46">
        <v>868147.98795999994</v>
      </c>
      <c r="E10" t="str">
        <f>VLOOKUP(B10,'CENTRO DE COSTOS'!B:C,2,0)</f>
        <v>Redeban Centro ( Bogotá)</v>
      </c>
      <c r="F10" s="46">
        <f t="shared" si="1"/>
        <v>868147.98795999994</v>
      </c>
      <c r="J10" t="s">
        <v>72</v>
      </c>
      <c r="K10">
        <v>25693736.73424001</v>
      </c>
      <c r="L10" s="45">
        <v>1</v>
      </c>
    </row>
    <row r="11" spans="1:12">
      <c r="A11" t="s">
        <v>72</v>
      </c>
      <c r="C11" s="45">
        <v>1</v>
      </c>
      <c r="D11" s="46">
        <v>7469319.8648799993</v>
      </c>
    </row>
    <row r="15" spans="1:12">
      <c r="A15" s="47" t="s">
        <v>73</v>
      </c>
    </row>
    <row r="16" spans="1:12">
      <c r="A16" s="44" t="s">
        <v>47</v>
      </c>
      <c r="B16" s="44" t="s">
        <v>48</v>
      </c>
      <c r="C16" t="s">
        <v>49</v>
      </c>
      <c r="D16" t="s">
        <v>50</v>
      </c>
      <c r="E16" t="s">
        <v>44</v>
      </c>
    </row>
    <row r="17" spans="1:6">
      <c r="A17" t="s">
        <v>53</v>
      </c>
      <c r="B17" t="s">
        <v>54</v>
      </c>
      <c r="C17" s="45">
        <v>8.4120152113801888E-2</v>
      </c>
      <c r="D17">
        <v>1490012.0455199999</v>
      </c>
      <c r="E17" t="str">
        <f>VLOOKUP(B17,'CENTRO DE COSTOS'!B:C,2,0)</f>
        <v>Redeban Eje Cafetero (Pereira)</v>
      </c>
      <c r="F17" s="46">
        <f>D17</f>
        <v>1490012.0455199999</v>
      </c>
    </row>
    <row r="18" spans="1:6">
      <c r="B18" t="s">
        <v>56</v>
      </c>
      <c r="C18" s="45">
        <v>0.1207835584098238</v>
      </c>
      <c r="D18">
        <v>2139427.38344</v>
      </c>
      <c r="E18" t="str">
        <f>VLOOKUP(B18,'CENTRO DE COSTOS'!B:C,2,0)</f>
        <v>Redeban Suroccidente (Cali)</v>
      </c>
      <c r="F18" s="46">
        <f t="shared" ref="F18:F23" si="2">D18</f>
        <v>2139427.38344</v>
      </c>
    </row>
    <row r="19" spans="1:6">
      <c r="A19" t="s">
        <v>58</v>
      </c>
      <c r="B19" t="s">
        <v>59</v>
      </c>
      <c r="C19" s="45">
        <v>9.5075139901492245E-2</v>
      </c>
      <c r="D19">
        <v>1684056.6751599999</v>
      </c>
      <c r="E19" t="str">
        <f>VLOOKUP(B19,'CENTRO DE COSTOS'!B:C,2,0)</f>
        <v>Redeban Costa (Barranqullla)</v>
      </c>
      <c r="F19" s="46">
        <f t="shared" si="2"/>
        <v>1684056.6751599999</v>
      </c>
    </row>
    <row r="20" spans="1:6">
      <c r="A20" t="s">
        <v>61</v>
      </c>
      <c r="B20" t="s">
        <v>62</v>
      </c>
      <c r="C20" s="45">
        <v>0.44195192644013448</v>
      </c>
      <c r="D20">
        <v>7828251.3451200081</v>
      </c>
      <c r="E20" t="str">
        <f>VLOOKUP(B20,'CENTRO DE COSTOS'!B:C,2,0)</f>
        <v>Redeban Noroccidente (Medellín)</v>
      </c>
      <c r="F20" s="46">
        <f t="shared" si="2"/>
        <v>7828251.3451200081</v>
      </c>
    </row>
    <row r="21" spans="1:6">
      <c r="A21" t="s">
        <v>64</v>
      </c>
      <c r="B21" t="s">
        <v>65</v>
      </c>
      <c r="C21" s="45">
        <v>0.10105599626700612</v>
      </c>
      <c r="D21">
        <v>1789995.0003200001</v>
      </c>
      <c r="E21" t="str">
        <f>VLOOKUP(B21,'CENTRO DE COSTOS'!B:C,2,0)</f>
        <v>Redeban Oriente (Otros)</v>
      </c>
      <c r="F21" s="46">
        <f t="shared" si="2"/>
        <v>1789995.0003200001</v>
      </c>
    </row>
    <row r="22" spans="1:6">
      <c r="A22" t="s">
        <v>67</v>
      </c>
      <c r="B22" t="s">
        <v>68</v>
      </c>
      <c r="C22" s="45">
        <v>8.9109755676770486E-2</v>
      </c>
      <c r="D22">
        <v>1578392.40652</v>
      </c>
      <c r="E22" t="str">
        <f>VLOOKUP(B22,'CENTRO DE COSTOS'!B:C,2,0)</f>
        <v>Redeban Santander</v>
      </c>
      <c r="F22" s="46">
        <f t="shared" si="2"/>
        <v>1578392.40652</v>
      </c>
    </row>
    <row r="23" spans="1:6">
      <c r="A23" t="s">
        <v>70</v>
      </c>
      <c r="B23" t="s">
        <v>71</v>
      </c>
      <c r="C23" s="45">
        <v>6.7903471190970899E-2</v>
      </c>
      <c r="D23">
        <v>1202767.5588399998</v>
      </c>
      <c r="E23" t="str">
        <f>VLOOKUP(B23,'CENTRO DE COSTOS'!B:C,2,0)</f>
        <v>Redeban Centro ( Bogotá)</v>
      </c>
      <c r="F23" s="46">
        <f t="shared" si="2"/>
        <v>1202767.5588399998</v>
      </c>
    </row>
    <row r="24" spans="1:6">
      <c r="A24" t="s">
        <v>72</v>
      </c>
      <c r="C24" s="45">
        <v>1</v>
      </c>
      <c r="D24">
        <v>17712902.41492001</v>
      </c>
    </row>
    <row r="29" spans="1:6">
      <c r="A29" s="47" t="s">
        <v>74</v>
      </c>
    </row>
    <row r="30" spans="1:6">
      <c r="A30" s="44" t="s">
        <v>47</v>
      </c>
      <c r="B30" s="44" t="s">
        <v>48</v>
      </c>
      <c r="C30" t="s">
        <v>49</v>
      </c>
      <c r="D30" t="s">
        <v>50</v>
      </c>
      <c r="E30" t="s">
        <v>44</v>
      </c>
    </row>
    <row r="31" spans="1:6">
      <c r="A31" t="s">
        <v>53</v>
      </c>
      <c r="B31" t="s">
        <v>56</v>
      </c>
      <c r="C31" s="45">
        <v>0.12895133865222391</v>
      </c>
      <c r="D31">
        <v>65960.473639999997</v>
      </c>
      <c r="E31" t="str">
        <f>VLOOKUP(B31,'CENTRO DE COSTOS'!B:C,2,0)</f>
        <v>Redeban Suroccidente (Cali)</v>
      </c>
      <c r="F31" s="46">
        <f>D31</f>
        <v>65960.473639999997</v>
      </c>
    </row>
    <row r="32" spans="1:6">
      <c r="A32" t="s">
        <v>58</v>
      </c>
      <c r="B32" t="s">
        <v>59</v>
      </c>
      <c r="C32" s="45">
        <v>7.4102801496582479E-2</v>
      </c>
      <c r="D32">
        <v>37904.65408</v>
      </c>
      <c r="E32" t="str">
        <f>VLOOKUP(B32,'CENTRO DE COSTOS'!B:C,2,0)</f>
        <v>Redeban Costa (Barranqullla)</v>
      </c>
      <c r="F32" s="46">
        <f t="shared" ref="F32:F35" si="3">D32</f>
        <v>37904.65408</v>
      </c>
    </row>
    <row r="33" spans="1:6">
      <c r="A33" t="s">
        <v>61</v>
      </c>
      <c r="B33" t="s">
        <v>62</v>
      </c>
      <c r="C33" s="45">
        <v>0.53904318254674577</v>
      </c>
      <c r="D33">
        <v>275728.37943999999</v>
      </c>
      <c r="E33" t="str">
        <f>VLOOKUP(B33,'CENTRO DE COSTOS'!B:C,2,0)</f>
        <v>Redeban Noroccidente (Medellín)</v>
      </c>
      <c r="F33" s="46">
        <f t="shared" si="3"/>
        <v>275728.37943999999</v>
      </c>
    </row>
    <row r="34" spans="1:6">
      <c r="A34" t="s">
        <v>70</v>
      </c>
      <c r="B34" t="s">
        <v>71</v>
      </c>
      <c r="C34" s="45">
        <v>0.25790267730444782</v>
      </c>
      <c r="D34">
        <v>131920.94727999999</v>
      </c>
      <c r="E34" t="str">
        <f>VLOOKUP(B34,'CENTRO DE COSTOS'!B:C,2,0)</f>
        <v>Redeban Centro ( Bogotá)</v>
      </c>
      <c r="F34" s="46">
        <f t="shared" si="3"/>
        <v>131920.94727999999</v>
      </c>
    </row>
    <row r="35" spans="1:6">
      <c r="A35" t="s">
        <v>72</v>
      </c>
      <c r="C35" s="45">
        <v>1</v>
      </c>
      <c r="D35">
        <v>511514.45444</v>
      </c>
      <c r="E35" t="e">
        <f>VLOOKUP(B35,'CENTRO DE COSTOS'!B:C,2,0)</f>
        <v>#N/A</v>
      </c>
      <c r="F35" s="46">
        <f t="shared" si="3"/>
        <v>511514.45444</v>
      </c>
    </row>
    <row r="36" spans="1:6">
      <c r="F36" s="46"/>
    </row>
    <row r="37" spans="1:6">
      <c r="F37"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47"/>
  <sheetViews>
    <sheetView topLeftCell="R1" zoomScaleNormal="100" workbookViewId="0">
      <pane ySplit="1" topLeftCell="V22" activePane="bottomLeft" state="frozen"/>
      <selection pane="bottomLeft" activeCell="AM47" sqref="AM47"/>
    </sheetView>
  </sheetViews>
  <sheetFormatPr defaultColWidth="11.42578125" defaultRowHeight="13.15"/>
  <cols>
    <col min="1" max="1" width="11.42578125" style="87"/>
    <col min="2" max="2" width="12.28515625" style="4" bestFit="1" customWidth="1"/>
    <col min="3" max="3" width="12.28515625" style="4" customWidth="1"/>
    <col min="4" max="8" width="12.28515625" style="87" customWidth="1"/>
    <col min="9" max="11" width="11.42578125" style="88"/>
    <col min="12" max="16" width="11.42578125" style="87"/>
    <col min="17" max="17" width="11.42578125" style="1"/>
    <col min="18" max="18" width="11.42578125" style="4"/>
    <col min="19" max="20" width="11.42578125" style="87"/>
    <col min="21" max="22" width="11.42578125" style="89"/>
    <col min="23" max="29" width="11.42578125" style="87"/>
    <col min="30" max="31" width="11.42578125" style="4"/>
    <col min="32" max="32" width="11.42578125" style="1"/>
    <col min="33" max="37" width="11.42578125" style="90"/>
    <col min="38" max="38" width="13" style="91" bestFit="1" customWidth="1"/>
    <col min="39" max="39" width="16.42578125" style="91" customWidth="1"/>
    <col min="40" max="16384" width="11.42578125" style="87"/>
  </cols>
  <sheetData>
    <row r="1" spans="1:39" s="67" customFormat="1" ht="66">
      <c r="A1" s="57" t="s">
        <v>75</v>
      </c>
      <c r="B1" s="57" t="s">
        <v>47</v>
      </c>
      <c r="C1" s="57" t="s">
        <v>48</v>
      </c>
      <c r="D1" s="57" t="s">
        <v>76</v>
      </c>
      <c r="E1" s="57" t="s">
        <v>77</v>
      </c>
      <c r="F1" s="58" t="s">
        <v>78</v>
      </c>
      <c r="G1" s="61" t="s">
        <v>79</v>
      </c>
      <c r="H1" s="61" t="s">
        <v>80</v>
      </c>
      <c r="I1" s="59" t="s">
        <v>81</v>
      </c>
      <c r="J1" s="59" t="s">
        <v>82</v>
      </c>
      <c r="K1" s="59" t="s">
        <v>83</v>
      </c>
      <c r="L1" s="60" t="s">
        <v>84</v>
      </c>
      <c r="M1" s="60" t="s">
        <v>75</v>
      </c>
      <c r="N1" s="60" t="s">
        <v>85</v>
      </c>
      <c r="O1" s="57" t="s">
        <v>86</v>
      </c>
      <c r="P1" s="57" t="s">
        <v>87</v>
      </c>
      <c r="Q1" s="61" t="s">
        <v>88</v>
      </c>
      <c r="R1" s="57" t="s">
        <v>89</v>
      </c>
      <c r="S1" s="61" t="s">
        <v>90</v>
      </c>
      <c r="T1" s="61" t="s">
        <v>91</v>
      </c>
      <c r="U1" s="62" t="s">
        <v>92</v>
      </c>
      <c r="V1" s="62" t="s">
        <v>93</v>
      </c>
      <c r="W1" s="62" t="s">
        <v>94</v>
      </c>
      <c r="X1" s="61" t="s">
        <v>95</v>
      </c>
      <c r="Y1" s="61" t="s">
        <v>96</v>
      </c>
      <c r="Z1" s="61" t="s">
        <v>97</v>
      </c>
      <c r="AA1" s="61" t="s">
        <v>98</v>
      </c>
      <c r="AB1" s="61" t="s">
        <v>99</v>
      </c>
      <c r="AC1" s="61" t="s">
        <v>100</v>
      </c>
      <c r="AD1" s="61" t="s">
        <v>101</v>
      </c>
      <c r="AE1" s="61" t="s">
        <v>102</v>
      </c>
      <c r="AF1" s="61" t="s">
        <v>103</v>
      </c>
      <c r="AG1" s="63" t="s">
        <v>104</v>
      </c>
      <c r="AH1" s="63" t="s">
        <v>105</v>
      </c>
      <c r="AI1" s="63" t="s">
        <v>106</v>
      </c>
      <c r="AJ1" s="63" t="s">
        <v>107</v>
      </c>
      <c r="AK1" s="63" t="s">
        <v>108</v>
      </c>
      <c r="AL1" s="63" t="s">
        <v>109</v>
      </c>
      <c r="AM1" s="63" t="s">
        <v>110</v>
      </c>
    </row>
    <row r="2" spans="1:39" s="67" customFormat="1" ht="13.9">
      <c r="A2" s="93" t="s">
        <v>111</v>
      </c>
      <c r="B2" s="64" t="str">
        <f>VLOOKUP(A2,'CENTRO DE COSTOS'!A:D,4,FALSE)</f>
        <v>JUAN SEBASTIÁN RÍOS CASTRILLÓN</v>
      </c>
      <c r="C2" s="64" t="str">
        <f>VLOOKUP(A2,'CENTRO DE COSTOS'!A:C,2,FALSE)</f>
        <v>0004-0005</v>
      </c>
      <c r="D2" s="92">
        <v>27361</v>
      </c>
      <c r="E2" s="98" t="s">
        <v>112</v>
      </c>
      <c r="F2" s="115" t="s">
        <v>113</v>
      </c>
      <c r="G2" s="96">
        <v>45805</v>
      </c>
      <c r="H2" s="97">
        <v>45817</v>
      </c>
      <c r="I2" s="96">
        <v>45805</v>
      </c>
      <c r="J2" s="97">
        <v>45812</v>
      </c>
      <c r="K2" s="97">
        <v>45812</v>
      </c>
      <c r="L2" s="94" t="s">
        <v>114</v>
      </c>
      <c r="M2" s="93" t="s">
        <v>115</v>
      </c>
      <c r="N2" s="94" t="s">
        <v>116</v>
      </c>
      <c r="O2" s="94">
        <v>79563</v>
      </c>
      <c r="P2" s="95" t="s">
        <v>117</v>
      </c>
      <c r="Q2" s="70" t="s">
        <v>118</v>
      </c>
      <c r="R2" s="71" t="s">
        <v>119</v>
      </c>
      <c r="S2" s="116" t="s">
        <v>120</v>
      </c>
      <c r="T2" s="117" t="s">
        <v>120</v>
      </c>
      <c r="U2" s="117" t="s">
        <v>121</v>
      </c>
      <c r="V2" s="100" t="s">
        <v>122</v>
      </c>
      <c r="W2" s="99" t="s">
        <v>123</v>
      </c>
      <c r="X2" s="92" t="s">
        <v>124</v>
      </c>
      <c r="Y2" s="92">
        <v>771855</v>
      </c>
      <c r="Z2" s="92" t="s">
        <v>125</v>
      </c>
      <c r="AA2" s="92">
        <v>1146028</v>
      </c>
      <c r="AB2" s="92" t="s">
        <v>125</v>
      </c>
      <c r="AC2" s="92" t="s">
        <v>126</v>
      </c>
      <c r="AD2" s="68" t="str">
        <f>VLOOKUP(D2,TIPOLOGIAS!A:F,6,0)</f>
        <v>TIPO IV ESPECIAL</v>
      </c>
      <c r="AE2" s="68" t="str">
        <f>VLOOKUP(D2,TIPOLOGIAS!A:F,5,0)</f>
        <v>AEREO</v>
      </c>
      <c r="AF2" s="69" t="s">
        <v>127</v>
      </c>
      <c r="AG2" s="92">
        <v>10</v>
      </c>
      <c r="AH2" s="92">
        <v>0</v>
      </c>
      <c r="AI2" s="92">
        <v>0</v>
      </c>
      <c r="AJ2" s="92">
        <v>0</v>
      </c>
      <c r="AK2" s="92">
        <v>0</v>
      </c>
      <c r="AL2" s="65">
        <f>IF(AD2="TIPO I",'BASE LIQUIDACION'!$D$3,IF(AD2="TIPO II",'BASE LIQUIDACION'!$D$4,IF(AD2="TIPO III",'BASE LIQUIDACION'!$D$5,'BASE LIQUIDACION'!$D$7)))</f>
        <v>464809.03136000002</v>
      </c>
      <c r="AM2" s="65">
        <f>AG2*'BASE LIQUIDACION'!$B$12+AH2*'BASE LIQUIDACION'!$B$11+AI2*'BASE LIQUIDACION'!$B$13+AJ2*'BASE LIQUIDACION'!$B$14+AK2*AL2</f>
        <v>162346.95439999999</v>
      </c>
    </row>
    <row r="3" spans="1:39" s="67" customFormat="1" ht="13.9">
      <c r="A3" s="93" t="s">
        <v>128</v>
      </c>
      <c r="B3" s="64" t="str">
        <f>VLOOKUP(A3,'CENTRO DE COSTOS'!A:D,4,FALSE)</f>
        <v>JUAN SEBASTIÁN RÍOS CASTRILLÓN</v>
      </c>
      <c r="C3" s="64" t="str">
        <f>VLOOKUP(A3,'CENTRO DE COSTOS'!A:C,2,FALSE)</f>
        <v>0004-0005</v>
      </c>
      <c r="D3" s="92">
        <v>5837</v>
      </c>
      <c r="E3" s="98" t="s">
        <v>129</v>
      </c>
      <c r="F3" s="115" t="s">
        <v>130</v>
      </c>
      <c r="G3" s="96">
        <v>45811</v>
      </c>
      <c r="H3" s="97">
        <v>45813</v>
      </c>
      <c r="I3" s="96">
        <v>45811</v>
      </c>
      <c r="J3" s="97">
        <v>45819</v>
      </c>
      <c r="K3" s="97">
        <v>45819</v>
      </c>
      <c r="L3" s="94" t="s">
        <v>131</v>
      </c>
      <c r="M3" s="93" t="s">
        <v>132</v>
      </c>
      <c r="N3" s="94" t="s">
        <v>133</v>
      </c>
      <c r="O3" s="94">
        <v>79383</v>
      </c>
      <c r="P3" s="95" t="s">
        <v>134</v>
      </c>
      <c r="Q3" s="70" t="s">
        <v>118</v>
      </c>
      <c r="R3" s="71" t="s">
        <v>119</v>
      </c>
      <c r="S3" s="116" t="s">
        <v>120</v>
      </c>
      <c r="T3" s="117" t="s">
        <v>120</v>
      </c>
      <c r="U3" s="92" t="s">
        <v>121</v>
      </c>
      <c r="V3" s="100" t="s">
        <v>135</v>
      </c>
      <c r="W3" s="99" t="s">
        <v>136</v>
      </c>
      <c r="X3" s="92" t="s">
        <v>137</v>
      </c>
      <c r="Y3" s="92">
        <v>1051048</v>
      </c>
      <c r="Z3" s="92" t="s">
        <v>125</v>
      </c>
      <c r="AA3" s="92">
        <v>545397</v>
      </c>
      <c r="AB3" s="92" t="s">
        <v>125</v>
      </c>
      <c r="AC3" s="92" t="s">
        <v>126</v>
      </c>
      <c r="AD3" s="68" t="str">
        <f>VLOOKUP(D3,TIPOLOGIAS!A:F,6,0)</f>
        <v>TIPO II</v>
      </c>
      <c r="AE3" s="68" t="str">
        <f>VLOOKUP(D3,TIPOLOGIAS!A:F,5,0)</f>
        <v>TERRESTRE</v>
      </c>
      <c r="AF3" s="69" t="s">
        <v>127</v>
      </c>
      <c r="AG3" s="92">
        <v>10</v>
      </c>
      <c r="AH3" s="92">
        <v>0</v>
      </c>
      <c r="AI3" s="92">
        <v>0</v>
      </c>
      <c r="AJ3" s="92">
        <v>0</v>
      </c>
      <c r="AK3" s="92">
        <v>0</v>
      </c>
      <c r="AL3" s="65">
        <f>IF(AD3="TIPO I",'BASE LIQUIDACION'!$D$3,IF(AD3="TIPO II",'BASE LIQUIDACION'!$D$4,IF(AD3="TIPO III",'BASE LIQUIDACION'!$D$5,'BASE LIQUIDACION'!$D$7)))</f>
        <v>134410.38956000001</v>
      </c>
      <c r="AM3" s="65">
        <f>AG3*'BASE LIQUIDACION'!$B$12+AH3*'BASE LIQUIDACION'!$B$11+AI3*'BASE LIQUIDACION'!$B$13+AJ3*'BASE LIQUIDACION'!$B$14+AK3*AL3</f>
        <v>162346.95439999999</v>
      </c>
    </row>
    <row r="4" spans="1:39" s="67" customFormat="1" ht="13.9">
      <c r="A4" s="93" t="s">
        <v>138</v>
      </c>
      <c r="B4" s="64" t="str">
        <f>VLOOKUP(A4,'CENTRO DE COSTOS'!A:D,4,FALSE)</f>
        <v>DIEGO FERNANDO HENAO CARDONA</v>
      </c>
      <c r="C4" s="64" t="str">
        <f>VLOOKUP(A4,'CENTRO DE COSTOS'!A:C,2,FALSE)</f>
        <v>0004-0003</v>
      </c>
      <c r="D4" s="92">
        <v>76318</v>
      </c>
      <c r="E4" s="98" t="s">
        <v>139</v>
      </c>
      <c r="F4" s="115" t="s">
        <v>140</v>
      </c>
      <c r="G4" s="96">
        <v>45817</v>
      </c>
      <c r="H4" s="97">
        <v>45819</v>
      </c>
      <c r="I4" s="96">
        <v>45817</v>
      </c>
      <c r="J4" s="97">
        <v>45818</v>
      </c>
      <c r="K4" s="97">
        <v>45818</v>
      </c>
      <c r="L4" s="94" t="s">
        <v>141</v>
      </c>
      <c r="M4" s="93" t="s">
        <v>142</v>
      </c>
      <c r="N4" s="94" t="s">
        <v>143</v>
      </c>
      <c r="O4" s="94">
        <v>79774</v>
      </c>
      <c r="P4" s="95" t="s">
        <v>117</v>
      </c>
      <c r="Q4" s="70" t="s">
        <v>118</v>
      </c>
      <c r="R4" s="71" t="s">
        <v>119</v>
      </c>
      <c r="S4" s="116" t="s">
        <v>120</v>
      </c>
      <c r="T4" s="117" t="s">
        <v>120</v>
      </c>
      <c r="U4" s="92" t="s">
        <v>121</v>
      </c>
      <c r="V4" s="100" t="s">
        <v>144</v>
      </c>
      <c r="W4" s="99" t="s">
        <v>145</v>
      </c>
      <c r="X4" s="92" t="s">
        <v>146</v>
      </c>
      <c r="Y4" s="92">
        <v>851866</v>
      </c>
      <c r="Z4" s="92" t="s">
        <v>125</v>
      </c>
      <c r="AA4" s="92">
        <v>932961</v>
      </c>
      <c r="AB4" s="92" t="s">
        <v>125</v>
      </c>
      <c r="AC4" s="92" t="s">
        <v>126</v>
      </c>
      <c r="AD4" s="68" t="str">
        <f>VLOOKUP(D4,TIPOLOGIAS!A:F,6,0)</f>
        <v>TIPO II</v>
      </c>
      <c r="AE4" s="68" t="str">
        <f>VLOOKUP(D4,TIPOLOGIAS!A:F,5,0)</f>
        <v>TERRESTRE</v>
      </c>
      <c r="AF4" s="69" t="s">
        <v>127</v>
      </c>
      <c r="AG4" s="92">
        <v>17</v>
      </c>
      <c r="AH4" s="92">
        <v>0</v>
      </c>
      <c r="AI4" s="92">
        <v>0</v>
      </c>
      <c r="AJ4" s="92">
        <v>0</v>
      </c>
      <c r="AK4" s="92">
        <v>0</v>
      </c>
      <c r="AL4" s="65">
        <f>IF(AD4="TIPO I",'BASE LIQUIDACION'!$D$3,IF(AD4="TIPO II",'BASE LIQUIDACION'!$D$4,IF(AD4="TIPO III",'BASE LIQUIDACION'!$D$5,'BASE LIQUIDACION'!$D$7)))</f>
        <v>134410.38956000001</v>
      </c>
      <c r="AM4" s="65">
        <f>AG4*'BASE LIQUIDACION'!$B$12+AH4*'BASE LIQUIDACION'!$B$11+AI4*'BASE LIQUIDACION'!$B$13+AJ4*'BASE LIQUIDACION'!$B$14+AK4*AL4</f>
        <v>275989.82247999997</v>
      </c>
    </row>
    <row r="5" spans="1:39" s="67" customFormat="1" ht="13.9">
      <c r="A5" s="93" t="s">
        <v>147</v>
      </c>
      <c r="B5" s="64" t="str">
        <f>VLOOKUP(A5,'CENTRO DE COSTOS'!A:D,4,FALSE)</f>
        <v>MIGUEL JULIÁN HERNÁNDEZ GUARÍN</v>
      </c>
      <c r="C5" s="64" t="str">
        <f>VLOOKUP(A5,'CENTRO DE COSTOS'!A:C,2,FALSE)</f>
        <v>0004-0008</v>
      </c>
      <c r="D5" s="92">
        <v>15176</v>
      </c>
      <c r="E5" s="98" t="s">
        <v>148</v>
      </c>
      <c r="F5" s="115" t="s">
        <v>149</v>
      </c>
      <c r="G5" s="96">
        <v>45817</v>
      </c>
      <c r="H5" s="97">
        <v>45819</v>
      </c>
      <c r="I5" s="96">
        <v>45817</v>
      </c>
      <c r="J5" s="97">
        <v>45818</v>
      </c>
      <c r="K5" s="97">
        <v>45818</v>
      </c>
      <c r="L5" s="94" t="s">
        <v>150</v>
      </c>
      <c r="M5" s="93" t="s">
        <v>151</v>
      </c>
      <c r="N5" s="94" t="s">
        <v>152</v>
      </c>
      <c r="O5" s="94">
        <v>79763</v>
      </c>
      <c r="P5" s="95" t="s">
        <v>117</v>
      </c>
      <c r="Q5" s="70" t="s">
        <v>118</v>
      </c>
      <c r="R5" s="71" t="s">
        <v>119</v>
      </c>
      <c r="S5" s="116" t="s">
        <v>120</v>
      </c>
      <c r="T5" s="117" t="s">
        <v>120</v>
      </c>
      <c r="U5" s="92" t="s">
        <v>121</v>
      </c>
      <c r="V5" s="100" t="s">
        <v>153</v>
      </c>
      <c r="W5" s="99" t="s">
        <v>154</v>
      </c>
      <c r="X5" s="92" t="s">
        <v>155</v>
      </c>
      <c r="Y5" s="92">
        <v>916662</v>
      </c>
      <c r="Z5" s="92" t="s">
        <v>125</v>
      </c>
      <c r="AA5" s="92">
        <v>1077082</v>
      </c>
      <c r="AB5" s="92" t="s">
        <v>125</v>
      </c>
      <c r="AC5" s="92" t="s">
        <v>126</v>
      </c>
      <c r="AD5" s="68" t="str">
        <f>VLOOKUP(D5,TIPOLOGIAS!A:F,6,0)</f>
        <v>TIPO III</v>
      </c>
      <c r="AE5" s="68" t="str">
        <f>VLOOKUP(D5,TIPOLOGIAS!A:F,5,0)</f>
        <v>TERRESTRE</v>
      </c>
      <c r="AF5" s="69" t="s">
        <v>127</v>
      </c>
      <c r="AG5" s="92">
        <v>15</v>
      </c>
      <c r="AH5" s="92">
        <v>0</v>
      </c>
      <c r="AI5" s="92">
        <v>0</v>
      </c>
      <c r="AJ5" s="92">
        <v>0</v>
      </c>
      <c r="AK5" s="92">
        <v>0</v>
      </c>
      <c r="AL5" s="65">
        <f>IF(AD5="TIPO I",'BASE LIQUIDACION'!$D$3,IF(AD5="TIPO II",'BASE LIQUIDACION'!$D$4,IF(AD5="TIPO III",'BASE LIQUIDACION'!$D$5,'BASE LIQUIDACION'!$D$7)))</f>
        <v>222904.27188000001</v>
      </c>
      <c r="AM5" s="65">
        <f>AG5*'BASE LIQUIDACION'!$B$12+AH5*'BASE LIQUIDACION'!$B$11+AI5*'BASE LIQUIDACION'!$B$13+AJ5*'BASE LIQUIDACION'!$B$14+AK5*AL5</f>
        <v>243520.43159999998</v>
      </c>
    </row>
    <row r="6" spans="1:39" s="67" customFormat="1" ht="13.9">
      <c r="A6" s="93" t="s">
        <v>138</v>
      </c>
      <c r="B6" s="64" t="str">
        <f>VLOOKUP(A6,'CENTRO DE COSTOS'!A:D,4,FALSE)</f>
        <v>DIEGO FERNANDO HENAO CARDONA</v>
      </c>
      <c r="C6" s="64" t="str">
        <f>VLOOKUP(A6,'CENTRO DE COSTOS'!A:C,2,FALSE)</f>
        <v>0004-0003</v>
      </c>
      <c r="D6" s="92">
        <v>76233</v>
      </c>
      <c r="E6" s="98" t="s">
        <v>156</v>
      </c>
      <c r="F6" s="115" t="s">
        <v>157</v>
      </c>
      <c r="G6" s="96">
        <v>45817</v>
      </c>
      <c r="H6" s="97">
        <v>45819</v>
      </c>
      <c r="I6" s="96">
        <v>45817</v>
      </c>
      <c r="J6" s="97">
        <v>45818</v>
      </c>
      <c r="K6" s="97">
        <v>45818</v>
      </c>
      <c r="L6" s="94" t="s">
        <v>141</v>
      </c>
      <c r="M6" s="93" t="s">
        <v>158</v>
      </c>
      <c r="N6" s="94" t="s">
        <v>159</v>
      </c>
      <c r="O6" s="94">
        <v>79769</v>
      </c>
      <c r="P6" s="95" t="s">
        <v>117</v>
      </c>
      <c r="Q6" s="70" t="s">
        <v>118</v>
      </c>
      <c r="R6" s="71" t="s">
        <v>119</v>
      </c>
      <c r="S6" s="116" t="s">
        <v>120</v>
      </c>
      <c r="T6" s="117" t="s">
        <v>120</v>
      </c>
      <c r="U6" s="92" t="s">
        <v>121</v>
      </c>
      <c r="V6" s="100" t="s">
        <v>160</v>
      </c>
      <c r="W6" s="99" t="s">
        <v>161</v>
      </c>
      <c r="X6" s="92" t="s">
        <v>162</v>
      </c>
      <c r="Y6" s="92">
        <v>994427</v>
      </c>
      <c r="Z6" s="92" t="s">
        <v>125</v>
      </c>
      <c r="AA6" s="92">
        <v>933109</v>
      </c>
      <c r="AB6" s="92" t="s">
        <v>125</v>
      </c>
      <c r="AC6" s="92" t="s">
        <v>126</v>
      </c>
      <c r="AD6" s="68" t="str">
        <f>VLOOKUP(D6,TIPOLOGIAS!A:F,6,0)</f>
        <v>TIPO II</v>
      </c>
      <c r="AE6" s="68" t="str">
        <f>VLOOKUP(D6,TIPOLOGIAS!A:F,5,0)</f>
        <v>TERRESTRE</v>
      </c>
      <c r="AF6" s="69" t="s">
        <v>127</v>
      </c>
      <c r="AG6" s="92">
        <v>10</v>
      </c>
      <c r="AH6" s="92">
        <v>0</v>
      </c>
      <c r="AI6" s="92">
        <v>0</v>
      </c>
      <c r="AJ6" s="92">
        <v>0</v>
      </c>
      <c r="AK6" s="92">
        <v>0</v>
      </c>
      <c r="AL6" s="65">
        <f>IF(AD6="TIPO I",'BASE LIQUIDACION'!$D$3,IF(AD6="TIPO II",'BASE LIQUIDACION'!$D$4,IF(AD6="TIPO III",'BASE LIQUIDACION'!$D$5,'BASE LIQUIDACION'!$D$7)))</f>
        <v>134410.38956000001</v>
      </c>
      <c r="AM6" s="65">
        <f>AG6*'BASE LIQUIDACION'!$B$12+AH6*'BASE LIQUIDACION'!$B$11+AI6*'BASE LIQUIDACION'!$B$13+AJ6*'BASE LIQUIDACION'!$B$14+AK6*AL6</f>
        <v>162346.95439999999</v>
      </c>
    </row>
    <row r="7" spans="1:39" s="67" customFormat="1" ht="13.9">
      <c r="A7" s="93" t="s">
        <v>163</v>
      </c>
      <c r="B7" s="64" t="str">
        <f>VLOOKUP(A7,'CENTRO DE COSTOS'!A:D,4,FALSE)</f>
        <v>WILLIAM ASDRUBAL ROZO ROZO</v>
      </c>
      <c r="C7" s="64" t="str">
        <f>VLOOKUP(A7,'CENTRO DE COSTOS'!A:C,2,FALSE)</f>
        <v>0004-0004</v>
      </c>
      <c r="D7" s="92">
        <v>11001</v>
      </c>
      <c r="E7" s="98" t="s">
        <v>164</v>
      </c>
      <c r="F7" s="115" t="s">
        <v>165</v>
      </c>
      <c r="G7" s="96">
        <v>45817</v>
      </c>
      <c r="H7" s="97">
        <v>45819</v>
      </c>
      <c r="I7" s="96">
        <v>45817</v>
      </c>
      <c r="J7" s="97">
        <v>45819</v>
      </c>
      <c r="K7" s="97">
        <v>45819</v>
      </c>
      <c r="L7" s="94" t="s">
        <v>166</v>
      </c>
      <c r="M7" s="93" t="s">
        <v>163</v>
      </c>
      <c r="N7" s="94" t="s">
        <v>167</v>
      </c>
      <c r="O7" s="94">
        <v>79749</v>
      </c>
      <c r="P7" s="95" t="s">
        <v>117</v>
      </c>
      <c r="Q7" s="70" t="s">
        <v>118</v>
      </c>
      <c r="R7" s="71" t="s">
        <v>119</v>
      </c>
      <c r="S7" s="116" t="s">
        <v>120</v>
      </c>
      <c r="T7" s="117" t="s">
        <v>120</v>
      </c>
      <c r="U7" s="92" t="s">
        <v>121</v>
      </c>
      <c r="V7" s="100" t="s">
        <v>168</v>
      </c>
      <c r="W7" s="99" t="s">
        <v>169</v>
      </c>
      <c r="X7" s="92" t="s">
        <v>170</v>
      </c>
      <c r="Y7" s="92">
        <v>1235210</v>
      </c>
      <c r="Z7" s="92" t="s">
        <v>125</v>
      </c>
      <c r="AA7" s="92" t="s">
        <v>171</v>
      </c>
      <c r="AB7" s="92" t="s">
        <v>125</v>
      </c>
      <c r="AC7" s="92" t="s">
        <v>126</v>
      </c>
      <c r="AD7" s="68" t="str">
        <f>VLOOKUP(D7,TIPOLOGIAS!A:F,6,0)</f>
        <v>TIPO I</v>
      </c>
      <c r="AE7" s="68" t="str">
        <f>VLOOKUP(D7,TIPOLOGIAS!A:F,5,0)</f>
        <v>TERRESTRE</v>
      </c>
      <c r="AF7" s="69" t="s">
        <v>127</v>
      </c>
      <c r="AG7" s="92">
        <v>18</v>
      </c>
      <c r="AH7" s="92">
        <v>0</v>
      </c>
      <c r="AI7" s="92">
        <v>0</v>
      </c>
      <c r="AJ7" s="92">
        <v>0</v>
      </c>
      <c r="AK7" s="92">
        <v>0</v>
      </c>
      <c r="AL7" s="65">
        <f>IF(AD7="TIPO I",'BASE LIQUIDACION'!$D$3,IF(AD7="TIPO II",'BASE LIQUIDACION'!$D$4,IF(AD7="TIPO III",'BASE LIQUIDACION'!$D$5,'BASE LIQUIDACION'!$D$7)))</f>
        <v>44559.984800000006</v>
      </c>
      <c r="AM7" s="65">
        <f>AG7*'BASE LIQUIDACION'!$B$12+AH7*'BASE LIQUIDACION'!$B$11+AI7*'BASE LIQUIDACION'!$B$13+AJ7*'BASE LIQUIDACION'!$B$14+AK7*AL7</f>
        <v>292224.51792000001</v>
      </c>
    </row>
    <row r="8" spans="1:39" s="67" customFormat="1" ht="13.9">
      <c r="A8" s="92" t="s">
        <v>172</v>
      </c>
      <c r="B8" s="64" t="str">
        <f>VLOOKUP(A8,'CENTRO DE COSTOS'!A:D,4,FALSE)</f>
        <v>MIGUEL JULIÁN HERNÁNDEZ GUARÍN</v>
      </c>
      <c r="C8" s="64" t="str">
        <f>VLOOKUP(A8,'CENTRO DE COSTOS'!A:C,2,FALSE)</f>
        <v>0004-0008</v>
      </c>
      <c r="D8" s="92">
        <v>68001</v>
      </c>
      <c r="E8" s="98" t="s">
        <v>173</v>
      </c>
      <c r="F8" s="115" t="s">
        <v>174</v>
      </c>
      <c r="G8" s="96">
        <v>45819</v>
      </c>
      <c r="H8" s="97">
        <v>45821</v>
      </c>
      <c r="I8" s="96">
        <v>45819</v>
      </c>
      <c r="J8" s="97">
        <v>45820</v>
      </c>
      <c r="K8" s="97">
        <v>45820</v>
      </c>
      <c r="L8" s="94" t="s">
        <v>175</v>
      </c>
      <c r="M8" s="93" t="s">
        <v>172</v>
      </c>
      <c r="N8" s="94" t="s">
        <v>176</v>
      </c>
      <c r="O8" s="94">
        <v>79843</v>
      </c>
      <c r="P8" s="95" t="s">
        <v>117</v>
      </c>
      <c r="Q8" s="70" t="s">
        <v>118</v>
      </c>
      <c r="R8" s="71" t="s">
        <v>119</v>
      </c>
      <c r="S8" s="116" t="s">
        <v>120</v>
      </c>
      <c r="T8" s="117" t="s">
        <v>120</v>
      </c>
      <c r="U8" s="92" t="s">
        <v>121</v>
      </c>
      <c r="V8" s="100" t="s">
        <v>177</v>
      </c>
      <c r="W8" s="99" t="s">
        <v>178</v>
      </c>
      <c r="X8" s="92" t="s">
        <v>179</v>
      </c>
      <c r="Y8" s="92">
        <v>1120059</v>
      </c>
      <c r="Z8" s="92" t="s">
        <v>125</v>
      </c>
      <c r="AA8" s="92">
        <v>1071354</v>
      </c>
      <c r="AB8" s="92" t="s">
        <v>125</v>
      </c>
      <c r="AC8" s="92" t="s">
        <v>126</v>
      </c>
      <c r="AD8" s="68" t="str">
        <f>VLOOKUP(D8,TIPOLOGIAS!A:F,6,0)</f>
        <v>TIPO I</v>
      </c>
      <c r="AE8" s="68" t="str">
        <f>VLOOKUP(D8,TIPOLOGIAS!A:F,5,0)</f>
        <v>TERRESTRE</v>
      </c>
      <c r="AF8" s="69" t="s">
        <v>127</v>
      </c>
      <c r="AG8" s="92">
        <v>10</v>
      </c>
      <c r="AH8" s="92">
        <v>0</v>
      </c>
      <c r="AI8" s="92">
        <v>0</v>
      </c>
      <c r="AJ8" s="92">
        <v>0</v>
      </c>
      <c r="AK8" s="92">
        <v>0</v>
      </c>
      <c r="AL8" s="65">
        <f>IF(AD8="TIPO I",'BASE LIQUIDACION'!$D$3,IF(AD8="TIPO II",'BASE LIQUIDACION'!$D$4,IF(AD8="TIPO III",'BASE LIQUIDACION'!$D$5,'BASE LIQUIDACION'!$D$7)))</f>
        <v>44559.984800000006</v>
      </c>
      <c r="AM8" s="65">
        <f>AG8*'BASE LIQUIDACION'!$B$12+AH8*'BASE LIQUIDACION'!$B$11+AI8*'BASE LIQUIDACION'!$B$13+AJ8*'BASE LIQUIDACION'!$B$14+AK8*AL8</f>
        <v>162346.95439999999</v>
      </c>
    </row>
    <row r="9" spans="1:39" s="67" customFormat="1" ht="13.9">
      <c r="A9" s="92" t="s">
        <v>138</v>
      </c>
      <c r="B9" s="64" t="str">
        <f>VLOOKUP(A9,'CENTRO DE COSTOS'!A:D,4,FALSE)</f>
        <v>DIEGO FERNANDO HENAO CARDONA</v>
      </c>
      <c r="C9" s="64" t="str">
        <f>VLOOKUP(A9,'CENTRO DE COSTOS'!A:C,2,FALSE)</f>
        <v>0004-0003</v>
      </c>
      <c r="D9" s="92">
        <v>76111</v>
      </c>
      <c r="E9" s="98" t="s">
        <v>180</v>
      </c>
      <c r="F9" s="115" t="s">
        <v>181</v>
      </c>
      <c r="G9" s="96">
        <v>45819</v>
      </c>
      <c r="H9" s="97">
        <v>45821</v>
      </c>
      <c r="I9" s="96">
        <v>45819</v>
      </c>
      <c r="J9" s="97">
        <v>45820</v>
      </c>
      <c r="K9" s="97">
        <v>45820</v>
      </c>
      <c r="L9" s="94" t="s">
        <v>141</v>
      </c>
      <c r="M9" s="93" t="s">
        <v>182</v>
      </c>
      <c r="N9" s="94" t="s">
        <v>183</v>
      </c>
      <c r="O9" s="94">
        <v>79848</v>
      </c>
      <c r="P9" s="95" t="s">
        <v>117</v>
      </c>
      <c r="Q9" s="70" t="s">
        <v>118</v>
      </c>
      <c r="R9" s="71" t="s">
        <v>119</v>
      </c>
      <c r="S9" s="116" t="s">
        <v>120</v>
      </c>
      <c r="T9" s="117" t="s">
        <v>120</v>
      </c>
      <c r="U9" s="92" t="s">
        <v>121</v>
      </c>
      <c r="V9" s="100" t="s">
        <v>184</v>
      </c>
      <c r="W9" s="99" t="s">
        <v>185</v>
      </c>
      <c r="X9" s="92" t="s">
        <v>186</v>
      </c>
      <c r="Y9" s="92">
        <v>1242553</v>
      </c>
      <c r="Z9" s="92" t="s">
        <v>125</v>
      </c>
      <c r="AA9" s="92" t="s">
        <v>187</v>
      </c>
      <c r="AB9" s="92" t="s">
        <v>125</v>
      </c>
      <c r="AC9" s="92" t="s">
        <v>126</v>
      </c>
      <c r="AD9" s="68" t="str">
        <f>VLOOKUP(D9,TIPOLOGIAS!A:F,6,0)</f>
        <v>TIPO II</v>
      </c>
      <c r="AE9" s="68" t="str">
        <f>VLOOKUP(D9,TIPOLOGIAS!A:F,5,0)</f>
        <v>TERRESTRE</v>
      </c>
      <c r="AF9" s="69" t="s">
        <v>127</v>
      </c>
      <c r="AG9" s="92">
        <v>20</v>
      </c>
      <c r="AH9" s="92">
        <v>0</v>
      </c>
      <c r="AI9" s="92">
        <v>0</v>
      </c>
      <c r="AJ9" s="92">
        <v>0</v>
      </c>
      <c r="AK9" s="92">
        <v>0</v>
      </c>
      <c r="AL9" s="65">
        <f>IF(AD9="TIPO I",'BASE LIQUIDACION'!$D$3,IF(AD9="TIPO II",'BASE LIQUIDACION'!$D$4,IF(AD9="TIPO III",'BASE LIQUIDACION'!$D$5,'BASE LIQUIDACION'!$D$7)))</f>
        <v>134410.38956000001</v>
      </c>
      <c r="AM9" s="65">
        <f>AG9*'BASE LIQUIDACION'!$B$12+AH9*'BASE LIQUIDACION'!$B$11+AI9*'BASE LIQUIDACION'!$B$13+AJ9*'BASE LIQUIDACION'!$B$14+AK9*AL9</f>
        <v>324693.90879999998</v>
      </c>
    </row>
    <row r="10" spans="1:39" s="67" customFormat="1" ht="13.9">
      <c r="A10" s="92" t="s">
        <v>172</v>
      </c>
      <c r="B10" s="64" t="str">
        <f>VLOOKUP(A10,'CENTRO DE COSTOS'!A:D,4,FALSE)</f>
        <v>MIGUEL JULIÁN HERNÁNDEZ GUARÍN</v>
      </c>
      <c r="C10" s="64" t="str">
        <f>VLOOKUP(A10,'CENTRO DE COSTOS'!A:C,2,FALSE)</f>
        <v>0004-0008</v>
      </c>
      <c r="D10" s="92">
        <v>68307</v>
      </c>
      <c r="E10" s="98" t="s">
        <v>188</v>
      </c>
      <c r="F10" s="115" t="s">
        <v>189</v>
      </c>
      <c r="G10" s="96">
        <v>45821</v>
      </c>
      <c r="H10" s="97">
        <v>45825</v>
      </c>
      <c r="I10" s="96">
        <v>45821</v>
      </c>
      <c r="J10" s="97">
        <v>45824</v>
      </c>
      <c r="K10" s="97">
        <v>45824</v>
      </c>
      <c r="L10" s="94" t="s">
        <v>175</v>
      </c>
      <c r="M10" s="93" t="s">
        <v>190</v>
      </c>
      <c r="N10" s="94" t="s">
        <v>191</v>
      </c>
      <c r="O10" s="94">
        <v>79867</v>
      </c>
      <c r="P10" s="95" t="s">
        <v>117</v>
      </c>
      <c r="Q10" s="70" t="s">
        <v>118</v>
      </c>
      <c r="R10" s="71" t="s">
        <v>119</v>
      </c>
      <c r="S10" s="116" t="s">
        <v>120</v>
      </c>
      <c r="T10" s="117" t="s">
        <v>120</v>
      </c>
      <c r="U10" s="92" t="s">
        <v>121</v>
      </c>
      <c r="V10" s="100" t="s">
        <v>192</v>
      </c>
      <c r="W10" s="99" t="s">
        <v>193</v>
      </c>
      <c r="X10" s="92" t="s">
        <v>194</v>
      </c>
      <c r="Y10" s="92">
        <v>914673</v>
      </c>
      <c r="Z10" s="92" t="s">
        <v>125</v>
      </c>
      <c r="AA10" s="92">
        <v>905863</v>
      </c>
      <c r="AB10" s="92" t="s">
        <v>125</v>
      </c>
      <c r="AC10" s="92" t="s">
        <v>126</v>
      </c>
      <c r="AD10" s="68" t="str">
        <f>VLOOKUP(D10,TIPOLOGIAS!A:F,6,0)</f>
        <v>TIPO I</v>
      </c>
      <c r="AE10" s="68" t="str">
        <f>VLOOKUP(D10,TIPOLOGIAS!A:F,5,0)</f>
        <v>TERRESTRE</v>
      </c>
      <c r="AF10" s="69" t="s">
        <v>127</v>
      </c>
      <c r="AG10" s="92">
        <v>12</v>
      </c>
      <c r="AH10" s="92">
        <v>0</v>
      </c>
      <c r="AI10" s="92">
        <v>0</v>
      </c>
      <c r="AJ10" s="92">
        <v>0</v>
      </c>
      <c r="AK10" s="92">
        <v>0</v>
      </c>
      <c r="AL10" s="65">
        <f>IF(AD10="TIPO I",'BASE LIQUIDACION'!$D$3,IF(AD10="TIPO II",'BASE LIQUIDACION'!$D$4,IF(AD10="TIPO III",'BASE LIQUIDACION'!$D$5,'BASE LIQUIDACION'!$D$7)))</f>
        <v>44559.984800000006</v>
      </c>
      <c r="AM10" s="65">
        <f>AG10*'BASE LIQUIDACION'!$B$12+AH10*'BASE LIQUIDACION'!$B$11+AI10*'BASE LIQUIDACION'!$B$13+AJ10*'BASE LIQUIDACION'!$B$14+AK10*AL10</f>
        <v>194816.34528000001</v>
      </c>
    </row>
    <row r="11" spans="1:39" s="67" customFormat="1" ht="13.9">
      <c r="A11" s="92" t="s">
        <v>195</v>
      </c>
      <c r="B11" s="64" t="str">
        <f>VLOOKUP(A11,'CENTRO DE COSTOS'!A:D,4,FALSE)</f>
        <v>DIEGO FERNANDO HENAO CARDONA</v>
      </c>
      <c r="C11" s="64" t="str">
        <f>VLOOKUP(A11,'CENTRO DE COSTOS'!A:C,2,FALSE)</f>
        <v>0004-0002</v>
      </c>
      <c r="D11" s="92">
        <v>66001</v>
      </c>
      <c r="E11" s="98" t="s">
        <v>196</v>
      </c>
      <c r="F11" s="115" t="s">
        <v>197</v>
      </c>
      <c r="G11" s="96">
        <v>45826</v>
      </c>
      <c r="H11" s="97">
        <v>45828</v>
      </c>
      <c r="I11" s="96">
        <v>45826</v>
      </c>
      <c r="J11" s="97">
        <v>45828</v>
      </c>
      <c r="K11" s="97">
        <v>45828</v>
      </c>
      <c r="L11" s="94" t="s">
        <v>198</v>
      </c>
      <c r="M11" s="93" t="s">
        <v>195</v>
      </c>
      <c r="N11" s="94" t="s">
        <v>199</v>
      </c>
      <c r="O11" s="94">
        <v>79947</v>
      </c>
      <c r="P11" s="95" t="s">
        <v>117</v>
      </c>
      <c r="Q11" s="70" t="s">
        <v>118</v>
      </c>
      <c r="R11" s="71" t="s">
        <v>119</v>
      </c>
      <c r="S11" s="116" t="s">
        <v>120</v>
      </c>
      <c r="T11" s="117" t="s">
        <v>120</v>
      </c>
      <c r="U11" s="92" t="s">
        <v>121</v>
      </c>
      <c r="V11" s="100" t="s">
        <v>200</v>
      </c>
      <c r="W11" s="99" t="s">
        <v>201</v>
      </c>
      <c r="X11" s="92" t="s">
        <v>202</v>
      </c>
      <c r="Y11" s="92">
        <v>1235257</v>
      </c>
      <c r="Z11" s="92" t="s">
        <v>125</v>
      </c>
      <c r="AA11" s="92" t="s">
        <v>203</v>
      </c>
      <c r="AB11" s="92" t="s">
        <v>125</v>
      </c>
      <c r="AC11" s="92" t="s">
        <v>126</v>
      </c>
      <c r="AD11" s="68" t="str">
        <f>VLOOKUP(D11,TIPOLOGIAS!A:F,6,0)</f>
        <v>TIPO I</v>
      </c>
      <c r="AE11" s="68" t="str">
        <f>VLOOKUP(D11,TIPOLOGIAS!A:F,5,0)</f>
        <v>TERRESTRE</v>
      </c>
      <c r="AF11" s="69" t="s">
        <v>127</v>
      </c>
      <c r="AG11" s="92">
        <v>10</v>
      </c>
      <c r="AH11" s="92">
        <v>0</v>
      </c>
      <c r="AI11" s="92">
        <v>0</v>
      </c>
      <c r="AJ11" s="92">
        <v>0</v>
      </c>
      <c r="AK11" s="92">
        <v>0</v>
      </c>
      <c r="AL11" s="65">
        <f>IF(AD11="TIPO I",'BASE LIQUIDACION'!$D$3,IF(AD11="TIPO II",'BASE LIQUIDACION'!$D$4,IF(AD11="TIPO III",'BASE LIQUIDACION'!$D$5,'BASE LIQUIDACION'!$D$7)))</f>
        <v>44559.984800000006</v>
      </c>
      <c r="AM11" s="65">
        <f>AG11*'BASE LIQUIDACION'!$B$12+AH11*'BASE LIQUIDACION'!$B$11+AI11*'BASE LIQUIDACION'!$B$13+AJ11*'BASE LIQUIDACION'!$B$14+AK11*AL11</f>
        <v>162346.95439999999</v>
      </c>
    </row>
    <row r="12" spans="1:39" s="67" customFormat="1" ht="13.9">
      <c r="A12" s="92" t="s">
        <v>172</v>
      </c>
      <c r="B12" s="64" t="str">
        <f>VLOOKUP(A12,'CENTRO DE COSTOS'!A:D,4,FALSE)</f>
        <v>MIGUEL JULIÁN HERNÁNDEZ GUARÍN</v>
      </c>
      <c r="C12" s="64" t="str">
        <f>VLOOKUP(A12,'CENTRO DE COSTOS'!A:C,2,FALSE)</f>
        <v>0004-0008</v>
      </c>
      <c r="D12" s="92">
        <v>68001</v>
      </c>
      <c r="E12" s="98" t="s">
        <v>204</v>
      </c>
      <c r="F12" s="115" t="s">
        <v>205</v>
      </c>
      <c r="G12" s="96">
        <v>45826</v>
      </c>
      <c r="H12" s="97">
        <v>45828</v>
      </c>
      <c r="I12" s="96">
        <v>45826</v>
      </c>
      <c r="J12" s="97">
        <v>45827</v>
      </c>
      <c r="K12" s="97">
        <v>45827</v>
      </c>
      <c r="L12" s="94" t="s">
        <v>175</v>
      </c>
      <c r="M12" s="93" t="s">
        <v>172</v>
      </c>
      <c r="N12" s="94" t="s">
        <v>206</v>
      </c>
      <c r="O12" s="94">
        <v>79935</v>
      </c>
      <c r="P12" s="95" t="s">
        <v>117</v>
      </c>
      <c r="Q12" s="70" t="s">
        <v>118</v>
      </c>
      <c r="R12" s="71" t="s">
        <v>119</v>
      </c>
      <c r="S12" s="116" t="s">
        <v>120</v>
      </c>
      <c r="T12" s="117" t="s">
        <v>120</v>
      </c>
      <c r="U12" s="92" t="s">
        <v>121</v>
      </c>
      <c r="V12" s="100" t="s">
        <v>207</v>
      </c>
      <c r="W12" s="99" t="s">
        <v>193</v>
      </c>
      <c r="X12" s="92" t="s">
        <v>208</v>
      </c>
      <c r="Y12" s="92">
        <v>1074974</v>
      </c>
      <c r="Z12" s="92" t="s">
        <v>125</v>
      </c>
      <c r="AA12" s="92">
        <v>1060202</v>
      </c>
      <c r="AB12" s="92" t="s">
        <v>125</v>
      </c>
      <c r="AC12" s="92" t="s">
        <v>126</v>
      </c>
      <c r="AD12" s="68" t="str">
        <f>VLOOKUP(D12,TIPOLOGIAS!A:F,6,0)</f>
        <v>TIPO I</v>
      </c>
      <c r="AE12" s="68" t="str">
        <f>VLOOKUP(D12,TIPOLOGIAS!A:F,5,0)</f>
        <v>TERRESTRE</v>
      </c>
      <c r="AF12" s="69" t="s">
        <v>127</v>
      </c>
      <c r="AG12" s="92">
        <v>10</v>
      </c>
      <c r="AH12" s="92">
        <v>0</v>
      </c>
      <c r="AI12" s="92">
        <v>0</v>
      </c>
      <c r="AJ12" s="92">
        <v>0</v>
      </c>
      <c r="AK12" s="92">
        <v>0</v>
      </c>
      <c r="AL12" s="65">
        <f>IF(AD12="TIPO I",'BASE LIQUIDACION'!$D$3,IF(AD12="TIPO II",'BASE LIQUIDACION'!$D$4,IF(AD12="TIPO III",'BASE LIQUIDACION'!$D$5,'BASE LIQUIDACION'!$D$7)))</f>
        <v>44559.984800000006</v>
      </c>
      <c r="AM12" s="65">
        <f>AG12*'BASE LIQUIDACION'!$B$12+AH12*'BASE LIQUIDACION'!$B$11+AI12*'BASE LIQUIDACION'!$B$13+AJ12*'BASE LIQUIDACION'!$B$14+AK12*AL12</f>
        <v>162346.95439999999</v>
      </c>
    </row>
    <row r="13" spans="1:39" s="67" customFormat="1" ht="13.9">
      <c r="A13" s="92" t="s">
        <v>163</v>
      </c>
      <c r="B13" s="64" t="str">
        <f>VLOOKUP(A13,'CENTRO DE COSTOS'!A:D,4,FALSE)</f>
        <v>WILLIAM ASDRUBAL ROZO ROZO</v>
      </c>
      <c r="C13" s="64" t="str">
        <f>VLOOKUP(A13,'CENTRO DE COSTOS'!A:C,2,FALSE)</f>
        <v>0004-0004</v>
      </c>
      <c r="D13" s="92">
        <v>25473</v>
      </c>
      <c r="E13" s="98" t="s">
        <v>209</v>
      </c>
      <c r="F13" s="115" t="s">
        <v>210</v>
      </c>
      <c r="G13" s="96">
        <v>45826</v>
      </c>
      <c r="H13" s="97">
        <v>45828</v>
      </c>
      <c r="I13" s="96">
        <v>45826</v>
      </c>
      <c r="J13" s="97">
        <v>45828</v>
      </c>
      <c r="K13" s="97">
        <v>45828</v>
      </c>
      <c r="L13" s="94" t="s">
        <v>166</v>
      </c>
      <c r="M13" s="93" t="s">
        <v>211</v>
      </c>
      <c r="N13" s="94" t="s">
        <v>212</v>
      </c>
      <c r="O13" s="94">
        <v>79945</v>
      </c>
      <c r="P13" s="95" t="s">
        <v>117</v>
      </c>
      <c r="Q13" s="70" t="s">
        <v>118</v>
      </c>
      <c r="R13" s="71" t="s">
        <v>119</v>
      </c>
      <c r="S13" s="116" t="s">
        <v>120</v>
      </c>
      <c r="T13" s="117" t="s">
        <v>120</v>
      </c>
      <c r="U13" s="92" t="s">
        <v>121</v>
      </c>
      <c r="V13" s="100" t="s">
        <v>213</v>
      </c>
      <c r="W13" s="99" t="s">
        <v>214</v>
      </c>
      <c r="X13" s="92" t="s">
        <v>215</v>
      </c>
      <c r="Y13" s="92">
        <v>1235389</v>
      </c>
      <c r="Z13" s="92" t="s">
        <v>125</v>
      </c>
      <c r="AA13" s="92" t="s">
        <v>216</v>
      </c>
      <c r="AB13" s="92" t="s">
        <v>125</v>
      </c>
      <c r="AC13" s="92" t="s">
        <v>126</v>
      </c>
      <c r="AD13" s="68" t="str">
        <f>VLOOKUP(D13,TIPOLOGIAS!A:F,6,0)</f>
        <v>TIPO I</v>
      </c>
      <c r="AE13" s="68" t="str">
        <f>VLOOKUP(D13,TIPOLOGIAS!A:F,5,0)</f>
        <v>TERRESTRE</v>
      </c>
      <c r="AF13" s="69" t="s">
        <v>127</v>
      </c>
      <c r="AG13" s="92">
        <v>13</v>
      </c>
      <c r="AH13" s="92">
        <v>0</v>
      </c>
      <c r="AI13" s="92">
        <v>0</v>
      </c>
      <c r="AJ13" s="92">
        <v>0</v>
      </c>
      <c r="AK13" s="92">
        <v>0</v>
      </c>
      <c r="AL13" s="65">
        <f>IF(AD13="TIPO I",'BASE LIQUIDACION'!$D$3,IF(AD13="TIPO II",'BASE LIQUIDACION'!$D$4,IF(AD13="TIPO III",'BASE LIQUIDACION'!$D$5,'BASE LIQUIDACION'!$D$7)))</f>
        <v>44559.984800000006</v>
      </c>
      <c r="AM13" s="65">
        <f>AG13*'BASE LIQUIDACION'!$B$12+AH13*'BASE LIQUIDACION'!$B$11+AI13*'BASE LIQUIDACION'!$B$13+AJ13*'BASE LIQUIDACION'!$B$14+AK13*AL13</f>
        <v>211051.04071999999</v>
      </c>
    </row>
    <row r="14" spans="1:39" s="67" customFormat="1" ht="13.9">
      <c r="A14" s="92" t="s">
        <v>172</v>
      </c>
      <c r="B14" s="64" t="str">
        <f>VLOOKUP(A14,'CENTRO DE COSTOS'!A:D,4,FALSE)</f>
        <v>MIGUEL JULIÁN HERNÁNDEZ GUARÍN</v>
      </c>
      <c r="C14" s="64" t="str">
        <f>VLOOKUP(A14,'CENTRO DE COSTOS'!A:C,2,FALSE)</f>
        <v>0004-0008</v>
      </c>
      <c r="D14" s="92">
        <v>68500</v>
      </c>
      <c r="E14" s="98" t="s">
        <v>217</v>
      </c>
      <c r="F14" s="115" t="s">
        <v>218</v>
      </c>
      <c r="G14" s="96">
        <v>45832</v>
      </c>
      <c r="H14" s="97">
        <v>45834</v>
      </c>
      <c r="I14" s="96">
        <v>45832</v>
      </c>
      <c r="J14" s="97">
        <v>45833</v>
      </c>
      <c r="K14" s="97">
        <v>45833</v>
      </c>
      <c r="L14" s="94" t="s">
        <v>175</v>
      </c>
      <c r="M14" s="93" t="s">
        <v>219</v>
      </c>
      <c r="N14" s="94" t="s">
        <v>220</v>
      </c>
      <c r="O14" s="94">
        <v>80035</v>
      </c>
      <c r="P14" s="95" t="s">
        <v>117</v>
      </c>
      <c r="Q14" s="70" t="s">
        <v>118</v>
      </c>
      <c r="R14" s="71" t="s">
        <v>119</v>
      </c>
      <c r="S14" s="116" t="s">
        <v>120</v>
      </c>
      <c r="T14" s="117" t="s">
        <v>120</v>
      </c>
      <c r="U14" s="92" t="s">
        <v>121</v>
      </c>
      <c r="V14" s="100" t="s">
        <v>221</v>
      </c>
      <c r="W14" s="99" t="s">
        <v>222</v>
      </c>
      <c r="X14" s="92" t="s">
        <v>223</v>
      </c>
      <c r="Y14" s="92">
        <v>1052001</v>
      </c>
      <c r="Z14" s="92" t="s">
        <v>125</v>
      </c>
      <c r="AA14" s="92">
        <v>1103658</v>
      </c>
      <c r="AB14" s="92" t="s">
        <v>125</v>
      </c>
      <c r="AC14" s="92" t="s">
        <v>126</v>
      </c>
      <c r="AD14" s="68" t="str">
        <f>VLOOKUP(D14,TIPOLOGIAS!A:F,6,0)</f>
        <v>TIPO III</v>
      </c>
      <c r="AE14" s="68" t="str">
        <f>VLOOKUP(D14,TIPOLOGIAS!A:F,5,0)</f>
        <v>TERRESTRE</v>
      </c>
      <c r="AF14" s="69" t="s">
        <v>127</v>
      </c>
      <c r="AG14" s="92">
        <v>10</v>
      </c>
      <c r="AH14" s="92">
        <v>0</v>
      </c>
      <c r="AI14" s="92">
        <v>0</v>
      </c>
      <c r="AJ14" s="92">
        <v>0</v>
      </c>
      <c r="AK14" s="92">
        <v>0</v>
      </c>
      <c r="AL14" s="65">
        <f>IF(AD14="TIPO I",'BASE LIQUIDACION'!$D$3,IF(AD14="TIPO II",'BASE LIQUIDACION'!$D$4,IF(AD14="TIPO III",'BASE LIQUIDACION'!$D$5,'BASE LIQUIDACION'!$D$7)))</f>
        <v>222904.27188000001</v>
      </c>
      <c r="AM14" s="65">
        <f>AG14*'BASE LIQUIDACION'!$B$12+AH14*'BASE LIQUIDACION'!$B$11+AI14*'BASE LIQUIDACION'!$B$13+AJ14*'BASE LIQUIDACION'!$B$14+AK14*AL14</f>
        <v>162346.95439999999</v>
      </c>
    </row>
    <row r="15" spans="1:39" s="67" customFormat="1" ht="13.9">
      <c r="A15" s="92" t="s">
        <v>172</v>
      </c>
      <c r="B15" s="64" t="str">
        <f>VLOOKUP(A15,'CENTRO DE COSTOS'!A:D,4,FALSE)</f>
        <v>MIGUEL JULIÁN HERNÁNDEZ GUARÍN</v>
      </c>
      <c r="C15" s="64" t="str">
        <f>VLOOKUP(A15,'CENTRO DE COSTOS'!A:C,2,FALSE)</f>
        <v>0004-0008</v>
      </c>
      <c r="D15" s="92">
        <v>68615</v>
      </c>
      <c r="E15" s="98" t="s">
        <v>224</v>
      </c>
      <c r="F15" s="115" t="s">
        <v>225</v>
      </c>
      <c r="G15" s="96">
        <v>45832</v>
      </c>
      <c r="H15" s="97">
        <v>45834</v>
      </c>
      <c r="I15" s="96">
        <v>45832</v>
      </c>
      <c r="J15" s="97">
        <v>45833</v>
      </c>
      <c r="K15" s="97">
        <v>45833</v>
      </c>
      <c r="L15" s="94" t="s">
        <v>175</v>
      </c>
      <c r="M15" s="93" t="s">
        <v>226</v>
      </c>
      <c r="N15" s="94" t="s">
        <v>227</v>
      </c>
      <c r="O15" s="94">
        <v>80055</v>
      </c>
      <c r="P15" s="95" t="s">
        <v>117</v>
      </c>
      <c r="Q15" s="70" t="s">
        <v>118</v>
      </c>
      <c r="R15" s="71" t="s">
        <v>119</v>
      </c>
      <c r="S15" s="116" t="s">
        <v>120</v>
      </c>
      <c r="T15" s="117" t="s">
        <v>120</v>
      </c>
      <c r="U15" s="92" t="s">
        <v>121</v>
      </c>
      <c r="V15" s="100" t="s">
        <v>228</v>
      </c>
      <c r="W15" s="99" t="s">
        <v>193</v>
      </c>
      <c r="X15" s="92" t="s">
        <v>229</v>
      </c>
      <c r="Y15" s="92">
        <v>1240742</v>
      </c>
      <c r="Z15" s="92" t="s">
        <v>125</v>
      </c>
      <c r="AA15" s="92">
        <v>879503</v>
      </c>
      <c r="AB15" s="92" t="s">
        <v>125</v>
      </c>
      <c r="AC15" s="92" t="s">
        <v>126</v>
      </c>
      <c r="AD15" s="68" t="str">
        <f>VLOOKUP(D15,TIPOLOGIAS!A:F,6,0)</f>
        <v>TIPO II</v>
      </c>
      <c r="AE15" s="68" t="str">
        <f>VLOOKUP(D15,TIPOLOGIAS!A:F,5,0)</f>
        <v>TERRESTRE</v>
      </c>
      <c r="AF15" s="69" t="s">
        <v>127</v>
      </c>
      <c r="AG15" s="92">
        <v>10</v>
      </c>
      <c r="AH15" s="92">
        <v>0</v>
      </c>
      <c r="AI15" s="92">
        <v>0</v>
      </c>
      <c r="AJ15" s="92">
        <v>0</v>
      </c>
      <c r="AK15" s="92">
        <v>0</v>
      </c>
      <c r="AL15" s="65">
        <f>IF(AD15="TIPO I",'BASE LIQUIDACION'!$D$3,IF(AD15="TIPO II",'BASE LIQUIDACION'!$D$4,IF(AD15="TIPO III",'BASE LIQUIDACION'!$D$5,'BASE LIQUIDACION'!$D$7)))</f>
        <v>134410.38956000001</v>
      </c>
      <c r="AM15" s="65">
        <f>AG15*'BASE LIQUIDACION'!$B$12+AH15*'BASE LIQUIDACION'!$B$11+AI15*'BASE LIQUIDACION'!$B$13+AJ15*'BASE LIQUIDACION'!$B$14+AK15*AL15</f>
        <v>162346.95439999999</v>
      </c>
    </row>
    <row r="16" spans="1:39" s="67" customFormat="1" ht="13.9">
      <c r="A16" s="92" t="s">
        <v>147</v>
      </c>
      <c r="B16" s="64" t="str">
        <f>VLOOKUP(A16,'CENTRO DE COSTOS'!A:D,4,FALSE)</f>
        <v>MIGUEL JULIÁN HERNÁNDEZ GUARÍN</v>
      </c>
      <c r="C16" s="64" t="str">
        <f>VLOOKUP(A16,'CENTRO DE COSTOS'!A:C,2,FALSE)</f>
        <v>0004-0008</v>
      </c>
      <c r="D16" s="92">
        <v>15001</v>
      </c>
      <c r="E16" s="98" t="s">
        <v>230</v>
      </c>
      <c r="F16" s="115" t="s">
        <v>231</v>
      </c>
      <c r="G16" s="96">
        <v>45832</v>
      </c>
      <c r="H16" s="97">
        <v>45834</v>
      </c>
      <c r="I16" s="96">
        <v>45832</v>
      </c>
      <c r="J16" s="97">
        <v>45833</v>
      </c>
      <c r="K16" s="97">
        <v>45833</v>
      </c>
      <c r="L16" s="94" t="s">
        <v>150</v>
      </c>
      <c r="M16" s="93" t="s">
        <v>147</v>
      </c>
      <c r="N16" s="94" t="s">
        <v>232</v>
      </c>
      <c r="O16" s="94">
        <v>80068</v>
      </c>
      <c r="P16" s="95" t="s">
        <v>117</v>
      </c>
      <c r="Q16" s="70" t="s">
        <v>118</v>
      </c>
      <c r="R16" s="71" t="s">
        <v>119</v>
      </c>
      <c r="S16" s="116" t="s">
        <v>120</v>
      </c>
      <c r="T16" s="117" t="s">
        <v>120</v>
      </c>
      <c r="U16" s="92" t="s">
        <v>121</v>
      </c>
      <c r="V16" s="100" t="s">
        <v>233</v>
      </c>
      <c r="W16" s="99" t="s">
        <v>154</v>
      </c>
      <c r="X16" s="92" t="s">
        <v>234</v>
      </c>
      <c r="Y16" s="92">
        <v>1242413</v>
      </c>
      <c r="Z16" s="92">
        <v>274888</v>
      </c>
      <c r="AA16" s="92" t="s">
        <v>235</v>
      </c>
      <c r="AB16" s="92" t="s">
        <v>125</v>
      </c>
      <c r="AC16" s="92" t="s">
        <v>126</v>
      </c>
      <c r="AD16" s="68" t="str">
        <f>VLOOKUP(D16,TIPOLOGIAS!A:F,6,0)</f>
        <v>TIPO I</v>
      </c>
      <c r="AE16" s="68" t="str">
        <f>VLOOKUP(D16,TIPOLOGIAS!A:F,5,0)</f>
        <v>TERRESTRE</v>
      </c>
      <c r="AF16" s="69" t="s">
        <v>127</v>
      </c>
      <c r="AG16" s="92">
        <v>6</v>
      </c>
      <c r="AH16" s="92">
        <v>0</v>
      </c>
      <c r="AI16" s="92">
        <v>0</v>
      </c>
      <c r="AJ16" s="92">
        <v>0</v>
      </c>
      <c r="AK16" s="92">
        <v>0</v>
      </c>
      <c r="AL16" s="65">
        <f>IF(AD16="TIPO I",'BASE LIQUIDACION'!$D$3,IF(AD16="TIPO II",'BASE LIQUIDACION'!$D$4,IF(AD16="TIPO III",'BASE LIQUIDACION'!$D$5,'BASE LIQUIDACION'!$D$7)))</f>
        <v>44559.984800000006</v>
      </c>
      <c r="AM16" s="65">
        <f>AG16*'BASE LIQUIDACION'!$B$12+AH16*'BASE LIQUIDACION'!$B$11+AI16*'BASE LIQUIDACION'!$B$13+AJ16*'BASE LIQUIDACION'!$B$14+AK16*AL16</f>
        <v>97408.172640000004</v>
      </c>
    </row>
    <row r="17" spans="1:39" s="67" customFormat="1" ht="13.9">
      <c r="A17" s="92" t="s">
        <v>138</v>
      </c>
      <c r="B17" s="64" t="str">
        <f>VLOOKUP(A17,'CENTRO DE COSTOS'!A:D,4,FALSE)</f>
        <v>DIEGO FERNANDO HENAO CARDONA</v>
      </c>
      <c r="C17" s="64" t="str">
        <f>VLOOKUP(A17,'CENTRO DE COSTOS'!A:C,2,FALSE)</f>
        <v>0004-0003</v>
      </c>
      <c r="D17" s="92">
        <v>76001</v>
      </c>
      <c r="E17" s="98" t="s">
        <v>236</v>
      </c>
      <c r="F17" s="115" t="s">
        <v>237</v>
      </c>
      <c r="G17" s="96">
        <v>45832</v>
      </c>
      <c r="H17" s="97">
        <v>45834</v>
      </c>
      <c r="I17" s="96">
        <v>45832</v>
      </c>
      <c r="J17" s="97">
        <v>45833</v>
      </c>
      <c r="K17" s="97">
        <v>45833</v>
      </c>
      <c r="L17" s="94" t="s">
        <v>141</v>
      </c>
      <c r="M17" s="93" t="s">
        <v>138</v>
      </c>
      <c r="N17" s="94" t="s">
        <v>238</v>
      </c>
      <c r="O17" s="94">
        <v>79989</v>
      </c>
      <c r="P17" s="95" t="s">
        <v>117</v>
      </c>
      <c r="Q17" s="70" t="s">
        <v>118</v>
      </c>
      <c r="R17" s="71" t="s">
        <v>119</v>
      </c>
      <c r="S17" s="116" t="s">
        <v>120</v>
      </c>
      <c r="T17" s="117" t="s">
        <v>120</v>
      </c>
      <c r="U17" s="92" t="s">
        <v>121</v>
      </c>
      <c r="V17" s="100" t="s">
        <v>239</v>
      </c>
      <c r="W17" s="99" t="s">
        <v>185</v>
      </c>
      <c r="X17" s="92" t="s">
        <v>240</v>
      </c>
      <c r="Y17" s="92">
        <v>1175384</v>
      </c>
      <c r="Z17" s="92" t="s">
        <v>125</v>
      </c>
      <c r="AA17" s="92">
        <v>914088</v>
      </c>
      <c r="AB17" s="92" t="s">
        <v>125</v>
      </c>
      <c r="AC17" s="92" t="s">
        <v>126</v>
      </c>
      <c r="AD17" s="68" t="str">
        <f>VLOOKUP(D17,TIPOLOGIAS!A:F,6,0)</f>
        <v>TIPO I</v>
      </c>
      <c r="AE17" s="68" t="str">
        <f>VLOOKUP(D17,TIPOLOGIAS!A:F,5,0)</f>
        <v>TERRESTRE</v>
      </c>
      <c r="AF17" s="69" t="s">
        <v>127</v>
      </c>
      <c r="AG17" s="92">
        <v>6</v>
      </c>
      <c r="AH17" s="92">
        <v>0</v>
      </c>
      <c r="AI17" s="92">
        <v>0</v>
      </c>
      <c r="AJ17" s="92">
        <v>0</v>
      </c>
      <c r="AK17" s="92">
        <v>0</v>
      </c>
      <c r="AL17" s="65">
        <f>IF(AD17="TIPO I",'BASE LIQUIDACION'!$D$3,IF(AD17="TIPO II",'BASE LIQUIDACION'!$D$4,IF(AD17="TIPO III",'BASE LIQUIDACION'!$D$5,'BASE LIQUIDACION'!$D$7)))</f>
        <v>44559.984800000006</v>
      </c>
      <c r="AM17" s="65">
        <f>AG17*'BASE LIQUIDACION'!$B$12+AH17*'BASE LIQUIDACION'!$B$11+AI17*'BASE LIQUIDACION'!$B$13+AJ17*'BASE LIQUIDACION'!$B$14+AK17*AL17</f>
        <v>97408.172640000004</v>
      </c>
    </row>
    <row r="18" spans="1:39" s="67" customFormat="1" ht="13.9">
      <c r="A18" s="92" t="s">
        <v>195</v>
      </c>
      <c r="B18" s="64" t="str">
        <f>VLOOKUP(A18,'CENTRO DE COSTOS'!A:D,4,FALSE)</f>
        <v>DIEGO FERNANDO HENAO CARDONA</v>
      </c>
      <c r="C18" s="64" t="str">
        <f>VLOOKUP(A18,'CENTRO DE COSTOS'!A:C,2,FALSE)</f>
        <v>0004-0002</v>
      </c>
      <c r="D18" s="92">
        <v>66001</v>
      </c>
      <c r="E18" s="98" t="s">
        <v>241</v>
      </c>
      <c r="F18" s="115" t="s">
        <v>242</v>
      </c>
      <c r="G18" s="96">
        <v>45832</v>
      </c>
      <c r="H18" s="97">
        <v>45834</v>
      </c>
      <c r="I18" s="96">
        <v>45832</v>
      </c>
      <c r="J18" s="97">
        <v>45834</v>
      </c>
      <c r="K18" s="97">
        <v>45834</v>
      </c>
      <c r="L18" s="94" t="s">
        <v>198</v>
      </c>
      <c r="M18" s="93" t="s">
        <v>195</v>
      </c>
      <c r="N18" s="94" t="s">
        <v>243</v>
      </c>
      <c r="O18" s="94">
        <v>80044</v>
      </c>
      <c r="P18" s="95" t="s">
        <v>117</v>
      </c>
      <c r="Q18" s="70" t="s">
        <v>118</v>
      </c>
      <c r="R18" s="71" t="s">
        <v>119</v>
      </c>
      <c r="S18" s="116" t="s">
        <v>120</v>
      </c>
      <c r="T18" s="117" t="s">
        <v>120</v>
      </c>
      <c r="U18" s="92" t="s">
        <v>121</v>
      </c>
      <c r="V18" s="100" t="s">
        <v>244</v>
      </c>
      <c r="W18" s="99" t="s">
        <v>245</v>
      </c>
      <c r="X18" s="92" t="s">
        <v>246</v>
      </c>
      <c r="Y18" s="92">
        <v>1235358</v>
      </c>
      <c r="Z18" s="92" t="s">
        <v>125</v>
      </c>
      <c r="AA18" s="92" t="s">
        <v>247</v>
      </c>
      <c r="AB18" s="92" t="s">
        <v>125</v>
      </c>
      <c r="AC18" s="92" t="s">
        <v>126</v>
      </c>
      <c r="AD18" s="68" t="str">
        <f>VLOOKUP(D18,TIPOLOGIAS!A:F,6,0)</f>
        <v>TIPO I</v>
      </c>
      <c r="AE18" s="68" t="str">
        <f>VLOOKUP(D18,TIPOLOGIAS!A:F,5,0)</f>
        <v>TERRESTRE</v>
      </c>
      <c r="AF18" s="69" t="s">
        <v>127</v>
      </c>
      <c r="AG18" s="92">
        <v>15</v>
      </c>
      <c r="AH18" s="92">
        <v>0</v>
      </c>
      <c r="AI18" s="92">
        <v>0</v>
      </c>
      <c r="AJ18" s="92">
        <v>0</v>
      </c>
      <c r="AK18" s="92">
        <v>0</v>
      </c>
      <c r="AL18" s="65">
        <f>IF(AD18="TIPO I",'BASE LIQUIDACION'!$D$3,IF(AD18="TIPO II",'BASE LIQUIDACION'!$D$4,IF(AD18="TIPO III",'BASE LIQUIDACION'!$D$5,'BASE LIQUIDACION'!$D$7)))</f>
        <v>44559.984800000006</v>
      </c>
      <c r="AM18" s="65">
        <f>AG18*'BASE LIQUIDACION'!$B$12+AH18*'BASE LIQUIDACION'!$B$11+AI18*'BASE LIQUIDACION'!$B$13+AJ18*'BASE LIQUIDACION'!$B$14+AK18*AL18</f>
        <v>243520.43159999998</v>
      </c>
    </row>
    <row r="19" spans="1:39" s="67" customFormat="1" ht="13.9">
      <c r="A19" s="92" t="s">
        <v>111</v>
      </c>
      <c r="B19" s="64" t="str">
        <f>VLOOKUP(A19,'CENTRO DE COSTOS'!A:D,4,FALSE)</f>
        <v>JUAN SEBASTIÁN RÍOS CASTRILLÓN</v>
      </c>
      <c r="C19" s="64" t="str">
        <f>VLOOKUP(A19,'CENTRO DE COSTOS'!A:C,2,FALSE)</f>
        <v>0004-0005</v>
      </c>
      <c r="D19" s="92">
        <v>5690</v>
      </c>
      <c r="E19" s="98" t="s">
        <v>248</v>
      </c>
      <c r="F19" s="115" t="s">
        <v>249</v>
      </c>
      <c r="G19" s="96">
        <v>45832</v>
      </c>
      <c r="H19" s="97">
        <v>45834</v>
      </c>
      <c r="I19" s="96">
        <v>45832</v>
      </c>
      <c r="J19" s="97">
        <v>45834</v>
      </c>
      <c r="K19" s="97">
        <v>45834</v>
      </c>
      <c r="L19" s="94" t="s">
        <v>131</v>
      </c>
      <c r="M19" s="93" t="s">
        <v>250</v>
      </c>
      <c r="N19" s="94" t="s">
        <v>251</v>
      </c>
      <c r="O19" s="94">
        <v>80054</v>
      </c>
      <c r="P19" s="95" t="s">
        <v>117</v>
      </c>
      <c r="Q19" s="70" t="s">
        <v>118</v>
      </c>
      <c r="R19" s="71" t="s">
        <v>119</v>
      </c>
      <c r="S19" s="116" t="s">
        <v>120</v>
      </c>
      <c r="T19" s="117" t="s">
        <v>120</v>
      </c>
      <c r="U19" s="92" t="s">
        <v>121</v>
      </c>
      <c r="V19" s="100" t="s">
        <v>252</v>
      </c>
      <c r="W19" s="99" t="s">
        <v>253</v>
      </c>
      <c r="X19" s="92" t="s">
        <v>254</v>
      </c>
      <c r="Y19" s="92">
        <v>1254223</v>
      </c>
      <c r="Z19" s="92" t="s">
        <v>125</v>
      </c>
      <c r="AA19" s="92" t="s">
        <v>255</v>
      </c>
      <c r="AB19" s="92" t="s">
        <v>125</v>
      </c>
      <c r="AC19" s="92" t="s">
        <v>126</v>
      </c>
      <c r="AD19" s="68" t="str">
        <f>VLOOKUP(D19,TIPOLOGIAS!A:F,6,0)</f>
        <v>TIPO II</v>
      </c>
      <c r="AE19" s="68" t="str">
        <f>VLOOKUP(D19,TIPOLOGIAS!A:F,5,0)</f>
        <v>TERRESTRE</v>
      </c>
      <c r="AF19" s="69" t="s">
        <v>127</v>
      </c>
      <c r="AG19" s="92">
        <v>12</v>
      </c>
      <c r="AH19" s="92">
        <v>0</v>
      </c>
      <c r="AI19" s="92">
        <v>0</v>
      </c>
      <c r="AJ19" s="92">
        <v>0</v>
      </c>
      <c r="AK19" s="92">
        <v>0</v>
      </c>
      <c r="AL19" s="65">
        <f>IF(AD19="TIPO I",'BASE LIQUIDACION'!$D$3,IF(AD19="TIPO II",'BASE LIQUIDACION'!$D$4,IF(AD19="TIPO III",'BASE LIQUIDACION'!$D$5,'BASE LIQUIDACION'!$D$7)))</f>
        <v>134410.38956000001</v>
      </c>
      <c r="AM19" s="65">
        <f>AG19*'BASE LIQUIDACION'!$B$12+AH19*'BASE LIQUIDACION'!$B$11+AI19*'BASE LIQUIDACION'!$B$13+AJ19*'BASE LIQUIDACION'!$B$14+AK19*AL19</f>
        <v>194816.34528000001</v>
      </c>
    </row>
    <row r="20" spans="1:39" s="67" customFormat="1" ht="13.9">
      <c r="A20" s="92" t="s">
        <v>111</v>
      </c>
      <c r="B20" s="64" t="str">
        <f>VLOOKUP(A20,'CENTRO DE COSTOS'!A:D,4,FALSE)</f>
        <v>JUAN SEBASTIÁN RÍOS CASTRILLÓN</v>
      </c>
      <c r="C20" s="64" t="str">
        <f>VLOOKUP(A20,'CENTRO DE COSTOS'!A:C,2,FALSE)</f>
        <v>0004-0005</v>
      </c>
      <c r="D20" s="92">
        <v>5001</v>
      </c>
      <c r="E20" s="98" t="s">
        <v>256</v>
      </c>
      <c r="F20" s="115" t="s">
        <v>257</v>
      </c>
      <c r="G20" s="96">
        <v>45832</v>
      </c>
      <c r="H20" s="97">
        <v>45834</v>
      </c>
      <c r="I20" s="96">
        <v>45832</v>
      </c>
      <c r="J20" s="97">
        <v>45834</v>
      </c>
      <c r="K20" s="97">
        <v>45834</v>
      </c>
      <c r="L20" s="94" t="s">
        <v>131</v>
      </c>
      <c r="M20" s="93" t="s">
        <v>111</v>
      </c>
      <c r="N20" s="94" t="s">
        <v>258</v>
      </c>
      <c r="O20" s="94">
        <v>80087</v>
      </c>
      <c r="P20" s="95" t="s">
        <v>117</v>
      </c>
      <c r="Q20" s="70" t="s">
        <v>118</v>
      </c>
      <c r="R20" s="71" t="s">
        <v>119</v>
      </c>
      <c r="S20" s="116" t="s">
        <v>120</v>
      </c>
      <c r="T20" s="117" t="s">
        <v>120</v>
      </c>
      <c r="U20" s="92" t="s">
        <v>121</v>
      </c>
      <c r="V20" s="100" t="s">
        <v>259</v>
      </c>
      <c r="W20" s="99" t="s">
        <v>260</v>
      </c>
      <c r="X20" s="92" t="s">
        <v>261</v>
      </c>
      <c r="Y20" s="92">
        <v>1254482</v>
      </c>
      <c r="Z20" s="92" t="s">
        <v>125</v>
      </c>
      <c r="AA20" s="92" t="s">
        <v>262</v>
      </c>
      <c r="AB20" s="92" t="s">
        <v>125</v>
      </c>
      <c r="AC20" s="92" t="s">
        <v>126</v>
      </c>
      <c r="AD20" s="68" t="str">
        <f>VLOOKUP(D20,TIPOLOGIAS!A:F,6,0)</f>
        <v>TIPO I</v>
      </c>
      <c r="AE20" s="68" t="str">
        <f>VLOOKUP(D20,TIPOLOGIAS!A:F,5,0)</f>
        <v>TERRESTRE</v>
      </c>
      <c r="AF20" s="69" t="s">
        <v>127</v>
      </c>
      <c r="AG20" s="92">
        <v>7</v>
      </c>
      <c r="AH20" s="92">
        <v>0</v>
      </c>
      <c r="AI20" s="92">
        <v>0</v>
      </c>
      <c r="AJ20" s="92">
        <v>0</v>
      </c>
      <c r="AK20" s="92">
        <v>0</v>
      </c>
      <c r="AL20" s="65">
        <f>IF(AD20="TIPO I",'BASE LIQUIDACION'!$D$3,IF(AD20="TIPO II",'BASE LIQUIDACION'!$D$4,IF(AD20="TIPO III",'BASE LIQUIDACION'!$D$5,'BASE LIQUIDACION'!$D$7)))</f>
        <v>44559.984800000006</v>
      </c>
      <c r="AM20" s="65">
        <f>AG20*'BASE LIQUIDACION'!$B$12+AH20*'BASE LIQUIDACION'!$B$11+AI20*'BASE LIQUIDACION'!$B$13+AJ20*'BASE LIQUIDACION'!$B$14+AK20*AL20</f>
        <v>113642.86808</v>
      </c>
    </row>
    <row r="21" spans="1:39" s="67" customFormat="1" ht="13.9">
      <c r="A21" s="92" t="s">
        <v>163</v>
      </c>
      <c r="B21" s="64" t="str">
        <f>VLOOKUP(A21,'CENTRO DE COSTOS'!A:D,4,FALSE)</f>
        <v>WILLIAM ASDRUBAL ROZO ROZO</v>
      </c>
      <c r="C21" s="64" t="str">
        <f>VLOOKUP(A21,'CENTRO DE COSTOS'!A:C,2,FALSE)</f>
        <v>0004-0004</v>
      </c>
      <c r="D21" s="92">
        <v>11001</v>
      </c>
      <c r="E21" s="98" t="s">
        <v>263</v>
      </c>
      <c r="F21" s="115" t="s">
        <v>264</v>
      </c>
      <c r="G21" s="96">
        <v>45832</v>
      </c>
      <c r="H21" s="97">
        <v>45834</v>
      </c>
      <c r="I21" s="96">
        <v>45832</v>
      </c>
      <c r="J21" s="97">
        <v>45833</v>
      </c>
      <c r="K21" s="97">
        <v>45833</v>
      </c>
      <c r="L21" s="94" t="s">
        <v>166</v>
      </c>
      <c r="M21" s="93" t="s">
        <v>163</v>
      </c>
      <c r="N21" s="94" t="s">
        <v>265</v>
      </c>
      <c r="O21" s="94">
        <v>79977</v>
      </c>
      <c r="P21" s="95" t="s">
        <v>117</v>
      </c>
      <c r="Q21" s="70" t="s">
        <v>118</v>
      </c>
      <c r="R21" s="71" t="s">
        <v>119</v>
      </c>
      <c r="S21" s="116" t="s">
        <v>120</v>
      </c>
      <c r="T21" s="117" t="s">
        <v>120</v>
      </c>
      <c r="U21" s="92" t="s">
        <v>121</v>
      </c>
      <c r="V21" s="100" t="s">
        <v>266</v>
      </c>
      <c r="W21" s="99" t="s">
        <v>169</v>
      </c>
      <c r="X21" s="92" t="s">
        <v>267</v>
      </c>
      <c r="Y21" s="92">
        <v>1235380</v>
      </c>
      <c r="Z21" s="92" t="s">
        <v>125</v>
      </c>
      <c r="AA21" s="92" t="s">
        <v>268</v>
      </c>
      <c r="AB21" s="92" t="s">
        <v>125</v>
      </c>
      <c r="AC21" s="92" t="s">
        <v>126</v>
      </c>
      <c r="AD21" s="68" t="str">
        <f>VLOOKUP(D21,TIPOLOGIAS!A:F,6,0)</f>
        <v>TIPO I</v>
      </c>
      <c r="AE21" s="68" t="str">
        <f>VLOOKUP(D21,TIPOLOGIAS!A:F,5,0)</f>
        <v>TERRESTRE</v>
      </c>
      <c r="AF21" s="69" t="s">
        <v>127</v>
      </c>
      <c r="AG21" s="92">
        <v>6</v>
      </c>
      <c r="AH21" s="92">
        <v>0</v>
      </c>
      <c r="AI21" s="92">
        <v>0</v>
      </c>
      <c r="AJ21" s="92">
        <v>0</v>
      </c>
      <c r="AK21" s="92">
        <v>0</v>
      </c>
      <c r="AL21" s="65">
        <f>IF(AD21="TIPO I",'BASE LIQUIDACION'!$D$3,IF(AD21="TIPO II",'BASE LIQUIDACION'!$D$4,IF(AD21="TIPO III",'BASE LIQUIDACION'!$D$5,'BASE LIQUIDACION'!$D$7)))</f>
        <v>44559.984800000006</v>
      </c>
      <c r="AM21" s="65">
        <f>AG21*'BASE LIQUIDACION'!$B$12+AH21*'BASE LIQUIDACION'!$B$11+AI21*'BASE LIQUIDACION'!$B$13+AJ21*'BASE LIQUIDACION'!$B$14+AK21*AL21</f>
        <v>97408.172640000004</v>
      </c>
    </row>
    <row r="22" spans="1:39" s="67" customFormat="1" ht="13.9">
      <c r="A22" s="92" t="s">
        <v>195</v>
      </c>
      <c r="B22" s="64" t="str">
        <f>VLOOKUP(A22,'CENTRO DE COSTOS'!A:D,4,FALSE)</f>
        <v>DIEGO FERNANDO HENAO CARDONA</v>
      </c>
      <c r="C22" s="64" t="str">
        <f>VLOOKUP(A22,'CENTRO DE COSTOS'!A:C,2,FALSE)</f>
        <v>0004-0002</v>
      </c>
      <c r="D22" s="92">
        <v>66001</v>
      </c>
      <c r="E22" s="98" t="s">
        <v>269</v>
      </c>
      <c r="F22" s="115" t="s">
        <v>270</v>
      </c>
      <c r="G22" s="96">
        <v>45832</v>
      </c>
      <c r="H22" s="97">
        <v>45834</v>
      </c>
      <c r="I22" s="96">
        <v>45832</v>
      </c>
      <c r="J22" s="97">
        <v>45833</v>
      </c>
      <c r="K22" s="97">
        <v>45833</v>
      </c>
      <c r="L22" s="94" t="s">
        <v>198</v>
      </c>
      <c r="M22" s="93" t="s">
        <v>195</v>
      </c>
      <c r="N22" s="94" t="s">
        <v>271</v>
      </c>
      <c r="O22" s="94">
        <v>80043</v>
      </c>
      <c r="P22" s="95" t="s">
        <v>117</v>
      </c>
      <c r="Q22" s="70" t="s">
        <v>118</v>
      </c>
      <c r="R22" s="71" t="s">
        <v>119</v>
      </c>
      <c r="S22" s="116" t="s">
        <v>120</v>
      </c>
      <c r="T22" s="117" t="s">
        <v>120</v>
      </c>
      <c r="U22" s="92" t="s">
        <v>121</v>
      </c>
      <c r="V22" s="100" t="s">
        <v>272</v>
      </c>
      <c r="W22" s="99" t="s">
        <v>201</v>
      </c>
      <c r="X22" s="92" t="s">
        <v>273</v>
      </c>
      <c r="Y22" s="92">
        <v>1235292</v>
      </c>
      <c r="Z22" s="92" t="s">
        <v>125</v>
      </c>
      <c r="AA22" s="92" t="s">
        <v>274</v>
      </c>
      <c r="AB22" s="92" t="s">
        <v>125</v>
      </c>
      <c r="AC22" s="92" t="s">
        <v>126</v>
      </c>
      <c r="AD22" s="68" t="str">
        <f>VLOOKUP(D22,TIPOLOGIAS!A:F,6,0)</f>
        <v>TIPO I</v>
      </c>
      <c r="AE22" s="68" t="str">
        <f>VLOOKUP(D22,TIPOLOGIAS!A:F,5,0)</f>
        <v>TERRESTRE</v>
      </c>
      <c r="AF22" s="69" t="s">
        <v>127</v>
      </c>
      <c r="AG22" s="92">
        <v>10</v>
      </c>
      <c r="AH22" s="92">
        <v>0</v>
      </c>
      <c r="AI22" s="92">
        <v>0</v>
      </c>
      <c r="AJ22" s="92">
        <v>0</v>
      </c>
      <c r="AK22" s="92">
        <v>0</v>
      </c>
      <c r="AL22" s="65">
        <f>IF(AD22="TIPO I",'BASE LIQUIDACION'!$D$3,IF(AD22="TIPO II",'BASE LIQUIDACION'!$D$4,IF(AD22="TIPO III",'BASE LIQUIDACION'!$D$5,'BASE LIQUIDACION'!$D$7)))</f>
        <v>44559.984800000006</v>
      </c>
      <c r="AM22" s="65">
        <f>AG22*'BASE LIQUIDACION'!$B$12+AH22*'BASE LIQUIDACION'!$B$11+AI22*'BASE LIQUIDACION'!$B$13+AJ22*'BASE LIQUIDACION'!$B$14+AK22*AL22</f>
        <v>162346.95439999999</v>
      </c>
    </row>
    <row r="23" spans="1:39" s="67" customFormat="1" ht="13.9">
      <c r="A23" s="93" t="s">
        <v>275</v>
      </c>
      <c r="B23" s="64" t="str">
        <f>VLOOKUP(A23,'CENTRO DE COSTOS'!A:D,4,FALSE)</f>
        <v>MIGUEL JULIÁN HERNÁNDEZ GUARÍN</v>
      </c>
      <c r="C23" s="64" t="str">
        <f>VLOOKUP(A23,'CENTRO DE COSTOS'!A:C,2,FALSE)</f>
        <v>0004-0008</v>
      </c>
      <c r="D23" s="92">
        <v>54498</v>
      </c>
      <c r="E23" s="98" t="s">
        <v>276</v>
      </c>
      <c r="F23" s="115" t="s">
        <v>277</v>
      </c>
      <c r="G23" s="96">
        <v>45817</v>
      </c>
      <c r="H23" s="97">
        <v>45819</v>
      </c>
      <c r="I23" s="96">
        <v>45817</v>
      </c>
      <c r="J23" s="97">
        <v>45818</v>
      </c>
      <c r="K23" s="97">
        <v>45818</v>
      </c>
      <c r="L23" s="94" t="s">
        <v>278</v>
      </c>
      <c r="M23" s="93" t="s">
        <v>279</v>
      </c>
      <c r="N23" s="94" t="s">
        <v>280</v>
      </c>
      <c r="O23" s="94">
        <v>79815</v>
      </c>
      <c r="P23" s="95" t="s">
        <v>117</v>
      </c>
      <c r="Q23" s="70" t="s">
        <v>118</v>
      </c>
      <c r="R23" s="71" t="s">
        <v>119</v>
      </c>
      <c r="S23" s="116" t="s">
        <v>120</v>
      </c>
      <c r="T23" s="117" t="s">
        <v>120</v>
      </c>
      <c r="U23" s="92" t="s">
        <v>121</v>
      </c>
      <c r="V23" s="100" t="s">
        <v>281</v>
      </c>
      <c r="W23" s="99" t="s">
        <v>222</v>
      </c>
      <c r="X23" s="92" t="s">
        <v>282</v>
      </c>
      <c r="Y23" s="92">
        <v>801650</v>
      </c>
      <c r="Z23" s="92" t="s">
        <v>125</v>
      </c>
      <c r="AA23" s="92">
        <v>513517</v>
      </c>
      <c r="AB23" s="92" t="s">
        <v>125</v>
      </c>
      <c r="AC23" s="92" t="s">
        <v>126</v>
      </c>
      <c r="AD23" s="68" t="str">
        <f>VLOOKUP(D23,TIPOLOGIAS!A:F,6,0)</f>
        <v>TIPO IV</v>
      </c>
      <c r="AE23" s="68" t="str">
        <f>VLOOKUP(D23,TIPOLOGIAS!A:F,5,0)</f>
        <v>TERRESTRE</v>
      </c>
      <c r="AF23" s="69" t="s">
        <v>127</v>
      </c>
      <c r="AG23" s="92">
        <v>0</v>
      </c>
      <c r="AH23" s="92">
        <v>0</v>
      </c>
      <c r="AI23" s="92">
        <v>1</v>
      </c>
      <c r="AJ23" s="92">
        <v>0</v>
      </c>
      <c r="AK23" s="92">
        <v>0</v>
      </c>
      <c r="AL23" s="65">
        <f>IF(AD23="TIPO I",'BASE LIQUIDACION'!$D$3,IF(AD23="TIPO II",'BASE LIQUIDACION'!$D$4,IF(AD23="TIPO III",'BASE LIQUIDACION'!$D$5,'BASE LIQUIDACION'!$D$7)))</f>
        <v>464809.03136000002</v>
      </c>
      <c r="AM23" s="65">
        <f>AG23*'BASE LIQUIDACION'!$B$12+AH23*'BASE LIQUIDACION'!$B$11+AI23*'BASE LIQUIDACION'!$B$13+AJ23*'BASE LIQUIDACION'!$B$14+AK23*AL23</f>
        <v>257391.81956</v>
      </c>
    </row>
    <row r="24" spans="1:39" s="67" customFormat="1" ht="13.9">
      <c r="A24" s="92" t="s">
        <v>138</v>
      </c>
      <c r="B24" s="64" t="str">
        <f>VLOOKUP(A24,'CENTRO DE COSTOS'!A:D,4,FALSE)</f>
        <v>DIEGO FERNANDO HENAO CARDONA</v>
      </c>
      <c r="C24" s="64" t="str">
        <f>VLOOKUP(A24,'CENTRO DE COSTOS'!A:C,2,FALSE)</f>
        <v>0004-0003</v>
      </c>
      <c r="D24" s="92">
        <v>19698</v>
      </c>
      <c r="E24" s="98" t="s">
        <v>283</v>
      </c>
      <c r="F24" s="115" t="s">
        <v>284</v>
      </c>
      <c r="G24" s="96">
        <v>45832</v>
      </c>
      <c r="H24" s="97">
        <v>45834</v>
      </c>
      <c r="I24" s="96">
        <v>45832</v>
      </c>
      <c r="J24" s="97">
        <v>45834</v>
      </c>
      <c r="K24" s="97">
        <v>45834</v>
      </c>
      <c r="L24" s="94" t="s">
        <v>285</v>
      </c>
      <c r="M24" s="93" t="s">
        <v>286</v>
      </c>
      <c r="N24" s="94" t="s">
        <v>287</v>
      </c>
      <c r="O24" s="94">
        <v>80062</v>
      </c>
      <c r="P24" s="95" t="s">
        <v>117</v>
      </c>
      <c r="Q24" s="70" t="s">
        <v>118</v>
      </c>
      <c r="R24" s="71" t="s">
        <v>119</v>
      </c>
      <c r="S24" s="116" t="s">
        <v>120</v>
      </c>
      <c r="T24" s="117" t="s">
        <v>120</v>
      </c>
      <c r="U24" s="92" t="s">
        <v>121</v>
      </c>
      <c r="V24" s="100" t="s">
        <v>288</v>
      </c>
      <c r="W24" s="99" t="s">
        <v>185</v>
      </c>
      <c r="X24" s="92" t="s">
        <v>289</v>
      </c>
      <c r="Y24" s="92">
        <v>1254318</v>
      </c>
      <c r="Z24" s="92" t="s">
        <v>125</v>
      </c>
      <c r="AA24" s="92" t="s">
        <v>290</v>
      </c>
      <c r="AB24" s="92" t="s">
        <v>125</v>
      </c>
      <c r="AC24" s="92" t="s">
        <v>126</v>
      </c>
      <c r="AD24" s="68" t="str">
        <f>VLOOKUP(D24,TIPOLOGIAS!A:F,6,0)</f>
        <v>TIPO II</v>
      </c>
      <c r="AE24" s="68" t="str">
        <f>VLOOKUP(D24,TIPOLOGIAS!A:F,5,0)</f>
        <v>TERRESTRE</v>
      </c>
      <c r="AF24" s="69" t="s">
        <v>127</v>
      </c>
      <c r="AG24" s="92">
        <v>0</v>
      </c>
      <c r="AH24" s="92">
        <v>0</v>
      </c>
      <c r="AI24" s="92">
        <v>1</v>
      </c>
      <c r="AJ24" s="92">
        <v>0</v>
      </c>
      <c r="AK24" s="92">
        <v>0</v>
      </c>
      <c r="AL24" s="65">
        <f>IF(AD24="TIPO I",'BASE LIQUIDACION'!$D$3,IF(AD24="TIPO II",'BASE LIQUIDACION'!$D$4,IF(AD24="TIPO III",'BASE LIQUIDACION'!$D$5,'BASE LIQUIDACION'!$D$7)))</f>
        <v>134410.38956000001</v>
      </c>
      <c r="AM24" s="65">
        <f>AG24*'BASE LIQUIDACION'!$B$12+AH24*'BASE LIQUIDACION'!$B$11+AI24*'BASE LIQUIDACION'!$B$13+AJ24*'BASE LIQUIDACION'!$B$14+AK24*AL24</f>
        <v>257391.81956</v>
      </c>
    </row>
    <row r="25" spans="1:39" s="67" customFormat="1" ht="13.9">
      <c r="A25" s="92" t="s">
        <v>147</v>
      </c>
      <c r="B25" s="64" t="str">
        <f>VLOOKUP(A25,'CENTRO DE COSTOS'!A:D,4,FALSE)</f>
        <v>MIGUEL JULIÁN HERNÁNDEZ GUARÍN</v>
      </c>
      <c r="C25" s="64" t="str">
        <f>VLOOKUP(A25,'CENTRO DE COSTOS'!A:C,2,FALSE)</f>
        <v>0004-0008</v>
      </c>
      <c r="D25" s="92">
        <v>15681</v>
      </c>
      <c r="E25" s="98" t="s">
        <v>291</v>
      </c>
      <c r="F25" s="115" t="s">
        <v>292</v>
      </c>
      <c r="G25" s="96">
        <v>45821</v>
      </c>
      <c r="H25" s="97">
        <v>45825</v>
      </c>
      <c r="I25" s="96">
        <v>45821</v>
      </c>
      <c r="J25" s="97">
        <v>45825</v>
      </c>
      <c r="K25" s="97">
        <v>45825</v>
      </c>
      <c r="L25" s="94" t="s">
        <v>150</v>
      </c>
      <c r="M25" s="93" t="s">
        <v>293</v>
      </c>
      <c r="N25" s="94" t="s">
        <v>294</v>
      </c>
      <c r="O25" s="94">
        <v>79858</v>
      </c>
      <c r="P25" s="95" t="s">
        <v>117</v>
      </c>
      <c r="Q25" s="70" t="s">
        <v>118</v>
      </c>
      <c r="R25" s="71" t="s">
        <v>119</v>
      </c>
      <c r="S25" s="116" t="s">
        <v>120</v>
      </c>
      <c r="T25" s="117" t="s">
        <v>120</v>
      </c>
      <c r="U25" s="92" t="s">
        <v>121</v>
      </c>
      <c r="V25" s="100" t="s">
        <v>295</v>
      </c>
      <c r="W25" s="99" t="s">
        <v>296</v>
      </c>
      <c r="X25" s="92" t="s">
        <v>297</v>
      </c>
      <c r="Y25" s="92">
        <v>771689</v>
      </c>
      <c r="Z25" s="92">
        <v>869561</v>
      </c>
      <c r="AA25" s="92">
        <v>1071457</v>
      </c>
      <c r="AB25" s="92" t="s">
        <v>125</v>
      </c>
      <c r="AC25" s="92" t="s">
        <v>126</v>
      </c>
      <c r="AD25" s="68" t="str">
        <f>VLOOKUP(D25,TIPOLOGIAS!A:F,6,0)</f>
        <v>TIPO IV</v>
      </c>
      <c r="AE25" s="68" t="str">
        <f>VLOOKUP(D25,TIPOLOGIAS!A:F,5,0)</f>
        <v>TERRESTRE</v>
      </c>
      <c r="AF25" s="69" t="s">
        <v>127</v>
      </c>
      <c r="AG25" s="92">
        <v>0</v>
      </c>
      <c r="AH25" s="92">
        <v>0</v>
      </c>
      <c r="AI25" s="92">
        <v>0</v>
      </c>
      <c r="AJ25" s="92">
        <v>1</v>
      </c>
      <c r="AK25" s="92">
        <v>0</v>
      </c>
      <c r="AL25" s="65">
        <f>IF(AD25="TIPO I",'BASE LIQUIDACION'!$D$3,IF(AD25="TIPO II",'BASE LIQUIDACION'!$D$4,IF(AD25="TIPO III",'BASE LIQUIDACION'!$D$5,'BASE LIQUIDACION'!$D$7)))</f>
        <v>464809.03136000002</v>
      </c>
      <c r="AM25" s="65">
        <f>AG25*'BASE LIQUIDACION'!$B$12+AH25*'BASE LIQUIDACION'!$B$11+AI25*'BASE LIQUIDACION'!$B$13+AJ25*'BASE LIQUIDACION'!$B$14+AK25*AL25</f>
        <v>306552.28452000004</v>
      </c>
    </row>
    <row r="26" spans="1:39" s="67" customFormat="1" ht="13.9">
      <c r="A26" s="92" t="s">
        <v>298</v>
      </c>
      <c r="B26" s="64" t="str">
        <f>VLOOKUP(A26,'CENTRO DE COSTOS'!A:D,4,FALSE)</f>
        <v>KEVIN ALEXIS CORZO BUSTOS</v>
      </c>
      <c r="C26" s="64" t="str">
        <f>VLOOKUP(A26,'CENTRO DE COSTOS'!A:C,2,FALSE)</f>
        <v>0004-0007</v>
      </c>
      <c r="D26" s="92">
        <v>18001</v>
      </c>
      <c r="E26" s="98" t="s">
        <v>299</v>
      </c>
      <c r="F26" s="115" t="s">
        <v>300</v>
      </c>
      <c r="G26" s="96">
        <v>45821</v>
      </c>
      <c r="H26" s="97">
        <v>45825</v>
      </c>
      <c r="I26" s="96">
        <v>45821</v>
      </c>
      <c r="J26" s="97">
        <v>45825</v>
      </c>
      <c r="K26" s="97">
        <v>45825</v>
      </c>
      <c r="L26" s="94" t="s">
        <v>301</v>
      </c>
      <c r="M26" s="93" t="s">
        <v>302</v>
      </c>
      <c r="N26" s="94" t="s">
        <v>303</v>
      </c>
      <c r="O26" s="94">
        <v>79866</v>
      </c>
      <c r="P26" s="95" t="s">
        <v>117</v>
      </c>
      <c r="Q26" s="70" t="s">
        <v>118</v>
      </c>
      <c r="R26" s="71" t="s">
        <v>119</v>
      </c>
      <c r="S26" s="116" t="s">
        <v>120</v>
      </c>
      <c r="T26" s="117" t="s">
        <v>120</v>
      </c>
      <c r="U26" s="92" t="s">
        <v>121</v>
      </c>
      <c r="V26" s="100" t="s">
        <v>304</v>
      </c>
      <c r="W26" s="99" t="s">
        <v>305</v>
      </c>
      <c r="X26" s="92" t="s">
        <v>306</v>
      </c>
      <c r="Y26" s="92">
        <v>1050463</v>
      </c>
      <c r="Z26" s="92" t="s">
        <v>125</v>
      </c>
      <c r="AA26" s="92">
        <v>1076442</v>
      </c>
      <c r="AB26" s="92" t="s">
        <v>125</v>
      </c>
      <c r="AC26" s="92" t="s">
        <v>126</v>
      </c>
      <c r="AD26" s="68" t="str">
        <f>VLOOKUP(D26,TIPOLOGIAS!A:F,6,0)</f>
        <v>TIPO IV</v>
      </c>
      <c r="AE26" s="68" t="str">
        <f>VLOOKUP(D26,TIPOLOGIAS!A:F,5,0)</f>
        <v>TERRESTRE</v>
      </c>
      <c r="AF26" s="69" t="s">
        <v>127</v>
      </c>
      <c r="AG26" s="92">
        <v>0</v>
      </c>
      <c r="AH26" s="92">
        <v>0</v>
      </c>
      <c r="AI26" s="92">
        <v>0</v>
      </c>
      <c r="AJ26" s="92">
        <v>1</v>
      </c>
      <c r="AK26" s="92">
        <v>0</v>
      </c>
      <c r="AL26" s="65">
        <f>IF(AD26="TIPO I",'BASE LIQUIDACION'!$D$3,IF(AD26="TIPO II",'BASE LIQUIDACION'!$D$4,IF(AD26="TIPO III",'BASE LIQUIDACION'!$D$5,'BASE LIQUIDACION'!$D$7)))</f>
        <v>464809.03136000002</v>
      </c>
      <c r="AM26" s="65">
        <f>AG26*'BASE LIQUIDACION'!$B$12+AH26*'BASE LIQUIDACION'!$B$11+AI26*'BASE LIQUIDACION'!$B$13+AJ26*'BASE LIQUIDACION'!$B$14+AK26*AL26</f>
        <v>306552.28452000004</v>
      </c>
    </row>
    <row r="27" spans="1:39" s="67" customFormat="1" ht="13.9">
      <c r="A27" s="93" t="s">
        <v>147</v>
      </c>
      <c r="B27" s="64" t="str">
        <f>VLOOKUP(A27,'CENTRO DE COSTOS'!A:D,4,FALSE)</f>
        <v>MIGUEL JULIÁN HERNÁNDEZ GUARÍN</v>
      </c>
      <c r="C27" s="64" t="str">
        <f>VLOOKUP(A27,'CENTRO DE COSTOS'!A:C,2,FALSE)</f>
        <v>0004-0008</v>
      </c>
      <c r="D27" s="92">
        <v>15759</v>
      </c>
      <c r="E27" s="98" t="s">
        <v>307</v>
      </c>
      <c r="F27" s="115" t="s">
        <v>308</v>
      </c>
      <c r="G27" s="96">
        <v>45807</v>
      </c>
      <c r="H27" s="97">
        <v>45812</v>
      </c>
      <c r="I27" s="96">
        <v>45807</v>
      </c>
      <c r="J27" s="97">
        <v>45813</v>
      </c>
      <c r="K27" s="97">
        <v>45813</v>
      </c>
      <c r="L27" s="94" t="s">
        <v>150</v>
      </c>
      <c r="M27" s="93" t="s">
        <v>309</v>
      </c>
      <c r="N27" s="94" t="s">
        <v>310</v>
      </c>
      <c r="O27" s="94">
        <v>79655</v>
      </c>
      <c r="P27" s="95" t="s">
        <v>117</v>
      </c>
      <c r="Q27" s="70" t="s">
        <v>118</v>
      </c>
      <c r="R27" s="71" t="s">
        <v>119</v>
      </c>
      <c r="S27" s="116" t="s">
        <v>120</v>
      </c>
      <c r="T27" s="117" t="s">
        <v>120</v>
      </c>
      <c r="U27" s="92" t="s">
        <v>121</v>
      </c>
      <c r="V27" s="100" t="s">
        <v>311</v>
      </c>
      <c r="W27" s="99" t="s">
        <v>296</v>
      </c>
      <c r="X27" s="92" t="s">
        <v>312</v>
      </c>
      <c r="Y27" s="92">
        <v>793119</v>
      </c>
      <c r="Z27" s="92" t="s">
        <v>125</v>
      </c>
      <c r="AA27" s="92">
        <v>905615</v>
      </c>
      <c r="AB27" s="92" t="s">
        <v>125</v>
      </c>
      <c r="AC27" s="92" t="s">
        <v>126</v>
      </c>
      <c r="AD27" s="68" t="str">
        <f>VLOOKUP(D27,TIPOLOGIAS!A:F,6,0)</f>
        <v>TIPO II</v>
      </c>
      <c r="AE27" s="68" t="str">
        <f>VLOOKUP(D27,TIPOLOGIAS!A:F,5,0)</f>
        <v>TERRESTRE</v>
      </c>
      <c r="AF27" s="69" t="s">
        <v>127</v>
      </c>
      <c r="AG27" s="92">
        <v>0</v>
      </c>
      <c r="AH27" s="92">
        <v>0</v>
      </c>
      <c r="AI27" s="92">
        <v>0</v>
      </c>
      <c r="AJ27" s="92">
        <v>0</v>
      </c>
      <c r="AK27" s="92">
        <v>1</v>
      </c>
      <c r="AL27" s="65">
        <f>IF(AD27="TIPO I",'BASE LIQUIDACION'!$D$3,IF(AD27="TIPO II",'BASE LIQUIDACION'!$D$4,IF(AD27="TIPO III",'BASE LIQUIDACION'!$D$5,'BASE LIQUIDACION'!$D$7)))</f>
        <v>134410.38956000001</v>
      </c>
      <c r="AM27" s="65">
        <f>AG27*'BASE LIQUIDACION'!$B$12+AH27*'BASE LIQUIDACION'!$B$11+AI27*'BASE LIQUIDACION'!$B$13+AJ27*'BASE LIQUIDACION'!$B$14+AK27*AL27</f>
        <v>134410.38956000001</v>
      </c>
    </row>
    <row r="28" spans="1:39" s="67" customFormat="1" ht="13.9">
      <c r="A28" s="93" t="s">
        <v>111</v>
      </c>
      <c r="B28" s="64" t="str">
        <f>VLOOKUP(A28,'CENTRO DE COSTOS'!A:D,4,FALSE)</f>
        <v>JUAN SEBASTIÁN RÍOS CASTRILLÓN</v>
      </c>
      <c r="C28" s="64" t="str">
        <f>VLOOKUP(A28,'CENTRO DE COSTOS'!A:C,2,FALSE)</f>
        <v>0004-0005</v>
      </c>
      <c r="D28" s="92">
        <v>5079</v>
      </c>
      <c r="E28" s="98" t="s">
        <v>313</v>
      </c>
      <c r="F28" s="115" t="s">
        <v>314</v>
      </c>
      <c r="G28" s="96">
        <v>45807</v>
      </c>
      <c r="H28" s="97">
        <v>45812</v>
      </c>
      <c r="I28" s="96">
        <v>45807</v>
      </c>
      <c r="J28" s="97">
        <v>45817</v>
      </c>
      <c r="K28" s="97">
        <v>45817</v>
      </c>
      <c r="L28" s="94" t="s">
        <v>131</v>
      </c>
      <c r="M28" s="93" t="s">
        <v>315</v>
      </c>
      <c r="N28" s="94" t="s">
        <v>316</v>
      </c>
      <c r="O28" s="94">
        <v>79623</v>
      </c>
      <c r="P28" s="95" t="s">
        <v>117</v>
      </c>
      <c r="Q28" s="70" t="s">
        <v>118</v>
      </c>
      <c r="R28" s="71" t="s">
        <v>119</v>
      </c>
      <c r="S28" s="116" t="s">
        <v>120</v>
      </c>
      <c r="T28" s="117" t="s">
        <v>120</v>
      </c>
      <c r="U28" s="117" t="s">
        <v>121</v>
      </c>
      <c r="V28" s="100" t="s">
        <v>317</v>
      </c>
      <c r="W28" s="99" t="s">
        <v>318</v>
      </c>
      <c r="X28" s="92" t="s">
        <v>319</v>
      </c>
      <c r="Y28" s="92">
        <v>1173964</v>
      </c>
      <c r="Z28" s="92" t="s">
        <v>125</v>
      </c>
      <c r="AA28" s="92">
        <v>529350</v>
      </c>
      <c r="AB28" s="92" t="s">
        <v>125</v>
      </c>
      <c r="AC28" s="92" t="s">
        <v>126</v>
      </c>
      <c r="AD28" s="68" t="str">
        <f>VLOOKUP(D28,TIPOLOGIAS!A:F,6,0)</f>
        <v>TIPO II</v>
      </c>
      <c r="AE28" s="68" t="str">
        <f>VLOOKUP(D28,TIPOLOGIAS!A:F,5,0)</f>
        <v>TERRESTRE</v>
      </c>
      <c r="AF28" s="69" t="s">
        <v>127</v>
      </c>
      <c r="AG28" s="92">
        <v>0</v>
      </c>
      <c r="AH28" s="92">
        <v>0</v>
      </c>
      <c r="AI28" s="92">
        <v>0</v>
      </c>
      <c r="AJ28" s="92">
        <v>0</v>
      </c>
      <c r="AK28" s="92">
        <v>1</v>
      </c>
      <c r="AL28" s="65">
        <f>IF(AD28="TIPO I",'BASE LIQUIDACION'!$D$3,IF(AD28="TIPO II",'BASE LIQUIDACION'!$D$4,IF(AD28="TIPO III",'BASE LIQUIDACION'!$D$5,'BASE LIQUIDACION'!$D$7)))</f>
        <v>134410.38956000001</v>
      </c>
      <c r="AM28" s="65">
        <f>AG28*'BASE LIQUIDACION'!$B$12+AH28*'BASE LIQUIDACION'!$B$11+AI28*'BASE LIQUIDACION'!$B$13+AJ28*'BASE LIQUIDACION'!$B$14+AK28*AL28</f>
        <v>134410.38956000001</v>
      </c>
    </row>
    <row r="29" spans="1:39" s="67" customFormat="1" ht="13.9">
      <c r="A29" s="93" t="s">
        <v>320</v>
      </c>
      <c r="B29" s="64" t="str">
        <f>VLOOKUP(A29,'CENTRO DE COSTOS'!A:D,4,FALSE)</f>
        <v>JOSE MAURICIO HERNANDEZ ROJAS</v>
      </c>
      <c r="C29" s="64" t="str">
        <f>VLOOKUP(A29,'CENTRO DE COSTOS'!A:C,2,FALSE)</f>
        <v>0004-0001</v>
      </c>
      <c r="D29" s="92">
        <v>8001</v>
      </c>
      <c r="E29" s="98" t="s">
        <v>321</v>
      </c>
      <c r="F29" s="115" t="s">
        <v>322</v>
      </c>
      <c r="G29" s="96">
        <v>45807</v>
      </c>
      <c r="H29" s="97">
        <v>45812</v>
      </c>
      <c r="I29" s="96">
        <v>45807</v>
      </c>
      <c r="J29" s="97">
        <v>45812</v>
      </c>
      <c r="K29" s="97">
        <v>45812</v>
      </c>
      <c r="L29" s="94" t="s">
        <v>323</v>
      </c>
      <c r="M29" s="93" t="s">
        <v>320</v>
      </c>
      <c r="N29" s="94" t="s">
        <v>324</v>
      </c>
      <c r="O29" s="94">
        <v>79597</v>
      </c>
      <c r="P29" s="95" t="s">
        <v>117</v>
      </c>
      <c r="Q29" s="70" t="s">
        <v>118</v>
      </c>
      <c r="R29" s="71" t="s">
        <v>119</v>
      </c>
      <c r="S29" s="116" t="s">
        <v>120</v>
      </c>
      <c r="T29" s="117" t="s">
        <v>120</v>
      </c>
      <c r="U29" s="117" t="s">
        <v>121</v>
      </c>
      <c r="V29" s="100" t="s">
        <v>325</v>
      </c>
      <c r="W29" s="99" t="s">
        <v>326</v>
      </c>
      <c r="X29" s="92" t="s">
        <v>327</v>
      </c>
      <c r="Y29" s="92">
        <v>1045719</v>
      </c>
      <c r="Z29" s="92" t="s">
        <v>125</v>
      </c>
      <c r="AA29" s="92">
        <v>905781</v>
      </c>
      <c r="AB29" s="92" t="s">
        <v>125</v>
      </c>
      <c r="AC29" s="92" t="s">
        <v>126</v>
      </c>
      <c r="AD29" s="68" t="str">
        <f>VLOOKUP(D29,TIPOLOGIAS!A:F,6,0)</f>
        <v>TIPO I</v>
      </c>
      <c r="AE29" s="68" t="str">
        <f>VLOOKUP(D29,TIPOLOGIAS!A:F,5,0)</f>
        <v>TERRESTRE</v>
      </c>
      <c r="AF29" s="69" t="s">
        <v>127</v>
      </c>
      <c r="AG29" s="92">
        <v>0</v>
      </c>
      <c r="AH29" s="92">
        <v>0</v>
      </c>
      <c r="AI29" s="92">
        <v>0</v>
      </c>
      <c r="AJ29" s="92">
        <v>0</v>
      </c>
      <c r="AK29" s="92">
        <v>1</v>
      </c>
      <c r="AL29" s="65">
        <f>IF(AD29="TIPO I",'BASE LIQUIDACION'!$D$3,IF(AD29="TIPO II",'BASE LIQUIDACION'!$D$4,IF(AD29="TIPO III",'BASE LIQUIDACION'!$D$5,'BASE LIQUIDACION'!$D$7)))</f>
        <v>44559.984800000006</v>
      </c>
      <c r="AM29" s="65">
        <f>AG29*'BASE LIQUIDACION'!$B$12+AH29*'BASE LIQUIDACION'!$B$11+AI29*'BASE LIQUIDACION'!$B$13+AJ29*'BASE LIQUIDACION'!$B$14+AK29*AL29</f>
        <v>44559.984800000006</v>
      </c>
    </row>
    <row r="30" spans="1:39" s="67" customFormat="1" ht="13.9">
      <c r="A30" s="93" t="s">
        <v>163</v>
      </c>
      <c r="B30" s="64" t="str">
        <f>VLOOKUP(A30,'CENTRO DE COSTOS'!A:D,4,FALSE)</f>
        <v>WILLIAM ASDRUBAL ROZO ROZO</v>
      </c>
      <c r="C30" s="64" t="str">
        <f>VLOOKUP(A30,'CENTRO DE COSTOS'!A:C,2,FALSE)</f>
        <v>0004-0004</v>
      </c>
      <c r="D30" s="92">
        <v>11001</v>
      </c>
      <c r="E30" s="98" t="s">
        <v>328</v>
      </c>
      <c r="F30" s="115" t="s">
        <v>329</v>
      </c>
      <c r="G30" s="96">
        <v>45813</v>
      </c>
      <c r="H30" s="97">
        <v>45817</v>
      </c>
      <c r="I30" s="96">
        <v>45813</v>
      </c>
      <c r="J30" s="97">
        <v>45814</v>
      </c>
      <c r="K30" s="97">
        <v>45814</v>
      </c>
      <c r="L30" s="94" t="s">
        <v>166</v>
      </c>
      <c r="M30" s="93" t="s">
        <v>163</v>
      </c>
      <c r="N30" s="94" t="s">
        <v>330</v>
      </c>
      <c r="O30" s="94">
        <v>79688</v>
      </c>
      <c r="P30" s="95" t="s">
        <v>331</v>
      </c>
      <c r="Q30" s="70" t="s">
        <v>118</v>
      </c>
      <c r="R30" s="71" t="s">
        <v>119</v>
      </c>
      <c r="S30" s="116" t="s">
        <v>332</v>
      </c>
      <c r="T30" s="117" t="s">
        <v>333</v>
      </c>
      <c r="U30" s="117" t="s">
        <v>334</v>
      </c>
      <c r="V30" s="100" t="s">
        <v>335</v>
      </c>
      <c r="W30" s="99" t="s">
        <v>336</v>
      </c>
      <c r="X30" s="92" t="s">
        <v>337</v>
      </c>
      <c r="Y30" s="92" t="s">
        <v>125</v>
      </c>
      <c r="Z30" s="92" t="s">
        <v>125</v>
      </c>
      <c r="AA30" s="92" t="s">
        <v>125</v>
      </c>
      <c r="AB30" s="92" t="s">
        <v>125</v>
      </c>
      <c r="AC30" s="92">
        <v>0</v>
      </c>
      <c r="AD30" s="68" t="str">
        <f>VLOOKUP(D30,TIPOLOGIAS!A:F,6,0)</f>
        <v>TIPO I</v>
      </c>
      <c r="AE30" s="68" t="str">
        <f>VLOOKUP(D30,TIPOLOGIAS!A:F,5,0)</f>
        <v>TERRESTRE</v>
      </c>
      <c r="AF30" s="69" t="s">
        <v>127</v>
      </c>
      <c r="AG30" s="92">
        <v>0</v>
      </c>
      <c r="AH30" s="92">
        <v>0</v>
      </c>
      <c r="AI30" s="92">
        <v>0</v>
      </c>
      <c r="AJ30" s="92">
        <v>0</v>
      </c>
      <c r="AK30" s="92">
        <v>1</v>
      </c>
      <c r="AL30" s="65">
        <f>IF(AD30="TIPO I",'BASE LIQUIDACION'!$D$3,IF(AD30="TIPO II",'BASE LIQUIDACION'!$D$4,IF(AD30="TIPO III",'BASE LIQUIDACION'!$D$5,'BASE LIQUIDACION'!$D$7)))</f>
        <v>44559.984800000006</v>
      </c>
      <c r="AM30" s="65">
        <f>AG30*'BASE LIQUIDACION'!$B$12+AH30*'BASE LIQUIDACION'!$B$11+AI30*'BASE LIQUIDACION'!$B$13+AJ30*'BASE LIQUIDACION'!$B$14+AK30*AL30</f>
        <v>44559.984800000006</v>
      </c>
    </row>
    <row r="31" spans="1:39" s="67" customFormat="1" ht="13.9">
      <c r="A31" s="93" t="s">
        <v>338</v>
      </c>
      <c r="B31" s="64" t="str">
        <f>VLOOKUP(A31,'CENTRO DE COSTOS'!A:D,4,FALSE)</f>
        <v>DIEGO FERNANDO HENAO CARDONA</v>
      </c>
      <c r="C31" s="64" t="str">
        <f>VLOOKUP(A31,'CENTRO DE COSTOS'!A:C,2,FALSE)</f>
        <v>0004-0003</v>
      </c>
      <c r="D31" s="92">
        <v>52001</v>
      </c>
      <c r="E31" s="98" t="s">
        <v>339</v>
      </c>
      <c r="F31" s="115" t="s">
        <v>340</v>
      </c>
      <c r="G31" s="96">
        <v>45813</v>
      </c>
      <c r="H31" s="97">
        <v>45817</v>
      </c>
      <c r="I31" s="96">
        <v>45813</v>
      </c>
      <c r="J31" s="97">
        <v>45817</v>
      </c>
      <c r="K31" s="97">
        <v>45817</v>
      </c>
      <c r="L31" s="94" t="s">
        <v>341</v>
      </c>
      <c r="M31" s="93" t="s">
        <v>338</v>
      </c>
      <c r="N31" s="94" t="s">
        <v>342</v>
      </c>
      <c r="O31" s="94">
        <v>78990</v>
      </c>
      <c r="P31" s="95" t="s">
        <v>343</v>
      </c>
      <c r="Q31" s="70" t="s">
        <v>118</v>
      </c>
      <c r="R31" s="71" t="s">
        <v>119</v>
      </c>
      <c r="S31" s="116" t="s">
        <v>332</v>
      </c>
      <c r="T31" s="117" t="s">
        <v>333</v>
      </c>
      <c r="U31" s="92" t="s">
        <v>334</v>
      </c>
      <c r="V31" s="100" t="s">
        <v>344</v>
      </c>
      <c r="W31" s="99" t="s">
        <v>345</v>
      </c>
      <c r="X31" s="92" t="s">
        <v>346</v>
      </c>
      <c r="Y31" s="92" t="s">
        <v>125</v>
      </c>
      <c r="Z31" s="92" t="s">
        <v>125</v>
      </c>
      <c r="AA31" s="92" t="s">
        <v>125</v>
      </c>
      <c r="AB31" s="92" t="s">
        <v>125</v>
      </c>
      <c r="AC31" s="92">
        <v>0</v>
      </c>
      <c r="AD31" s="68" t="str">
        <f>VLOOKUP(D31,TIPOLOGIAS!A:F,6,0)</f>
        <v>TIPO I</v>
      </c>
      <c r="AE31" s="68" t="str">
        <f>VLOOKUP(D31,TIPOLOGIAS!A:F,5,0)</f>
        <v>TERRESTRE</v>
      </c>
      <c r="AF31" s="69" t="s">
        <v>127</v>
      </c>
      <c r="AG31" s="92">
        <v>0</v>
      </c>
      <c r="AH31" s="92">
        <v>0</v>
      </c>
      <c r="AI31" s="92">
        <v>0</v>
      </c>
      <c r="AJ31" s="92">
        <v>0</v>
      </c>
      <c r="AK31" s="92">
        <v>1</v>
      </c>
      <c r="AL31" s="65">
        <f>IF(AD31="TIPO I",'BASE LIQUIDACION'!$D$3,IF(AD31="TIPO II",'BASE LIQUIDACION'!$D$4,IF(AD31="TIPO III",'BASE LIQUIDACION'!$D$5,'BASE LIQUIDACION'!$D$7)))</f>
        <v>44559.984800000006</v>
      </c>
      <c r="AM31" s="65">
        <f>AG31*'BASE LIQUIDACION'!$B$12+AH31*'BASE LIQUIDACION'!$B$11+AI31*'BASE LIQUIDACION'!$B$13+AJ31*'BASE LIQUIDACION'!$B$14+AK31*AL31</f>
        <v>44559.984800000006</v>
      </c>
    </row>
    <row r="32" spans="1:39" s="67" customFormat="1" ht="13.9">
      <c r="A32" s="93" t="s">
        <v>338</v>
      </c>
      <c r="B32" s="64" t="str">
        <f>VLOOKUP(A32,'CENTRO DE COSTOS'!A:D,4,FALSE)</f>
        <v>DIEGO FERNANDO HENAO CARDONA</v>
      </c>
      <c r="C32" s="64" t="str">
        <f>VLOOKUP(A32,'CENTRO DE COSTOS'!A:C,2,FALSE)</f>
        <v>0004-0003</v>
      </c>
      <c r="D32" s="92">
        <v>52399</v>
      </c>
      <c r="E32" s="98" t="s">
        <v>347</v>
      </c>
      <c r="F32" s="115" t="s">
        <v>348</v>
      </c>
      <c r="G32" s="96">
        <v>45817</v>
      </c>
      <c r="H32" s="97">
        <v>45819</v>
      </c>
      <c r="I32" s="96">
        <v>45817</v>
      </c>
      <c r="J32" s="97">
        <v>45824</v>
      </c>
      <c r="K32" s="97">
        <v>45824</v>
      </c>
      <c r="L32" s="94" t="s">
        <v>341</v>
      </c>
      <c r="M32" s="93" t="s">
        <v>349</v>
      </c>
      <c r="N32" s="94" t="s">
        <v>350</v>
      </c>
      <c r="O32" s="94">
        <v>79724</v>
      </c>
      <c r="P32" s="95" t="s">
        <v>331</v>
      </c>
      <c r="Q32" s="70" t="s">
        <v>118</v>
      </c>
      <c r="R32" s="71" t="s">
        <v>119</v>
      </c>
      <c r="S32" s="116" t="s">
        <v>332</v>
      </c>
      <c r="T32" s="117" t="s">
        <v>333</v>
      </c>
      <c r="U32" s="92" t="s">
        <v>121</v>
      </c>
      <c r="V32" s="100" t="s">
        <v>351</v>
      </c>
      <c r="W32" s="99" t="s">
        <v>352</v>
      </c>
      <c r="X32" s="92" t="s">
        <v>353</v>
      </c>
      <c r="Y32" s="92">
        <v>1072759</v>
      </c>
      <c r="Z32" s="92" t="s">
        <v>125</v>
      </c>
      <c r="AA32" s="92">
        <v>940722</v>
      </c>
      <c r="AB32" s="92" t="s">
        <v>125</v>
      </c>
      <c r="AC32" s="92" t="s">
        <v>126</v>
      </c>
      <c r="AD32" s="68" t="str">
        <f>VLOOKUP(D32,TIPOLOGIAS!A:F,6,0)</f>
        <v>TIPO III</v>
      </c>
      <c r="AE32" s="68" t="str">
        <f>VLOOKUP(D32,TIPOLOGIAS!A:F,5,0)</f>
        <v>TERRESTRE</v>
      </c>
      <c r="AF32" s="69" t="s">
        <v>127</v>
      </c>
      <c r="AG32" s="92">
        <v>0</v>
      </c>
      <c r="AH32" s="92">
        <v>0</v>
      </c>
      <c r="AI32" s="92">
        <v>0</v>
      </c>
      <c r="AJ32" s="92">
        <v>0</v>
      </c>
      <c r="AK32" s="92">
        <v>1</v>
      </c>
      <c r="AL32" s="65">
        <f>IF(AD32="TIPO I",'BASE LIQUIDACION'!$D$3,IF(AD32="TIPO II",'BASE LIQUIDACION'!$D$4,IF(AD32="TIPO III",'BASE LIQUIDACION'!$D$5,'BASE LIQUIDACION'!$D$7)))</f>
        <v>222904.27188000001</v>
      </c>
      <c r="AM32" s="65">
        <f>AG32*'BASE LIQUIDACION'!$B$12+AH32*'BASE LIQUIDACION'!$B$11+AI32*'BASE LIQUIDACION'!$B$13+AJ32*'BASE LIQUIDACION'!$B$14+AK32*AL32</f>
        <v>222904.27188000001</v>
      </c>
    </row>
    <row r="33" spans="1:39" s="67" customFormat="1" ht="13.9">
      <c r="A33" s="93" t="s">
        <v>138</v>
      </c>
      <c r="B33" s="64" t="str">
        <f>VLOOKUP(A33,'CENTRO DE COSTOS'!A:D,4,FALSE)</f>
        <v>DIEGO FERNANDO HENAO CARDONA</v>
      </c>
      <c r="C33" s="64" t="str">
        <f>VLOOKUP(A33,'CENTRO DE COSTOS'!A:C,2,FALSE)</f>
        <v>0004-0003</v>
      </c>
      <c r="D33" s="92">
        <v>76001</v>
      </c>
      <c r="E33" s="98" t="s">
        <v>354</v>
      </c>
      <c r="F33" s="115" t="s">
        <v>355</v>
      </c>
      <c r="G33" s="96">
        <v>45817</v>
      </c>
      <c r="H33" s="97">
        <v>45819</v>
      </c>
      <c r="I33" s="96">
        <v>45817</v>
      </c>
      <c r="J33" s="97">
        <v>45818</v>
      </c>
      <c r="K33" s="97">
        <v>45818</v>
      </c>
      <c r="L33" s="94" t="s">
        <v>141</v>
      </c>
      <c r="M33" s="93" t="s">
        <v>138</v>
      </c>
      <c r="N33" s="94" t="s">
        <v>356</v>
      </c>
      <c r="O33" s="94">
        <v>79694</v>
      </c>
      <c r="P33" s="95" t="s">
        <v>343</v>
      </c>
      <c r="Q33" s="70" t="s">
        <v>118</v>
      </c>
      <c r="R33" s="71" t="s">
        <v>119</v>
      </c>
      <c r="S33" s="116" t="s">
        <v>332</v>
      </c>
      <c r="T33" s="117" t="s">
        <v>333</v>
      </c>
      <c r="U33" s="92" t="s">
        <v>334</v>
      </c>
      <c r="V33" s="100" t="s">
        <v>357</v>
      </c>
      <c r="W33" s="99" t="s">
        <v>358</v>
      </c>
      <c r="X33" s="92" t="s">
        <v>359</v>
      </c>
      <c r="Y33" s="92" t="s">
        <v>125</v>
      </c>
      <c r="Z33" s="92" t="s">
        <v>125</v>
      </c>
      <c r="AA33" s="92" t="s">
        <v>125</v>
      </c>
      <c r="AB33" s="92" t="s">
        <v>125</v>
      </c>
      <c r="AC33" s="92">
        <v>0</v>
      </c>
      <c r="AD33" s="68" t="str">
        <f>VLOOKUP(D33,TIPOLOGIAS!A:F,6,0)</f>
        <v>TIPO I</v>
      </c>
      <c r="AE33" s="68" t="str">
        <f>VLOOKUP(D33,TIPOLOGIAS!A:F,5,0)</f>
        <v>TERRESTRE</v>
      </c>
      <c r="AF33" s="69" t="s">
        <v>127</v>
      </c>
      <c r="AG33" s="92">
        <v>0</v>
      </c>
      <c r="AH33" s="92">
        <v>0</v>
      </c>
      <c r="AI33" s="92">
        <v>0</v>
      </c>
      <c r="AJ33" s="92">
        <v>0</v>
      </c>
      <c r="AK33" s="92">
        <v>1</v>
      </c>
      <c r="AL33" s="65">
        <f>IF(AD33="TIPO I",'BASE LIQUIDACION'!$D$3,IF(AD33="TIPO II",'BASE LIQUIDACION'!$D$4,IF(AD33="TIPO III",'BASE LIQUIDACION'!$D$5,'BASE LIQUIDACION'!$D$7)))</f>
        <v>44559.984800000006</v>
      </c>
      <c r="AM33" s="65">
        <f>AG33*'BASE LIQUIDACION'!$B$12+AH33*'BASE LIQUIDACION'!$B$11+AI33*'BASE LIQUIDACION'!$B$13+AJ33*'BASE LIQUIDACION'!$B$14+AK33*AL33</f>
        <v>44559.984800000006</v>
      </c>
    </row>
    <row r="34" spans="1:39" s="67" customFormat="1" ht="13.9">
      <c r="A34" s="93" t="s">
        <v>360</v>
      </c>
      <c r="B34" s="64" t="str">
        <f>VLOOKUP(A34,'CENTRO DE COSTOS'!A:D,4,FALSE)</f>
        <v>KEVIN ALEXIS CORZO BUSTOS</v>
      </c>
      <c r="C34" s="64" t="str">
        <f>VLOOKUP(A34,'CENTRO DE COSTOS'!A:C,2,FALSE)</f>
        <v>0004-0007</v>
      </c>
      <c r="D34" s="92">
        <v>73585</v>
      </c>
      <c r="E34" s="98" t="s">
        <v>361</v>
      </c>
      <c r="F34" s="115" t="s">
        <v>362</v>
      </c>
      <c r="G34" s="96">
        <v>45817</v>
      </c>
      <c r="H34" s="97">
        <v>45819</v>
      </c>
      <c r="I34" s="96">
        <v>45817</v>
      </c>
      <c r="J34" s="97">
        <v>45819</v>
      </c>
      <c r="K34" s="97">
        <v>45819</v>
      </c>
      <c r="L34" s="94" t="s">
        <v>363</v>
      </c>
      <c r="M34" s="93" t="s">
        <v>364</v>
      </c>
      <c r="N34" s="94" t="s">
        <v>365</v>
      </c>
      <c r="O34" s="94">
        <v>79785</v>
      </c>
      <c r="P34" s="95" t="s">
        <v>117</v>
      </c>
      <c r="Q34" s="70" t="s">
        <v>118</v>
      </c>
      <c r="R34" s="71" t="s">
        <v>119</v>
      </c>
      <c r="S34" s="116" t="s">
        <v>120</v>
      </c>
      <c r="T34" s="117" t="s">
        <v>120</v>
      </c>
      <c r="U34" s="92" t="s">
        <v>121</v>
      </c>
      <c r="V34" s="100" t="s">
        <v>366</v>
      </c>
      <c r="W34" s="99" t="s">
        <v>367</v>
      </c>
      <c r="X34" s="92" t="s">
        <v>368</v>
      </c>
      <c r="Y34" s="92">
        <v>810162</v>
      </c>
      <c r="Z34" s="92" t="s">
        <v>125</v>
      </c>
      <c r="AA34" s="92">
        <v>905326</v>
      </c>
      <c r="AB34" s="92" t="s">
        <v>125</v>
      </c>
      <c r="AC34" s="92" t="s">
        <v>126</v>
      </c>
      <c r="AD34" s="68" t="str">
        <f>VLOOKUP(D34,TIPOLOGIAS!A:F,6,0)</f>
        <v>TIPO II</v>
      </c>
      <c r="AE34" s="68" t="str">
        <f>VLOOKUP(D34,TIPOLOGIAS!A:F,5,0)</f>
        <v>TERRESTRE</v>
      </c>
      <c r="AF34" s="69" t="s">
        <v>127</v>
      </c>
      <c r="AG34" s="92">
        <v>0</v>
      </c>
      <c r="AH34" s="92">
        <v>0</v>
      </c>
      <c r="AI34" s="92">
        <v>0</v>
      </c>
      <c r="AJ34" s="92">
        <v>0</v>
      </c>
      <c r="AK34" s="92">
        <v>1</v>
      </c>
      <c r="AL34" s="65">
        <f>IF(AD34="TIPO I",'BASE LIQUIDACION'!$D$3,IF(AD34="TIPO II",'BASE LIQUIDACION'!$D$4,IF(AD34="TIPO III",'BASE LIQUIDACION'!$D$5,'BASE LIQUIDACION'!$D$7)))</f>
        <v>134410.38956000001</v>
      </c>
      <c r="AM34" s="65">
        <f>AG34*'BASE LIQUIDACION'!$B$12+AH34*'BASE LIQUIDACION'!$B$11+AI34*'BASE LIQUIDACION'!$B$13+AJ34*'BASE LIQUIDACION'!$B$14+AK34*AL34</f>
        <v>134410.38956000001</v>
      </c>
    </row>
    <row r="35" spans="1:39" s="67" customFormat="1" ht="13.9">
      <c r="A35" s="93" t="s">
        <v>275</v>
      </c>
      <c r="B35" s="64" t="str">
        <f>VLOOKUP(A35,'CENTRO DE COSTOS'!A:D,4,FALSE)</f>
        <v>MIGUEL JULIÁN HERNÁNDEZ GUARÍN</v>
      </c>
      <c r="C35" s="64" t="str">
        <f>VLOOKUP(A35,'CENTRO DE COSTOS'!A:C,2,FALSE)</f>
        <v>0004-0008</v>
      </c>
      <c r="D35" s="92">
        <v>54498</v>
      </c>
      <c r="E35" s="98" t="s">
        <v>369</v>
      </c>
      <c r="F35" s="115" t="s">
        <v>370</v>
      </c>
      <c r="G35" s="96">
        <v>45817</v>
      </c>
      <c r="H35" s="97">
        <v>45819</v>
      </c>
      <c r="I35" s="96">
        <v>45817</v>
      </c>
      <c r="J35" s="97">
        <v>45818</v>
      </c>
      <c r="K35" s="97">
        <v>45818</v>
      </c>
      <c r="L35" s="94" t="s">
        <v>278</v>
      </c>
      <c r="M35" s="93" t="s">
        <v>279</v>
      </c>
      <c r="N35" s="94" t="s">
        <v>371</v>
      </c>
      <c r="O35" s="94">
        <v>79814</v>
      </c>
      <c r="P35" s="95" t="s">
        <v>117</v>
      </c>
      <c r="Q35" s="70" t="s">
        <v>118</v>
      </c>
      <c r="R35" s="71" t="s">
        <v>119</v>
      </c>
      <c r="S35" s="116" t="s">
        <v>120</v>
      </c>
      <c r="T35" s="117" t="s">
        <v>120</v>
      </c>
      <c r="U35" s="92" t="s">
        <v>334</v>
      </c>
      <c r="V35" s="100" t="s">
        <v>372</v>
      </c>
      <c r="W35" s="99" t="s">
        <v>222</v>
      </c>
      <c r="X35" s="92" t="s">
        <v>373</v>
      </c>
      <c r="Y35" s="92" t="s">
        <v>125</v>
      </c>
      <c r="Z35" s="92" t="s">
        <v>125</v>
      </c>
      <c r="AA35" s="92" t="s">
        <v>125</v>
      </c>
      <c r="AB35" s="92" t="s">
        <v>125</v>
      </c>
      <c r="AC35" s="92">
        <v>0</v>
      </c>
      <c r="AD35" s="68" t="str">
        <f>VLOOKUP(D35,TIPOLOGIAS!A:F,6,0)</f>
        <v>TIPO IV</v>
      </c>
      <c r="AE35" s="68" t="str">
        <f>VLOOKUP(D35,TIPOLOGIAS!A:F,5,0)</f>
        <v>TERRESTRE</v>
      </c>
      <c r="AF35" s="69" t="s">
        <v>127</v>
      </c>
      <c r="AG35" s="92">
        <v>0</v>
      </c>
      <c r="AH35" s="92">
        <v>0</v>
      </c>
      <c r="AI35" s="92">
        <v>0</v>
      </c>
      <c r="AJ35" s="92">
        <v>0</v>
      </c>
      <c r="AK35" s="92">
        <v>1</v>
      </c>
      <c r="AL35" s="65">
        <f>IF(AD35="TIPO I",'BASE LIQUIDACION'!$D$3,IF(AD35="TIPO II",'BASE LIQUIDACION'!$D$4,IF(AD35="TIPO III",'BASE LIQUIDACION'!$D$5,'BASE LIQUIDACION'!$D$7)))</f>
        <v>464809.03136000002</v>
      </c>
      <c r="AM35" s="65">
        <f>AG35*'BASE LIQUIDACION'!$B$12+AH35*'BASE LIQUIDACION'!$B$11+AI35*'BASE LIQUIDACION'!$B$13+AJ35*'BASE LIQUIDACION'!$B$14+AK35*AL35</f>
        <v>464809.03136000002</v>
      </c>
    </row>
    <row r="36" spans="1:39" s="67" customFormat="1" ht="13.9">
      <c r="A36" s="92" t="s">
        <v>172</v>
      </c>
      <c r="B36" s="64" t="str">
        <f>VLOOKUP(A36,'CENTRO DE COSTOS'!A:D,4,FALSE)</f>
        <v>MIGUEL JULIÁN HERNÁNDEZ GUARÍN</v>
      </c>
      <c r="C36" s="64" t="str">
        <f>VLOOKUP(A36,'CENTRO DE COSTOS'!A:C,2,FALSE)</f>
        <v>0004-0008</v>
      </c>
      <c r="D36" s="92">
        <v>68679</v>
      </c>
      <c r="E36" s="98" t="s">
        <v>374</v>
      </c>
      <c r="F36" s="115" t="s">
        <v>375</v>
      </c>
      <c r="G36" s="96">
        <v>45818</v>
      </c>
      <c r="H36" s="97">
        <v>45820</v>
      </c>
      <c r="I36" s="96">
        <v>45818</v>
      </c>
      <c r="J36" s="97">
        <v>45821</v>
      </c>
      <c r="K36" s="97">
        <v>45821</v>
      </c>
      <c r="L36" s="94" t="s">
        <v>175</v>
      </c>
      <c r="M36" s="93" t="s">
        <v>376</v>
      </c>
      <c r="N36" s="94" t="s">
        <v>377</v>
      </c>
      <c r="O36" s="94">
        <v>79835</v>
      </c>
      <c r="P36" s="95" t="s">
        <v>331</v>
      </c>
      <c r="Q36" s="70" t="s">
        <v>118</v>
      </c>
      <c r="R36" s="71" t="s">
        <v>119</v>
      </c>
      <c r="S36" s="116" t="s">
        <v>332</v>
      </c>
      <c r="T36" s="117" t="s">
        <v>333</v>
      </c>
      <c r="U36" s="92" t="s">
        <v>334</v>
      </c>
      <c r="V36" s="100" t="s">
        <v>378</v>
      </c>
      <c r="W36" s="99" t="s">
        <v>379</v>
      </c>
      <c r="X36" s="92" t="s">
        <v>380</v>
      </c>
      <c r="Y36" s="92" t="s">
        <v>125</v>
      </c>
      <c r="Z36" s="92" t="s">
        <v>125</v>
      </c>
      <c r="AA36" s="92" t="s">
        <v>125</v>
      </c>
      <c r="AB36" s="92" t="s">
        <v>125</v>
      </c>
      <c r="AC36" s="92">
        <v>0</v>
      </c>
      <c r="AD36" s="68" t="str">
        <f>VLOOKUP(D36,TIPOLOGIAS!A:F,6,0)</f>
        <v>TIPO II</v>
      </c>
      <c r="AE36" s="68" t="str">
        <f>VLOOKUP(D36,TIPOLOGIAS!A:F,5,0)</f>
        <v>TERRESTRE</v>
      </c>
      <c r="AF36" s="69" t="s">
        <v>127</v>
      </c>
      <c r="AG36" s="92">
        <v>0</v>
      </c>
      <c r="AH36" s="92">
        <v>0</v>
      </c>
      <c r="AI36" s="92">
        <v>0</v>
      </c>
      <c r="AJ36" s="92">
        <v>0</v>
      </c>
      <c r="AK36" s="92">
        <v>1</v>
      </c>
      <c r="AL36" s="65">
        <f>IF(AD36="TIPO I",'BASE LIQUIDACION'!$D$3,IF(AD36="TIPO II",'BASE LIQUIDACION'!$D$4,IF(AD36="TIPO III",'BASE LIQUIDACION'!$D$5,'BASE LIQUIDACION'!$D$7)))</f>
        <v>134410.38956000001</v>
      </c>
      <c r="AM36" s="65">
        <f>AG36*'BASE LIQUIDACION'!$B$12+AH36*'BASE LIQUIDACION'!$B$11+AI36*'BASE LIQUIDACION'!$B$13+AJ36*'BASE LIQUIDACION'!$B$14+AK36*AL36</f>
        <v>134410.38956000001</v>
      </c>
    </row>
    <row r="37" spans="1:39" s="67" customFormat="1" ht="13.9">
      <c r="A37" s="92" t="s">
        <v>138</v>
      </c>
      <c r="B37" s="64" t="str">
        <f>VLOOKUP(A37,'CENTRO DE COSTOS'!A:D,4,FALSE)</f>
        <v>DIEGO FERNANDO HENAO CARDONA</v>
      </c>
      <c r="C37" s="64" t="str">
        <f>VLOOKUP(A37,'CENTRO DE COSTOS'!A:C,2,FALSE)</f>
        <v>0004-0003</v>
      </c>
      <c r="D37" s="92">
        <v>76248</v>
      </c>
      <c r="E37" s="98" t="s">
        <v>381</v>
      </c>
      <c r="F37" s="115" t="s">
        <v>382</v>
      </c>
      <c r="G37" s="96">
        <v>45819</v>
      </c>
      <c r="H37" s="97">
        <v>45821</v>
      </c>
      <c r="I37" s="96">
        <v>45819</v>
      </c>
      <c r="J37" s="97">
        <v>45820</v>
      </c>
      <c r="K37" s="97">
        <v>45820</v>
      </c>
      <c r="L37" s="94" t="s">
        <v>141</v>
      </c>
      <c r="M37" s="93" t="s">
        <v>383</v>
      </c>
      <c r="N37" s="94" t="s">
        <v>384</v>
      </c>
      <c r="O37" s="94">
        <v>79846</v>
      </c>
      <c r="P37" s="95" t="s">
        <v>117</v>
      </c>
      <c r="Q37" s="70" t="s">
        <v>118</v>
      </c>
      <c r="R37" s="71" t="s">
        <v>119</v>
      </c>
      <c r="S37" s="116" t="s">
        <v>120</v>
      </c>
      <c r="T37" s="117" t="s">
        <v>120</v>
      </c>
      <c r="U37" s="92" t="s">
        <v>334</v>
      </c>
      <c r="V37" s="100" t="s">
        <v>385</v>
      </c>
      <c r="W37" s="99" t="s">
        <v>145</v>
      </c>
      <c r="X37" s="92" t="s">
        <v>386</v>
      </c>
      <c r="Y37" s="92" t="s">
        <v>125</v>
      </c>
      <c r="Z37" s="92" t="s">
        <v>125</v>
      </c>
      <c r="AA37" s="92" t="s">
        <v>125</v>
      </c>
      <c r="AB37" s="92" t="s">
        <v>125</v>
      </c>
      <c r="AC37" s="92">
        <v>0</v>
      </c>
      <c r="AD37" s="68" t="str">
        <f>VLOOKUP(D37,TIPOLOGIAS!A:F,6,0)</f>
        <v>TIPO II</v>
      </c>
      <c r="AE37" s="68" t="str">
        <f>VLOOKUP(D37,TIPOLOGIAS!A:F,5,0)</f>
        <v>TERRESTRE</v>
      </c>
      <c r="AF37" s="69" t="s">
        <v>127</v>
      </c>
      <c r="AG37" s="92">
        <v>0</v>
      </c>
      <c r="AH37" s="92">
        <v>0</v>
      </c>
      <c r="AI37" s="92">
        <v>0</v>
      </c>
      <c r="AJ37" s="92">
        <v>0</v>
      </c>
      <c r="AK37" s="92">
        <v>1</v>
      </c>
      <c r="AL37" s="65">
        <f>IF(AD37="TIPO I",'BASE LIQUIDACION'!$D$3,IF(AD37="TIPO II",'BASE LIQUIDACION'!$D$4,IF(AD37="TIPO III",'BASE LIQUIDACION'!$D$5,'BASE LIQUIDACION'!$D$7)))</f>
        <v>134410.38956000001</v>
      </c>
      <c r="AM37" s="65">
        <f>AG37*'BASE LIQUIDACION'!$B$12+AH37*'BASE LIQUIDACION'!$B$11+AI37*'BASE LIQUIDACION'!$B$13+AJ37*'BASE LIQUIDACION'!$B$14+AK37*AL37</f>
        <v>134410.38956000001</v>
      </c>
    </row>
    <row r="38" spans="1:39" s="67" customFormat="1" ht="13.9">
      <c r="A38" s="92" t="s">
        <v>298</v>
      </c>
      <c r="B38" s="64" t="str">
        <f>VLOOKUP(A38,'CENTRO DE COSTOS'!A:D,4,FALSE)</f>
        <v>KEVIN ALEXIS CORZO BUSTOS</v>
      </c>
      <c r="C38" s="64" t="str">
        <f>VLOOKUP(A38,'CENTRO DE COSTOS'!A:C,2,FALSE)</f>
        <v>0004-0007</v>
      </c>
      <c r="D38" s="92">
        <v>18001</v>
      </c>
      <c r="E38" s="98" t="s">
        <v>387</v>
      </c>
      <c r="F38" s="115" t="s">
        <v>388</v>
      </c>
      <c r="G38" s="96">
        <v>45821</v>
      </c>
      <c r="H38" s="97">
        <v>45825</v>
      </c>
      <c r="I38" s="96">
        <v>45821</v>
      </c>
      <c r="J38" s="97">
        <v>45825</v>
      </c>
      <c r="K38" s="97">
        <v>45825</v>
      </c>
      <c r="L38" s="94" t="s">
        <v>301</v>
      </c>
      <c r="M38" s="93" t="s">
        <v>302</v>
      </c>
      <c r="N38" s="94" t="s">
        <v>389</v>
      </c>
      <c r="O38" s="94">
        <v>79863</v>
      </c>
      <c r="P38" s="95" t="s">
        <v>117</v>
      </c>
      <c r="Q38" s="70" t="s">
        <v>118</v>
      </c>
      <c r="R38" s="71" t="s">
        <v>119</v>
      </c>
      <c r="S38" s="116" t="s">
        <v>120</v>
      </c>
      <c r="T38" s="117" t="s">
        <v>120</v>
      </c>
      <c r="U38" s="92" t="s">
        <v>334</v>
      </c>
      <c r="V38" s="100" t="s">
        <v>390</v>
      </c>
      <c r="W38" s="99" t="s">
        <v>305</v>
      </c>
      <c r="X38" s="92" t="s">
        <v>391</v>
      </c>
      <c r="Y38" s="92" t="s">
        <v>125</v>
      </c>
      <c r="Z38" s="92" t="s">
        <v>125</v>
      </c>
      <c r="AA38" s="92" t="s">
        <v>125</v>
      </c>
      <c r="AB38" s="92" t="s">
        <v>125</v>
      </c>
      <c r="AC38" s="92">
        <v>0</v>
      </c>
      <c r="AD38" s="68" t="str">
        <f>VLOOKUP(D38,TIPOLOGIAS!A:F,6,0)</f>
        <v>TIPO IV</v>
      </c>
      <c r="AE38" s="68" t="str">
        <f>VLOOKUP(D38,TIPOLOGIAS!A:F,5,0)</f>
        <v>TERRESTRE</v>
      </c>
      <c r="AF38" s="69" t="s">
        <v>127</v>
      </c>
      <c r="AG38" s="92">
        <v>0</v>
      </c>
      <c r="AH38" s="92">
        <v>0</v>
      </c>
      <c r="AI38" s="92">
        <v>0</v>
      </c>
      <c r="AJ38" s="92">
        <v>0</v>
      </c>
      <c r="AK38" s="92">
        <v>1</v>
      </c>
      <c r="AL38" s="65">
        <f>IF(AD38="TIPO I",'BASE LIQUIDACION'!$D$3,IF(AD38="TIPO II",'BASE LIQUIDACION'!$D$4,IF(AD38="TIPO III",'BASE LIQUIDACION'!$D$5,'BASE LIQUIDACION'!$D$7)))</f>
        <v>464809.03136000002</v>
      </c>
      <c r="AM38" s="65">
        <f>AG38*'BASE LIQUIDACION'!$B$12+AH38*'BASE LIQUIDACION'!$B$11+AI38*'BASE LIQUIDACION'!$B$13+AJ38*'BASE LIQUIDACION'!$B$14+AK38*AL38</f>
        <v>464809.03136000002</v>
      </c>
    </row>
    <row r="39" spans="1:39" s="67" customFormat="1" ht="13.9">
      <c r="A39" s="92" t="s">
        <v>392</v>
      </c>
      <c r="B39" s="69" t="str">
        <f>VLOOKUP(A39,'CENTRO DE COSTOS'!A:D,4,FALSE)</f>
        <v>JOSE MAURICIO HERNANDEZ ROJAS</v>
      </c>
      <c r="C39" s="69" t="str">
        <f>VLOOKUP(A39,'CENTRO DE COSTOS'!A:C,2,FALSE)</f>
        <v>0004-0001</v>
      </c>
      <c r="D39" s="92">
        <v>70001</v>
      </c>
      <c r="E39" s="92" t="s">
        <v>393</v>
      </c>
      <c r="F39" s="160" t="s">
        <v>394</v>
      </c>
      <c r="G39" s="96">
        <v>45826</v>
      </c>
      <c r="H39" s="97">
        <v>45828</v>
      </c>
      <c r="I39" s="96">
        <v>45826</v>
      </c>
      <c r="J39" s="97">
        <v>45833</v>
      </c>
      <c r="K39" s="97">
        <v>45833</v>
      </c>
      <c r="L39" s="94" t="s">
        <v>395</v>
      </c>
      <c r="M39" s="93" t="s">
        <v>392</v>
      </c>
      <c r="N39" s="94" t="s">
        <v>396</v>
      </c>
      <c r="O39" s="94">
        <v>79913</v>
      </c>
      <c r="P39" s="95" t="s">
        <v>331</v>
      </c>
      <c r="Q39" s="70" t="s">
        <v>118</v>
      </c>
      <c r="R39" s="71" t="s">
        <v>119</v>
      </c>
      <c r="S39" s="161" t="s">
        <v>332</v>
      </c>
      <c r="T39" s="93" t="s">
        <v>397</v>
      </c>
      <c r="U39" s="92" t="s">
        <v>121</v>
      </c>
      <c r="V39" s="94" t="s">
        <v>398</v>
      </c>
      <c r="W39" s="99" t="s">
        <v>399</v>
      </c>
      <c r="X39" s="92" t="s">
        <v>400</v>
      </c>
      <c r="Y39" s="92">
        <v>1021451</v>
      </c>
      <c r="Z39" s="92" t="s">
        <v>125</v>
      </c>
      <c r="AA39" s="92">
        <v>932263</v>
      </c>
      <c r="AB39" s="92" t="s">
        <v>125</v>
      </c>
      <c r="AC39" s="92" t="s">
        <v>126</v>
      </c>
      <c r="AD39" s="68" t="str">
        <f>VLOOKUP(D39,TIPOLOGIAS!A:F,6,0)</f>
        <v>TIPO I</v>
      </c>
      <c r="AE39" s="68" t="str">
        <f>VLOOKUP(D39,TIPOLOGIAS!A:F,5,0)</f>
        <v>TERRESTRE</v>
      </c>
      <c r="AF39" s="69" t="s">
        <v>127</v>
      </c>
      <c r="AG39" s="92">
        <v>0</v>
      </c>
      <c r="AH39" s="92">
        <v>0</v>
      </c>
      <c r="AI39" s="92">
        <v>0</v>
      </c>
      <c r="AJ39" s="92">
        <v>0</v>
      </c>
      <c r="AK39" s="92">
        <v>1</v>
      </c>
      <c r="AL39" s="162">
        <f>IF(AD39="TIPO I",'BASE LIQUIDACION'!$D$3,IF(AD39="TIPO II",'BASE LIQUIDACION'!$D$4,IF(AD39="TIPO III",'BASE LIQUIDACION'!$D$5,'BASE LIQUIDACION'!$D$7)))</f>
        <v>44559.984800000006</v>
      </c>
      <c r="AM39" s="162">
        <f>AG39*'BASE LIQUIDACION'!$B$12+AH39*'BASE LIQUIDACION'!$B$11+AI39*'BASE LIQUIDACION'!$B$13+AJ39*'BASE LIQUIDACION'!$B$14+AK39*AL39</f>
        <v>44559.984800000006</v>
      </c>
    </row>
    <row r="40" spans="1:39" s="67" customFormat="1" ht="13.9">
      <c r="A40" s="142" t="s">
        <v>111</v>
      </c>
      <c r="B40" s="143" t="str">
        <f>VLOOKUP(A40,'CENTRO DE COSTOS'!A:D,4,FALSE)</f>
        <v>JUAN SEBASTIÁN RÍOS CASTRILLÓN</v>
      </c>
      <c r="C40" s="143" t="str">
        <f>VLOOKUP(A40,'CENTRO DE COSTOS'!A:C,2,FALSE)</f>
        <v>0004-0005</v>
      </c>
      <c r="D40" s="142">
        <v>5001</v>
      </c>
      <c r="E40" s="142" t="s">
        <v>401</v>
      </c>
      <c r="F40" s="144" t="s">
        <v>402</v>
      </c>
      <c r="G40" s="145">
        <v>45826</v>
      </c>
      <c r="H40" s="146">
        <v>45828</v>
      </c>
      <c r="I40" s="145">
        <v>45826</v>
      </c>
      <c r="J40" s="146">
        <v>45827</v>
      </c>
      <c r="K40" s="146">
        <v>45827</v>
      </c>
      <c r="L40" s="147" t="s">
        <v>131</v>
      </c>
      <c r="M40" s="148" t="s">
        <v>111</v>
      </c>
      <c r="N40" s="147" t="s">
        <v>403</v>
      </c>
      <c r="O40" s="147">
        <v>79964</v>
      </c>
      <c r="P40" s="147" t="s">
        <v>117</v>
      </c>
      <c r="Q40" s="149" t="s">
        <v>118</v>
      </c>
      <c r="R40" s="150" t="s">
        <v>119</v>
      </c>
      <c r="S40" s="151" t="s">
        <v>120</v>
      </c>
      <c r="T40" s="148" t="s">
        <v>120</v>
      </c>
      <c r="U40" s="142" t="s">
        <v>334</v>
      </c>
      <c r="V40" s="147" t="s">
        <v>404</v>
      </c>
      <c r="W40" s="152" t="s">
        <v>318</v>
      </c>
      <c r="X40" s="142" t="s">
        <v>405</v>
      </c>
      <c r="Y40" s="142" t="s">
        <v>125</v>
      </c>
      <c r="Z40" s="142" t="s">
        <v>125</v>
      </c>
      <c r="AA40" s="142" t="s">
        <v>125</v>
      </c>
      <c r="AB40" s="142" t="s">
        <v>125</v>
      </c>
      <c r="AC40" s="142">
        <v>0</v>
      </c>
      <c r="AD40" s="153" t="str">
        <f>VLOOKUP(D40,TIPOLOGIAS!A:F,6,0)</f>
        <v>TIPO I</v>
      </c>
      <c r="AE40" s="153" t="str">
        <f>VLOOKUP(D40,TIPOLOGIAS!A:F,5,0)</f>
        <v>TERRESTRE</v>
      </c>
      <c r="AF40" s="143" t="s">
        <v>127</v>
      </c>
      <c r="AG40" s="142">
        <v>0</v>
      </c>
      <c r="AH40" s="142">
        <v>0</v>
      </c>
      <c r="AI40" s="142">
        <v>0</v>
      </c>
      <c r="AJ40" s="142">
        <v>0</v>
      </c>
      <c r="AK40" s="142">
        <v>1</v>
      </c>
      <c r="AL40" s="154">
        <f>IF(AD40="TIPO I",'BASE LIQUIDACION'!$D$3,IF(AD40="TIPO II",'BASE LIQUIDACION'!$D$4,IF(AD40="TIPO III",'BASE LIQUIDACION'!$D$5,'BASE LIQUIDACION'!$D$7)))</f>
        <v>44559.984800000006</v>
      </c>
      <c r="AM40" s="154">
        <f>AG40*'BASE LIQUIDACION'!$B$12+AH40*'BASE LIQUIDACION'!$B$11+AI40*'BASE LIQUIDACION'!$B$13+AJ40*'BASE LIQUIDACION'!$B$14+AK40*AL40</f>
        <v>44559.984800000006</v>
      </c>
    </row>
    <row r="41" spans="1:39" s="67" customFormat="1" ht="13.9">
      <c r="A41" s="142" t="s">
        <v>163</v>
      </c>
      <c r="B41" s="143" t="str">
        <f>VLOOKUP(A41,'CENTRO DE COSTOS'!A:D,4,FALSE)</f>
        <v>WILLIAM ASDRUBAL ROZO ROZO</v>
      </c>
      <c r="C41" s="143" t="str">
        <f>VLOOKUP(A41,'CENTRO DE COSTOS'!A:C,2,FALSE)</f>
        <v>0004-0004</v>
      </c>
      <c r="D41" s="142">
        <v>25299</v>
      </c>
      <c r="E41" s="142" t="s">
        <v>406</v>
      </c>
      <c r="F41" s="144" t="s">
        <v>407</v>
      </c>
      <c r="G41" s="145">
        <v>45832</v>
      </c>
      <c r="H41" s="146">
        <v>45834</v>
      </c>
      <c r="I41" s="145">
        <v>45832</v>
      </c>
      <c r="J41" s="146">
        <v>45834</v>
      </c>
      <c r="K41" s="146">
        <v>45834</v>
      </c>
      <c r="L41" s="147" t="s">
        <v>166</v>
      </c>
      <c r="M41" s="148" t="s">
        <v>408</v>
      </c>
      <c r="N41" s="147" t="s">
        <v>409</v>
      </c>
      <c r="O41" s="147">
        <v>80029</v>
      </c>
      <c r="P41" s="147" t="s">
        <v>117</v>
      </c>
      <c r="Q41" s="149" t="s">
        <v>118</v>
      </c>
      <c r="R41" s="150" t="s">
        <v>119</v>
      </c>
      <c r="S41" s="151" t="s">
        <v>120</v>
      </c>
      <c r="T41" s="148" t="s">
        <v>120</v>
      </c>
      <c r="U41" s="142" t="s">
        <v>334</v>
      </c>
      <c r="V41" s="147" t="s">
        <v>410</v>
      </c>
      <c r="W41" s="152" t="s">
        <v>411</v>
      </c>
      <c r="X41" s="142" t="s">
        <v>412</v>
      </c>
      <c r="Y41" s="142" t="s">
        <v>125</v>
      </c>
      <c r="Z41" s="142" t="s">
        <v>125</v>
      </c>
      <c r="AA41" s="142" t="s">
        <v>125</v>
      </c>
      <c r="AB41" s="142" t="s">
        <v>125</v>
      </c>
      <c r="AC41" s="142">
        <v>0</v>
      </c>
      <c r="AD41" s="153" t="str">
        <f>VLOOKUP(D41,TIPOLOGIAS!A:F,6,0)</f>
        <v>TIPO III</v>
      </c>
      <c r="AE41" s="153" t="str">
        <f>VLOOKUP(D41,TIPOLOGIAS!A:F,5,0)</f>
        <v>TERRESTRE</v>
      </c>
      <c r="AF41" s="143" t="s">
        <v>127</v>
      </c>
      <c r="AG41" s="142">
        <v>0</v>
      </c>
      <c r="AH41" s="142">
        <v>0</v>
      </c>
      <c r="AI41" s="142">
        <v>0</v>
      </c>
      <c r="AJ41" s="142">
        <v>0</v>
      </c>
      <c r="AK41" s="142">
        <v>1</v>
      </c>
      <c r="AL41" s="154">
        <f>IF(AD41="TIPO I",'BASE LIQUIDACION'!$D$3,IF(AD41="TIPO II",'BASE LIQUIDACION'!$D$4,IF(AD41="TIPO III",'BASE LIQUIDACION'!$D$5,'BASE LIQUIDACION'!$D$7)))</f>
        <v>222904.27188000001</v>
      </c>
      <c r="AM41" s="154">
        <f>AG41*'BASE LIQUIDACION'!$B$12+AH41*'BASE LIQUIDACION'!$B$11+AI41*'BASE LIQUIDACION'!$B$13+AJ41*'BASE LIQUIDACION'!$B$14+AK41*AL41</f>
        <v>222904.27188000001</v>
      </c>
    </row>
    <row r="42" spans="1:39" s="67" customFormat="1" ht="13.9">
      <c r="A42" s="142" t="s">
        <v>147</v>
      </c>
      <c r="B42" s="143" t="str">
        <f>VLOOKUP(A42,'CENTRO DE COSTOS'!A:D,4,FALSE)</f>
        <v>MIGUEL JULIÁN HERNÁNDEZ GUARÍN</v>
      </c>
      <c r="C42" s="143" t="str">
        <f>VLOOKUP(A42,'CENTRO DE COSTOS'!A:C,2,FALSE)</f>
        <v>0004-0008</v>
      </c>
      <c r="D42" s="142">
        <v>15293</v>
      </c>
      <c r="E42" s="142" t="s">
        <v>413</v>
      </c>
      <c r="F42" s="144" t="s">
        <v>414</v>
      </c>
      <c r="G42" s="145">
        <v>45832</v>
      </c>
      <c r="H42" s="146">
        <v>45834</v>
      </c>
      <c r="I42" s="145">
        <v>45832</v>
      </c>
      <c r="J42" s="146">
        <v>45834</v>
      </c>
      <c r="K42" s="146">
        <v>45834</v>
      </c>
      <c r="L42" s="147" t="s">
        <v>150</v>
      </c>
      <c r="M42" s="148" t="s">
        <v>415</v>
      </c>
      <c r="N42" s="147" t="s">
        <v>416</v>
      </c>
      <c r="O42" s="147">
        <v>79970</v>
      </c>
      <c r="P42" s="147" t="s">
        <v>117</v>
      </c>
      <c r="Q42" s="149" t="s">
        <v>118</v>
      </c>
      <c r="R42" s="150" t="s">
        <v>119</v>
      </c>
      <c r="S42" s="151" t="s">
        <v>120</v>
      </c>
      <c r="T42" s="148" t="s">
        <v>120</v>
      </c>
      <c r="U42" s="142" t="s">
        <v>121</v>
      </c>
      <c r="V42" s="147" t="s">
        <v>417</v>
      </c>
      <c r="W42" s="152" t="s">
        <v>418</v>
      </c>
      <c r="X42" s="142" t="s">
        <v>419</v>
      </c>
      <c r="Y42" s="142">
        <v>929580</v>
      </c>
      <c r="Z42" s="142" t="s">
        <v>420</v>
      </c>
      <c r="AA42" s="142">
        <v>908080</v>
      </c>
      <c r="AB42" s="142" t="s">
        <v>125</v>
      </c>
      <c r="AC42" s="142" t="s">
        <v>126</v>
      </c>
      <c r="AD42" s="153" t="str">
        <f>VLOOKUP(D42,TIPOLOGIAS!A:F,6,0)</f>
        <v>TIPO II</v>
      </c>
      <c r="AE42" s="153" t="str">
        <f>VLOOKUP(D42,TIPOLOGIAS!A:F,5,0)</f>
        <v>TERRESTRE</v>
      </c>
      <c r="AF42" s="143" t="s">
        <v>127</v>
      </c>
      <c r="AG42" s="142">
        <v>0</v>
      </c>
      <c r="AH42" s="142">
        <v>0</v>
      </c>
      <c r="AI42" s="142">
        <v>0</v>
      </c>
      <c r="AJ42" s="142">
        <v>0</v>
      </c>
      <c r="AK42" s="142">
        <v>1</v>
      </c>
      <c r="AL42" s="154">
        <f>IF(AD42="TIPO I",'BASE LIQUIDACION'!$D$3,IF(AD42="TIPO II",'BASE LIQUIDACION'!$D$4,IF(AD42="TIPO III",'BASE LIQUIDACION'!$D$5,'BASE LIQUIDACION'!$D$7)))</f>
        <v>134410.38956000001</v>
      </c>
      <c r="AM42" s="154">
        <f>AG42*'BASE LIQUIDACION'!$B$12+AH42*'BASE LIQUIDACION'!$B$11+AI42*'BASE LIQUIDACION'!$B$13+AJ42*'BASE LIQUIDACION'!$B$14+AK42*AL42</f>
        <v>134410.38956000001</v>
      </c>
    </row>
    <row r="43" spans="1:39" s="67" customFormat="1" ht="13.9">
      <c r="A43" s="142" t="s">
        <v>360</v>
      </c>
      <c r="B43" s="143" t="str">
        <f>VLOOKUP(A43,'CENTRO DE COSTOS'!A:D,4,FALSE)</f>
        <v>KEVIN ALEXIS CORZO BUSTOS</v>
      </c>
      <c r="C43" s="143" t="str">
        <f>VLOOKUP(A43,'CENTRO DE COSTOS'!A:C,2,FALSE)</f>
        <v>0004-0007</v>
      </c>
      <c r="D43" s="142">
        <v>73001</v>
      </c>
      <c r="E43" s="142" t="s">
        <v>421</v>
      </c>
      <c r="F43" s="144" t="s">
        <v>422</v>
      </c>
      <c r="G43" s="145">
        <v>45834</v>
      </c>
      <c r="H43" s="146">
        <v>45839</v>
      </c>
      <c r="I43" s="145">
        <v>45834</v>
      </c>
      <c r="J43" s="146">
        <v>45835</v>
      </c>
      <c r="K43" s="146">
        <v>45835</v>
      </c>
      <c r="L43" s="147" t="s">
        <v>363</v>
      </c>
      <c r="M43" s="148" t="s">
        <v>360</v>
      </c>
      <c r="N43" s="147" t="s">
        <v>423</v>
      </c>
      <c r="O43" s="147">
        <v>23580</v>
      </c>
      <c r="P43" s="147" t="s">
        <v>424</v>
      </c>
      <c r="Q43" s="149" t="s">
        <v>118</v>
      </c>
      <c r="R43" s="150" t="s">
        <v>119</v>
      </c>
      <c r="S43" s="151" t="s">
        <v>425</v>
      </c>
      <c r="T43" s="148" t="s">
        <v>426</v>
      </c>
      <c r="U43" s="142" t="s">
        <v>334</v>
      </c>
      <c r="V43" s="147" t="s">
        <v>427</v>
      </c>
      <c r="W43" s="152" t="s">
        <v>125</v>
      </c>
      <c r="X43" s="142" t="s">
        <v>428</v>
      </c>
      <c r="Y43" s="142" t="s">
        <v>125</v>
      </c>
      <c r="Z43" s="142" t="s">
        <v>125</v>
      </c>
      <c r="AA43" s="142" t="s">
        <v>125</v>
      </c>
      <c r="AB43" s="142" t="s">
        <v>125</v>
      </c>
      <c r="AC43" s="142">
        <v>0</v>
      </c>
      <c r="AD43" s="153" t="str">
        <f>VLOOKUP(D43,TIPOLOGIAS!A:F,6,0)</f>
        <v>TIPO I</v>
      </c>
      <c r="AE43" s="153" t="str">
        <f>VLOOKUP(D43,TIPOLOGIAS!A:F,5,0)</f>
        <v>TERRESTRE</v>
      </c>
      <c r="AF43" s="143" t="s">
        <v>127</v>
      </c>
      <c r="AG43" s="142">
        <v>0</v>
      </c>
      <c r="AH43" s="142">
        <v>0</v>
      </c>
      <c r="AI43" s="142">
        <v>0</v>
      </c>
      <c r="AJ43" s="142">
        <v>0</v>
      </c>
      <c r="AK43" s="142">
        <v>1</v>
      </c>
      <c r="AL43" s="154">
        <f>IF(AD43="TIPO I",'BASE LIQUIDACION'!$D$3,IF(AD43="TIPO II",'BASE LIQUIDACION'!$D$4,IF(AD43="TIPO III",'BASE LIQUIDACION'!$D$5,'BASE LIQUIDACION'!$D$7)))</f>
        <v>44559.984800000006</v>
      </c>
      <c r="AM43" s="154">
        <f>AG43*'BASE LIQUIDACION'!$B$12+AH43*'BASE LIQUIDACION'!$B$11+AI43*'BASE LIQUIDACION'!$B$13+AJ43*'BASE LIQUIDACION'!$B$14+AK43*AL43</f>
        <v>44559.984800000006</v>
      </c>
    </row>
    <row r="44" spans="1:39" ht="12.75">
      <c r="A44" s="155" t="s">
        <v>138</v>
      </c>
      <c r="B44" s="143" t="str">
        <f>VLOOKUP(A44,'CENTRO DE COSTOS'!A:D,4,FALSE)</f>
        <v>DIEGO FERNANDO HENAO CARDONA</v>
      </c>
      <c r="C44" s="143" t="str">
        <f>VLOOKUP(A44,'CENTRO DE COSTOS'!A:C,2,FALSE)</f>
        <v>0004-0003</v>
      </c>
      <c r="D44" s="142">
        <v>76001</v>
      </c>
      <c r="E44" s="155" t="s">
        <v>429</v>
      </c>
      <c r="F44" s="156" t="s">
        <v>430</v>
      </c>
      <c r="G44" s="157">
        <v>45805</v>
      </c>
      <c r="H44" s="157">
        <v>45807</v>
      </c>
      <c r="I44" s="158">
        <v>45805</v>
      </c>
      <c r="J44" s="158">
        <v>45811</v>
      </c>
      <c r="K44" s="158">
        <v>45811</v>
      </c>
      <c r="L44" s="155" t="s">
        <v>141</v>
      </c>
      <c r="M44" s="156" t="s">
        <v>138</v>
      </c>
      <c r="N44" s="155" t="s">
        <v>431</v>
      </c>
      <c r="O44" s="147">
        <v>79361</v>
      </c>
      <c r="P44" s="155" t="s">
        <v>134</v>
      </c>
      <c r="Q44" s="149" t="s">
        <v>118</v>
      </c>
      <c r="R44" s="150" t="s">
        <v>119</v>
      </c>
      <c r="S44" s="156" t="s">
        <v>120</v>
      </c>
      <c r="T44" s="156" t="s">
        <v>120</v>
      </c>
      <c r="U44" s="155" t="s">
        <v>121</v>
      </c>
      <c r="V44" s="155" t="s">
        <v>432</v>
      </c>
      <c r="W44" s="155" t="s">
        <v>433</v>
      </c>
      <c r="X44" s="155" t="s">
        <v>434</v>
      </c>
      <c r="Y44" s="155">
        <v>1219158</v>
      </c>
      <c r="Z44" s="155">
        <v>1006564</v>
      </c>
      <c r="AA44" s="155">
        <v>789713</v>
      </c>
      <c r="AB44" s="155" t="s">
        <v>125</v>
      </c>
      <c r="AC44" s="155" t="s">
        <v>126</v>
      </c>
      <c r="AD44" s="153" t="str">
        <f>VLOOKUP(D44,TIPOLOGIAS!A:F,6,0)</f>
        <v>TIPO I</v>
      </c>
      <c r="AE44" s="153" t="str">
        <f>VLOOKUP(D44,TIPOLOGIAS!A:F,5,0)</f>
        <v>TERRESTRE</v>
      </c>
      <c r="AF44" s="143" t="s">
        <v>127</v>
      </c>
      <c r="AG44" s="159">
        <v>0</v>
      </c>
      <c r="AH44" s="159">
        <v>0</v>
      </c>
      <c r="AI44" s="159">
        <v>0</v>
      </c>
      <c r="AJ44" s="159">
        <v>0</v>
      </c>
      <c r="AK44" s="159">
        <v>1</v>
      </c>
      <c r="AL44" s="154">
        <f>IF(AD44="TIPO I",'BASE LIQUIDACION'!$D$3,IF(AD44="TIPO II",'BASE LIQUIDACION'!$D$4,IF(AD44="TIPO III",'BASE LIQUIDACION'!$D$5,'BASE LIQUIDACION'!$D$7)))</f>
        <v>44559.984800000006</v>
      </c>
      <c r="AM44" s="154">
        <f>AG44*'BASE LIQUIDACION'!$B$12+AH44*'BASE LIQUIDACION'!$B$11+AI44*'BASE LIQUIDACION'!$B$13+AJ44*'BASE LIQUIDACION'!$B$14+AK44*AL44</f>
        <v>44559.984800000006</v>
      </c>
    </row>
    <row r="45" spans="1:39" ht="12.75">
      <c r="A45" s="155" t="s">
        <v>163</v>
      </c>
      <c r="B45" s="143" t="str">
        <f>VLOOKUP(A45,'CENTRO DE COSTOS'!A:D,4,FALSE)</f>
        <v>WILLIAM ASDRUBAL ROZO ROZO</v>
      </c>
      <c r="C45" s="143" t="str">
        <f>VLOOKUP(A45,'CENTRO DE COSTOS'!A:C,2,FALSE)</f>
        <v>0004-0004</v>
      </c>
      <c r="D45" s="142">
        <v>11001</v>
      </c>
      <c r="E45" s="155" t="s">
        <v>435</v>
      </c>
      <c r="F45" s="156" t="s">
        <v>436</v>
      </c>
      <c r="G45" s="157">
        <v>45807</v>
      </c>
      <c r="H45" s="157">
        <v>45812</v>
      </c>
      <c r="I45" s="158">
        <v>45807</v>
      </c>
      <c r="J45" s="158">
        <v>45811</v>
      </c>
      <c r="K45" s="158">
        <v>45811</v>
      </c>
      <c r="L45" s="155" t="s">
        <v>166</v>
      </c>
      <c r="M45" s="156" t="s">
        <v>163</v>
      </c>
      <c r="N45" s="155" t="s">
        <v>437</v>
      </c>
      <c r="O45" s="147">
        <v>79605</v>
      </c>
      <c r="P45" s="155" t="s">
        <v>117</v>
      </c>
      <c r="Q45" s="149" t="s">
        <v>118</v>
      </c>
      <c r="R45" s="150" t="s">
        <v>119</v>
      </c>
      <c r="S45" s="156" t="s">
        <v>120</v>
      </c>
      <c r="T45" s="156" t="s">
        <v>120</v>
      </c>
      <c r="U45" s="156" t="s">
        <v>121</v>
      </c>
      <c r="V45" s="155" t="s">
        <v>438</v>
      </c>
      <c r="W45" s="155" t="s">
        <v>439</v>
      </c>
      <c r="X45" s="155" t="s">
        <v>440</v>
      </c>
      <c r="Y45" s="155">
        <v>1235225</v>
      </c>
      <c r="Z45" s="155">
        <v>771812</v>
      </c>
      <c r="AA45" s="155" t="s">
        <v>441</v>
      </c>
      <c r="AB45" s="155" t="s">
        <v>125</v>
      </c>
      <c r="AC45" s="155" t="s">
        <v>126</v>
      </c>
      <c r="AD45" s="153" t="str">
        <f>VLOOKUP(D45,TIPOLOGIAS!A:F,6,0)</f>
        <v>TIPO I</v>
      </c>
      <c r="AE45" s="153" t="str">
        <f>VLOOKUP(D45,TIPOLOGIAS!A:F,5,0)</f>
        <v>TERRESTRE</v>
      </c>
      <c r="AF45" s="143" t="s">
        <v>127</v>
      </c>
      <c r="AG45" s="159">
        <v>0</v>
      </c>
      <c r="AH45" s="159">
        <v>0</v>
      </c>
      <c r="AI45" s="159">
        <v>0</v>
      </c>
      <c r="AJ45" s="159">
        <v>0</v>
      </c>
      <c r="AK45" s="159">
        <v>1</v>
      </c>
      <c r="AL45" s="154">
        <f>IF(AD45="TIPO I",'BASE LIQUIDACION'!$D$3,IF(AD45="TIPO II",'BASE LIQUIDACION'!$D$4,IF(AD45="TIPO III",'BASE LIQUIDACION'!$D$5,'BASE LIQUIDACION'!$D$7)))</f>
        <v>44559.984800000006</v>
      </c>
      <c r="AM45" s="154">
        <f>AG45*'BASE LIQUIDACION'!$B$12+AH45*'BASE LIQUIDACION'!$B$11+AI45*'BASE LIQUIDACION'!$B$13+AJ45*'BASE LIQUIDACION'!$B$14+AK45*AL45</f>
        <v>44559.984800000006</v>
      </c>
    </row>
    <row r="46" spans="1:39" ht="12.75">
      <c r="A46" s="155" t="s">
        <v>163</v>
      </c>
      <c r="B46" s="143" t="str">
        <f>VLOOKUP(A46,'CENTRO DE COSTOS'!A:D,4,FALSE)</f>
        <v>WILLIAM ASDRUBAL ROZO ROZO</v>
      </c>
      <c r="C46" s="143" t="str">
        <f>VLOOKUP(A46,'CENTRO DE COSTOS'!A:C,2,FALSE)</f>
        <v>0004-0004</v>
      </c>
      <c r="D46" s="142">
        <v>11001</v>
      </c>
      <c r="E46" s="155" t="s">
        <v>442</v>
      </c>
      <c r="F46" s="156" t="s">
        <v>443</v>
      </c>
      <c r="G46" s="157">
        <v>45817</v>
      </c>
      <c r="H46" s="157">
        <v>45819</v>
      </c>
      <c r="I46" s="158">
        <v>45817</v>
      </c>
      <c r="J46" s="158">
        <v>45819</v>
      </c>
      <c r="K46" s="158">
        <v>45819</v>
      </c>
      <c r="L46" s="155" t="s">
        <v>166</v>
      </c>
      <c r="M46" s="156" t="s">
        <v>163</v>
      </c>
      <c r="N46" s="155" t="s">
        <v>444</v>
      </c>
      <c r="O46" s="147">
        <v>79744</v>
      </c>
      <c r="P46" s="155" t="s">
        <v>117</v>
      </c>
      <c r="Q46" s="149" t="s">
        <v>118</v>
      </c>
      <c r="R46" s="150" t="s">
        <v>119</v>
      </c>
      <c r="S46" s="156" t="s">
        <v>120</v>
      </c>
      <c r="T46" s="156" t="s">
        <v>120</v>
      </c>
      <c r="U46" s="155" t="s">
        <v>121</v>
      </c>
      <c r="V46" s="155" t="s">
        <v>445</v>
      </c>
      <c r="W46" s="155" t="s">
        <v>411</v>
      </c>
      <c r="X46" s="155" t="s">
        <v>446</v>
      </c>
      <c r="Y46" s="155">
        <v>963322</v>
      </c>
      <c r="Z46" s="155">
        <v>246040</v>
      </c>
      <c r="AA46" s="155">
        <v>1238702</v>
      </c>
      <c r="AB46" s="155" t="s">
        <v>125</v>
      </c>
      <c r="AC46" s="155" t="s">
        <v>126</v>
      </c>
      <c r="AD46" s="153" t="str">
        <f>VLOOKUP(D46,TIPOLOGIAS!A:F,6,0)</f>
        <v>TIPO I</v>
      </c>
      <c r="AE46" s="153" t="str">
        <f>VLOOKUP(D46,TIPOLOGIAS!A:F,5,0)</f>
        <v>TERRESTRE</v>
      </c>
      <c r="AF46" s="143" t="s">
        <v>127</v>
      </c>
      <c r="AG46" s="159">
        <v>0</v>
      </c>
      <c r="AH46" s="159">
        <v>0</v>
      </c>
      <c r="AI46" s="159">
        <v>0</v>
      </c>
      <c r="AJ46" s="159">
        <v>0</v>
      </c>
      <c r="AK46" s="159">
        <v>1</v>
      </c>
      <c r="AL46" s="154">
        <f>IF(AD46="TIPO I",'BASE LIQUIDACION'!$D$3,IF(AD46="TIPO II",'BASE LIQUIDACION'!$D$4,IF(AD46="TIPO III",'BASE LIQUIDACION'!$D$5,'BASE LIQUIDACION'!$D$7)))</f>
        <v>44559.984800000006</v>
      </c>
      <c r="AM46" s="154">
        <f>AG46*'BASE LIQUIDACION'!$B$12+AH46*'BASE LIQUIDACION'!$B$11+AI46*'BASE LIQUIDACION'!$B$13+AJ46*'BASE LIQUIDACION'!$B$14+AK46*AL46</f>
        <v>44559.984800000006</v>
      </c>
    </row>
    <row r="47" spans="1:39" ht="12.75">
      <c r="AM47" s="163">
        <f>SUM(AM2:AM46)</f>
        <v>7602999.8192799995</v>
      </c>
    </row>
  </sheetData>
  <conditionalFormatting sqref="E1:E43 E63:E1048576">
    <cfRule type="duplicateValues" dxfId="6" priority="1"/>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1F77D-E178-4EA9-B086-9B27EF477197}">
  <dimension ref="A1:F1124"/>
  <sheetViews>
    <sheetView workbookViewId="0">
      <selection activeCell="I25" sqref="I25"/>
    </sheetView>
  </sheetViews>
  <sheetFormatPr defaultColWidth="8.85546875" defaultRowHeight="13.15"/>
  <cols>
    <col min="1" max="6" width="15.85546875" customWidth="1"/>
  </cols>
  <sheetData>
    <row r="1" spans="1:6" ht="41.45">
      <c r="A1" s="32" t="s">
        <v>447</v>
      </c>
      <c r="B1" s="33" t="s">
        <v>75</v>
      </c>
      <c r="C1" s="33" t="s">
        <v>84</v>
      </c>
      <c r="D1" s="33" t="s">
        <v>448</v>
      </c>
      <c r="E1" s="34" t="s">
        <v>449</v>
      </c>
      <c r="F1" s="34" t="s">
        <v>450</v>
      </c>
    </row>
    <row r="2" spans="1:6">
      <c r="A2" s="35">
        <v>91430</v>
      </c>
      <c r="B2" s="36" t="s">
        <v>451</v>
      </c>
      <c r="C2" s="37" t="s">
        <v>452</v>
      </c>
      <c r="D2" s="37" t="s">
        <v>163</v>
      </c>
      <c r="E2" s="37" t="s">
        <v>453</v>
      </c>
      <c r="F2" s="38" t="s">
        <v>454</v>
      </c>
    </row>
    <row r="3" spans="1:6">
      <c r="A3" s="35">
        <v>91669</v>
      </c>
      <c r="B3" s="36" t="s">
        <v>455</v>
      </c>
      <c r="C3" s="37" t="s">
        <v>452</v>
      </c>
      <c r="D3" s="37" t="s">
        <v>163</v>
      </c>
      <c r="E3" s="37" t="s">
        <v>453</v>
      </c>
      <c r="F3" s="38" t="s">
        <v>454</v>
      </c>
    </row>
    <row r="4" spans="1:6">
      <c r="A4" s="35">
        <v>91263</v>
      </c>
      <c r="B4" s="37" t="s">
        <v>456</v>
      </c>
      <c r="C4" s="37" t="s">
        <v>452</v>
      </c>
      <c r="D4" s="37" t="s">
        <v>163</v>
      </c>
      <c r="E4" s="37" t="s">
        <v>453</v>
      </c>
      <c r="F4" s="38" t="s">
        <v>454</v>
      </c>
    </row>
    <row r="5" spans="1:6">
      <c r="A5" s="35">
        <v>91405</v>
      </c>
      <c r="B5" s="37" t="s">
        <v>457</v>
      </c>
      <c r="C5" s="37" t="s">
        <v>452</v>
      </c>
      <c r="D5" s="37" t="s">
        <v>163</v>
      </c>
      <c r="E5" s="37" t="s">
        <v>453</v>
      </c>
      <c r="F5" s="38" t="s">
        <v>454</v>
      </c>
    </row>
    <row r="6" spans="1:6">
      <c r="A6" s="35">
        <v>91407</v>
      </c>
      <c r="B6" s="37" t="s">
        <v>458</v>
      </c>
      <c r="C6" s="37" t="s">
        <v>452</v>
      </c>
      <c r="D6" s="37" t="s">
        <v>163</v>
      </c>
      <c r="E6" s="37" t="s">
        <v>453</v>
      </c>
      <c r="F6" s="38" t="s">
        <v>454</v>
      </c>
    </row>
    <row r="7" spans="1:6">
      <c r="A7" s="35">
        <v>91001</v>
      </c>
      <c r="B7" s="37" t="s">
        <v>459</v>
      </c>
      <c r="C7" s="37" t="s">
        <v>452</v>
      </c>
      <c r="D7" s="37" t="s">
        <v>163</v>
      </c>
      <c r="E7" s="37" t="s">
        <v>453</v>
      </c>
      <c r="F7" s="38" t="s">
        <v>454</v>
      </c>
    </row>
    <row r="8" spans="1:6">
      <c r="A8" s="35">
        <v>91460</v>
      </c>
      <c r="B8" s="37" t="s">
        <v>460</v>
      </c>
      <c r="C8" s="37" t="s">
        <v>452</v>
      </c>
      <c r="D8" s="37" t="s">
        <v>163</v>
      </c>
      <c r="E8" s="37" t="s">
        <v>453</v>
      </c>
      <c r="F8" s="38" t="s">
        <v>454</v>
      </c>
    </row>
    <row r="9" spans="1:6">
      <c r="A9" s="35">
        <v>91530</v>
      </c>
      <c r="B9" s="37" t="s">
        <v>461</v>
      </c>
      <c r="C9" s="37" t="s">
        <v>452</v>
      </c>
      <c r="D9" s="37" t="s">
        <v>163</v>
      </c>
      <c r="E9" s="37" t="s">
        <v>453</v>
      </c>
      <c r="F9" s="38" t="s">
        <v>454</v>
      </c>
    </row>
    <row r="10" spans="1:6">
      <c r="A10" s="35">
        <v>91536</v>
      </c>
      <c r="B10" s="37" t="s">
        <v>462</v>
      </c>
      <c r="C10" s="37" t="s">
        <v>452</v>
      </c>
      <c r="D10" s="37" t="s">
        <v>163</v>
      </c>
      <c r="E10" s="37" t="s">
        <v>453</v>
      </c>
      <c r="F10" s="38" t="s">
        <v>454</v>
      </c>
    </row>
    <row r="11" spans="1:6">
      <c r="A11" s="35">
        <v>91540</v>
      </c>
      <c r="B11" s="37" t="s">
        <v>463</v>
      </c>
      <c r="C11" s="37" t="s">
        <v>452</v>
      </c>
      <c r="D11" s="37" t="s">
        <v>163</v>
      </c>
      <c r="E11" s="37" t="s">
        <v>453</v>
      </c>
      <c r="F11" s="38" t="s">
        <v>454</v>
      </c>
    </row>
    <row r="12" spans="1:6">
      <c r="A12" s="35">
        <v>91798</v>
      </c>
      <c r="B12" s="37" t="s">
        <v>464</v>
      </c>
      <c r="C12" s="37" t="s">
        <v>452</v>
      </c>
      <c r="D12" s="37" t="s">
        <v>163</v>
      </c>
      <c r="E12" s="37" t="s">
        <v>453</v>
      </c>
      <c r="F12" s="38" t="s">
        <v>454</v>
      </c>
    </row>
    <row r="13" spans="1:6">
      <c r="A13" s="35">
        <v>5055</v>
      </c>
      <c r="B13" s="36" t="s">
        <v>465</v>
      </c>
      <c r="C13" s="37" t="s">
        <v>131</v>
      </c>
      <c r="D13" s="37" t="s">
        <v>111</v>
      </c>
      <c r="E13" s="37" t="s">
        <v>466</v>
      </c>
      <c r="F13" s="38" t="s">
        <v>467</v>
      </c>
    </row>
    <row r="14" spans="1:6">
      <c r="A14" s="35">
        <v>5059</v>
      </c>
      <c r="B14" s="36" t="s">
        <v>468</v>
      </c>
      <c r="C14" s="37" t="s">
        <v>131</v>
      </c>
      <c r="D14" s="37" t="s">
        <v>111</v>
      </c>
      <c r="E14" s="37" t="s">
        <v>466</v>
      </c>
      <c r="F14" s="38" t="s">
        <v>469</v>
      </c>
    </row>
    <row r="15" spans="1:6">
      <c r="A15" s="35">
        <v>5079</v>
      </c>
      <c r="B15" s="36" t="s">
        <v>315</v>
      </c>
      <c r="C15" s="37" t="s">
        <v>131</v>
      </c>
      <c r="D15" s="37" t="s">
        <v>111</v>
      </c>
      <c r="E15" s="37" t="s">
        <v>466</v>
      </c>
      <c r="F15" s="38" t="s">
        <v>469</v>
      </c>
    </row>
    <row r="16" spans="1:6">
      <c r="A16" s="35">
        <v>5093</v>
      </c>
      <c r="B16" s="36" t="s">
        <v>470</v>
      </c>
      <c r="C16" s="37" t="s">
        <v>131</v>
      </c>
      <c r="D16" s="37" t="s">
        <v>111</v>
      </c>
      <c r="E16" s="37" t="s">
        <v>466</v>
      </c>
      <c r="F16" s="38" t="s">
        <v>471</v>
      </c>
    </row>
    <row r="17" spans="1:6">
      <c r="A17" s="35">
        <v>5107</v>
      </c>
      <c r="B17" s="36" t="s">
        <v>472</v>
      </c>
      <c r="C17" s="37" t="s">
        <v>131</v>
      </c>
      <c r="D17" s="37" t="s">
        <v>111</v>
      </c>
      <c r="E17" s="37" t="s">
        <v>466</v>
      </c>
      <c r="F17" s="38" t="s">
        <v>471</v>
      </c>
    </row>
    <row r="18" spans="1:6">
      <c r="A18" s="35">
        <v>5129</v>
      </c>
      <c r="B18" s="36" t="s">
        <v>473</v>
      </c>
      <c r="C18" s="37" t="s">
        <v>131</v>
      </c>
      <c r="D18" s="37" t="s">
        <v>111</v>
      </c>
      <c r="E18" s="37" t="s">
        <v>466</v>
      </c>
      <c r="F18" s="38" t="s">
        <v>474</v>
      </c>
    </row>
    <row r="19" spans="1:6">
      <c r="A19" s="35">
        <v>5206</v>
      </c>
      <c r="B19" s="36" t="s">
        <v>475</v>
      </c>
      <c r="C19" s="37" t="s">
        <v>131</v>
      </c>
      <c r="D19" s="37" t="s">
        <v>111</v>
      </c>
      <c r="E19" s="37" t="s">
        <v>466</v>
      </c>
      <c r="F19" s="38" t="s">
        <v>469</v>
      </c>
    </row>
    <row r="20" spans="1:6">
      <c r="A20" s="35">
        <v>5209</v>
      </c>
      <c r="B20" s="36" t="s">
        <v>476</v>
      </c>
      <c r="C20" s="37" t="s">
        <v>131</v>
      </c>
      <c r="D20" s="37" t="s">
        <v>111</v>
      </c>
      <c r="E20" s="37" t="s">
        <v>466</v>
      </c>
      <c r="F20" s="38" t="s">
        <v>471</v>
      </c>
    </row>
    <row r="21" spans="1:6">
      <c r="A21" s="35">
        <v>5313</v>
      </c>
      <c r="B21" s="36" t="s">
        <v>477</v>
      </c>
      <c r="C21" s="37" t="s">
        <v>131</v>
      </c>
      <c r="D21" s="37" t="s">
        <v>111</v>
      </c>
      <c r="E21" s="37" t="s">
        <v>466</v>
      </c>
      <c r="F21" s="38" t="s">
        <v>469</v>
      </c>
    </row>
    <row r="22" spans="1:6">
      <c r="A22" s="35">
        <v>5315</v>
      </c>
      <c r="B22" s="36" t="s">
        <v>478</v>
      </c>
      <c r="C22" s="37" t="s">
        <v>131</v>
      </c>
      <c r="D22" s="37" t="s">
        <v>111</v>
      </c>
      <c r="E22" s="37" t="s">
        <v>466</v>
      </c>
      <c r="F22" s="38" t="s">
        <v>471</v>
      </c>
    </row>
    <row r="23" spans="1:6">
      <c r="A23" s="35">
        <v>5368</v>
      </c>
      <c r="B23" s="36" t="s">
        <v>479</v>
      </c>
      <c r="C23" s="37" t="s">
        <v>131</v>
      </c>
      <c r="D23" s="37" t="s">
        <v>111</v>
      </c>
      <c r="E23" s="37" t="s">
        <v>466</v>
      </c>
      <c r="F23" s="38" t="s">
        <v>471</v>
      </c>
    </row>
    <row r="24" spans="1:6">
      <c r="A24" s="35">
        <v>5400</v>
      </c>
      <c r="B24" s="36" t="s">
        <v>349</v>
      </c>
      <c r="C24" s="37" t="s">
        <v>131</v>
      </c>
      <c r="D24" s="37" t="s">
        <v>111</v>
      </c>
      <c r="E24" s="37" t="s">
        <v>466</v>
      </c>
      <c r="F24" s="38" t="s">
        <v>469</v>
      </c>
    </row>
    <row r="25" spans="1:6">
      <c r="A25" s="35">
        <v>5483</v>
      </c>
      <c r="B25" s="36" t="s">
        <v>341</v>
      </c>
      <c r="C25" s="37" t="s">
        <v>131</v>
      </c>
      <c r="D25" s="37" t="s">
        <v>111</v>
      </c>
      <c r="E25" s="37" t="s">
        <v>466</v>
      </c>
      <c r="F25" s="38" t="s">
        <v>467</v>
      </c>
    </row>
    <row r="26" spans="1:6">
      <c r="A26" s="35">
        <v>5615</v>
      </c>
      <c r="B26" s="36" t="s">
        <v>226</v>
      </c>
      <c r="C26" s="37" t="s">
        <v>131</v>
      </c>
      <c r="D26" s="37" t="s">
        <v>111</v>
      </c>
      <c r="E26" s="37" t="s">
        <v>466</v>
      </c>
      <c r="F26" s="38" t="s">
        <v>469</v>
      </c>
    </row>
    <row r="27" spans="1:6">
      <c r="A27" s="35">
        <v>5628</v>
      </c>
      <c r="B27" s="36" t="s">
        <v>480</v>
      </c>
      <c r="C27" s="37" t="s">
        <v>131</v>
      </c>
      <c r="D27" s="37" t="s">
        <v>111</v>
      </c>
      <c r="E27" s="37" t="s">
        <v>466</v>
      </c>
      <c r="F27" s="38" t="s">
        <v>471</v>
      </c>
    </row>
    <row r="28" spans="1:6">
      <c r="A28" s="35">
        <v>5649</v>
      </c>
      <c r="B28" s="36" t="s">
        <v>481</v>
      </c>
      <c r="C28" s="37" t="s">
        <v>131</v>
      </c>
      <c r="D28" s="37" t="s">
        <v>111</v>
      </c>
      <c r="E28" s="37" t="s">
        <v>466</v>
      </c>
      <c r="F28" s="38" t="s">
        <v>471</v>
      </c>
    </row>
    <row r="29" spans="1:6">
      <c r="A29" s="35">
        <v>5652</v>
      </c>
      <c r="B29" s="36" t="s">
        <v>482</v>
      </c>
      <c r="C29" s="37" t="s">
        <v>131</v>
      </c>
      <c r="D29" s="37" t="s">
        <v>111</v>
      </c>
      <c r="E29" s="37" t="s">
        <v>466</v>
      </c>
      <c r="F29" s="38" t="s">
        <v>471</v>
      </c>
    </row>
    <row r="30" spans="1:6">
      <c r="A30" s="35">
        <v>5660</v>
      </c>
      <c r="B30" s="36" t="s">
        <v>483</v>
      </c>
      <c r="C30" s="37" t="s">
        <v>131</v>
      </c>
      <c r="D30" s="37" t="s">
        <v>111</v>
      </c>
      <c r="E30" s="37" t="s">
        <v>466</v>
      </c>
      <c r="F30" s="38" t="s">
        <v>471</v>
      </c>
    </row>
    <row r="31" spans="1:6">
      <c r="A31" s="35">
        <v>5664</v>
      </c>
      <c r="B31" s="36" t="s">
        <v>484</v>
      </c>
      <c r="C31" s="37" t="s">
        <v>131</v>
      </c>
      <c r="D31" s="37" t="s">
        <v>111</v>
      </c>
      <c r="E31" s="37" t="s">
        <v>466</v>
      </c>
      <c r="F31" s="38" t="s">
        <v>469</v>
      </c>
    </row>
    <row r="32" spans="1:6">
      <c r="A32" s="35">
        <v>5679</v>
      </c>
      <c r="B32" s="36" t="s">
        <v>485</v>
      </c>
      <c r="C32" s="37" t="s">
        <v>131</v>
      </c>
      <c r="D32" s="37" t="s">
        <v>111</v>
      </c>
      <c r="E32" s="37" t="s">
        <v>466</v>
      </c>
      <c r="F32" s="38" t="s">
        <v>469</v>
      </c>
    </row>
    <row r="33" spans="1:6">
      <c r="A33" s="35">
        <v>5819</v>
      </c>
      <c r="B33" s="36" t="s">
        <v>486</v>
      </c>
      <c r="C33" s="37" t="s">
        <v>131</v>
      </c>
      <c r="D33" s="37" t="s">
        <v>111</v>
      </c>
      <c r="E33" s="37" t="s">
        <v>466</v>
      </c>
      <c r="F33" s="38" t="s">
        <v>467</v>
      </c>
    </row>
    <row r="34" spans="1:6">
      <c r="A34" s="35">
        <v>5856</v>
      </c>
      <c r="B34" s="36" t="s">
        <v>487</v>
      </c>
      <c r="C34" s="37" t="s">
        <v>131</v>
      </c>
      <c r="D34" s="37" t="s">
        <v>111</v>
      </c>
      <c r="E34" s="37" t="s">
        <v>466</v>
      </c>
      <c r="F34" s="38" t="s">
        <v>471</v>
      </c>
    </row>
    <row r="35" spans="1:6">
      <c r="A35" s="35">
        <v>5861</v>
      </c>
      <c r="B35" s="36" t="s">
        <v>488</v>
      </c>
      <c r="C35" s="37" t="s">
        <v>131</v>
      </c>
      <c r="D35" s="37" t="s">
        <v>111</v>
      </c>
      <c r="E35" s="37" t="s">
        <v>466</v>
      </c>
      <c r="F35" s="38" t="s">
        <v>469</v>
      </c>
    </row>
    <row r="36" spans="1:6">
      <c r="A36" s="35">
        <v>5002</v>
      </c>
      <c r="B36" s="37" t="s">
        <v>489</v>
      </c>
      <c r="C36" s="37" t="s">
        <v>131</v>
      </c>
      <c r="D36" s="37" t="s">
        <v>111</v>
      </c>
      <c r="E36" s="37" t="s">
        <v>466</v>
      </c>
      <c r="F36" s="38" t="s">
        <v>471</v>
      </c>
    </row>
    <row r="37" spans="1:6">
      <c r="A37" s="35">
        <v>5004</v>
      </c>
      <c r="B37" s="37" t="s">
        <v>490</v>
      </c>
      <c r="C37" s="37" t="s">
        <v>131</v>
      </c>
      <c r="D37" s="37" t="s">
        <v>111</v>
      </c>
      <c r="E37" s="37" t="s">
        <v>466</v>
      </c>
      <c r="F37" s="38" t="s">
        <v>467</v>
      </c>
    </row>
    <row r="38" spans="1:6">
      <c r="A38" s="35">
        <v>5021</v>
      </c>
      <c r="B38" s="37" t="s">
        <v>491</v>
      </c>
      <c r="C38" s="37" t="s">
        <v>131</v>
      </c>
      <c r="D38" s="37" t="s">
        <v>111</v>
      </c>
      <c r="E38" s="37" t="s">
        <v>466</v>
      </c>
      <c r="F38" s="38" t="s">
        <v>471</v>
      </c>
    </row>
    <row r="39" spans="1:6">
      <c r="A39" s="35">
        <v>5030</v>
      </c>
      <c r="B39" s="37" t="s">
        <v>492</v>
      </c>
      <c r="C39" s="37" t="s">
        <v>131</v>
      </c>
      <c r="D39" s="37" t="s">
        <v>111</v>
      </c>
      <c r="E39" s="37" t="s">
        <v>466</v>
      </c>
      <c r="F39" s="38" t="s">
        <v>469</v>
      </c>
    </row>
    <row r="40" spans="1:6">
      <c r="A40" s="35">
        <v>5031</v>
      </c>
      <c r="B40" s="37" t="s">
        <v>493</v>
      </c>
      <c r="C40" s="37" t="s">
        <v>131</v>
      </c>
      <c r="D40" s="37" t="s">
        <v>111</v>
      </c>
      <c r="E40" s="37" t="s">
        <v>466</v>
      </c>
      <c r="F40" s="38" t="s">
        <v>467</v>
      </c>
    </row>
    <row r="41" spans="1:6">
      <c r="A41" s="35">
        <v>5034</v>
      </c>
      <c r="B41" s="37" t="s">
        <v>494</v>
      </c>
      <c r="C41" s="37" t="s">
        <v>131</v>
      </c>
      <c r="D41" s="37" t="s">
        <v>111</v>
      </c>
      <c r="E41" s="37" t="s">
        <v>466</v>
      </c>
      <c r="F41" s="38" t="s">
        <v>471</v>
      </c>
    </row>
    <row r="42" spans="1:6">
      <c r="A42" s="35">
        <v>5036</v>
      </c>
      <c r="B42" s="37" t="s">
        <v>495</v>
      </c>
      <c r="C42" s="37" t="s">
        <v>131</v>
      </c>
      <c r="D42" s="37" t="s">
        <v>111</v>
      </c>
      <c r="E42" s="37" t="s">
        <v>466</v>
      </c>
      <c r="F42" s="38" t="s">
        <v>469</v>
      </c>
    </row>
    <row r="43" spans="1:6">
      <c r="A43" s="35">
        <v>5038</v>
      </c>
      <c r="B43" s="37" t="s">
        <v>496</v>
      </c>
      <c r="C43" s="37" t="s">
        <v>131</v>
      </c>
      <c r="D43" s="37" t="s">
        <v>111</v>
      </c>
      <c r="E43" s="37" t="s">
        <v>466</v>
      </c>
      <c r="F43" s="38" t="s">
        <v>471</v>
      </c>
    </row>
    <row r="44" spans="1:6">
      <c r="A44" s="35">
        <v>5040</v>
      </c>
      <c r="B44" s="37" t="s">
        <v>497</v>
      </c>
      <c r="C44" s="37" t="s">
        <v>131</v>
      </c>
      <c r="D44" s="37" t="s">
        <v>111</v>
      </c>
      <c r="E44" s="37" t="s">
        <v>466</v>
      </c>
      <c r="F44" s="38" t="s">
        <v>467</v>
      </c>
    </row>
    <row r="45" spans="1:6">
      <c r="A45" s="35">
        <v>5044</v>
      </c>
      <c r="B45" s="37" t="s">
        <v>498</v>
      </c>
      <c r="C45" s="37" t="s">
        <v>131</v>
      </c>
      <c r="D45" s="37" t="s">
        <v>111</v>
      </c>
      <c r="E45" s="37" t="s">
        <v>466</v>
      </c>
      <c r="F45" s="38" t="s">
        <v>471</v>
      </c>
    </row>
    <row r="46" spans="1:6">
      <c r="A46" s="35">
        <v>5045</v>
      </c>
      <c r="B46" s="37" t="s">
        <v>128</v>
      </c>
      <c r="C46" s="37" t="s">
        <v>131</v>
      </c>
      <c r="D46" s="37" t="s">
        <v>128</v>
      </c>
      <c r="E46" s="37" t="s">
        <v>466</v>
      </c>
      <c r="F46" s="38" t="s">
        <v>474</v>
      </c>
    </row>
    <row r="47" spans="1:6">
      <c r="A47" s="35">
        <v>5051</v>
      </c>
      <c r="B47" s="37" t="s">
        <v>499</v>
      </c>
      <c r="C47" s="37" t="s">
        <v>131</v>
      </c>
      <c r="D47" s="37" t="s">
        <v>500</v>
      </c>
      <c r="E47" s="37" t="s">
        <v>466</v>
      </c>
      <c r="F47" s="38" t="s">
        <v>469</v>
      </c>
    </row>
    <row r="48" spans="1:6">
      <c r="A48" s="35">
        <v>5088</v>
      </c>
      <c r="B48" s="37" t="s">
        <v>501</v>
      </c>
      <c r="C48" s="37" t="s">
        <v>131</v>
      </c>
      <c r="D48" s="37" t="s">
        <v>111</v>
      </c>
      <c r="E48" s="37" t="s">
        <v>466</v>
      </c>
      <c r="F48" s="38" t="s">
        <v>474</v>
      </c>
    </row>
    <row r="49" spans="1:6">
      <c r="A49" s="35">
        <v>5086</v>
      </c>
      <c r="B49" s="37" t="s">
        <v>502</v>
      </c>
      <c r="C49" s="37" t="s">
        <v>131</v>
      </c>
      <c r="D49" s="37" t="s">
        <v>111</v>
      </c>
      <c r="E49" s="37" t="s">
        <v>466</v>
      </c>
      <c r="F49" s="38" t="s">
        <v>469</v>
      </c>
    </row>
    <row r="50" spans="1:6">
      <c r="A50" s="35">
        <v>5091</v>
      </c>
      <c r="B50" s="37" t="s">
        <v>503</v>
      </c>
      <c r="C50" s="37" t="s">
        <v>131</v>
      </c>
      <c r="D50" s="37" t="s">
        <v>111</v>
      </c>
      <c r="E50" s="37" t="s">
        <v>466</v>
      </c>
      <c r="F50" s="38" t="s">
        <v>471</v>
      </c>
    </row>
    <row r="51" spans="1:6">
      <c r="A51" s="35">
        <v>5113</v>
      </c>
      <c r="B51" s="37" t="s">
        <v>504</v>
      </c>
      <c r="C51" s="37" t="s">
        <v>131</v>
      </c>
      <c r="D51" s="37" t="s">
        <v>111</v>
      </c>
      <c r="E51" s="37" t="s">
        <v>466</v>
      </c>
      <c r="F51" s="38" t="s">
        <v>467</v>
      </c>
    </row>
    <row r="52" spans="1:6">
      <c r="A52" s="35">
        <v>5120</v>
      </c>
      <c r="B52" s="37" t="s">
        <v>505</v>
      </c>
      <c r="C52" s="37" t="s">
        <v>131</v>
      </c>
      <c r="D52" s="37" t="s">
        <v>111</v>
      </c>
      <c r="E52" s="37" t="s">
        <v>466</v>
      </c>
      <c r="F52" s="38" t="s">
        <v>467</v>
      </c>
    </row>
    <row r="53" spans="1:6">
      <c r="A53" s="35">
        <v>5125</v>
      </c>
      <c r="B53" s="37" t="s">
        <v>506</v>
      </c>
      <c r="C53" s="37" t="s">
        <v>131</v>
      </c>
      <c r="D53" s="37" t="s">
        <v>111</v>
      </c>
      <c r="E53" s="37" t="s">
        <v>466</v>
      </c>
      <c r="F53" s="38" t="s">
        <v>471</v>
      </c>
    </row>
    <row r="54" spans="1:6">
      <c r="A54" s="35">
        <v>5134</v>
      </c>
      <c r="B54" s="37" t="s">
        <v>507</v>
      </c>
      <c r="C54" s="37" t="s">
        <v>131</v>
      </c>
      <c r="D54" s="37" t="s">
        <v>111</v>
      </c>
      <c r="E54" s="37" t="s">
        <v>466</v>
      </c>
      <c r="F54" s="38" t="s">
        <v>471</v>
      </c>
    </row>
    <row r="55" spans="1:6">
      <c r="A55" s="35">
        <v>5138</v>
      </c>
      <c r="B55" s="37" t="s">
        <v>508</v>
      </c>
      <c r="C55" s="37" t="s">
        <v>131</v>
      </c>
      <c r="D55" s="37" t="s">
        <v>111</v>
      </c>
      <c r="E55" s="37" t="s">
        <v>466</v>
      </c>
      <c r="F55" s="38" t="s">
        <v>471</v>
      </c>
    </row>
    <row r="56" spans="1:6">
      <c r="A56" s="35">
        <v>5142</v>
      </c>
      <c r="B56" s="37" t="s">
        <v>509</v>
      </c>
      <c r="C56" s="37" t="s">
        <v>131</v>
      </c>
      <c r="D56" s="37" t="s">
        <v>111</v>
      </c>
      <c r="E56" s="37" t="s">
        <v>466</v>
      </c>
      <c r="F56" s="38" t="s">
        <v>471</v>
      </c>
    </row>
    <row r="57" spans="1:6">
      <c r="A57" s="35">
        <v>5145</v>
      </c>
      <c r="B57" s="37" t="s">
        <v>510</v>
      </c>
      <c r="C57" s="37" t="s">
        <v>131</v>
      </c>
      <c r="D57" s="37" t="s">
        <v>111</v>
      </c>
      <c r="E57" s="37" t="s">
        <v>466</v>
      </c>
      <c r="F57" s="38" t="s">
        <v>471</v>
      </c>
    </row>
    <row r="58" spans="1:6">
      <c r="A58" s="35">
        <v>5147</v>
      </c>
      <c r="B58" s="37" t="s">
        <v>511</v>
      </c>
      <c r="C58" s="37" t="s">
        <v>131</v>
      </c>
      <c r="D58" s="37" t="s">
        <v>128</v>
      </c>
      <c r="E58" s="37" t="s">
        <v>466</v>
      </c>
      <c r="F58" s="38" t="s">
        <v>474</v>
      </c>
    </row>
    <row r="59" spans="1:6">
      <c r="A59" s="35">
        <v>5150</v>
      </c>
      <c r="B59" s="37" t="s">
        <v>512</v>
      </c>
      <c r="C59" s="37" t="s">
        <v>131</v>
      </c>
      <c r="D59" s="37" t="s">
        <v>111</v>
      </c>
      <c r="E59" s="37" t="s">
        <v>466</v>
      </c>
      <c r="F59" s="38" t="s">
        <v>471</v>
      </c>
    </row>
    <row r="60" spans="1:6">
      <c r="A60" s="35">
        <v>5154</v>
      </c>
      <c r="B60" s="37" t="s">
        <v>513</v>
      </c>
      <c r="C60" s="37" t="s">
        <v>131</v>
      </c>
      <c r="D60" s="37" t="s">
        <v>500</v>
      </c>
      <c r="E60" s="37" t="s">
        <v>466</v>
      </c>
      <c r="F60" s="38" t="s">
        <v>469</v>
      </c>
    </row>
    <row r="61" spans="1:6">
      <c r="A61" s="35">
        <v>5172</v>
      </c>
      <c r="B61" s="37" t="s">
        <v>514</v>
      </c>
      <c r="C61" s="37" t="s">
        <v>131</v>
      </c>
      <c r="D61" s="37" t="s">
        <v>128</v>
      </c>
      <c r="E61" s="37" t="s">
        <v>466</v>
      </c>
      <c r="F61" s="38" t="s">
        <v>469</v>
      </c>
    </row>
    <row r="62" spans="1:6">
      <c r="A62" s="35">
        <v>5190</v>
      </c>
      <c r="B62" s="37" t="s">
        <v>515</v>
      </c>
      <c r="C62" s="37" t="s">
        <v>131</v>
      </c>
      <c r="D62" s="37" t="s">
        <v>111</v>
      </c>
      <c r="E62" s="37" t="s">
        <v>466</v>
      </c>
      <c r="F62" s="38" t="s">
        <v>469</v>
      </c>
    </row>
    <row r="63" spans="1:6">
      <c r="A63" s="35">
        <v>5101</v>
      </c>
      <c r="B63" s="37" t="s">
        <v>516</v>
      </c>
      <c r="C63" s="37" t="s">
        <v>131</v>
      </c>
      <c r="D63" s="37" t="s">
        <v>111</v>
      </c>
      <c r="E63" s="37" t="s">
        <v>466</v>
      </c>
      <c r="F63" s="38" t="s">
        <v>469</v>
      </c>
    </row>
    <row r="64" spans="1:6">
      <c r="A64" s="35">
        <v>5197</v>
      </c>
      <c r="B64" s="37" t="s">
        <v>517</v>
      </c>
      <c r="C64" s="37" t="s">
        <v>131</v>
      </c>
      <c r="D64" s="37" t="s">
        <v>111</v>
      </c>
      <c r="E64" s="37" t="s">
        <v>466</v>
      </c>
      <c r="F64" s="38" t="s">
        <v>469</v>
      </c>
    </row>
    <row r="65" spans="1:6">
      <c r="A65" s="35">
        <v>5212</v>
      </c>
      <c r="B65" s="37" t="s">
        <v>518</v>
      </c>
      <c r="C65" s="37" t="s">
        <v>131</v>
      </c>
      <c r="D65" s="37" t="s">
        <v>111</v>
      </c>
      <c r="E65" s="37" t="s">
        <v>466</v>
      </c>
      <c r="F65" s="38" t="s">
        <v>474</v>
      </c>
    </row>
    <row r="66" spans="1:6">
      <c r="A66" s="35">
        <v>5234</v>
      </c>
      <c r="B66" s="37" t="s">
        <v>519</v>
      </c>
      <c r="C66" s="37" t="s">
        <v>131</v>
      </c>
      <c r="D66" s="37" t="s">
        <v>111</v>
      </c>
      <c r="E66" s="37" t="s">
        <v>466</v>
      </c>
      <c r="F66" s="38" t="s">
        <v>467</v>
      </c>
    </row>
    <row r="67" spans="1:6">
      <c r="A67" s="35">
        <v>5237</v>
      </c>
      <c r="B67" s="37" t="s">
        <v>520</v>
      </c>
      <c r="C67" s="37" t="s">
        <v>131</v>
      </c>
      <c r="D67" s="37" t="s">
        <v>111</v>
      </c>
      <c r="E67" s="37" t="s">
        <v>466</v>
      </c>
      <c r="F67" s="38" t="s">
        <v>469</v>
      </c>
    </row>
    <row r="68" spans="1:6">
      <c r="A68" s="35">
        <v>5240</v>
      </c>
      <c r="B68" s="37" t="s">
        <v>521</v>
      </c>
      <c r="C68" s="37" t="s">
        <v>131</v>
      </c>
      <c r="D68" s="37" t="s">
        <v>111</v>
      </c>
      <c r="E68" s="37" t="s">
        <v>466</v>
      </c>
      <c r="F68" s="38" t="s">
        <v>469</v>
      </c>
    </row>
    <row r="69" spans="1:6">
      <c r="A69" s="35">
        <v>5250</v>
      </c>
      <c r="B69" s="37" t="s">
        <v>522</v>
      </c>
      <c r="C69" s="37" t="s">
        <v>131</v>
      </c>
      <c r="D69" s="37" t="s">
        <v>500</v>
      </c>
      <c r="E69" s="37" t="s">
        <v>466</v>
      </c>
      <c r="F69" s="38" t="s">
        <v>467</v>
      </c>
    </row>
    <row r="70" spans="1:6">
      <c r="A70" s="35">
        <v>5148</v>
      </c>
      <c r="B70" s="37" t="s">
        <v>523</v>
      </c>
      <c r="C70" s="37" t="s">
        <v>131</v>
      </c>
      <c r="D70" s="37" t="s">
        <v>111</v>
      </c>
      <c r="E70" s="37" t="s">
        <v>466</v>
      </c>
      <c r="F70" s="38" t="s">
        <v>469</v>
      </c>
    </row>
    <row r="71" spans="1:6">
      <c r="A71" s="35">
        <v>5697</v>
      </c>
      <c r="B71" s="37" t="s">
        <v>524</v>
      </c>
      <c r="C71" s="37" t="s">
        <v>131</v>
      </c>
      <c r="D71" s="37" t="s">
        <v>111</v>
      </c>
      <c r="E71" s="37" t="s">
        <v>466</v>
      </c>
      <c r="F71" s="38" t="s">
        <v>469</v>
      </c>
    </row>
    <row r="72" spans="1:6">
      <c r="A72" s="35">
        <v>5264</v>
      </c>
      <c r="B72" s="37" t="s">
        <v>525</v>
      </c>
      <c r="C72" s="37" t="s">
        <v>131</v>
      </c>
      <c r="D72" s="37" t="s">
        <v>111</v>
      </c>
      <c r="E72" s="37" t="s">
        <v>466</v>
      </c>
      <c r="F72" s="38" t="s">
        <v>469</v>
      </c>
    </row>
    <row r="73" spans="1:6">
      <c r="A73" s="35">
        <v>5266</v>
      </c>
      <c r="B73" s="37" t="s">
        <v>526</v>
      </c>
      <c r="C73" s="37" t="s">
        <v>131</v>
      </c>
      <c r="D73" s="37" t="s">
        <v>111</v>
      </c>
      <c r="E73" s="37" t="s">
        <v>466</v>
      </c>
      <c r="F73" s="38" t="s">
        <v>474</v>
      </c>
    </row>
    <row r="74" spans="1:6">
      <c r="A74" s="35">
        <v>5282</v>
      </c>
      <c r="B74" s="37" t="s">
        <v>527</v>
      </c>
      <c r="C74" s="37" t="s">
        <v>131</v>
      </c>
      <c r="D74" s="37" t="s">
        <v>111</v>
      </c>
      <c r="E74" s="37" t="s">
        <v>466</v>
      </c>
      <c r="F74" s="38" t="s">
        <v>469</v>
      </c>
    </row>
    <row r="75" spans="1:6">
      <c r="A75" s="35">
        <v>5284</v>
      </c>
      <c r="B75" s="37" t="s">
        <v>528</v>
      </c>
      <c r="C75" s="37" t="s">
        <v>131</v>
      </c>
      <c r="D75" s="37" t="s">
        <v>111</v>
      </c>
      <c r="E75" s="37" t="s">
        <v>466</v>
      </c>
      <c r="F75" s="38" t="s">
        <v>467</v>
      </c>
    </row>
    <row r="76" spans="1:6">
      <c r="A76" s="35">
        <v>5306</v>
      </c>
      <c r="B76" s="37" t="s">
        <v>529</v>
      </c>
      <c r="C76" s="37" t="s">
        <v>131</v>
      </c>
      <c r="D76" s="37" t="s">
        <v>111</v>
      </c>
      <c r="E76" s="37" t="s">
        <v>466</v>
      </c>
      <c r="F76" s="38" t="s">
        <v>471</v>
      </c>
    </row>
    <row r="77" spans="1:6">
      <c r="A77" s="35">
        <v>5308</v>
      </c>
      <c r="B77" s="37" t="s">
        <v>530</v>
      </c>
      <c r="C77" s="37" t="s">
        <v>131</v>
      </c>
      <c r="D77" s="37" t="s">
        <v>111</v>
      </c>
      <c r="E77" s="37" t="s">
        <v>466</v>
      </c>
      <c r="F77" s="38" t="s">
        <v>474</v>
      </c>
    </row>
    <row r="78" spans="1:6">
      <c r="A78" s="35">
        <v>5310</v>
      </c>
      <c r="B78" s="37" t="s">
        <v>531</v>
      </c>
      <c r="C78" s="37" t="s">
        <v>131</v>
      </c>
      <c r="D78" s="37" t="s">
        <v>111</v>
      </c>
      <c r="E78" s="37" t="s">
        <v>466</v>
      </c>
      <c r="F78" s="38" t="s">
        <v>469</v>
      </c>
    </row>
    <row r="79" spans="1:6">
      <c r="A79" s="35">
        <v>5318</v>
      </c>
      <c r="B79" s="37" t="s">
        <v>532</v>
      </c>
      <c r="C79" s="37" t="s">
        <v>131</v>
      </c>
      <c r="D79" s="37" t="s">
        <v>111</v>
      </c>
      <c r="E79" s="37" t="s">
        <v>466</v>
      </c>
      <c r="F79" s="38" t="s">
        <v>469</v>
      </c>
    </row>
    <row r="80" spans="1:6">
      <c r="A80" s="35">
        <v>5321</v>
      </c>
      <c r="B80" s="37" t="s">
        <v>533</v>
      </c>
      <c r="C80" s="37" t="s">
        <v>131</v>
      </c>
      <c r="D80" s="37" t="s">
        <v>111</v>
      </c>
      <c r="E80" s="37" t="s">
        <v>466</v>
      </c>
      <c r="F80" s="38" t="s">
        <v>469</v>
      </c>
    </row>
    <row r="81" spans="1:6">
      <c r="A81" s="35">
        <v>5347</v>
      </c>
      <c r="B81" s="37" t="s">
        <v>534</v>
      </c>
      <c r="C81" s="37" t="s">
        <v>131</v>
      </c>
      <c r="D81" s="37" t="s">
        <v>111</v>
      </c>
      <c r="E81" s="37" t="s">
        <v>466</v>
      </c>
      <c r="F81" s="38" t="s">
        <v>469</v>
      </c>
    </row>
    <row r="82" spans="1:6">
      <c r="A82" s="35">
        <v>5353</v>
      </c>
      <c r="B82" s="37" t="s">
        <v>535</v>
      </c>
      <c r="C82" s="37" t="s">
        <v>131</v>
      </c>
      <c r="D82" s="37" t="s">
        <v>111</v>
      </c>
      <c r="E82" s="37" t="s">
        <v>466</v>
      </c>
      <c r="F82" s="38" t="s">
        <v>471</v>
      </c>
    </row>
    <row r="83" spans="1:6">
      <c r="A83" s="35">
        <v>5360</v>
      </c>
      <c r="B83" s="37" t="s">
        <v>536</v>
      </c>
      <c r="C83" s="37" t="s">
        <v>131</v>
      </c>
      <c r="D83" s="37" t="s">
        <v>111</v>
      </c>
      <c r="E83" s="37" t="s">
        <v>466</v>
      </c>
      <c r="F83" s="38" t="s">
        <v>474</v>
      </c>
    </row>
    <row r="84" spans="1:6">
      <c r="A84" s="35">
        <v>5361</v>
      </c>
      <c r="B84" s="37" t="s">
        <v>537</v>
      </c>
      <c r="C84" s="37" t="s">
        <v>131</v>
      </c>
      <c r="D84" s="37" t="s">
        <v>111</v>
      </c>
      <c r="E84" s="37" t="s">
        <v>466</v>
      </c>
      <c r="F84" s="38" t="s">
        <v>467</v>
      </c>
    </row>
    <row r="85" spans="1:6">
      <c r="A85" s="35">
        <v>5364</v>
      </c>
      <c r="B85" s="37" t="s">
        <v>538</v>
      </c>
      <c r="C85" s="37" t="s">
        <v>131</v>
      </c>
      <c r="D85" s="37" t="s">
        <v>111</v>
      </c>
      <c r="E85" s="37" t="s">
        <v>466</v>
      </c>
      <c r="F85" s="38" t="s">
        <v>471</v>
      </c>
    </row>
    <row r="86" spans="1:6">
      <c r="A86" s="35">
        <v>5376</v>
      </c>
      <c r="B86" s="37" t="s">
        <v>539</v>
      </c>
      <c r="C86" s="37" t="s">
        <v>131</v>
      </c>
      <c r="D86" s="37" t="s">
        <v>111</v>
      </c>
      <c r="E86" s="37" t="s">
        <v>466</v>
      </c>
      <c r="F86" s="38" t="s">
        <v>469</v>
      </c>
    </row>
    <row r="87" spans="1:6">
      <c r="A87" s="35">
        <v>5380</v>
      </c>
      <c r="B87" s="37" t="s">
        <v>540</v>
      </c>
      <c r="C87" s="37" t="s">
        <v>131</v>
      </c>
      <c r="D87" s="37" t="s">
        <v>111</v>
      </c>
      <c r="E87" s="37" t="s">
        <v>466</v>
      </c>
      <c r="F87" s="38" t="s">
        <v>474</v>
      </c>
    </row>
    <row r="88" spans="1:6">
      <c r="A88" s="35">
        <v>5390</v>
      </c>
      <c r="B88" s="37" t="s">
        <v>541</v>
      </c>
      <c r="C88" s="37" t="s">
        <v>131</v>
      </c>
      <c r="D88" s="37" t="s">
        <v>111</v>
      </c>
      <c r="E88" s="37" t="s">
        <v>466</v>
      </c>
      <c r="F88" s="38" t="s">
        <v>469</v>
      </c>
    </row>
    <row r="89" spans="1:6">
      <c r="A89" s="35">
        <v>5411</v>
      </c>
      <c r="B89" s="37" t="s">
        <v>542</v>
      </c>
      <c r="C89" s="37" t="s">
        <v>131</v>
      </c>
      <c r="D89" s="37" t="s">
        <v>111</v>
      </c>
      <c r="E89" s="37" t="s">
        <v>466</v>
      </c>
      <c r="F89" s="38" t="s">
        <v>471</v>
      </c>
    </row>
    <row r="90" spans="1:6">
      <c r="A90" s="35">
        <v>5425</v>
      </c>
      <c r="B90" s="37" t="s">
        <v>543</v>
      </c>
      <c r="C90" s="37" t="s">
        <v>131</v>
      </c>
      <c r="D90" s="37" t="s">
        <v>111</v>
      </c>
      <c r="E90" s="37" t="s">
        <v>466</v>
      </c>
      <c r="F90" s="38" t="s">
        <v>471</v>
      </c>
    </row>
    <row r="91" spans="1:6">
      <c r="A91" s="35">
        <v>5440</v>
      </c>
      <c r="B91" s="37" t="s">
        <v>544</v>
      </c>
      <c r="C91" s="37" t="s">
        <v>131</v>
      </c>
      <c r="D91" s="37" t="s">
        <v>111</v>
      </c>
      <c r="E91" s="37" t="s">
        <v>466</v>
      </c>
      <c r="F91" s="38" t="s">
        <v>469</v>
      </c>
    </row>
    <row r="92" spans="1:6">
      <c r="A92" s="35">
        <v>5001</v>
      </c>
      <c r="B92" s="37" t="s">
        <v>111</v>
      </c>
      <c r="C92" s="37" t="s">
        <v>131</v>
      </c>
      <c r="D92" s="37" t="s">
        <v>111</v>
      </c>
      <c r="E92" s="37" t="s">
        <v>466</v>
      </c>
      <c r="F92" s="38" t="s">
        <v>474</v>
      </c>
    </row>
    <row r="93" spans="1:6">
      <c r="A93" s="35">
        <v>5467</v>
      </c>
      <c r="B93" s="37" t="s">
        <v>545</v>
      </c>
      <c r="C93" s="37" t="s">
        <v>131</v>
      </c>
      <c r="D93" s="37" t="s">
        <v>111</v>
      </c>
      <c r="E93" s="37" t="s">
        <v>466</v>
      </c>
      <c r="F93" s="38" t="s">
        <v>469</v>
      </c>
    </row>
    <row r="94" spans="1:6">
      <c r="A94" s="35">
        <v>5475</v>
      </c>
      <c r="B94" s="37" t="s">
        <v>546</v>
      </c>
      <c r="C94" s="37" t="s">
        <v>131</v>
      </c>
      <c r="D94" s="37" t="s">
        <v>128</v>
      </c>
      <c r="E94" s="37" t="s">
        <v>547</v>
      </c>
      <c r="F94" s="38" t="s">
        <v>454</v>
      </c>
    </row>
    <row r="95" spans="1:6">
      <c r="A95" s="35">
        <v>5480</v>
      </c>
      <c r="B95" s="37" t="s">
        <v>548</v>
      </c>
      <c r="C95" s="37" t="s">
        <v>131</v>
      </c>
      <c r="D95" s="37" t="s">
        <v>128</v>
      </c>
      <c r="E95" s="37" t="s">
        <v>466</v>
      </c>
      <c r="F95" s="38" t="s">
        <v>469</v>
      </c>
    </row>
    <row r="96" spans="1:6">
      <c r="A96" s="35">
        <v>5495</v>
      </c>
      <c r="B96" s="37" t="s">
        <v>549</v>
      </c>
      <c r="C96" s="37" t="s">
        <v>131</v>
      </c>
      <c r="D96" s="37" t="s">
        <v>500</v>
      </c>
      <c r="E96" s="37" t="s">
        <v>466</v>
      </c>
      <c r="F96" s="38" t="s">
        <v>471</v>
      </c>
    </row>
    <row r="97" spans="1:6">
      <c r="A97" s="35">
        <v>5490</v>
      </c>
      <c r="B97" s="37" t="s">
        <v>550</v>
      </c>
      <c r="C97" s="37" t="s">
        <v>131</v>
      </c>
      <c r="D97" s="37" t="s">
        <v>128</v>
      </c>
      <c r="E97" s="37" t="s">
        <v>466</v>
      </c>
      <c r="F97" s="38" t="s">
        <v>469</v>
      </c>
    </row>
    <row r="98" spans="1:6">
      <c r="A98" s="35">
        <v>5501</v>
      </c>
      <c r="B98" s="37" t="s">
        <v>551</v>
      </c>
      <c r="C98" s="37" t="s">
        <v>131</v>
      </c>
      <c r="D98" s="37" t="s">
        <v>111</v>
      </c>
      <c r="E98" s="37" t="s">
        <v>466</v>
      </c>
      <c r="F98" s="38" t="s">
        <v>469</v>
      </c>
    </row>
    <row r="99" spans="1:6">
      <c r="A99" s="35">
        <v>5541</v>
      </c>
      <c r="B99" s="37" t="s">
        <v>552</v>
      </c>
      <c r="C99" s="37" t="s">
        <v>131</v>
      </c>
      <c r="D99" s="37" t="s">
        <v>111</v>
      </c>
      <c r="E99" s="37" t="s">
        <v>466</v>
      </c>
      <c r="F99" s="38" t="s">
        <v>469</v>
      </c>
    </row>
    <row r="100" spans="1:6">
      <c r="A100" s="35">
        <v>5543</v>
      </c>
      <c r="B100" s="37" t="s">
        <v>553</v>
      </c>
      <c r="C100" s="37" t="s">
        <v>131</v>
      </c>
      <c r="D100" s="37" t="s">
        <v>111</v>
      </c>
      <c r="E100" s="37" t="s">
        <v>466</v>
      </c>
      <c r="F100" s="38" t="s">
        <v>467</v>
      </c>
    </row>
    <row r="101" spans="1:6">
      <c r="A101" s="35">
        <v>5576</v>
      </c>
      <c r="B101" s="37" t="s">
        <v>554</v>
      </c>
      <c r="C101" s="37" t="s">
        <v>131</v>
      </c>
      <c r="D101" s="37" t="s">
        <v>111</v>
      </c>
      <c r="E101" s="37" t="s">
        <v>466</v>
      </c>
      <c r="F101" s="38" t="s">
        <v>471</v>
      </c>
    </row>
    <row r="102" spans="1:6">
      <c r="A102" s="35">
        <v>5579</v>
      </c>
      <c r="B102" s="37" t="s">
        <v>555</v>
      </c>
      <c r="C102" s="37" t="s">
        <v>131</v>
      </c>
      <c r="D102" s="37" t="s">
        <v>111</v>
      </c>
      <c r="E102" s="37" t="s">
        <v>466</v>
      </c>
      <c r="F102" s="38" t="s">
        <v>471</v>
      </c>
    </row>
    <row r="103" spans="1:6">
      <c r="A103" s="35">
        <v>5585</v>
      </c>
      <c r="B103" s="37" t="s">
        <v>556</v>
      </c>
      <c r="C103" s="37" t="s">
        <v>131</v>
      </c>
      <c r="D103" s="37" t="s">
        <v>111</v>
      </c>
      <c r="E103" s="37" t="s">
        <v>466</v>
      </c>
      <c r="F103" s="38" t="s">
        <v>467</v>
      </c>
    </row>
    <row r="104" spans="1:6">
      <c r="A104" s="35">
        <v>5591</v>
      </c>
      <c r="B104" s="37" t="s">
        <v>557</v>
      </c>
      <c r="C104" s="37" t="s">
        <v>131</v>
      </c>
      <c r="D104" s="37" t="s">
        <v>111</v>
      </c>
      <c r="E104" s="37" t="s">
        <v>466</v>
      </c>
      <c r="F104" s="38" t="s">
        <v>467</v>
      </c>
    </row>
    <row r="105" spans="1:6">
      <c r="A105" s="35">
        <v>5604</v>
      </c>
      <c r="B105" s="37" t="s">
        <v>558</v>
      </c>
      <c r="C105" s="37" t="s">
        <v>131</v>
      </c>
      <c r="D105" s="37" t="s">
        <v>111</v>
      </c>
      <c r="E105" s="37" t="s">
        <v>466</v>
      </c>
      <c r="F105" s="38" t="s">
        <v>467</v>
      </c>
    </row>
    <row r="106" spans="1:6">
      <c r="A106" s="35">
        <v>5607</v>
      </c>
      <c r="B106" s="37" t="s">
        <v>559</v>
      </c>
      <c r="C106" s="37" t="s">
        <v>131</v>
      </c>
      <c r="D106" s="37" t="s">
        <v>111</v>
      </c>
      <c r="E106" s="37" t="s">
        <v>466</v>
      </c>
      <c r="F106" s="38" t="s">
        <v>469</v>
      </c>
    </row>
    <row r="107" spans="1:6">
      <c r="A107" s="35">
        <v>5631</v>
      </c>
      <c r="B107" s="37" t="s">
        <v>560</v>
      </c>
      <c r="C107" s="37" t="s">
        <v>131</v>
      </c>
      <c r="D107" s="37" t="s">
        <v>111</v>
      </c>
      <c r="E107" s="37" t="s">
        <v>466</v>
      </c>
      <c r="F107" s="38" t="s">
        <v>474</v>
      </c>
    </row>
    <row r="108" spans="1:6">
      <c r="A108" s="35">
        <v>5642</v>
      </c>
      <c r="B108" s="37" t="s">
        <v>561</v>
      </c>
      <c r="C108" s="37" t="s">
        <v>131</v>
      </c>
      <c r="D108" s="37" t="s">
        <v>111</v>
      </c>
      <c r="E108" s="37" t="s">
        <v>466</v>
      </c>
      <c r="F108" s="38" t="s">
        <v>469</v>
      </c>
    </row>
    <row r="109" spans="1:6">
      <c r="A109" s="35">
        <v>5647</v>
      </c>
      <c r="B109" s="37" t="s">
        <v>562</v>
      </c>
      <c r="C109" s="37" t="s">
        <v>131</v>
      </c>
      <c r="D109" s="37" t="s">
        <v>111</v>
      </c>
      <c r="E109" s="37" t="s">
        <v>466</v>
      </c>
      <c r="F109" s="38" t="s">
        <v>471</v>
      </c>
    </row>
    <row r="110" spans="1:6">
      <c r="A110" s="35">
        <v>5656</v>
      </c>
      <c r="B110" s="37" t="s">
        <v>563</v>
      </c>
      <c r="C110" s="37" t="s">
        <v>131</v>
      </c>
      <c r="D110" s="37" t="s">
        <v>111</v>
      </c>
      <c r="E110" s="37" t="s">
        <v>466</v>
      </c>
      <c r="F110" s="38" t="s">
        <v>469</v>
      </c>
    </row>
    <row r="111" spans="1:6">
      <c r="A111" s="35">
        <v>5658</v>
      </c>
      <c r="B111" s="37" t="s">
        <v>564</v>
      </c>
      <c r="C111" s="37" t="s">
        <v>131</v>
      </c>
      <c r="D111" s="37" t="s">
        <v>111</v>
      </c>
      <c r="E111" s="37" t="s">
        <v>466</v>
      </c>
      <c r="F111" s="38" t="s">
        <v>471</v>
      </c>
    </row>
    <row r="112" spans="1:6">
      <c r="A112" s="35">
        <v>5659</v>
      </c>
      <c r="B112" s="37" t="s">
        <v>565</v>
      </c>
      <c r="C112" s="37" t="s">
        <v>131</v>
      </c>
      <c r="D112" s="37" t="s">
        <v>500</v>
      </c>
      <c r="E112" s="37" t="s">
        <v>466</v>
      </c>
      <c r="F112" s="38" t="s">
        <v>469</v>
      </c>
    </row>
    <row r="113" spans="1:6">
      <c r="A113" s="35">
        <v>5665</v>
      </c>
      <c r="B113" s="37" t="s">
        <v>566</v>
      </c>
      <c r="C113" s="37" t="s">
        <v>131</v>
      </c>
      <c r="D113" s="37" t="s">
        <v>128</v>
      </c>
      <c r="E113" s="37" t="s">
        <v>466</v>
      </c>
      <c r="F113" s="38" t="s">
        <v>471</v>
      </c>
    </row>
    <row r="114" spans="1:6">
      <c r="A114" s="35">
        <v>5667</v>
      </c>
      <c r="B114" s="37" t="s">
        <v>567</v>
      </c>
      <c r="C114" s="37" t="s">
        <v>131</v>
      </c>
      <c r="D114" s="37" t="s">
        <v>111</v>
      </c>
      <c r="E114" s="37" t="s">
        <v>466</v>
      </c>
      <c r="F114" s="38" t="s">
        <v>471</v>
      </c>
    </row>
    <row r="115" spans="1:6">
      <c r="A115" s="35">
        <v>5670</v>
      </c>
      <c r="B115" s="37" t="s">
        <v>568</v>
      </c>
      <c r="C115" s="37" t="s">
        <v>131</v>
      </c>
      <c r="D115" s="37" t="s">
        <v>111</v>
      </c>
      <c r="E115" s="37" t="s">
        <v>466</v>
      </c>
      <c r="F115" s="38" t="s">
        <v>471</v>
      </c>
    </row>
    <row r="116" spans="1:6">
      <c r="A116" s="35">
        <v>5674</v>
      </c>
      <c r="B116" s="37" t="s">
        <v>569</v>
      </c>
      <c r="C116" s="37" t="s">
        <v>131</v>
      </c>
      <c r="D116" s="37" t="s">
        <v>111</v>
      </c>
      <c r="E116" s="37" t="s">
        <v>466</v>
      </c>
      <c r="F116" s="38" t="s">
        <v>469</v>
      </c>
    </row>
    <row r="117" spans="1:6">
      <c r="A117" s="35">
        <v>5042</v>
      </c>
      <c r="B117" s="37" t="s">
        <v>570</v>
      </c>
      <c r="C117" s="37" t="s">
        <v>131</v>
      </c>
      <c r="D117" s="37" t="s">
        <v>111</v>
      </c>
      <c r="E117" s="37" t="s">
        <v>466</v>
      </c>
      <c r="F117" s="38" t="s">
        <v>469</v>
      </c>
    </row>
    <row r="118" spans="1:6">
      <c r="A118" s="35">
        <v>5686</v>
      </c>
      <c r="B118" s="37" t="s">
        <v>571</v>
      </c>
      <c r="C118" s="37" t="s">
        <v>131</v>
      </c>
      <c r="D118" s="37" t="s">
        <v>111</v>
      </c>
      <c r="E118" s="37" t="s">
        <v>466</v>
      </c>
      <c r="F118" s="38" t="s">
        <v>469</v>
      </c>
    </row>
    <row r="119" spans="1:6">
      <c r="A119" s="35">
        <v>5690</v>
      </c>
      <c r="B119" s="37" t="s">
        <v>250</v>
      </c>
      <c r="C119" s="37" t="s">
        <v>131</v>
      </c>
      <c r="D119" s="37" t="s">
        <v>111</v>
      </c>
      <c r="E119" s="37" t="s">
        <v>466</v>
      </c>
      <c r="F119" s="38" t="s">
        <v>469</v>
      </c>
    </row>
    <row r="120" spans="1:6">
      <c r="A120" s="35">
        <v>5736</v>
      </c>
      <c r="B120" s="37" t="s">
        <v>572</v>
      </c>
      <c r="C120" s="37" t="s">
        <v>131</v>
      </c>
      <c r="D120" s="37" t="s">
        <v>111</v>
      </c>
      <c r="E120" s="37" t="s">
        <v>466</v>
      </c>
      <c r="F120" s="38" t="s">
        <v>467</v>
      </c>
    </row>
    <row r="121" spans="1:6">
      <c r="A121" s="35">
        <v>5756</v>
      </c>
      <c r="B121" s="37" t="s">
        <v>573</v>
      </c>
      <c r="C121" s="37" t="s">
        <v>131</v>
      </c>
      <c r="D121" s="37" t="s">
        <v>111</v>
      </c>
      <c r="E121" s="37" t="s">
        <v>466</v>
      </c>
      <c r="F121" s="38" t="s">
        <v>471</v>
      </c>
    </row>
    <row r="122" spans="1:6">
      <c r="A122" s="35">
        <v>5761</v>
      </c>
      <c r="B122" s="37" t="s">
        <v>574</v>
      </c>
      <c r="C122" s="37" t="s">
        <v>131</v>
      </c>
      <c r="D122" s="37" t="s">
        <v>111</v>
      </c>
      <c r="E122" s="37" t="s">
        <v>466</v>
      </c>
      <c r="F122" s="38" t="s">
        <v>469</v>
      </c>
    </row>
    <row r="123" spans="1:6">
      <c r="A123" s="35">
        <v>5789</v>
      </c>
      <c r="B123" s="37" t="s">
        <v>575</v>
      </c>
      <c r="C123" s="37" t="s">
        <v>131</v>
      </c>
      <c r="D123" s="37" t="s">
        <v>111</v>
      </c>
      <c r="E123" s="37" t="s">
        <v>466</v>
      </c>
      <c r="F123" s="38" t="s">
        <v>471</v>
      </c>
    </row>
    <row r="124" spans="1:6">
      <c r="A124" s="35">
        <v>5790</v>
      </c>
      <c r="B124" s="37" t="s">
        <v>576</v>
      </c>
      <c r="C124" s="37" t="s">
        <v>131</v>
      </c>
      <c r="D124" s="37" t="s">
        <v>111</v>
      </c>
      <c r="E124" s="37" t="s">
        <v>466</v>
      </c>
      <c r="F124" s="38" t="s">
        <v>467</v>
      </c>
    </row>
    <row r="125" spans="1:6">
      <c r="A125" s="35">
        <v>5792</v>
      </c>
      <c r="B125" s="37" t="s">
        <v>577</v>
      </c>
      <c r="C125" s="37" t="s">
        <v>131</v>
      </c>
      <c r="D125" s="37" t="s">
        <v>111</v>
      </c>
      <c r="E125" s="37" t="s">
        <v>466</v>
      </c>
      <c r="F125" s="38" t="s">
        <v>471</v>
      </c>
    </row>
    <row r="126" spans="1:6">
      <c r="A126" s="35">
        <v>5809</v>
      </c>
      <c r="B126" s="37" t="s">
        <v>578</v>
      </c>
      <c r="C126" s="37" t="s">
        <v>131</v>
      </c>
      <c r="D126" s="37" t="s">
        <v>111</v>
      </c>
      <c r="E126" s="37" t="s">
        <v>466</v>
      </c>
      <c r="F126" s="38" t="s">
        <v>469</v>
      </c>
    </row>
    <row r="127" spans="1:6">
      <c r="A127" s="35">
        <v>5837</v>
      </c>
      <c r="B127" s="37" t="s">
        <v>132</v>
      </c>
      <c r="C127" s="37" t="s">
        <v>131</v>
      </c>
      <c r="D127" s="37" t="s">
        <v>128</v>
      </c>
      <c r="E127" s="37" t="s">
        <v>466</v>
      </c>
      <c r="F127" s="38" t="s">
        <v>469</v>
      </c>
    </row>
    <row r="128" spans="1:6">
      <c r="A128" s="35">
        <v>5842</v>
      </c>
      <c r="B128" s="37" t="s">
        <v>579</v>
      </c>
      <c r="C128" s="37" t="s">
        <v>131</v>
      </c>
      <c r="D128" s="37" t="s">
        <v>111</v>
      </c>
      <c r="E128" s="37" t="s">
        <v>466</v>
      </c>
      <c r="F128" s="38" t="s">
        <v>467</v>
      </c>
    </row>
    <row r="129" spans="1:6">
      <c r="A129" s="35">
        <v>5847</v>
      </c>
      <c r="B129" s="37" t="s">
        <v>580</v>
      </c>
      <c r="C129" s="37" t="s">
        <v>131</v>
      </c>
      <c r="D129" s="37" t="s">
        <v>111</v>
      </c>
      <c r="E129" s="37" t="s">
        <v>466</v>
      </c>
      <c r="F129" s="38" t="s">
        <v>467</v>
      </c>
    </row>
    <row r="130" spans="1:6">
      <c r="A130" s="35">
        <v>5854</v>
      </c>
      <c r="B130" s="37" t="s">
        <v>581</v>
      </c>
      <c r="C130" s="37" t="s">
        <v>131</v>
      </c>
      <c r="D130" s="37" t="s">
        <v>111</v>
      </c>
      <c r="E130" s="37" t="s">
        <v>466</v>
      </c>
      <c r="F130" s="38" t="s">
        <v>471</v>
      </c>
    </row>
    <row r="131" spans="1:6">
      <c r="A131" s="35">
        <v>5858</v>
      </c>
      <c r="B131" s="37" t="s">
        <v>582</v>
      </c>
      <c r="C131" s="37" t="s">
        <v>131</v>
      </c>
      <c r="D131" s="37" t="s">
        <v>111</v>
      </c>
      <c r="E131" s="37" t="s">
        <v>466</v>
      </c>
      <c r="F131" s="38" t="s">
        <v>471</v>
      </c>
    </row>
    <row r="132" spans="1:6">
      <c r="A132" s="35">
        <v>5873</v>
      </c>
      <c r="B132" s="37" t="s">
        <v>583</v>
      </c>
      <c r="C132" s="37" t="s">
        <v>131</v>
      </c>
      <c r="D132" s="37" t="s">
        <v>128</v>
      </c>
      <c r="E132" s="37" t="s">
        <v>453</v>
      </c>
      <c r="F132" s="38" t="s">
        <v>454</v>
      </c>
    </row>
    <row r="133" spans="1:6">
      <c r="A133" s="35">
        <v>5885</v>
      </c>
      <c r="B133" s="37" t="s">
        <v>584</v>
      </c>
      <c r="C133" s="37" t="s">
        <v>131</v>
      </c>
      <c r="D133" s="37" t="s">
        <v>111</v>
      </c>
      <c r="E133" s="37" t="s">
        <v>466</v>
      </c>
      <c r="F133" s="38" t="s">
        <v>469</v>
      </c>
    </row>
    <row r="134" spans="1:6">
      <c r="A134" s="35">
        <v>5887</v>
      </c>
      <c r="B134" s="37" t="s">
        <v>585</v>
      </c>
      <c r="C134" s="37" t="s">
        <v>131</v>
      </c>
      <c r="D134" s="37" t="s">
        <v>111</v>
      </c>
      <c r="E134" s="37" t="s">
        <v>466</v>
      </c>
      <c r="F134" s="38" t="s">
        <v>471</v>
      </c>
    </row>
    <row r="135" spans="1:6">
      <c r="A135" s="35">
        <v>5890</v>
      </c>
      <c r="B135" s="37" t="s">
        <v>586</v>
      </c>
      <c r="C135" s="37" t="s">
        <v>131</v>
      </c>
      <c r="D135" s="37" t="s">
        <v>111</v>
      </c>
      <c r="E135" s="37" t="s">
        <v>466</v>
      </c>
      <c r="F135" s="38" t="s">
        <v>469</v>
      </c>
    </row>
    <row r="136" spans="1:6">
      <c r="A136" s="35">
        <v>5893</v>
      </c>
      <c r="B136" s="37" t="s">
        <v>587</v>
      </c>
      <c r="C136" s="37" t="s">
        <v>131</v>
      </c>
      <c r="D136" s="37" t="s">
        <v>172</v>
      </c>
      <c r="E136" s="37" t="s">
        <v>466</v>
      </c>
      <c r="F136" s="38" t="s">
        <v>467</v>
      </c>
    </row>
    <row r="137" spans="1:6">
      <c r="A137" s="35">
        <v>5895</v>
      </c>
      <c r="B137" s="37" t="s">
        <v>588</v>
      </c>
      <c r="C137" s="37" t="s">
        <v>131</v>
      </c>
      <c r="D137" s="37" t="s">
        <v>500</v>
      </c>
      <c r="E137" s="37" t="s">
        <v>466</v>
      </c>
      <c r="F137" s="38" t="s">
        <v>467</v>
      </c>
    </row>
    <row r="138" spans="1:6">
      <c r="A138" s="35">
        <v>81001</v>
      </c>
      <c r="B138" s="37" t="s">
        <v>589</v>
      </c>
      <c r="C138" s="37" t="s">
        <v>589</v>
      </c>
      <c r="D138" s="37" t="s">
        <v>172</v>
      </c>
      <c r="E138" s="37" t="s">
        <v>453</v>
      </c>
      <c r="F138" s="38" t="s">
        <v>454</v>
      </c>
    </row>
    <row r="139" spans="1:6">
      <c r="A139" s="35">
        <v>81065</v>
      </c>
      <c r="B139" s="37" t="s">
        <v>590</v>
      </c>
      <c r="C139" s="37" t="s">
        <v>589</v>
      </c>
      <c r="D139" s="37" t="s">
        <v>172</v>
      </c>
      <c r="E139" s="37" t="s">
        <v>453</v>
      </c>
      <c r="F139" s="38" t="s">
        <v>454</v>
      </c>
    </row>
    <row r="140" spans="1:6">
      <c r="A140" s="35">
        <v>81220</v>
      </c>
      <c r="B140" s="37" t="s">
        <v>591</v>
      </c>
      <c r="C140" s="37" t="s">
        <v>589</v>
      </c>
      <c r="D140" s="37" t="s">
        <v>172</v>
      </c>
      <c r="E140" s="37" t="s">
        <v>453</v>
      </c>
      <c r="F140" s="38" t="s">
        <v>454</v>
      </c>
    </row>
    <row r="141" spans="1:6">
      <c r="A141" s="35">
        <v>81300</v>
      </c>
      <c r="B141" s="37" t="s">
        <v>592</v>
      </c>
      <c r="C141" s="37" t="s">
        <v>589</v>
      </c>
      <c r="D141" s="37" t="s">
        <v>172</v>
      </c>
      <c r="E141" s="37" t="s">
        <v>453</v>
      </c>
      <c r="F141" s="38" t="s">
        <v>454</v>
      </c>
    </row>
    <row r="142" spans="1:6">
      <c r="A142" s="35">
        <v>81591</v>
      </c>
      <c r="B142" s="37" t="s">
        <v>593</v>
      </c>
      <c r="C142" s="37" t="s">
        <v>589</v>
      </c>
      <c r="D142" s="37" t="s">
        <v>172</v>
      </c>
      <c r="E142" s="37" t="s">
        <v>453</v>
      </c>
      <c r="F142" s="38" t="s">
        <v>454</v>
      </c>
    </row>
    <row r="143" spans="1:6">
      <c r="A143" s="35">
        <v>81736</v>
      </c>
      <c r="B143" s="37" t="s">
        <v>594</v>
      </c>
      <c r="C143" s="37" t="s">
        <v>589</v>
      </c>
      <c r="D143" s="37" t="s">
        <v>172</v>
      </c>
      <c r="E143" s="37" t="s">
        <v>453</v>
      </c>
      <c r="F143" s="38" t="s">
        <v>454</v>
      </c>
    </row>
    <row r="144" spans="1:6">
      <c r="A144" s="35">
        <v>81794</v>
      </c>
      <c r="B144" s="37" t="s">
        <v>595</v>
      </c>
      <c r="C144" s="37" t="s">
        <v>589</v>
      </c>
      <c r="D144" s="37" t="s">
        <v>172</v>
      </c>
      <c r="E144" s="37" t="s">
        <v>453</v>
      </c>
      <c r="F144" s="38" t="s">
        <v>454</v>
      </c>
    </row>
    <row r="145" spans="1:6">
      <c r="A145" s="35">
        <v>8141</v>
      </c>
      <c r="B145" s="36" t="s">
        <v>596</v>
      </c>
      <c r="C145" s="37" t="s">
        <v>323</v>
      </c>
      <c r="D145" s="37" t="s">
        <v>320</v>
      </c>
      <c r="E145" s="37" t="s">
        <v>466</v>
      </c>
      <c r="F145" s="38" t="s">
        <v>469</v>
      </c>
    </row>
    <row r="146" spans="1:6">
      <c r="A146" s="35">
        <v>8573</v>
      </c>
      <c r="B146" s="36" t="s">
        <v>597</v>
      </c>
      <c r="C146" s="37" t="s">
        <v>323</v>
      </c>
      <c r="D146" s="37" t="s">
        <v>320</v>
      </c>
      <c r="E146" s="37" t="s">
        <v>466</v>
      </c>
      <c r="F146" s="38" t="s">
        <v>469</v>
      </c>
    </row>
    <row r="147" spans="1:6">
      <c r="A147" s="35">
        <v>8638</v>
      </c>
      <c r="B147" s="36" t="s">
        <v>480</v>
      </c>
      <c r="C147" s="37" t="s">
        <v>323</v>
      </c>
      <c r="D147" s="37" t="s">
        <v>320</v>
      </c>
      <c r="E147" s="37" t="s">
        <v>466</v>
      </c>
      <c r="F147" s="38" t="s">
        <v>469</v>
      </c>
    </row>
    <row r="148" spans="1:6">
      <c r="A148" s="35">
        <v>8078</v>
      </c>
      <c r="B148" s="37" t="s">
        <v>598</v>
      </c>
      <c r="C148" s="37" t="s">
        <v>323</v>
      </c>
      <c r="D148" s="37" t="s">
        <v>320</v>
      </c>
      <c r="E148" s="37" t="s">
        <v>466</v>
      </c>
      <c r="F148" s="38" t="s">
        <v>469</v>
      </c>
    </row>
    <row r="149" spans="1:6">
      <c r="A149" s="35">
        <v>8001</v>
      </c>
      <c r="B149" s="37" t="s">
        <v>320</v>
      </c>
      <c r="C149" s="37" t="s">
        <v>323</v>
      </c>
      <c r="D149" s="37" t="s">
        <v>320</v>
      </c>
      <c r="E149" s="37" t="s">
        <v>466</v>
      </c>
      <c r="F149" s="38" t="s">
        <v>474</v>
      </c>
    </row>
    <row r="150" spans="1:6">
      <c r="A150" s="35">
        <v>8137</v>
      </c>
      <c r="B150" s="37" t="s">
        <v>599</v>
      </c>
      <c r="C150" s="37" t="s">
        <v>323</v>
      </c>
      <c r="D150" s="37" t="s">
        <v>320</v>
      </c>
      <c r="E150" s="37" t="s">
        <v>466</v>
      </c>
      <c r="F150" s="38" t="s">
        <v>469</v>
      </c>
    </row>
    <row r="151" spans="1:6">
      <c r="A151" s="35">
        <v>8296</v>
      </c>
      <c r="B151" s="37" t="s">
        <v>600</v>
      </c>
      <c r="C151" s="37" t="s">
        <v>323</v>
      </c>
      <c r="D151" s="37" t="s">
        <v>320</v>
      </c>
      <c r="E151" s="37" t="s">
        <v>466</v>
      </c>
      <c r="F151" s="38" t="s">
        <v>474</v>
      </c>
    </row>
    <row r="152" spans="1:6">
      <c r="A152" s="35">
        <v>8372</v>
      </c>
      <c r="B152" s="37" t="s">
        <v>601</v>
      </c>
      <c r="C152" s="37" t="s">
        <v>323</v>
      </c>
      <c r="D152" s="37" t="s">
        <v>320</v>
      </c>
      <c r="E152" s="37" t="s">
        <v>466</v>
      </c>
      <c r="F152" s="38" t="s">
        <v>469</v>
      </c>
    </row>
    <row r="153" spans="1:6">
      <c r="A153" s="35">
        <v>8421</v>
      </c>
      <c r="B153" s="37" t="s">
        <v>602</v>
      </c>
      <c r="C153" s="37" t="s">
        <v>323</v>
      </c>
      <c r="D153" s="37" t="s">
        <v>320</v>
      </c>
      <c r="E153" s="37" t="s">
        <v>466</v>
      </c>
      <c r="F153" s="38" t="s">
        <v>469</v>
      </c>
    </row>
    <row r="154" spans="1:6">
      <c r="A154" s="35">
        <v>8433</v>
      </c>
      <c r="B154" s="37" t="s">
        <v>603</v>
      </c>
      <c r="C154" s="37" t="s">
        <v>323</v>
      </c>
      <c r="D154" s="37" t="s">
        <v>320</v>
      </c>
      <c r="E154" s="37" t="s">
        <v>466</v>
      </c>
      <c r="F154" s="38" t="s">
        <v>469</v>
      </c>
    </row>
    <row r="155" spans="1:6">
      <c r="A155" s="35">
        <v>8436</v>
      </c>
      <c r="B155" s="37" t="s">
        <v>604</v>
      </c>
      <c r="C155" s="37" t="s">
        <v>323</v>
      </c>
      <c r="D155" s="37" t="s">
        <v>320</v>
      </c>
      <c r="E155" s="37" t="s">
        <v>466</v>
      </c>
      <c r="F155" s="38" t="s">
        <v>469</v>
      </c>
    </row>
    <row r="156" spans="1:6">
      <c r="A156" s="35">
        <v>8520</v>
      </c>
      <c r="B156" s="37" t="s">
        <v>605</v>
      </c>
      <c r="C156" s="37" t="s">
        <v>323</v>
      </c>
      <c r="D156" s="37" t="s">
        <v>320</v>
      </c>
      <c r="E156" s="37" t="s">
        <v>466</v>
      </c>
      <c r="F156" s="38" t="s">
        <v>469</v>
      </c>
    </row>
    <row r="157" spans="1:6">
      <c r="A157" s="35">
        <v>8549</v>
      </c>
      <c r="B157" s="37" t="s">
        <v>606</v>
      </c>
      <c r="C157" s="37" t="s">
        <v>323</v>
      </c>
      <c r="D157" s="37" t="s">
        <v>320</v>
      </c>
      <c r="E157" s="37" t="s">
        <v>466</v>
      </c>
      <c r="F157" s="38" t="s">
        <v>469</v>
      </c>
    </row>
    <row r="158" spans="1:6">
      <c r="A158" s="35">
        <v>8558</v>
      </c>
      <c r="B158" s="37" t="s">
        <v>607</v>
      </c>
      <c r="C158" s="37" t="s">
        <v>323</v>
      </c>
      <c r="D158" s="37" t="s">
        <v>320</v>
      </c>
      <c r="E158" s="37" t="s">
        <v>466</v>
      </c>
      <c r="F158" s="38" t="s">
        <v>469</v>
      </c>
    </row>
    <row r="159" spans="1:6">
      <c r="A159" s="35">
        <v>8560</v>
      </c>
      <c r="B159" s="37" t="s">
        <v>608</v>
      </c>
      <c r="C159" s="37" t="s">
        <v>323</v>
      </c>
      <c r="D159" s="37" t="s">
        <v>320</v>
      </c>
      <c r="E159" s="37" t="s">
        <v>466</v>
      </c>
      <c r="F159" s="38" t="s">
        <v>469</v>
      </c>
    </row>
    <row r="160" spans="1:6">
      <c r="A160" s="35">
        <v>8606</v>
      </c>
      <c r="B160" s="37" t="s">
        <v>609</v>
      </c>
      <c r="C160" s="37" t="s">
        <v>323</v>
      </c>
      <c r="D160" s="37" t="s">
        <v>320</v>
      </c>
      <c r="E160" s="37" t="s">
        <v>466</v>
      </c>
      <c r="F160" s="38" t="s">
        <v>469</v>
      </c>
    </row>
    <row r="161" spans="1:6">
      <c r="A161" s="35">
        <v>8634</v>
      </c>
      <c r="B161" s="37" t="s">
        <v>610</v>
      </c>
      <c r="C161" s="37" t="s">
        <v>323</v>
      </c>
      <c r="D161" s="37" t="s">
        <v>320</v>
      </c>
      <c r="E161" s="37" t="s">
        <v>466</v>
      </c>
      <c r="F161" s="38" t="s">
        <v>469</v>
      </c>
    </row>
    <row r="162" spans="1:6">
      <c r="A162" s="35">
        <v>8675</v>
      </c>
      <c r="B162" s="37" t="s">
        <v>611</v>
      </c>
      <c r="C162" s="37" t="s">
        <v>323</v>
      </c>
      <c r="D162" s="37" t="s">
        <v>320</v>
      </c>
      <c r="E162" s="37" t="s">
        <v>466</v>
      </c>
      <c r="F162" s="38" t="s">
        <v>469</v>
      </c>
    </row>
    <row r="163" spans="1:6">
      <c r="A163" s="35">
        <v>8685</v>
      </c>
      <c r="B163" s="37" t="s">
        <v>612</v>
      </c>
      <c r="C163" s="37" t="s">
        <v>323</v>
      </c>
      <c r="D163" s="37" t="s">
        <v>320</v>
      </c>
      <c r="E163" s="37" t="s">
        <v>466</v>
      </c>
      <c r="F163" s="38" t="s">
        <v>469</v>
      </c>
    </row>
    <row r="164" spans="1:6">
      <c r="A164" s="35">
        <v>8758</v>
      </c>
      <c r="B164" s="37" t="s">
        <v>613</v>
      </c>
      <c r="C164" s="37" t="s">
        <v>323</v>
      </c>
      <c r="D164" s="37" t="s">
        <v>320</v>
      </c>
      <c r="E164" s="37" t="s">
        <v>466</v>
      </c>
      <c r="F164" s="38" t="s">
        <v>474</v>
      </c>
    </row>
    <row r="165" spans="1:6">
      <c r="A165" s="35">
        <v>8770</v>
      </c>
      <c r="B165" s="37" t="s">
        <v>614</v>
      </c>
      <c r="C165" s="37" t="s">
        <v>323</v>
      </c>
      <c r="D165" s="37" t="s">
        <v>320</v>
      </c>
      <c r="E165" s="37" t="s">
        <v>466</v>
      </c>
      <c r="F165" s="38" t="s">
        <v>469</v>
      </c>
    </row>
    <row r="166" spans="1:6">
      <c r="A166" s="35">
        <v>8832</v>
      </c>
      <c r="B166" s="37" t="s">
        <v>615</v>
      </c>
      <c r="C166" s="37" t="s">
        <v>323</v>
      </c>
      <c r="D166" s="37" t="s">
        <v>320</v>
      </c>
      <c r="E166" s="37" t="s">
        <v>466</v>
      </c>
      <c r="F166" s="38" t="s">
        <v>469</v>
      </c>
    </row>
    <row r="167" spans="1:6">
      <c r="A167" s="35">
        <v>8849</v>
      </c>
      <c r="B167" s="37" t="s">
        <v>616</v>
      </c>
      <c r="C167" s="37" t="s">
        <v>323</v>
      </c>
      <c r="D167" s="37" t="s">
        <v>320</v>
      </c>
      <c r="E167" s="37" t="s">
        <v>466</v>
      </c>
      <c r="F167" s="38" t="s">
        <v>469</v>
      </c>
    </row>
    <row r="168" spans="1:6">
      <c r="A168" s="35">
        <v>13140</v>
      </c>
      <c r="B168" s="36" t="s">
        <v>617</v>
      </c>
      <c r="C168" s="37" t="s">
        <v>618</v>
      </c>
      <c r="D168" s="37" t="s">
        <v>619</v>
      </c>
      <c r="E168" s="37" t="s">
        <v>466</v>
      </c>
      <c r="F168" s="38" t="s">
        <v>469</v>
      </c>
    </row>
    <row r="169" spans="1:6">
      <c r="A169" s="35">
        <v>13212</v>
      </c>
      <c r="B169" s="36" t="s">
        <v>620</v>
      </c>
      <c r="C169" s="37" t="s">
        <v>618</v>
      </c>
      <c r="D169" s="37" t="s">
        <v>619</v>
      </c>
      <c r="E169" s="37" t="s">
        <v>466</v>
      </c>
      <c r="F169" s="38" t="s">
        <v>467</v>
      </c>
    </row>
    <row r="170" spans="1:6">
      <c r="A170" s="35">
        <v>13268</v>
      </c>
      <c r="B170" s="36" t="s">
        <v>621</v>
      </c>
      <c r="C170" s="37" t="s">
        <v>618</v>
      </c>
      <c r="D170" s="37" t="s">
        <v>622</v>
      </c>
      <c r="E170" s="37" t="s">
        <v>466</v>
      </c>
      <c r="F170" s="38" t="s">
        <v>467</v>
      </c>
    </row>
    <row r="171" spans="1:6">
      <c r="A171" s="35">
        <v>13473</v>
      </c>
      <c r="B171" s="36" t="s">
        <v>623</v>
      </c>
      <c r="C171" s="37" t="s">
        <v>618</v>
      </c>
      <c r="D171" s="37" t="s">
        <v>622</v>
      </c>
      <c r="E171" s="37" t="s">
        <v>466</v>
      </c>
      <c r="F171" s="38" t="s">
        <v>467</v>
      </c>
    </row>
    <row r="172" spans="1:6">
      <c r="A172" s="35">
        <v>13670</v>
      </c>
      <c r="B172" s="36" t="s">
        <v>624</v>
      </c>
      <c r="C172" s="37" t="s">
        <v>618</v>
      </c>
      <c r="D172" s="37" t="s">
        <v>172</v>
      </c>
      <c r="E172" s="37" t="s">
        <v>625</v>
      </c>
      <c r="F172" s="38" t="s">
        <v>454</v>
      </c>
    </row>
    <row r="173" spans="1:6">
      <c r="A173" s="35">
        <v>13683</v>
      </c>
      <c r="B173" s="36" t="s">
        <v>626</v>
      </c>
      <c r="C173" s="37" t="s">
        <v>618</v>
      </c>
      <c r="D173" s="37" t="s">
        <v>619</v>
      </c>
      <c r="E173" s="37" t="s">
        <v>466</v>
      </c>
      <c r="F173" s="38" t="s">
        <v>469</v>
      </c>
    </row>
    <row r="174" spans="1:6">
      <c r="A174" s="35">
        <v>13873</v>
      </c>
      <c r="B174" s="36" t="s">
        <v>627</v>
      </c>
      <c r="C174" s="37" t="s">
        <v>618</v>
      </c>
      <c r="D174" s="37" t="s">
        <v>619</v>
      </c>
      <c r="E174" s="37" t="s">
        <v>466</v>
      </c>
      <c r="F174" s="38" t="s">
        <v>469</v>
      </c>
    </row>
    <row r="175" spans="1:6">
      <c r="A175" s="35">
        <v>13006</v>
      </c>
      <c r="B175" s="37" t="s">
        <v>628</v>
      </c>
      <c r="C175" s="37" t="s">
        <v>618</v>
      </c>
      <c r="D175" s="37" t="s">
        <v>619</v>
      </c>
      <c r="E175" s="37" t="s">
        <v>466</v>
      </c>
      <c r="F175" s="38" t="s">
        <v>467</v>
      </c>
    </row>
    <row r="176" spans="1:6">
      <c r="A176" s="35">
        <v>13030</v>
      </c>
      <c r="B176" s="37" t="s">
        <v>629</v>
      </c>
      <c r="C176" s="37" t="s">
        <v>618</v>
      </c>
      <c r="D176" s="37" t="s">
        <v>619</v>
      </c>
      <c r="E176" s="37" t="s">
        <v>466</v>
      </c>
      <c r="F176" s="38" t="s">
        <v>467</v>
      </c>
    </row>
    <row r="177" spans="1:6">
      <c r="A177" s="35">
        <v>13042</v>
      </c>
      <c r="B177" s="37" t="s">
        <v>630</v>
      </c>
      <c r="C177" s="37" t="s">
        <v>618</v>
      </c>
      <c r="D177" s="37" t="s">
        <v>622</v>
      </c>
      <c r="E177" s="37" t="s">
        <v>466</v>
      </c>
      <c r="F177" s="38" t="s">
        <v>467</v>
      </c>
    </row>
    <row r="178" spans="1:6">
      <c r="A178" s="35">
        <v>13052</v>
      </c>
      <c r="B178" s="37" t="s">
        <v>631</v>
      </c>
      <c r="C178" s="37" t="s">
        <v>618</v>
      </c>
      <c r="D178" s="37" t="s">
        <v>619</v>
      </c>
      <c r="E178" s="37" t="s">
        <v>466</v>
      </c>
      <c r="F178" s="38" t="s">
        <v>469</v>
      </c>
    </row>
    <row r="179" spans="1:6">
      <c r="A179" s="35">
        <v>13062</v>
      </c>
      <c r="B179" s="37" t="s">
        <v>632</v>
      </c>
      <c r="C179" s="37" t="s">
        <v>618</v>
      </c>
      <c r="D179" s="37" t="s">
        <v>619</v>
      </c>
      <c r="E179" s="37" t="s">
        <v>466</v>
      </c>
      <c r="F179" s="38" t="s">
        <v>469</v>
      </c>
    </row>
    <row r="180" spans="1:6">
      <c r="A180" s="35">
        <v>13074</v>
      </c>
      <c r="B180" s="37" t="s">
        <v>633</v>
      </c>
      <c r="C180" s="37" t="s">
        <v>618</v>
      </c>
      <c r="D180" s="37" t="s">
        <v>622</v>
      </c>
      <c r="E180" s="37" t="s">
        <v>466</v>
      </c>
      <c r="F180" s="38" t="s">
        <v>467</v>
      </c>
    </row>
    <row r="181" spans="1:6">
      <c r="A181" s="35">
        <v>13160</v>
      </c>
      <c r="B181" s="37" t="s">
        <v>634</v>
      </c>
      <c r="C181" s="37" t="s">
        <v>618</v>
      </c>
      <c r="D181" s="37" t="s">
        <v>172</v>
      </c>
      <c r="E181" s="37" t="s">
        <v>625</v>
      </c>
      <c r="F181" s="38" t="s">
        <v>454</v>
      </c>
    </row>
    <row r="182" spans="1:6">
      <c r="A182" s="35">
        <v>13001</v>
      </c>
      <c r="B182" s="37" t="s">
        <v>619</v>
      </c>
      <c r="C182" s="37" t="s">
        <v>618</v>
      </c>
      <c r="D182" s="37" t="s">
        <v>619</v>
      </c>
      <c r="E182" s="37" t="s">
        <v>466</v>
      </c>
      <c r="F182" s="38" t="s">
        <v>474</v>
      </c>
    </row>
    <row r="183" spans="1:6">
      <c r="A183" s="35">
        <v>13188</v>
      </c>
      <c r="B183" s="37" t="s">
        <v>635</v>
      </c>
      <c r="C183" s="37" t="s">
        <v>618</v>
      </c>
      <c r="D183" s="37" t="s">
        <v>619</v>
      </c>
      <c r="E183" s="37" t="s">
        <v>466</v>
      </c>
      <c r="F183" s="38" t="s">
        <v>467</v>
      </c>
    </row>
    <row r="184" spans="1:6">
      <c r="A184" s="35">
        <v>13222</v>
      </c>
      <c r="B184" s="37" t="s">
        <v>636</v>
      </c>
      <c r="C184" s="37" t="s">
        <v>618</v>
      </c>
      <c r="D184" s="37" t="s">
        <v>619</v>
      </c>
      <c r="E184" s="37" t="s">
        <v>466</v>
      </c>
      <c r="F184" s="38" t="s">
        <v>469</v>
      </c>
    </row>
    <row r="185" spans="1:6">
      <c r="A185" s="35">
        <v>13244</v>
      </c>
      <c r="B185" s="37" t="s">
        <v>637</v>
      </c>
      <c r="C185" s="37" t="s">
        <v>618</v>
      </c>
      <c r="D185" s="37" t="s">
        <v>619</v>
      </c>
      <c r="E185" s="37" t="s">
        <v>466</v>
      </c>
      <c r="F185" s="38" t="s">
        <v>471</v>
      </c>
    </row>
    <row r="186" spans="1:6">
      <c r="A186" s="35">
        <v>13248</v>
      </c>
      <c r="B186" s="37" t="s">
        <v>638</v>
      </c>
      <c r="C186" s="37" t="s">
        <v>618</v>
      </c>
      <c r="D186" s="37" t="s">
        <v>619</v>
      </c>
      <c r="E186" s="37" t="s">
        <v>466</v>
      </c>
      <c r="F186" s="38" t="s">
        <v>467</v>
      </c>
    </row>
    <row r="187" spans="1:6">
      <c r="A187" s="35">
        <v>13300</v>
      </c>
      <c r="B187" s="37" t="s">
        <v>639</v>
      </c>
      <c r="C187" s="37" t="s">
        <v>618</v>
      </c>
      <c r="D187" s="37" t="s">
        <v>622</v>
      </c>
      <c r="E187" s="37" t="s">
        <v>466</v>
      </c>
      <c r="F187" s="38" t="s">
        <v>467</v>
      </c>
    </row>
    <row r="188" spans="1:6">
      <c r="A188" s="35">
        <v>13430</v>
      </c>
      <c r="B188" s="37" t="s">
        <v>640</v>
      </c>
      <c r="C188" s="37" t="s">
        <v>618</v>
      </c>
      <c r="D188" s="37" t="s">
        <v>619</v>
      </c>
      <c r="E188" s="37" t="s">
        <v>466</v>
      </c>
      <c r="F188" s="38" t="s">
        <v>467</v>
      </c>
    </row>
    <row r="189" spans="1:6">
      <c r="A189" s="35">
        <v>13433</v>
      </c>
      <c r="B189" s="37" t="s">
        <v>641</v>
      </c>
      <c r="C189" s="37" t="s">
        <v>618</v>
      </c>
      <c r="D189" s="37" t="s">
        <v>619</v>
      </c>
      <c r="E189" s="37" t="s">
        <v>466</v>
      </c>
      <c r="F189" s="38" t="s">
        <v>469</v>
      </c>
    </row>
    <row r="190" spans="1:6">
      <c r="A190" s="35">
        <v>13440</v>
      </c>
      <c r="B190" s="37" t="s">
        <v>642</v>
      </c>
      <c r="C190" s="37" t="s">
        <v>618</v>
      </c>
      <c r="D190" s="37" t="s">
        <v>619</v>
      </c>
      <c r="E190" s="37" t="s">
        <v>466</v>
      </c>
      <c r="F190" s="38" t="s">
        <v>467</v>
      </c>
    </row>
    <row r="191" spans="1:6">
      <c r="A191" s="35">
        <v>13442</v>
      </c>
      <c r="B191" s="37" t="s">
        <v>643</v>
      </c>
      <c r="C191" s="37" t="s">
        <v>618</v>
      </c>
      <c r="D191" s="37" t="s">
        <v>619</v>
      </c>
      <c r="E191" s="37" t="s">
        <v>466</v>
      </c>
      <c r="F191" s="38" t="s">
        <v>469</v>
      </c>
    </row>
    <row r="192" spans="1:6">
      <c r="A192" s="35">
        <v>13468</v>
      </c>
      <c r="B192" s="37" t="s">
        <v>644</v>
      </c>
      <c r="C192" s="37" t="s">
        <v>618</v>
      </c>
      <c r="D192" s="37" t="s">
        <v>619</v>
      </c>
      <c r="E192" s="37" t="s">
        <v>466</v>
      </c>
      <c r="F192" s="38" t="s">
        <v>467</v>
      </c>
    </row>
    <row r="193" spans="1:6">
      <c r="A193" s="35">
        <v>13458</v>
      </c>
      <c r="B193" s="37" t="s">
        <v>645</v>
      </c>
      <c r="C193" s="37" t="s">
        <v>618</v>
      </c>
      <c r="D193" s="37" t="s">
        <v>619</v>
      </c>
      <c r="E193" s="37" t="s">
        <v>625</v>
      </c>
      <c r="F193" s="38" t="s">
        <v>454</v>
      </c>
    </row>
    <row r="194" spans="1:6">
      <c r="A194" s="35">
        <v>13490</v>
      </c>
      <c r="B194" s="37" t="s">
        <v>646</v>
      </c>
      <c r="C194" s="37" t="s">
        <v>618</v>
      </c>
      <c r="D194" s="37" t="s">
        <v>619</v>
      </c>
      <c r="E194" s="37" t="s">
        <v>466</v>
      </c>
      <c r="F194" s="38" t="s">
        <v>467</v>
      </c>
    </row>
    <row r="195" spans="1:6">
      <c r="A195" s="35">
        <v>13549</v>
      </c>
      <c r="B195" s="37" t="s">
        <v>647</v>
      </c>
      <c r="C195" s="37" t="s">
        <v>618</v>
      </c>
      <c r="D195" s="37" t="s">
        <v>619</v>
      </c>
      <c r="E195" s="37" t="s">
        <v>466</v>
      </c>
      <c r="F195" s="38" t="s">
        <v>467</v>
      </c>
    </row>
    <row r="196" spans="1:6">
      <c r="A196" s="35">
        <v>13580</v>
      </c>
      <c r="B196" s="37" t="s">
        <v>648</v>
      </c>
      <c r="C196" s="37" t="s">
        <v>618</v>
      </c>
      <c r="D196" s="37" t="s">
        <v>619</v>
      </c>
      <c r="E196" s="37" t="s">
        <v>466</v>
      </c>
      <c r="F196" s="38" t="s">
        <v>467</v>
      </c>
    </row>
    <row r="197" spans="1:6">
      <c r="A197" s="35">
        <v>13600</v>
      </c>
      <c r="B197" s="37" t="s">
        <v>649</v>
      </c>
      <c r="C197" s="37" t="s">
        <v>618</v>
      </c>
      <c r="D197" s="37" t="s">
        <v>622</v>
      </c>
      <c r="E197" s="37" t="s">
        <v>466</v>
      </c>
      <c r="F197" s="38" t="s">
        <v>467</v>
      </c>
    </row>
    <row r="198" spans="1:6">
      <c r="A198" s="35">
        <v>13620</v>
      </c>
      <c r="B198" s="37" t="s">
        <v>650</v>
      </c>
      <c r="C198" s="37" t="s">
        <v>618</v>
      </c>
      <c r="D198" s="37" t="s">
        <v>619</v>
      </c>
      <c r="E198" s="37" t="s">
        <v>466</v>
      </c>
      <c r="F198" s="38" t="s">
        <v>471</v>
      </c>
    </row>
    <row r="199" spans="1:6">
      <c r="A199" s="35">
        <v>13647</v>
      </c>
      <c r="B199" s="37" t="s">
        <v>651</v>
      </c>
      <c r="C199" s="37" t="s">
        <v>618</v>
      </c>
      <c r="D199" s="37" t="s">
        <v>619</v>
      </c>
      <c r="E199" s="37" t="s">
        <v>466</v>
      </c>
      <c r="F199" s="38" t="s">
        <v>469</v>
      </c>
    </row>
    <row r="200" spans="1:6">
      <c r="A200" s="35">
        <v>13650</v>
      </c>
      <c r="B200" s="37" t="s">
        <v>652</v>
      </c>
      <c r="C200" s="37" t="s">
        <v>618</v>
      </c>
      <c r="D200" s="37" t="s">
        <v>619</v>
      </c>
      <c r="E200" s="37" t="s">
        <v>466</v>
      </c>
      <c r="F200" s="38" t="s">
        <v>467</v>
      </c>
    </row>
    <row r="201" spans="1:6">
      <c r="A201" s="35">
        <v>13654</v>
      </c>
      <c r="B201" s="37" t="s">
        <v>653</v>
      </c>
      <c r="C201" s="37" t="s">
        <v>618</v>
      </c>
      <c r="D201" s="37" t="s">
        <v>619</v>
      </c>
      <c r="E201" s="37" t="s">
        <v>466</v>
      </c>
      <c r="F201" s="38" t="s">
        <v>471</v>
      </c>
    </row>
    <row r="202" spans="1:6">
      <c r="A202" s="35">
        <v>13655</v>
      </c>
      <c r="B202" s="37" t="s">
        <v>654</v>
      </c>
      <c r="C202" s="37" t="s">
        <v>618</v>
      </c>
      <c r="D202" s="37" t="s">
        <v>619</v>
      </c>
      <c r="E202" s="37" t="s">
        <v>466</v>
      </c>
      <c r="F202" s="38" t="s">
        <v>467</v>
      </c>
    </row>
    <row r="203" spans="1:6">
      <c r="A203" s="35">
        <v>13657</v>
      </c>
      <c r="B203" s="37" t="s">
        <v>655</v>
      </c>
      <c r="C203" s="37" t="s">
        <v>618</v>
      </c>
      <c r="D203" s="37" t="s">
        <v>619</v>
      </c>
      <c r="E203" s="37" t="s">
        <v>466</v>
      </c>
      <c r="F203" s="38" t="s">
        <v>469</v>
      </c>
    </row>
    <row r="204" spans="1:6">
      <c r="A204" s="35">
        <v>13667</v>
      </c>
      <c r="B204" s="37" t="s">
        <v>656</v>
      </c>
      <c r="C204" s="37" t="s">
        <v>618</v>
      </c>
      <c r="D204" s="37" t="s">
        <v>619</v>
      </c>
      <c r="E204" s="37" t="s">
        <v>466</v>
      </c>
      <c r="F204" s="38" t="s">
        <v>467</v>
      </c>
    </row>
    <row r="205" spans="1:6">
      <c r="A205" s="35">
        <v>13673</v>
      </c>
      <c r="B205" s="37" t="s">
        <v>657</v>
      </c>
      <c r="C205" s="37" t="s">
        <v>618</v>
      </c>
      <c r="D205" s="37" t="s">
        <v>619</v>
      </c>
      <c r="E205" s="37" t="s">
        <v>466</v>
      </c>
      <c r="F205" s="38" t="s">
        <v>469</v>
      </c>
    </row>
    <row r="206" spans="1:6">
      <c r="A206" s="35">
        <v>13688</v>
      </c>
      <c r="B206" s="37" t="s">
        <v>658</v>
      </c>
      <c r="C206" s="37" t="s">
        <v>618</v>
      </c>
      <c r="D206" s="37" t="s">
        <v>172</v>
      </c>
      <c r="E206" s="37" t="s">
        <v>625</v>
      </c>
      <c r="F206" s="38" t="s">
        <v>454</v>
      </c>
    </row>
    <row r="207" spans="1:6">
      <c r="A207" s="35">
        <v>13744</v>
      </c>
      <c r="B207" s="37" t="s">
        <v>659</v>
      </c>
      <c r="C207" s="37" t="s">
        <v>618</v>
      </c>
      <c r="D207" s="37" t="s">
        <v>172</v>
      </c>
      <c r="E207" s="37" t="s">
        <v>625</v>
      </c>
      <c r="F207" s="38" t="s">
        <v>454</v>
      </c>
    </row>
    <row r="208" spans="1:6">
      <c r="A208" s="35">
        <v>13760</v>
      </c>
      <c r="B208" s="37" t="s">
        <v>660</v>
      </c>
      <c r="C208" s="37" t="s">
        <v>618</v>
      </c>
      <c r="D208" s="37" t="s">
        <v>619</v>
      </c>
      <c r="E208" s="37" t="s">
        <v>466</v>
      </c>
      <c r="F208" s="38" t="s">
        <v>471</v>
      </c>
    </row>
    <row r="209" spans="1:6">
      <c r="A209" s="35">
        <v>13780</v>
      </c>
      <c r="B209" s="37" t="s">
        <v>661</v>
      </c>
      <c r="C209" s="37" t="s">
        <v>618</v>
      </c>
      <c r="D209" s="37" t="s">
        <v>619</v>
      </c>
      <c r="E209" s="37" t="s">
        <v>466</v>
      </c>
      <c r="F209" s="38" t="s">
        <v>467</v>
      </c>
    </row>
    <row r="210" spans="1:6">
      <c r="A210" s="35">
        <v>13810</v>
      </c>
      <c r="B210" s="37" t="s">
        <v>662</v>
      </c>
      <c r="C210" s="37" t="s">
        <v>618</v>
      </c>
      <c r="D210" s="37" t="s">
        <v>619</v>
      </c>
      <c r="E210" s="37" t="s">
        <v>466</v>
      </c>
      <c r="F210" s="38" t="s">
        <v>467</v>
      </c>
    </row>
    <row r="211" spans="1:6">
      <c r="A211" s="35">
        <v>13836</v>
      </c>
      <c r="B211" s="37" t="s">
        <v>663</v>
      </c>
      <c r="C211" s="37" t="s">
        <v>618</v>
      </c>
      <c r="D211" s="37" t="s">
        <v>619</v>
      </c>
      <c r="E211" s="37" t="s">
        <v>466</v>
      </c>
      <c r="F211" s="38" t="s">
        <v>469</v>
      </c>
    </row>
    <row r="212" spans="1:6">
      <c r="A212" s="35">
        <v>13838</v>
      </c>
      <c r="B212" s="37" t="s">
        <v>664</v>
      </c>
      <c r="C212" s="37" t="s">
        <v>618</v>
      </c>
      <c r="D212" s="37" t="s">
        <v>619</v>
      </c>
      <c r="E212" s="37" t="s">
        <v>466</v>
      </c>
      <c r="F212" s="38" t="s">
        <v>469</v>
      </c>
    </row>
    <row r="213" spans="1:6">
      <c r="A213" s="35">
        <v>13894</v>
      </c>
      <c r="B213" s="37" t="s">
        <v>665</v>
      </c>
      <c r="C213" s="37" t="s">
        <v>618</v>
      </c>
      <c r="D213" s="37" t="s">
        <v>619</v>
      </c>
      <c r="E213" s="37" t="s">
        <v>466</v>
      </c>
      <c r="F213" s="38" t="s">
        <v>467</v>
      </c>
    </row>
    <row r="214" spans="1:6">
      <c r="A214" s="35">
        <v>15087</v>
      </c>
      <c r="B214" s="36" t="s">
        <v>666</v>
      </c>
      <c r="C214" s="37" t="s">
        <v>150</v>
      </c>
      <c r="D214" s="37" t="s">
        <v>147</v>
      </c>
      <c r="E214" s="37" t="s">
        <v>466</v>
      </c>
      <c r="F214" s="38" t="s">
        <v>469</v>
      </c>
    </row>
    <row r="215" spans="1:6">
      <c r="A215" s="35">
        <v>15106</v>
      </c>
      <c r="B215" s="36" t="s">
        <v>472</v>
      </c>
      <c r="C215" s="37" t="s">
        <v>150</v>
      </c>
      <c r="D215" s="37" t="s">
        <v>147</v>
      </c>
      <c r="E215" s="37" t="s">
        <v>466</v>
      </c>
      <c r="F215" s="38" t="s">
        <v>471</v>
      </c>
    </row>
    <row r="216" spans="1:6">
      <c r="A216" s="35">
        <v>15109</v>
      </c>
      <c r="B216" s="36" t="s">
        <v>667</v>
      </c>
      <c r="C216" s="37" t="s">
        <v>150</v>
      </c>
      <c r="D216" s="37" t="s">
        <v>147</v>
      </c>
      <c r="E216" s="37" t="s">
        <v>466</v>
      </c>
      <c r="F216" s="38" t="s">
        <v>467</v>
      </c>
    </row>
    <row r="217" spans="1:6">
      <c r="A217" s="35">
        <v>15131</v>
      </c>
      <c r="B217" s="36" t="s">
        <v>473</v>
      </c>
      <c r="C217" s="37" t="s">
        <v>150</v>
      </c>
      <c r="D217" s="37" t="s">
        <v>147</v>
      </c>
      <c r="E217" s="37" t="s">
        <v>466</v>
      </c>
      <c r="F217" s="38" t="s">
        <v>469</v>
      </c>
    </row>
    <row r="218" spans="1:6">
      <c r="A218" s="35">
        <v>15189</v>
      </c>
      <c r="B218" s="36" t="s">
        <v>668</v>
      </c>
      <c r="C218" s="37" t="s">
        <v>150</v>
      </c>
      <c r="D218" s="37" t="s">
        <v>147</v>
      </c>
      <c r="E218" s="37" t="s">
        <v>466</v>
      </c>
      <c r="F218" s="38" t="s">
        <v>469</v>
      </c>
    </row>
    <row r="219" spans="1:6">
      <c r="A219" s="35">
        <v>15368</v>
      </c>
      <c r="B219" s="36" t="s">
        <v>479</v>
      </c>
      <c r="C219" s="37" t="s">
        <v>150</v>
      </c>
      <c r="D219" s="37" t="s">
        <v>147</v>
      </c>
      <c r="E219" s="37" t="s">
        <v>466</v>
      </c>
      <c r="F219" s="38" t="s">
        <v>467</v>
      </c>
    </row>
    <row r="220" spans="1:6">
      <c r="A220" s="35">
        <v>15401</v>
      </c>
      <c r="B220" s="36" t="s">
        <v>451</v>
      </c>
      <c r="C220" s="37" t="s">
        <v>150</v>
      </c>
      <c r="D220" s="37" t="s">
        <v>147</v>
      </c>
      <c r="E220" s="37" t="s">
        <v>466</v>
      </c>
      <c r="F220" s="38" t="s">
        <v>467</v>
      </c>
    </row>
    <row r="221" spans="1:6">
      <c r="A221" s="35">
        <v>15455</v>
      </c>
      <c r="B221" s="36" t="s">
        <v>669</v>
      </c>
      <c r="C221" s="37" t="s">
        <v>150</v>
      </c>
      <c r="D221" s="37" t="s">
        <v>147</v>
      </c>
      <c r="E221" s="37" t="s">
        <v>466</v>
      </c>
      <c r="F221" s="38" t="s">
        <v>467</v>
      </c>
    </row>
    <row r="222" spans="1:6">
      <c r="A222" s="35">
        <v>15514</v>
      </c>
      <c r="B222" s="36" t="s">
        <v>670</v>
      </c>
      <c r="C222" s="37" t="s">
        <v>150</v>
      </c>
      <c r="D222" s="37" t="s">
        <v>147</v>
      </c>
      <c r="E222" s="37" t="s">
        <v>466</v>
      </c>
      <c r="F222" s="38" t="s">
        <v>467</v>
      </c>
    </row>
    <row r="223" spans="1:6">
      <c r="A223" s="35">
        <v>15690</v>
      </c>
      <c r="B223" s="36" t="s">
        <v>671</v>
      </c>
      <c r="C223" s="37" t="s">
        <v>150</v>
      </c>
      <c r="D223" s="37" t="s">
        <v>147</v>
      </c>
      <c r="E223" s="37" t="s">
        <v>466</v>
      </c>
      <c r="F223" s="38" t="s">
        <v>471</v>
      </c>
    </row>
    <row r="224" spans="1:6">
      <c r="A224" s="35">
        <v>15022</v>
      </c>
      <c r="B224" s="37" t="s">
        <v>672</v>
      </c>
      <c r="C224" s="37" t="s">
        <v>150</v>
      </c>
      <c r="D224" s="37" t="s">
        <v>147</v>
      </c>
      <c r="E224" s="37" t="s">
        <v>466</v>
      </c>
      <c r="F224" s="38" t="s">
        <v>471</v>
      </c>
    </row>
    <row r="225" spans="1:6">
      <c r="A225" s="35">
        <v>15047</v>
      </c>
      <c r="B225" s="37" t="s">
        <v>673</v>
      </c>
      <c r="C225" s="37" t="s">
        <v>150</v>
      </c>
      <c r="D225" s="37" t="s">
        <v>147</v>
      </c>
      <c r="E225" s="37" t="s">
        <v>466</v>
      </c>
      <c r="F225" s="38" t="s">
        <v>471</v>
      </c>
    </row>
    <row r="226" spans="1:6">
      <c r="A226" s="35">
        <v>15051</v>
      </c>
      <c r="B226" s="37" t="s">
        <v>674</v>
      </c>
      <c r="C226" s="37" t="s">
        <v>150</v>
      </c>
      <c r="D226" s="37" t="s">
        <v>147</v>
      </c>
      <c r="E226" s="37" t="s">
        <v>466</v>
      </c>
      <c r="F226" s="38" t="s">
        <v>469</v>
      </c>
    </row>
    <row r="227" spans="1:6">
      <c r="A227" s="35">
        <v>15090</v>
      </c>
      <c r="B227" s="37" t="s">
        <v>675</v>
      </c>
      <c r="C227" s="37" t="s">
        <v>150</v>
      </c>
      <c r="D227" s="37" t="s">
        <v>147</v>
      </c>
      <c r="E227" s="37" t="s">
        <v>466</v>
      </c>
      <c r="F227" s="38" t="s">
        <v>471</v>
      </c>
    </row>
    <row r="228" spans="1:6">
      <c r="A228" s="35">
        <v>15092</v>
      </c>
      <c r="B228" s="37" t="s">
        <v>676</v>
      </c>
      <c r="C228" s="37" t="s">
        <v>150</v>
      </c>
      <c r="D228" s="37" t="s">
        <v>147</v>
      </c>
      <c r="E228" s="37" t="s">
        <v>466</v>
      </c>
      <c r="F228" s="38" t="s">
        <v>471</v>
      </c>
    </row>
    <row r="229" spans="1:6">
      <c r="A229" s="35">
        <v>15097</v>
      </c>
      <c r="B229" s="37" t="s">
        <v>677</v>
      </c>
      <c r="C229" s="37" t="s">
        <v>150</v>
      </c>
      <c r="D229" s="37" t="s">
        <v>147</v>
      </c>
      <c r="E229" s="37" t="s">
        <v>466</v>
      </c>
      <c r="F229" s="38" t="s">
        <v>467</v>
      </c>
    </row>
    <row r="230" spans="1:6">
      <c r="A230" s="35">
        <v>15104</v>
      </c>
      <c r="B230" s="37" t="s">
        <v>150</v>
      </c>
      <c r="C230" s="37" t="s">
        <v>150</v>
      </c>
      <c r="D230" s="37" t="s">
        <v>147</v>
      </c>
      <c r="E230" s="37" t="s">
        <v>466</v>
      </c>
      <c r="F230" s="38" t="s">
        <v>469</v>
      </c>
    </row>
    <row r="231" spans="1:6">
      <c r="A231" s="35">
        <v>15114</v>
      </c>
      <c r="B231" s="37" t="s">
        <v>678</v>
      </c>
      <c r="C231" s="37" t="s">
        <v>150</v>
      </c>
      <c r="D231" s="37" t="s">
        <v>147</v>
      </c>
      <c r="E231" s="37" t="s">
        <v>466</v>
      </c>
      <c r="F231" s="38" t="s">
        <v>469</v>
      </c>
    </row>
    <row r="232" spans="1:6">
      <c r="A232" s="35">
        <v>15135</v>
      </c>
      <c r="B232" s="37" t="s">
        <v>679</v>
      </c>
      <c r="C232" s="37" t="s">
        <v>150</v>
      </c>
      <c r="D232" s="37" t="s">
        <v>147</v>
      </c>
      <c r="E232" s="37" t="s">
        <v>466</v>
      </c>
      <c r="F232" s="38" t="s">
        <v>467</v>
      </c>
    </row>
    <row r="233" spans="1:6">
      <c r="A233" s="35">
        <v>15162</v>
      </c>
      <c r="B233" s="37" t="s">
        <v>680</v>
      </c>
      <c r="C233" s="37" t="s">
        <v>150</v>
      </c>
      <c r="D233" s="37" t="s">
        <v>147</v>
      </c>
      <c r="E233" s="37" t="s">
        <v>466</v>
      </c>
      <c r="F233" s="38" t="s">
        <v>469</v>
      </c>
    </row>
    <row r="234" spans="1:6">
      <c r="A234" s="35">
        <v>15172</v>
      </c>
      <c r="B234" s="37" t="s">
        <v>681</v>
      </c>
      <c r="C234" s="37" t="s">
        <v>150</v>
      </c>
      <c r="D234" s="37" t="s">
        <v>147</v>
      </c>
      <c r="E234" s="37" t="s">
        <v>466</v>
      </c>
      <c r="F234" s="38" t="s">
        <v>471</v>
      </c>
    </row>
    <row r="235" spans="1:6">
      <c r="A235" s="35">
        <v>15176</v>
      </c>
      <c r="B235" s="37" t="s">
        <v>151</v>
      </c>
      <c r="C235" s="37" t="s">
        <v>150</v>
      </c>
      <c r="D235" s="37" t="s">
        <v>147</v>
      </c>
      <c r="E235" s="37" t="s">
        <v>466</v>
      </c>
      <c r="F235" s="38" t="s">
        <v>471</v>
      </c>
    </row>
    <row r="236" spans="1:6">
      <c r="A236" s="35">
        <v>15232</v>
      </c>
      <c r="B236" s="37" t="s">
        <v>682</v>
      </c>
      <c r="C236" s="37" t="s">
        <v>150</v>
      </c>
      <c r="D236" s="37" t="s">
        <v>147</v>
      </c>
      <c r="E236" s="37" t="s">
        <v>466</v>
      </c>
      <c r="F236" s="38" t="s">
        <v>469</v>
      </c>
    </row>
    <row r="237" spans="1:6">
      <c r="A237" s="35">
        <v>15180</v>
      </c>
      <c r="B237" s="37" t="s">
        <v>683</v>
      </c>
      <c r="C237" s="37" t="s">
        <v>150</v>
      </c>
      <c r="D237" s="37" t="s">
        <v>147</v>
      </c>
      <c r="E237" s="37" t="s">
        <v>466</v>
      </c>
      <c r="F237" s="38" t="s">
        <v>467</v>
      </c>
    </row>
    <row r="238" spans="1:6">
      <c r="A238" s="35">
        <v>15183</v>
      </c>
      <c r="B238" s="37" t="s">
        <v>684</v>
      </c>
      <c r="C238" s="37" t="s">
        <v>150</v>
      </c>
      <c r="D238" s="37" t="s">
        <v>147</v>
      </c>
      <c r="E238" s="37" t="s">
        <v>466</v>
      </c>
      <c r="F238" s="38" t="s">
        <v>467</v>
      </c>
    </row>
    <row r="239" spans="1:6">
      <c r="A239" s="35">
        <v>15185</v>
      </c>
      <c r="B239" s="37" t="s">
        <v>685</v>
      </c>
      <c r="C239" s="37" t="s">
        <v>150</v>
      </c>
      <c r="D239" s="37" t="s">
        <v>147</v>
      </c>
      <c r="E239" s="37" t="s">
        <v>466</v>
      </c>
      <c r="F239" s="38" t="s">
        <v>469</v>
      </c>
    </row>
    <row r="240" spans="1:6">
      <c r="A240" s="35">
        <v>15187</v>
      </c>
      <c r="B240" s="37" t="s">
        <v>686</v>
      </c>
      <c r="C240" s="37" t="s">
        <v>150</v>
      </c>
      <c r="D240" s="37" t="s">
        <v>147</v>
      </c>
      <c r="E240" s="37" t="s">
        <v>466</v>
      </c>
      <c r="F240" s="38" t="s">
        <v>469</v>
      </c>
    </row>
    <row r="241" spans="1:6">
      <c r="A241" s="35">
        <v>15236</v>
      </c>
      <c r="B241" s="37" t="s">
        <v>687</v>
      </c>
      <c r="C241" s="37" t="s">
        <v>150</v>
      </c>
      <c r="D241" s="37" t="s">
        <v>147</v>
      </c>
      <c r="E241" s="37" t="s">
        <v>466</v>
      </c>
      <c r="F241" s="38" t="s">
        <v>471</v>
      </c>
    </row>
    <row r="242" spans="1:6">
      <c r="A242" s="35">
        <v>15204</v>
      </c>
      <c r="B242" s="37" t="s">
        <v>688</v>
      </c>
      <c r="C242" s="37" t="s">
        <v>150</v>
      </c>
      <c r="D242" s="37" t="s">
        <v>147</v>
      </c>
      <c r="E242" s="37" t="s">
        <v>466</v>
      </c>
      <c r="F242" s="38" t="s">
        <v>469</v>
      </c>
    </row>
    <row r="243" spans="1:6">
      <c r="A243" s="35">
        <v>15212</v>
      </c>
      <c r="B243" s="37" t="s">
        <v>689</v>
      </c>
      <c r="C243" s="37" t="s">
        <v>150</v>
      </c>
      <c r="D243" s="37" t="s">
        <v>147</v>
      </c>
      <c r="E243" s="37" t="s">
        <v>466</v>
      </c>
      <c r="F243" s="38" t="s">
        <v>471</v>
      </c>
    </row>
    <row r="244" spans="1:6">
      <c r="A244" s="35">
        <v>15215</v>
      </c>
      <c r="B244" s="37" t="s">
        <v>690</v>
      </c>
      <c r="C244" s="37" t="s">
        <v>150</v>
      </c>
      <c r="D244" s="37" t="s">
        <v>147</v>
      </c>
      <c r="E244" s="37" t="s">
        <v>466</v>
      </c>
      <c r="F244" s="38" t="s">
        <v>469</v>
      </c>
    </row>
    <row r="245" spans="1:6">
      <c r="A245" s="35">
        <v>15218</v>
      </c>
      <c r="B245" s="37" t="s">
        <v>691</v>
      </c>
      <c r="C245" s="37" t="s">
        <v>150</v>
      </c>
      <c r="D245" s="37" t="s">
        <v>147</v>
      </c>
      <c r="E245" s="37" t="s">
        <v>466</v>
      </c>
      <c r="F245" s="38" t="s">
        <v>467</v>
      </c>
    </row>
    <row r="246" spans="1:6">
      <c r="A246" s="35">
        <v>15223</v>
      </c>
      <c r="B246" s="37" t="s">
        <v>692</v>
      </c>
      <c r="C246" s="37" t="s">
        <v>150</v>
      </c>
      <c r="D246" s="37" t="s">
        <v>172</v>
      </c>
      <c r="E246" s="37" t="s">
        <v>453</v>
      </c>
      <c r="F246" s="38" t="s">
        <v>454</v>
      </c>
    </row>
    <row r="247" spans="1:6">
      <c r="A247" s="35">
        <v>15224</v>
      </c>
      <c r="B247" s="37" t="s">
        <v>693</v>
      </c>
      <c r="C247" s="37" t="s">
        <v>150</v>
      </c>
      <c r="D247" s="37" t="s">
        <v>147</v>
      </c>
      <c r="E247" s="37" t="s">
        <v>466</v>
      </c>
      <c r="F247" s="38" t="s">
        <v>469</v>
      </c>
    </row>
    <row r="248" spans="1:6">
      <c r="A248" s="35">
        <v>15226</v>
      </c>
      <c r="B248" s="37" t="s">
        <v>694</v>
      </c>
      <c r="C248" s="37" t="s">
        <v>150</v>
      </c>
      <c r="D248" s="37" t="s">
        <v>147</v>
      </c>
      <c r="E248" s="37" t="s">
        <v>466</v>
      </c>
      <c r="F248" s="38" t="s">
        <v>469</v>
      </c>
    </row>
    <row r="249" spans="1:6">
      <c r="A249" s="35">
        <v>15238</v>
      </c>
      <c r="B249" s="37" t="s">
        <v>695</v>
      </c>
      <c r="C249" s="37" t="s">
        <v>150</v>
      </c>
      <c r="D249" s="37" t="s">
        <v>147</v>
      </c>
      <c r="E249" s="37" t="s">
        <v>466</v>
      </c>
      <c r="F249" s="38" t="s">
        <v>469</v>
      </c>
    </row>
    <row r="250" spans="1:6">
      <c r="A250" s="35">
        <v>15244</v>
      </c>
      <c r="B250" s="37" t="s">
        <v>696</v>
      </c>
      <c r="C250" s="37" t="s">
        <v>150</v>
      </c>
      <c r="D250" s="37" t="s">
        <v>147</v>
      </c>
      <c r="E250" s="37" t="s">
        <v>466</v>
      </c>
      <c r="F250" s="38" t="s">
        <v>467</v>
      </c>
    </row>
    <row r="251" spans="1:6">
      <c r="A251" s="35">
        <v>15248</v>
      </c>
      <c r="B251" s="37" t="s">
        <v>697</v>
      </c>
      <c r="C251" s="37" t="s">
        <v>150</v>
      </c>
      <c r="D251" s="37" t="s">
        <v>147</v>
      </c>
      <c r="E251" s="37" t="s">
        <v>466</v>
      </c>
      <c r="F251" s="38" t="s">
        <v>467</v>
      </c>
    </row>
    <row r="252" spans="1:6">
      <c r="A252" s="35">
        <v>15272</v>
      </c>
      <c r="B252" s="37" t="s">
        <v>698</v>
      </c>
      <c r="C252" s="37" t="s">
        <v>150</v>
      </c>
      <c r="D252" s="37" t="s">
        <v>147</v>
      </c>
      <c r="E252" s="37" t="s">
        <v>466</v>
      </c>
      <c r="F252" s="38" t="s">
        <v>469</v>
      </c>
    </row>
    <row r="253" spans="1:6">
      <c r="A253" s="35">
        <v>15276</v>
      </c>
      <c r="B253" s="37" t="s">
        <v>699</v>
      </c>
      <c r="C253" s="37" t="s">
        <v>150</v>
      </c>
      <c r="D253" s="37" t="s">
        <v>147</v>
      </c>
      <c r="E253" s="37" t="s">
        <v>466</v>
      </c>
      <c r="F253" s="38" t="s">
        <v>469</v>
      </c>
    </row>
    <row r="254" spans="1:6">
      <c r="A254" s="35">
        <v>15293</v>
      </c>
      <c r="B254" s="37" t="s">
        <v>415</v>
      </c>
      <c r="C254" s="37" t="s">
        <v>150</v>
      </c>
      <c r="D254" s="37" t="s">
        <v>147</v>
      </c>
      <c r="E254" s="37" t="s">
        <v>466</v>
      </c>
      <c r="F254" s="38" t="s">
        <v>469</v>
      </c>
    </row>
    <row r="255" spans="1:6">
      <c r="A255" s="35">
        <v>15296</v>
      </c>
      <c r="B255" s="37" t="s">
        <v>700</v>
      </c>
      <c r="C255" s="37" t="s">
        <v>150</v>
      </c>
      <c r="D255" s="37" t="s">
        <v>147</v>
      </c>
      <c r="E255" s="37" t="s">
        <v>466</v>
      </c>
      <c r="F255" s="38" t="s">
        <v>471</v>
      </c>
    </row>
    <row r="256" spans="1:6">
      <c r="A256" s="35">
        <v>15299</v>
      </c>
      <c r="B256" s="37" t="s">
        <v>701</v>
      </c>
      <c r="C256" s="37" t="s">
        <v>150</v>
      </c>
      <c r="D256" s="37" t="s">
        <v>147</v>
      </c>
      <c r="E256" s="37" t="s">
        <v>466</v>
      </c>
      <c r="F256" s="38" t="s">
        <v>471</v>
      </c>
    </row>
    <row r="257" spans="1:6">
      <c r="A257" s="35">
        <v>15317</v>
      </c>
      <c r="B257" s="37" t="s">
        <v>702</v>
      </c>
      <c r="C257" s="37" t="s">
        <v>150</v>
      </c>
      <c r="D257" s="37" t="s">
        <v>147</v>
      </c>
      <c r="E257" s="37" t="s">
        <v>466</v>
      </c>
      <c r="F257" s="38" t="s">
        <v>467</v>
      </c>
    </row>
    <row r="258" spans="1:6">
      <c r="A258" s="35">
        <v>15322</v>
      </c>
      <c r="B258" s="37" t="s">
        <v>703</v>
      </c>
      <c r="C258" s="37" t="s">
        <v>150</v>
      </c>
      <c r="D258" s="37" t="s">
        <v>147</v>
      </c>
      <c r="E258" s="37" t="s">
        <v>466</v>
      </c>
      <c r="F258" s="38" t="s">
        <v>469</v>
      </c>
    </row>
    <row r="259" spans="1:6">
      <c r="A259" s="35">
        <v>15325</v>
      </c>
      <c r="B259" s="37" t="s">
        <v>704</v>
      </c>
      <c r="C259" s="37" t="s">
        <v>150</v>
      </c>
      <c r="D259" s="37" t="s">
        <v>147</v>
      </c>
      <c r="E259" s="37" t="s">
        <v>466</v>
      </c>
      <c r="F259" s="38" t="s">
        <v>471</v>
      </c>
    </row>
    <row r="260" spans="1:6">
      <c r="A260" s="35">
        <v>15332</v>
      </c>
      <c r="B260" s="37" t="s">
        <v>705</v>
      </c>
      <c r="C260" s="37" t="s">
        <v>150</v>
      </c>
      <c r="D260" s="37" t="s">
        <v>147</v>
      </c>
      <c r="E260" s="37" t="s">
        <v>466</v>
      </c>
      <c r="F260" s="38" t="s">
        <v>467</v>
      </c>
    </row>
    <row r="261" spans="1:6">
      <c r="A261" s="35">
        <v>15362</v>
      </c>
      <c r="B261" s="37" t="s">
        <v>706</v>
      </c>
      <c r="C261" s="37" t="s">
        <v>150</v>
      </c>
      <c r="D261" s="37" t="s">
        <v>147</v>
      </c>
      <c r="E261" s="37" t="s">
        <v>466</v>
      </c>
      <c r="F261" s="38" t="s">
        <v>469</v>
      </c>
    </row>
    <row r="262" spans="1:6">
      <c r="A262" s="35">
        <v>15367</v>
      </c>
      <c r="B262" s="37" t="s">
        <v>707</v>
      </c>
      <c r="C262" s="37" t="s">
        <v>150</v>
      </c>
      <c r="D262" s="37" t="s">
        <v>147</v>
      </c>
      <c r="E262" s="37" t="s">
        <v>466</v>
      </c>
      <c r="F262" s="38" t="s">
        <v>469</v>
      </c>
    </row>
    <row r="263" spans="1:6">
      <c r="A263" s="35">
        <v>15380</v>
      </c>
      <c r="B263" s="37" t="s">
        <v>708</v>
      </c>
      <c r="C263" s="37" t="s">
        <v>150</v>
      </c>
      <c r="D263" s="37" t="s">
        <v>147</v>
      </c>
      <c r="E263" s="37" t="s">
        <v>466</v>
      </c>
      <c r="F263" s="38" t="s">
        <v>471</v>
      </c>
    </row>
    <row r="264" spans="1:6">
      <c r="A264" s="35">
        <v>15403</v>
      </c>
      <c r="B264" s="37" t="s">
        <v>709</v>
      </c>
      <c r="C264" s="37" t="s">
        <v>150</v>
      </c>
      <c r="D264" s="37" t="s">
        <v>147</v>
      </c>
      <c r="E264" s="37" t="s">
        <v>466</v>
      </c>
      <c r="F264" s="38" t="s">
        <v>467</v>
      </c>
    </row>
    <row r="265" spans="1:6">
      <c r="A265" s="35">
        <v>15377</v>
      </c>
      <c r="B265" s="37" t="s">
        <v>710</v>
      </c>
      <c r="C265" s="37" t="s">
        <v>150</v>
      </c>
      <c r="D265" s="37" t="s">
        <v>147</v>
      </c>
      <c r="E265" s="37" t="s">
        <v>466</v>
      </c>
      <c r="F265" s="38" t="s">
        <v>467</v>
      </c>
    </row>
    <row r="266" spans="1:6">
      <c r="A266" s="35">
        <v>15425</v>
      </c>
      <c r="B266" s="37" t="s">
        <v>711</v>
      </c>
      <c r="C266" s="37" t="s">
        <v>150</v>
      </c>
      <c r="D266" s="37" t="s">
        <v>147</v>
      </c>
      <c r="E266" s="37" t="s">
        <v>466</v>
      </c>
      <c r="F266" s="38" t="s">
        <v>471</v>
      </c>
    </row>
    <row r="267" spans="1:6">
      <c r="A267" s="35">
        <v>15442</v>
      </c>
      <c r="B267" s="37" t="s">
        <v>712</v>
      </c>
      <c r="C267" s="37" t="s">
        <v>150</v>
      </c>
      <c r="D267" s="37" t="s">
        <v>147</v>
      </c>
      <c r="E267" s="37" t="s">
        <v>466</v>
      </c>
      <c r="F267" s="38" t="s">
        <v>467</v>
      </c>
    </row>
    <row r="268" spans="1:6">
      <c r="A268" s="35">
        <v>15464</v>
      </c>
      <c r="B268" s="37" t="s">
        <v>713</v>
      </c>
      <c r="C268" s="37" t="s">
        <v>150</v>
      </c>
      <c r="D268" s="37" t="s">
        <v>147</v>
      </c>
      <c r="E268" s="37" t="s">
        <v>466</v>
      </c>
      <c r="F268" s="38" t="s">
        <v>469</v>
      </c>
    </row>
    <row r="269" spans="1:6">
      <c r="A269" s="35">
        <v>15466</v>
      </c>
      <c r="B269" s="37" t="s">
        <v>714</v>
      </c>
      <c r="C269" s="37" t="s">
        <v>150</v>
      </c>
      <c r="D269" s="37" t="s">
        <v>147</v>
      </c>
      <c r="E269" s="37" t="s">
        <v>466</v>
      </c>
      <c r="F269" s="38" t="s">
        <v>471</v>
      </c>
    </row>
    <row r="270" spans="1:6">
      <c r="A270" s="35">
        <v>15469</v>
      </c>
      <c r="B270" s="37" t="s">
        <v>715</v>
      </c>
      <c r="C270" s="37" t="s">
        <v>150</v>
      </c>
      <c r="D270" s="37" t="s">
        <v>147</v>
      </c>
      <c r="E270" s="37" t="s">
        <v>466</v>
      </c>
      <c r="F270" s="38" t="s">
        <v>469</v>
      </c>
    </row>
    <row r="271" spans="1:6">
      <c r="A271" s="35">
        <v>15476</v>
      </c>
      <c r="B271" s="37" t="s">
        <v>716</v>
      </c>
      <c r="C271" s="37" t="s">
        <v>150</v>
      </c>
      <c r="D271" s="37" t="s">
        <v>147</v>
      </c>
      <c r="E271" s="37" t="s">
        <v>466</v>
      </c>
      <c r="F271" s="38" t="s">
        <v>474</v>
      </c>
    </row>
    <row r="272" spans="1:6">
      <c r="A272" s="35">
        <v>15480</v>
      </c>
      <c r="B272" s="37" t="s">
        <v>717</v>
      </c>
      <c r="C272" s="37" t="s">
        <v>150</v>
      </c>
      <c r="D272" s="37" t="s">
        <v>147</v>
      </c>
      <c r="E272" s="37" t="s">
        <v>466</v>
      </c>
      <c r="F272" s="38" t="s">
        <v>467</v>
      </c>
    </row>
    <row r="273" spans="1:6">
      <c r="A273" s="35">
        <v>15491</v>
      </c>
      <c r="B273" s="37" t="s">
        <v>718</v>
      </c>
      <c r="C273" s="37" t="s">
        <v>150</v>
      </c>
      <c r="D273" s="37" t="s">
        <v>147</v>
      </c>
      <c r="E273" s="37" t="s">
        <v>466</v>
      </c>
      <c r="F273" s="38" t="s">
        <v>469</v>
      </c>
    </row>
    <row r="274" spans="1:6">
      <c r="A274" s="35">
        <v>15494</v>
      </c>
      <c r="B274" s="37" t="s">
        <v>719</v>
      </c>
      <c r="C274" s="37" t="s">
        <v>150</v>
      </c>
      <c r="D274" s="37" t="s">
        <v>147</v>
      </c>
      <c r="E274" s="37" t="s">
        <v>466</v>
      </c>
      <c r="F274" s="38" t="s">
        <v>469</v>
      </c>
    </row>
    <row r="275" spans="1:6">
      <c r="A275" s="35">
        <v>15500</v>
      </c>
      <c r="B275" s="37" t="s">
        <v>720</v>
      </c>
      <c r="C275" s="37" t="s">
        <v>150</v>
      </c>
      <c r="D275" s="37" t="s">
        <v>147</v>
      </c>
      <c r="E275" s="37" t="s">
        <v>466</v>
      </c>
      <c r="F275" s="38" t="s">
        <v>469</v>
      </c>
    </row>
    <row r="276" spans="1:6">
      <c r="A276" s="35">
        <v>15507</v>
      </c>
      <c r="B276" s="37" t="s">
        <v>721</v>
      </c>
      <c r="C276" s="37" t="s">
        <v>150</v>
      </c>
      <c r="D276" s="37" t="s">
        <v>147</v>
      </c>
      <c r="E276" s="37" t="s">
        <v>466</v>
      </c>
      <c r="F276" s="38" t="s">
        <v>467</v>
      </c>
    </row>
    <row r="277" spans="1:6">
      <c r="A277" s="35">
        <v>15511</v>
      </c>
      <c r="B277" s="37" t="s">
        <v>722</v>
      </c>
      <c r="C277" s="37" t="s">
        <v>150</v>
      </c>
      <c r="D277" s="37" t="s">
        <v>147</v>
      </c>
      <c r="E277" s="37" t="s">
        <v>466</v>
      </c>
      <c r="F277" s="38" t="s">
        <v>471</v>
      </c>
    </row>
    <row r="278" spans="1:6">
      <c r="A278" s="35">
        <v>15516</v>
      </c>
      <c r="B278" s="37" t="s">
        <v>723</v>
      </c>
      <c r="C278" s="37" t="s">
        <v>150</v>
      </c>
      <c r="D278" s="37" t="s">
        <v>147</v>
      </c>
      <c r="E278" s="37" t="s">
        <v>466</v>
      </c>
      <c r="F278" s="38" t="s">
        <v>469</v>
      </c>
    </row>
    <row r="279" spans="1:6">
      <c r="A279" s="35">
        <v>15518</v>
      </c>
      <c r="B279" s="37" t="s">
        <v>724</v>
      </c>
      <c r="C279" s="37" t="s">
        <v>150</v>
      </c>
      <c r="D279" s="37" t="s">
        <v>725</v>
      </c>
      <c r="E279" s="37" t="s">
        <v>466</v>
      </c>
      <c r="F279" s="38" t="s">
        <v>471</v>
      </c>
    </row>
    <row r="280" spans="1:6">
      <c r="A280" s="35">
        <v>15522</v>
      </c>
      <c r="B280" s="37" t="s">
        <v>726</v>
      </c>
      <c r="C280" s="37" t="s">
        <v>150</v>
      </c>
      <c r="D280" s="37" t="s">
        <v>147</v>
      </c>
      <c r="E280" s="37" t="s">
        <v>466</v>
      </c>
      <c r="F280" s="38" t="s">
        <v>467</v>
      </c>
    </row>
    <row r="281" spans="1:6">
      <c r="A281" s="35">
        <v>15531</v>
      </c>
      <c r="B281" s="37" t="s">
        <v>727</v>
      </c>
      <c r="C281" s="37" t="s">
        <v>150</v>
      </c>
      <c r="D281" s="37" t="s">
        <v>147</v>
      </c>
      <c r="E281" s="37" t="s">
        <v>466</v>
      </c>
      <c r="F281" s="38" t="s">
        <v>471</v>
      </c>
    </row>
    <row r="282" spans="1:6">
      <c r="A282" s="35">
        <v>15533</v>
      </c>
      <c r="B282" s="37" t="s">
        <v>728</v>
      </c>
      <c r="C282" s="37" t="s">
        <v>150</v>
      </c>
      <c r="D282" s="37" t="s">
        <v>147</v>
      </c>
      <c r="E282" s="37" t="s">
        <v>466</v>
      </c>
      <c r="F282" s="38" t="s">
        <v>467</v>
      </c>
    </row>
    <row r="283" spans="1:6">
      <c r="A283" s="35">
        <v>15537</v>
      </c>
      <c r="B283" s="37" t="s">
        <v>729</v>
      </c>
      <c r="C283" s="37" t="s">
        <v>150</v>
      </c>
      <c r="D283" s="37" t="s">
        <v>147</v>
      </c>
      <c r="E283" s="37" t="s">
        <v>466</v>
      </c>
      <c r="F283" s="38" t="s">
        <v>469</v>
      </c>
    </row>
    <row r="284" spans="1:6">
      <c r="A284" s="35">
        <v>15542</v>
      </c>
      <c r="B284" s="37" t="s">
        <v>730</v>
      </c>
      <c r="C284" s="37" t="s">
        <v>150</v>
      </c>
      <c r="D284" s="37" t="s">
        <v>147</v>
      </c>
      <c r="E284" s="37" t="s">
        <v>466</v>
      </c>
      <c r="F284" s="38" t="s">
        <v>471</v>
      </c>
    </row>
    <row r="285" spans="1:6">
      <c r="A285" s="35">
        <v>15550</v>
      </c>
      <c r="B285" s="37" t="s">
        <v>731</v>
      </c>
      <c r="C285" s="37" t="s">
        <v>150</v>
      </c>
      <c r="D285" s="37" t="s">
        <v>147</v>
      </c>
      <c r="E285" s="37" t="s">
        <v>466</v>
      </c>
      <c r="F285" s="38" t="s">
        <v>467</v>
      </c>
    </row>
    <row r="286" spans="1:6">
      <c r="A286" s="35">
        <v>15572</v>
      </c>
      <c r="B286" s="37" t="s">
        <v>732</v>
      </c>
      <c r="C286" s="37" t="s">
        <v>150</v>
      </c>
      <c r="D286" s="37" t="s">
        <v>111</v>
      </c>
      <c r="E286" s="37" t="s">
        <v>466</v>
      </c>
      <c r="F286" s="38" t="s">
        <v>467</v>
      </c>
    </row>
    <row r="287" spans="1:6">
      <c r="A287" s="35">
        <v>15580</v>
      </c>
      <c r="B287" s="37" t="s">
        <v>733</v>
      </c>
      <c r="C287" s="37" t="s">
        <v>150</v>
      </c>
      <c r="D287" s="37" t="s">
        <v>147</v>
      </c>
      <c r="E287" s="37" t="s">
        <v>466</v>
      </c>
      <c r="F287" s="38" t="s">
        <v>467</v>
      </c>
    </row>
    <row r="288" spans="1:6">
      <c r="A288" s="35">
        <v>15599</v>
      </c>
      <c r="B288" s="37" t="s">
        <v>734</v>
      </c>
      <c r="C288" s="37" t="s">
        <v>150</v>
      </c>
      <c r="D288" s="37" t="s">
        <v>147</v>
      </c>
      <c r="E288" s="37" t="s">
        <v>466</v>
      </c>
      <c r="F288" s="38" t="s">
        <v>469</v>
      </c>
    </row>
    <row r="289" spans="1:6">
      <c r="A289" s="35">
        <v>15600</v>
      </c>
      <c r="B289" s="37" t="s">
        <v>735</v>
      </c>
      <c r="C289" s="37" t="s">
        <v>150</v>
      </c>
      <c r="D289" s="37" t="s">
        <v>147</v>
      </c>
      <c r="E289" s="37" t="s">
        <v>466</v>
      </c>
      <c r="F289" s="38" t="s">
        <v>469</v>
      </c>
    </row>
    <row r="290" spans="1:6">
      <c r="A290" s="35">
        <v>15621</v>
      </c>
      <c r="B290" s="37" t="s">
        <v>736</v>
      </c>
      <c r="C290" s="37" t="s">
        <v>150</v>
      </c>
      <c r="D290" s="37" t="s">
        <v>147</v>
      </c>
      <c r="E290" s="37" t="s">
        <v>466</v>
      </c>
      <c r="F290" s="38" t="s">
        <v>471</v>
      </c>
    </row>
    <row r="291" spans="1:6">
      <c r="A291" s="35">
        <v>15632</v>
      </c>
      <c r="B291" s="37" t="s">
        <v>737</v>
      </c>
      <c r="C291" s="37" t="s">
        <v>150</v>
      </c>
      <c r="D291" s="37" t="s">
        <v>147</v>
      </c>
      <c r="E291" s="37" t="s">
        <v>466</v>
      </c>
      <c r="F291" s="38" t="s">
        <v>469</v>
      </c>
    </row>
    <row r="292" spans="1:6">
      <c r="A292" s="35">
        <v>15638</v>
      </c>
      <c r="B292" s="37" t="s">
        <v>738</v>
      </c>
      <c r="C292" s="37" t="s">
        <v>150</v>
      </c>
      <c r="D292" s="37" t="s">
        <v>147</v>
      </c>
      <c r="E292" s="37" t="s">
        <v>466</v>
      </c>
      <c r="F292" s="38" t="s">
        <v>469</v>
      </c>
    </row>
    <row r="293" spans="1:6">
      <c r="A293" s="35">
        <v>15646</v>
      </c>
      <c r="B293" s="37" t="s">
        <v>739</v>
      </c>
      <c r="C293" s="37" t="s">
        <v>150</v>
      </c>
      <c r="D293" s="37" t="s">
        <v>147</v>
      </c>
      <c r="E293" s="37" t="s">
        <v>466</v>
      </c>
      <c r="F293" s="38" t="s">
        <v>469</v>
      </c>
    </row>
    <row r="294" spans="1:6">
      <c r="A294" s="35">
        <v>15660</v>
      </c>
      <c r="B294" s="37" t="s">
        <v>740</v>
      </c>
      <c r="C294" s="37" t="s">
        <v>150</v>
      </c>
      <c r="D294" s="37" t="s">
        <v>147</v>
      </c>
      <c r="E294" s="37" t="s">
        <v>466</v>
      </c>
      <c r="F294" s="38" t="s">
        <v>467</v>
      </c>
    </row>
    <row r="295" spans="1:6">
      <c r="A295" s="35">
        <v>15664</v>
      </c>
      <c r="B295" s="37" t="s">
        <v>741</v>
      </c>
      <c r="C295" s="37" t="s">
        <v>150</v>
      </c>
      <c r="D295" s="37" t="s">
        <v>147</v>
      </c>
      <c r="E295" s="37" t="s">
        <v>466</v>
      </c>
      <c r="F295" s="38" t="s">
        <v>469</v>
      </c>
    </row>
    <row r="296" spans="1:6">
      <c r="A296" s="35">
        <v>15667</v>
      </c>
      <c r="B296" s="37" t="s">
        <v>742</v>
      </c>
      <c r="C296" s="37" t="s">
        <v>150</v>
      </c>
      <c r="D296" s="37" t="s">
        <v>147</v>
      </c>
      <c r="E296" s="37" t="s">
        <v>466</v>
      </c>
      <c r="F296" s="38" t="s">
        <v>471</v>
      </c>
    </row>
    <row r="297" spans="1:6">
      <c r="A297" s="35">
        <v>15673</v>
      </c>
      <c r="B297" s="37" t="s">
        <v>743</v>
      </c>
      <c r="C297" s="37" t="s">
        <v>150</v>
      </c>
      <c r="D297" s="37" t="s">
        <v>147</v>
      </c>
      <c r="E297" s="37" t="s">
        <v>466</v>
      </c>
      <c r="F297" s="38" t="s">
        <v>467</v>
      </c>
    </row>
    <row r="298" spans="1:6">
      <c r="A298" s="35">
        <v>15676</v>
      </c>
      <c r="B298" s="37" t="s">
        <v>744</v>
      </c>
      <c r="C298" s="37" t="s">
        <v>150</v>
      </c>
      <c r="D298" s="37" t="s">
        <v>147</v>
      </c>
      <c r="E298" s="37" t="s">
        <v>466</v>
      </c>
      <c r="F298" s="38" t="s">
        <v>471</v>
      </c>
    </row>
    <row r="299" spans="1:6">
      <c r="A299" s="35">
        <v>15681</v>
      </c>
      <c r="B299" s="37" t="s">
        <v>293</v>
      </c>
      <c r="C299" s="37" t="s">
        <v>150</v>
      </c>
      <c r="D299" s="37" t="s">
        <v>147</v>
      </c>
      <c r="E299" s="37" t="s">
        <v>466</v>
      </c>
      <c r="F299" s="38" t="s">
        <v>467</v>
      </c>
    </row>
    <row r="300" spans="1:6">
      <c r="A300" s="35">
        <v>15693</v>
      </c>
      <c r="B300" s="37" t="s">
        <v>745</v>
      </c>
      <c r="C300" s="37" t="s">
        <v>150</v>
      </c>
      <c r="D300" s="37" t="s">
        <v>147</v>
      </c>
      <c r="E300" s="37" t="s">
        <v>466</v>
      </c>
      <c r="F300" s="38" t="s">
        <v>469</v>
      </c>
    </row>
    <row r="301" spans="1:6">
      <c r="A301" s="35">
        <v>15696</v>
      </c>
      <c r="B301" s="37" t="s">
        <v>746</v>
      </c>
      <c r="C301" s="37" t="s">
        <v>150</v>
      </c>
      <c r="D301" s="37" t="s">
        <v>147</v>
      </c>
      <c r="E301" s="37" t="s">
        <v>466</v>
      </c>
      <c r="F301" s="38" t="s">
        <v>469</v>
      </c>
    </row>
    <row r="302" spans="1:6">
      <c r="A302" s="35">
        <v>15686</v>
      </c>
      <c r="B302" s="37" t="s">
        <v>747</v>
      </c>
      <c r="C302" s="37" t="s">
        <v>150</v>
      </c>
      <c r="D302" s="37" t="s">
        <v>147</v>
      </c>
      <c r="E302" s="37" t="s">
        <v>466</v>
      </c>
      <c r="F302" s="38" t="s">
        <v>471</v>
      </c>
    </row>
    <row r="303" spans="1:6">
      <c r="A303" s="35">
        <v>15720</v>
      </c>
      <c r="B303" s="37" t="s">
        <v>748</v>
      </c>
      <c r="C303" s="37" t="s">
        <v>150</v>
      </c>
      <c r="D303" s="37" t="s">
        <v>147</v>
      </c>
      <c r="E303" s="37" t="s">
        <v>466</v>
      </c>
      <c r="F303" s="38" t="s">
        <v>471</v>
      </c>
    </row>
    <row r="304" spans="1:6">
      <c r="A304" s="35">
        <v>15723</v>
      </c>
      <c r="B304" s="37" t="s">
        <v>749</v>
      </c>
      <c r="C304" s="37" t="s">
        <v>150</v>
      </c>
      <c r="D304" s="37" t="s">
        <v>147</v>
      </c>
      <c r="E304" s="37" t="s">
        <v>466</v>
      </c>
      <c r="F304" s="38" t="s">
        <v>471</v>
      </c>
    </row>
    <row r="305" spans="1:6">
      <c r="A305" s="35">
        <v>15740</v>
      </c>
      <c r="B305" s="37" t="s">
        <v>750</v>
      </c>
      <c r="C305" s="37" t="s">
        <v>150</v>
      </c>
      <c r="D305" s="37" t="s">
        <v>147</v>
      </c>
      <c r="E305" s="37" t="s">
        <v>466</v>
      </c>
      <c r="F305" s="38" t="s">
        <v>469</v>
      </c>
    </row>
    <row r="306" spans="1:6">
      <c r="A306" s="35">
        <v>15753</v>
      </c>
      <c r="B306" s="37" t="s">
        <v>751</v>
      </c>
      <c r="C306" s="37" t="s">
        <v>150</v>
      </c>
      <c r="D306" s="37" t="s">
        <v>147</v>
      </c>
      <c r="E306" s="37" t="s">
        <v>466</v>
      </c>
      <c r="F306" s="38" t="s">
        <v>471</v>
      </c>
    </row>
    <row r="307" spans="1:6">
      <c r="A307" s="35">
        <v>15757</v>
      </c>
      <c r="B307" s="37" t="s">
        <v>752</v>
      </c>
      <c r="C307" s="37" t="s">
        <v>150</v>
      </c>
      <c r="D307" s="37" t="s">
        <v>147</v>
      </c>
      <c r="E307" s="37" t="s">
        <v>466</v>
      </c>
      <c r="F307" s="38" t="s">
        <v>471</v>
      </c>
    </row>
    <row r="308" spans="1:6">
      <c r="A308" s="35">
        <v>15755</v>
      </c>
      <c r="B308" s="37" t="s">
        <v>753</v>
      </c>
      <c r="C308" s="37" t="s">
        <v>150</v>
      </c>
      <c r="D308" s="37" t="s">
        <v>147</v>
      </c>
      <c r="E308" s="37" t="s">
        <v>466</v>
      </c>
      <c r="F308" s="38" t="s">
        <v>471</v>
      </c>
    </row>
    <row r="309" spans="1:6">
      <c r="A309" s="35">
        <v>15759</v>
      </c>
      <c r="B309" s="37" t="s">
        <v>309</v>
      </c>
      <c r="C309" s="37" t="s">
        <v>150</v>
      </c>
      <c r="D309" s="37" t="s">
        <v>147</v>
      </c>
      <c r="E309" s="37" t="s">
        <v>466</v>
      </c>
      <c r="F309" s="38" t="s">
        <v>469</v>
      </c>
    </row>
    <row r="310" spans="1:6">
      <c r="A310" s="35">
        <v>15761</v>
      </c>
      <c r="B310" s="37" t="s">
        <v>754</v>
      </c>
      <c r="C310" s="37" t="s">
        <v>150</v>
      </c>
      <c r="D310" s="37" t="s">
        <v>147</v>
      </c>
      <c r="E310" s="37" t="s">
        <v>466</v>
      </c>
      <c r="F310" s="38" t="s">
        <v>471</v>
      </c>
    </row>
    <row r="311" spans="1:6">
      <c r="A311" s="35">
        <v>15762</v>
      </c>
      <c r="B311" s="37" t="s">
        <v>755</v>
      </c>
      <c r="C311" s="37" t="s">
        <v>150</v>
      </c>
      <c r="D311" s="37" t="s">
        <v>147</v>
      </c>
      <c r="E311" s="37" t="s">
        <v>466</v>
      </c>
      <c r="F311" s="38" t="s">
        <v>469</v>
      </c>
    </row>
    <row r="312" spans="1:6">
      <c r="A312" s="35">
        <v>15764</v>
      </c>
      <c r="B312" s="37" t="s">
        <v>756</v>
      </c>
      <c r="C312" s="37" t="s">
        <v>150</v>
      </c>
      <c r="D312" s="37" t="s">
        <v>147</v>
      </c>
      <c r="E312" s="37" t="s">
        <v>466</v>
      </c>
      <c r="F312" s="38" t="s">
        <v>474</v>
      </c>
    </row>
    <row r="313" spans="1:6">
      <c r="A313" s="35">
        <v>15763</v>
      </c>
      <c r="B313" s="37" t="s">
        <v>757</v>
      </c>
      <c r="C313" s="37" t="s">
        <v>150</v>
      </c>
      <c r="D313" s="37" t="s">
        <v>147</v>
      </c>
      <c r="E313" s="37" t="s">
        <v>466</v>
      </c>
      <c r="F313" s="38" t="s">
        <v>469</v>
      </c>
    </row>
    <row r="314" spans="1:6">
      <c r="A314" s="35">
        <v>15774</v>
      </c>
      <c r="B314" s="37" t="s">
        <v>758</v>
      </c>
      <c r="C314" s="37" t="s">
        <v>150</v>
      </c>
      <c r="D314" s="37" t="s">
        <v>147</v>
      </c>
      <c r="E314" s="37" t="s">
        <v>466</v>
      </c>
      <c r="F314" s="38" t="s">
        <v>471</v>
      </c>
    </row>
    <row r="315" spans="1:6">
      <c r="A315" s="35">
        <v>15776</v>
      </c>
      <c r="B315" s="37" t="s">
        <v>759</v>
      </c>
      <c r="C315" s="37" t="s">
        <v>150</v>
      </c>
      <c r="D315" s="37" t="s">
        <v>147</v>
      </c>
      <c r="E315" s="37" t="s">
        <v>466</v>
      </c>
      <c r="F315" s="38" t="s">
        <v>469</v>
      </c>
    </row>
    <row r="316" spans="1:6">
      <c r="A316" s="35">
        <v>15778</v>
      </c>
      <c r="B316" s="37" t="s">
        <v>760</v>
      </c>
      <c r="C316" s="37" t="s">
        <v>150</v>
      </c>
      <c r="D316" s="37" t="s">
        <v>147</v>
      </c>
      <c r="E316" s="37" t="s">
        <v>466</v>
      </c>
      <c r="F316" s="38" t="s">
        <v>471</v>
      </c>
    </row>
    <row r="317" spans="1:6">
      <c r="A317" s="35">
        <v>15790</v>
      </c>
      <c r="B317" s="37" t="s">
        <v>761</v>
      </c>
      <c r="C317" s="37" t="s">
        <v>150</v>
      </c>
      <c r="D317" s="37" t="s">
        <v>147</v>
      </c>
      <c r="E317" s="37" t="s">
        <v>466</v>
      </c>
      <c r="F317" s="38" t="s">
        <v>471</v>
      </c>
    </row>
    <row r="318" spans="1:6">
      <c r="A318" s="35">
        <v>15798</v>
      </c>
      <c r="B318" s="37" t="s">
        <v>762</v>
      </c>
      <c r="C318" s="37" t="s">
        <v>150</v>
      </c>
      <c r="D318" s="37" t="s">
        <v>147</v>
      </c>
      <c r="E318" s="37" t="s">
        <v>466</v>
      </c>
      <c r="F318" s="38" t="s">
        <v>471</v>
      </c>
    </row>
    <row r="319" spans="1:6">
      <c r="A319" s="35">
        <v>15804</v>
      </c>
      <c r="B319" s="37" t="s">
        <v>763</v>
      </c>
      <c r="C319" s="37" t="s">
        <v>150</v>
      </c>
      <c r="D319" s="37" t="s">
        <v>147</v>
      </c>
      <c r="E319" s="37" t="s">
        <v>466</v>
      </c>
      <c r="F319" s="38" t="s">
        <v>469</v>
      </c>
    </row>
    <row r="320" spans="1:6">
      <c r="A320" s="35">
        <v>15806</v>
      </c>
      <c r="B320" s="37" t="s">
        <v>764</v>
      </c>
      <c r="C320" s="37" t="s">
        <v>150</v>
      </c>
      <c r="D320" s="37" t="s">
        <v>147</v>
      </c>
      <c r="E320" s="37" t="s">
        <v>466</v>
      </c>
      <c r="F320" s="38" t="s">
        <v>469</v>
      </c>
    </row>
    <row r="321" spans="1:6">
      <c r="A321" s="35">
        <v>15808</v>
      </c>
      <c r="B321" s="37" t="s">
        <v>765</v>
      </c>
      <c r="C321" s="37" t="s">
        <v>150</v>
      </c>
      <c r="D321" s="37" t="s">
        <v>147</v>
      </c>
      <c r="E321" s="37" t="s">
        <v>466</v>
      </c>
      <c r="F321" s="38" t="s">
        <v>469</v>
      </c>
    </row>
    <row r="322" spans="1:6">
      <c r="A322" s="35">
        <v>15810</v>
      </c>
      <c r="B322" s="37" t="s">
        <v>766</v>
      </c>
      <c r="C322" s="37" t="s">
        <v>150</v>
      </c>
      <c r="D322" s="37" t="s">
        <v>147</v>
      </c>
      <c r="E322" s="37" t="s">
        <v>466</v>
      </c>
      <c r="F322" s="38" t="s">
        <v>471</v>
      </c>
    </row>
    <row r="323" spans="1:6">
      <c r="A323" s="35">
        <v>15814</v>
      </c>
      <c r="B323" s="37" t="s">
        <v>767</v>
      </c>
      <c r="C323" s="37" t="s">
        <v>150</v>
      </c>
      <c r="D323" s="37" t="s">
        <v>147</v>
      </c>
      <c r="E323" s="37" t="s">
        <v>466</v>
      </c>
      <c r="F323" s="38" t="s">
        <v>469</v>
      </c>
    </row>
    <row r="324" spans="1:6">
      <c r="A324" s="35">
        <v>15816</v>
      </c>
      <c r="B324" s="37" t="s">
        <v>768</v>
      </c>
      <c r="C324" s="37" t="s">
        <v>150</v>
      </c>
      <c r="D324" s="37" t="s">
        <v>147</v>
      </c>
      <c r="E324" s="37" t="s">
        <v>466</v>
      </c>
      <c r="F324" s="38" t="s">
        <v>469</v>
      </c>
    </row>
    <row r="325" spans="1:6">
      <c r="A325" s="35">
        <v>15820</v>
      </c>
      <c r="B325" s="37" t="s">
        <v>769</v>
      </c>
      <c r="C325" s="37" t="s">
        <v>150</v>
      </c>
      <c r="D325" s="37" t="s">
        <v>147</v>
      </c>
      <c r="E325" s="37" t="s">
        <v>466</v>
      </c>
      <c r="F325" s="38" t="s">
        <v>471</v>
      </c>
    </row>
    <row r="326" spans="1:6">
      <c r="A326" s="35">
        <v>15822</v>
      </c>
      <c r="B326" s="37" t="s">
        <v>770</v>
      </c>
      <c r="C326" s="37" t="s">
        <v>150</v>
      </c>
      <c r="D326" s="37" t="s">
        <v>147</v>
      </c>
      <c r="E326" s="37" t="s">
        <v>466</v>
      </c>
      <c r="F326" s="38" t="s">
        <v>469</v>
      </c>
    </row>
    <row r="327" spans="1:6">
      <c r="A327" s="35">
        <v>15001</v>
      </c>
      <c r="B327" s="37" t="s">
        <v>147</v>
      </c>
      <c r="C327" s="37" t="s">
        <v>150</v>
      </c>
      <c r="D327" s="37" t="s">
        <v>147</v>
      </c>
      <c r="E327" s="37" t="s">
        <v>466</v>
      </c>
      <c r="F327" s="38" t="s">
        <v>474</v>
      </c>
    </row>
    <row r="328" spans="1:6">
      <c r="A328" s="35">
        <v>15832</v>
      </c>
      <c r="B328" s="37" t="s">
        <v>771</v>
      </c>
      <c r="C328" s="37" t="s">
        <v>150</v>
      </c>
      <c r="D328" s="37" t="s">
        <v>147</v>
      </c>
      <c r="E328" s="37" t="s">
        <v>466</v>
      </c>
      <c r="F328" s="38" t="s">
        <v>471</v>
      </c>
    </row>
    <row r="329" spans="1:6">
      <c r="A329" s="35">
        <v>15835</v>
      </c>
      <c r="B329" s="37" t="s">
        <v>772</v>
      </c>
      <c r="C329" s="37" t="s">
        <v>150</v>
      </c>
      <c r="D329" s="37" t="s">
        <v>147</v>
      </c>
      <c r="E329" s="37" t="s">
        <v>466</v>
      </c>
      <c r="F329" s="38" t="s">
        <v>469</v>
      </c>
    </row>
    <row r="330" spans="1:6">
      <c r="A330" s="35">
        <v>15837</v>
      </c>
      <c r="B330" s="37" t="s">
        <v>773</v>
      </c>
      <c r="C330" s="37" t="s">
        <v>150</v>
      </c>
      <c r="D330" s="37" t="s">
        <v>147</v>
      </c>
      <c r="E330" s="37" t="s">
        <v>466</v>
      </c>
      <c r="F330" s="38" t="s">
        <v>469</v>
      </c>
    </row>
    <row r="331" spans="1:6">
      <c r="A331" s="35">
        <v>15839</v>
      </c>
      <c r="B331" s="37" t="s">
        <v>774</v>
      </c>
      <c r="C331" s="37" t="s">
        <v>150</v>
      </c>
      <c r="D331" s="37" t="s">
        <v>147</v>
      </c>
      <c r="E331" s="37" t="s">
        <v>466</v>
      </c>
      <c r="F331" s="38" t="s">
        <v>469</v>
      </c>
    </row>
    <row r="332" spans="1:6">
      <c r="A332" s="35">
        <v>15842</v>
      </c>
      <c r="B332" s="37" t="s">
        <v>775</v>
      </c>
      <c r="C332" s="37" t="s">
        <v>150</v>
      </c>
      <c r="D332" s="37" t="s">
        <v>147</v>
      </c>
      <c r="E332" s="37" t="s">
        <v>466</v>
      </c>
      <c r="F332" s="38" t="s">
        <v>469</v>
      </c>
    </row>
    <row r="333" spans="1:6">
      <c r="A333" s="35">
        <v>15861</v>
      </c>
      <c r="B333" s="37" t="s">
        <v>776</v>
      </c>
      <c r="C333" s="37" t="s">
        <v>150</v>
      </c>
      <c r="D333" s="37" t="s">
        <v>147</v>
      </c>
      <c r="E333" s="37" t="s">
        <v>466</v>
      </c>
      <c r="F333" s="38" t="s">
        <v>469</v>
      </c>
    </row>
    <row r="334" spans="1:6">
      <c r="A334" s="35">
        <v>15407</v>
      </c>
      <c r="B334" s="37" t="s">
        <v>777</v>
      </c>
      <c r="C334" s="37" t="s">
        <v>150</v>
      </c>
      <c r="D334" s="37" t="s">
        <v>147</v>
      </c>
      <c r="E334" s="37" t="s">
        <v>466</v>
      </c>
      <c r="F334" s="38" t="s">
        <v>469</v>
      </c>
    </row>
    <row r="335" spans="1:6">
      <c r="A335" s="35">
        <v>15879</v>
      </c>
      <c r="B335" s="37" t="s">
        <v>778</v>
      </c>
      <c r="C335" s="37" t="s">
        <v>150</v>
      </c>
      <c r="D335" s="37" t="s">
        <v>147</v>
      </c>
      <c r="E335" s="37" t="s">
        <v>466</v>
      </c>
      <c r="F335" s="38" t="s">
        <v>469</v>
      </c>
    </row>
    <row r="336" spans="1:6">
      <c r="A336" s="35">
        <v>15897</v>
      </c>
      <c r="B336" s="37" t="s">
        <v>779</v>
      </c>
      <c r="C336" s="37" t="s">
        <v>150</v>
      </c>
      <c r="D336" s="37" t="s">
        <v>147</v>
      </c>
      <c r="E336" s="37" t="s">
        <v>466</v>
      </c>
      <c r="F336" s="38" t="s">
        <v>471</v>
      </c>
    </row>
    <row r="337" spans="1:6">
      <c r="A337" s="35">
        <v>17524</v>
      </c>
      <c r="B337" s="36" t="s">
        <v>780</v>
      </c>
      <c r="C337" s="37" t="s">
        <v>473</v>
      </c>
      <c r="D337" s="37" t="s">
        <v>781</v>
      </c>
      <c r="E337" s="37" t="s">
        <v>466</v>
      </c>
      <c r="F337" s="38" t="s">
        <v>469</v>
      </c>
    </row>
    <row r="338" spans="1:6">
      <c r="A338" s="35">
        <v>17614</v>
      </c>
      <c r="B338" s="36" t="s">
        <v>782</v>
      </c>
      <c r="C338" s="37" t="s">
        <v>473</v>
      </c>
      <c r="D338" s="37" t="s">
        <v>781</v>
      </c>
      <c r="E338" s="37" t="s">
        <v>466</v>
      </c>
      <c r="F338" s="38" t="s">
        <v>469</v>
      </c>
    </row>
    <row r="339" spans="1:6">
      <c r="A339" s="35">
        <v>17653</v>
      </c>
      <c r="B339" s="36" t="s">
        <v>783</v>
      </c>
      <c r="C339" s="37" t="s">
        <v>473</v>
      </c>
      <c r="D339" s="37" t="s">
        <v>781</v>
      </c>
      <c r="E339" s="37" t="s">
        <v>466</v>
      </c>
      <c r="F339" s="38" t="s">
        <v>469</v>
      </c>
    </row>
    <row r="340" spans="1:6">
      <c r="A340" s="35">
        <v>17013</v>
      </c>
      <c r="B340" s="37" t="s">
        <v>784</v>
      </c>
      <c r="C340" s="37" t="s">
        <v>473</v>
      </c>
      <c r="D340" s="37" t="s">
        <v>781</v>
      </c>
      <c r="E340" s="37" t="s">
        <v>466</v>
      </c>
      <c r="F340" s="38" t="s">
        <v>471</v>
      </c>
    </row>
    <row r="341" spans="1:6">
      <c r="A341" s="35">
        <v>17042</v>
      </c>
      <c r="B341" s="37" t="s">
        <v>785</v>
      </c>
      <c r="C341" s="37" t="s">
        <v>473</v>
      </c>
      <c r="D341" s="37" t="s">
        <v>781</v>
      </c>
      <c r="E341" s="37" t="s">
        <v>466</v>
      </c>
      <c r="F341" s="38" t="s">
        <v>469</v>
      </c>
    </row>
    <row r="342" spans="1:6">
      <c r="A342" s="35">
        <v>17050</v>
      </c>
      <c r="B342" s="37" t="s">
        <v>786</v>
      </c>
      <c r="C342" s="37" t="s">
        <v>473</v>
      </c>
      <c r="D342" s="37" t="s">
        <v>781</v>
      </c>
      <c r="E342" s="37" t="s">
        <v>466</v>
      </c>
      <c r="F342" s="38" t="s">
        <v>469</v>
      </c>
    </row>
    <row r="343" spans="1:6">
      <c r="A343" s="35">
        <v>17088</v>
      </c>
      <c r="B343" s="37" t="s">
        <v>787</v>
      </c>
      <c r="C343" s="37" t="s">
        <v>473</v>
      </c>
      <c r="D343" s="37" t="s">
        <v>781</v>
      </c>
      <c r="E343" s="37" t="s">
        <v>466</v>
      </c>
      <c r="F343" s="38" t="s">
        <v>469</v>
      </c>
    </row>
    <row r="344" spans="1:6">
      <c r="A344" s="35">
        <v>17174</v>
      </c>
      <c r="B344" s="37" t="s">
        <v>788</v>
      </c>
      <c r="C344" s="37" t="s">
        <v>473</v>
      </c>
      <c r="D344" s="37" t="s">
        <v>781</v>
      </c>
      <c r="E344" s="37" t="s">
        <v>466</v>
      </c>
      <c r="F344" s="38" t="s">
        <v>469</v>
      </c>
    </row>
    <row r="345" spans="1:6">
      <c r="A345" s="35">
        <v>17272</v>
      </c>
      <c r="B345" s="37" t="s">
        <v>789</v>
      </c>
      <c r="C345" s="37" t="s">
        <v>473</v>
      </c>
      <c r="D345" s="37" t="s">
        <v>781</v>
      </c>
      <c r="E345" s="37" t="s">
        <v>466</v>
      </c>
      <c r="F345" s="38" t="s">
        <v>469</v>
      </c>
    </row>
    <row r="346" spans="1:6">
      <c r="A346" s="35">
        <v>17380</v>
      </c>
      <c r="B346" s="37" t="s">
        <v>790</v>
      </c>
      <c r="C346" s="37" t="s">
        <v>473</v>
      </c>
      <c r="D346" s="37" t="s">
        <v>360</v>
      </c>
      <c r="E346" s="37" t="s">
        <v>466</v>
      </c>
      <c r="F346" s="38" t="s">
        <v>471</v>
      </c>
    </row>
    <row r="347" spans="1:6">
      <c r="A347" s="35">
        <v>17388</v>
      </c>
      <c r="B347" s="37" t="s">
        <v>791</v>
      </c>
      <c r="C347" s="37" t="s">
        <v>473</v>
      </c>
      <c r="D347" s="37" t="s">
        <v>781</v>
      </c>
      <c r="E347" s="37" t="s">
        <v>466</v>
      </c>
      <c r="F347" s="38" t="s">
        <v>469</v>
      </c>
    </row>
    <row r="348" spans="1:6">
      <c r="A348" s="35">
        <v>17001</v>
      </c>
      <c r="B348" s="37" t="s">
        <v>781</v>
      </c>
      <c r="C348" s="37" t="s">
        <v>473</v>
      </c>
      <c r="D348" s="37" t="s">
        <v>781</v>
      </c>
      <c r="E348" s="37" t="s">
        <v>466</v>
      </c>
      <c r="F348" s="38" t="s">
        <v>474</v>
      </c>
    </row>
    <row r="349" spans="1:6">
      <c r="A349" s="35">
        <v>17433</v>
      </c>
      <c r="B349" s="37" t="s">
        <v>792</v>
      </c>
      <c r="C349" s="37" t="s">
        <v>473</v>
      </c>
      <c r="D349" s="37" t="s">
        <v>781</v>
      </c>
      <c r="E349" s="37" t="s">
        <v>466</v>
      </c>
      <c r="F349" s="38" t="s">
        <v>471</v>
      </c>
    </row>
    <row r="350" spans="1:6">
      <c r="A350" s="35">
        <v>17442</v>
      </c>
      <c r="B350" s="37" t="s">
        <v>793</v>
      </c>
      <c r="C350" s="37" t="s">
        <v>473</v>
      </c>
      <c r="D350" s="37" t="s">
        <v>781</v>
      </c>
      <c r="E350" s="37" t="s">
        <v>466</v>
      </c>
      <c r="F350" s="38" t="s">
        <v>469</v>
      </c>
    </row>
    <row r="351" spans="1:6">
      <c r="A351" s="35">
        <v>17444</v>
      </c>
      <c r="B351" s="37" t="s">
        <v>794</v>
      </c>
      <c r="C351" s="37" t="s">
        <v>473</v>
      </c>
      <c r="D351" s="37" t="s">
        <v>781</v>
      </c>
      <c r="E351" s="37" t="s">
        <v>466</v>
      </c>
      <c r="F351" s="38" t="s">
        <v>471</v>
      </c>
    </row>
    <row r="352" spans="1:6">
      <c r="A352" s="35">
        <v>17446</v>
      </c>
      <c r="B352" s="37" t="s">
        <v>795</v>
      </c>
      <c r="C352" s="37" t="s">
        <v>473</v>
      </c>
      <c r="D352" s="37" t="s">
        <v>781</v>
      </c>
      <c r="E352" s="37" t="s">
        <v>466</v>
      </c>
      <c r="F352" s="38" t="s">
        <v>471</v>
      </c>
    </row>
    <row r="353" spans="1:6">
      <c r="A353" s="35">
        <v>17486</v>
      </c>
      <c r="B353" s="37" t="s">
        <v>796</v>
      </c>
      <c r="C353" s="37" t="s">
        <v>473</v>
      </c>
      <c r="D353" s="37" t="s">
        <v>781</v>
      </c>
      <c r="E353" s="37" t="s">
        <v>466</v>
      </c>
      <c r="F353" s="38" t="s">
        <v>469</v>
      </c>
    </row>
    <row r="354" spans="1:6">
      <c r="A354" s="35">
        <v>17495</v>
      </c>
      <c r="B354" s="37" t="s">
        <v>797</v>
      </c>
      <c r="C354" s="37" t="s">
        <v>473</v>
      </c>
      <c r="D354" s="37" t="s">
        <v>360</v>
      </c>
      <c r="E354" s="37" t="s">
        <v>466</v>
      </c>
      <c r="F354" s="38" t="s">
        <v>467</v>
      </c>
    </row>
    <row r="355" spans="1:6">
      <c r="A355" s="35">
        <v>17513</v>
      </c>
      <c r="B355" s="37" t="s">
        <v>798</v>
      </c>
      <c r="C355" s="37" t="s">
        <v>473</v>
      </c>
      <c r="D355" s="37" t="s">
        <v>781</v>
      </c>
      <c r="E355" s="37" t="s">
        <v>466</v>
      </c>
      <c r="F355" s="38" t="s">
        <v>471</v>
      </c>
    </row>
    <row r="356" spans="1:6">
      <c r="A356" s="35">
        <v>17541</v>
      </c>
      <c r="B356" s="37" t="s">
        <v>799</v>
      </c>
      <c r="C356" s="37" t="s">
        <v>473</v>
      </c>
      <c r="D356" s="37" t="s">
        <v>781</v>
      </c>
      <c r="E356" s="37" t="s">
        <v>466</v>
      </c>
      <c r="F356" s="38" t="s">
        <v>471</v>
      </c>
    </row>
    <row r="357" spans="1:6">
      <c r="A357" s="35">
        <v>17616</v>
      </c>
      <c r="B357" s="37" t="s">
        <v>198</v>
      </c>
      <c r="C357" s="37" t="s">
        <v>473</v>
      </c>
      <c r="D357" s="37" t="s">
        <v>781</v>
      </c>
      <c r="E357" s="37" t="s">
        <v>466</v>
      </c>
      <c r="F357" s="38" t="s">
        <v>469</v>
      </c>
    </row>
    <row r="358" spans="1:6">
      <c r="A358" s="35">
        <v>17662</v>
      </c>
      <c r="B358" s="37" t="s">
        <v>800</v>
      </c>
      <c r="C358" s="37" t="s">
        <v>473</v>
      </c>
      <c r="D358" s="37" t="s">
        <v>781</v>
      </c>
      <c r="E358" s="37" t="s">
        <v>466</v>
      </c>
      <c r="F358" s="38" t="s">
        <v>467</v>
      </c>
    </row>
    <row r="359" spans="1:6">
      <c r="A359" s="35">
        <v>17665</v>
      </c>
      <c r="B359" s="37" t="s">
        <v>801</v>
      </c>
      <c r="C359" s="37" t="s">
        <v>473</v>
      </c>
      <c r="D359" s="37" t="s">
        <v>781</v>
      </c>
      <c r="E359" s="37" t="s">
        <v>466</v>
      </c>
      <c r="F359" s="38" t="s">
        <v>469</v>
      </c>
    </row>
    <row r="360" spans="1:6">
      <c r="A360" s="35">
        <v>17777</v>
      </c>
      <c r="B360" s="37" t="s">
        <v>802</v>
      </c>
      <c r="C360" s="37" t="s">
        <v>473</v>
      </c>
      <c r="D360" s="37" t="s">
        <v>781</v>
      </c>
      <c r="E360" s="37" t="s">
        <v>466</v>
      </c>
      <c r="F360" s="38" t="s">
        <v>469</v>
      </c>
    </row>
    <row r="361" spans="1:6">
      <c r="A361" s="35">
        <v>17867</v>
      </c>
      <c r="B361" s="37" t="s">
        <v>803</v>
      </c>
      <c r="C361" s="37" t="s">
        <v>473</v>
      </c>
      <c r="D361" s="37" t="s">
        <v>781</v>
      </c>
      <c r="E361" s="37" t="s">
        <v>466</v>
      </c>
      <c r="F361" s="38" t="s">
        <v>471</v>
      </c>
    </row>
    <row r="362" spans="1:6">
      <c r="A362" s="35">
        <v>17873</v>
      </c>
      <c r="B362" s="37" t="s">
        <v>804</v>
      </c>
      <c r="C362" s="37" t="s">
        <v>473</v>
      </c>
      <c r="D362" s="37" t="s">
        <v>781</v>
      </c>
      <c r="E362" s="37" t="s">
        <v>466</v>
      </c>
      <c r="F362" s="38" t="s">
        <v>474</v>
      </c>
    </row>
    <row r="363" spans="1:6">
      <c r="A363" s="35">
        <v>17877</v>
      </c>
      <c r="B363" s="37" t="s">
        <v>805</v>
      </c>
      <c r="C363" s="37" t="s">
        <v>473</v>
      </c>
      <c r="D363" s="37" t="s">
        <v>195</v>
      </c>
      <c r="E363" s="37" t="s">
        <v>466</v>
      </c>
      <c r="F363" s="38" t="s">
        <v>469</v>
      </c>
    </row>
    <row r="364" spans="1:6">
      <c r="A364" s="35">
        <v>18029</v>
      </c>
      <c r="B364" s="36" t="s">
        <v>806</v>
      </c>
      <c r="C364" s="37" t="s">
        <v>301</v>
      </c>
      <c r="D364" s="37" t="s">
        <v>298</v>
      </c>
      <c r="E364" s="37" t="s">
        <v>466</v>
      </c>
      <c r="F364" s="38" t="s">
        <v>467</v>
      </c>
    </row>
    <row r="365" spans="1:6">
      <c r="A365" s="35">
        <v>18001</v>
      </c>
      <c r="B365" s="36" t="s">
        <v>302</v>
      </c>
      <c r="C365" s="37" t="s">
        <v>301</v>
      </c>
      <c r="D365" s="37" t="s">
        <v>298</v>
      </c>
      <c r="E365" s="37" t="s">
        <v>466</v>
      </c>
      <c r="F365" s="38" t="s">
        <v>467</v>
      </c>
    </row>
    <row r="366" spans="1:6">
      <c r="A366" s="35">
        <v>18592</v>
      </c>
      <c r="B366" s="36" t="s">
        <v>807</v>
      </c>
      <c r="C366" s="37" t="s">
        <v>301</v>
      </c>
      <c r="D366" s="37" t="s">
        <v>298</v>
      </c>
      <c r="E366" s="37" t="s">
        <v>466</v>
      </c>
      <c r="F366" s="38" t="s">
        <v>454</v>
      </c>
    </row>
    <row r="367" spans="1:6">
      <c r="A367" s="35">
        <v>18860</v>
      </c>
      <c r="B367" s="36" t="s">
        <v>487</v>
      </c>
      <c r="C367" s="37" t="s">
        <v>301</v>
      </c>
      <c r="D367" s="37" t="s">
        <v>298</v>
      </c>
      <c r="E367" s="37" t="s">
        <v>466</v>
      </c>
      <c r="F367" s="38" t="s">
        <v>467</v>
      </c>
    </row>
    <row r="368" spans="1:6">
      <c r="A368" s="35">
        <v>18094</v>
      </c>
      <c r="B368" s="37" t="s">
        <v>808</v>
      </c>
      <c r="C368" s="37" t="s">
        <v>301</v>
      </c>
      <c r="D368" s="37" t="s">
        <v>298</v>
      </c>
      <c r="E368" s="37" t="s">
        <v>466</v>
      </c>
      <c r="F368" s="38" t="s">
        <v>467</v>
      </c>
    </row>
    <row r="369" spans="1:6">
      <c r="A369" s="35">
        <v>18150</v>
      </c>
      <c r="B369" s="37" t="s">
        <v>809</v>
      </c>
      <c r="C369" s="37" t="s">
        <v>301</v>
      </c>
      <c r="D369" s="37" t="s">
        <v>298</v>
      </c>
      <c r="E369" s="37" t="s">
        <v>466</v>
      </c>
      <c r="F369" s="38" t="s">
        <v>454</v>
      </c>
    </row>
    <row r="370" spans="1:6">
      <c r="A370" s="35">
        <v>18205</v>
      </c>
      <c r="B370" s="37" t="s">
        <v>810</v>
      </c>
      <c r="C370" s="37" t="s">
        <v>301</v>
      </c>
      <c r="D370" s="37" t="s">
        <v>298</v>
      </c>
      <c r="E370" s="37" t="s">
        <v>466</v>
      </c>
      <c r="F370" s="38" t="s">
        <v>467</v>
      </c>
    </row>
    <row r="371" spans="1:6">
      <c r="A371" s="35">
        <v>18247</v>
      </c>
      <c r="B371" s="37" t="s">
        <v>811</v>
      </c>
      <c r="C371" s="37" t="s">
        <v>301</v>
      </c>
      <c r="D371" s="37" t="s">
        <v>298</v>
      </c>
      <c r="E371" s="37" t="s">
        <v>466</v>
      </c>
      <c r="F371" s="38" t="s">
        <v>467</v>
      </c>
    </row>
    <row r="372" spans="1:6">
      <c r="A372" s="35">
        <v>18256</v>
      </c>
      <c r="B372" s="37" t="s">
        <v>812</v>
      </c>
      <c r="C372" s="37" t="s">
        <v>301</v>
      </c>
      <c r="D372" s="37" t="s">
        <v>298</v>
      </c>
      <c r="E372" s="37" t="s">
        <v>466</v>
      </c>
      <c r="F372" s="38" t="s">
        <v>467</v>
      </c>
    </row>
    <row r="373" spans="1:6">
      <c r="A373" s="35">
        <v>18410</v>
      </c>
      <c r="B373" s="37" t="s">
        <v>813</v>
      </c>
      <c r="C373" s="37" t="s">
        <v>301</v>
      </c>
      <c r="D373" s="37" t="s">
        <v>298</v>
      </c>
      <c r="E373" s="37" t="s">
        <v>466</v>
      </c>
      <c r="F373" s="38" t="s">
        <v>467</v>
      </c>
    </row>
    <row r="374" spans="1:6">
      <c r="A374" s="35">
        <v>18460</v>
      </c>
      <c r="B374" s="37" t="s">
        <v>814</v>
      </c>
      <c r="C374" s="37" t="s">
        <v>301</v>
      </c>
      <c r="D374" s="37" t="s">
        <v>298</v>
      </c>
      <c r="E374" s="37" t="s">
        <v>466</v>
      </c>
      <c r="F374" s="38" t="s">
        <v>467</v>
      </c>
    </row>
    <row r="375" spans="1:6">
      <c r="A375" s="35">
        <v>18479</v>
      </c>
      <c r="B375" s="37" t="s">
        <v>815</v>
      </c>
      <c r="C375" s="37" t="s">
        <v>301</v>
      </c>
      <c r="D375" s="37" t="s">
        <v>298</v>
      </c>
      <c r="E375" s="37" t="s">
        <v>466</v>
      </c>
      <c r="F375" s="38" t="s">
        <v>467</v>
      </c>
    </row>
    <row r="376" spans="1:6">
      <c r="A376" s="35">
        <v>18610</v>
      </c>
      <c r="B376" s="37" t="s">
        <v>816</v>
      </c>
      <c r="C376" s="37" t="s">
        <v>301</v>
      </c>
      <c r="D376" s="37" t="s">
        <v>298</v>
      </c>
      <c r="E376" s="37" t="s">
        <v>466</v>
      </c>
      <c r="F376" s="38" t="s">
        <v>467</v>
      </c>
    </row>
    <row r="377" spans="1:6">
      <c r="A377" s="35">
        <v>18753</v>
      </c>
      <c r="B377" s="37" t="s">
        <v>817</v>
      </c>
      <c r="C377" s="37" t="s">
        <v>301</v>
      </c>
      <c r="D377" s="37" t="s">
        <v>298</v>
      </c>
      <c r="E377" s="37" t="s">
        <v>818</v>
      </c>
      <c r="F377" s="38" t="s">
        <v>454</v>
      </c>
    </row>
    <row r="378" spans="1:6">
      <c r="A378" s="35">
        <v>18756</v>
      </c>
      <c r="B378" s="37" t="s">
        <v>819</v>
      </c>
      <c r="C378" s="37" t="s">
        <v>301</v>
      </c>
      <c r="D378" s="37" t="s">
        <v>298</v>
      </c>
      <c r="E378" s="37" t="s">
        <v>625</v>
      </c>
      <c r="F378" s="38" t="s">
        <v>454</v>
      </c>
    </row>
    <row r="379" spans="1:6">
      <c r="A379" s="35">
        <v>18785</v>
      </c>
      <c r="B379" s="37" t="s">
        <v>820</v>
      </c>
      <c r="C379" s="37" t="s">
        <v>301</v>
      </c>
      <c r="D379" s="37" t="s">
        <v>298</v>
      </c>
      <c r="E379" s="37" t="s">
        <v>466</v>
      </c>
      <c r="F379" s="38" t="s">
        <v>467</v>
      </c>
    </row>
    <row r="380" spans="1:6">
      <c r="A380" s="35">
        <v>85300</v>
      </c>
      <c r="B380" s="36" t="s">
        <v>480</v>
      </c>
      <c r="C380" s="37" t="s">
        <v>821</v>
      </c>
      <c r="D380" s="37" t="s">
        <v>725</v>
      </c>
      <c r="E380" s="37" t="s">
        <v>466</v>
      </c>
      <c r="F380" s="38" t="s">
        <v>471</v>
      </c>
    </row>
    <row r="381" spans="1:6">
      <c r="A381" s="35">
        <v>85440</v>
      </c>
      <c r="B381" s="36" t="s">
        <v>627</v>
      </c>
      <c r="C381" s="37" t="s">
        <v>821</v>
      </c>
      <c r="D381" s="37" t="s">
        <v>822</v>
      </c>
      <c r="E381" s="37" t="s">
        <v>466</v>
      </c>
      <c r="F381" s="38" t="s">
        <v>471</v>
      </c>
    </row>
    <row r="382" spans="1:6">
      <c r="A382" s="35">
        <v>85010</v>
      </c>
      <c r="B382" s="37" t="s">
        <v>823</v>
      </c>
      <c r="C382" s="37" t="s">
        <v>821</v>
      </c>
      <c r="D382" s="37" t="s">
        <v>725</v>
      </c>
      <c r="E382" s="37" t="s">
        <v>466</v>
      </c>
      <c r="F382" s="38" t="s">
        <v>469</v>
      </c>
    </row>
    <row r="383" spans="1:6">
      <c r="A383" s="35">
        <v>85015</v>
      </c>
      <c r="B383" s="37" t="s">
        <v>824</v>
      </c>
      <c r="C383" s="37" t="s">
        <v>821</v>
      </c>
      <c r="D383" s="37" t="s">
        <v>725</v>
      </c>
      <c r="E383" s="37" t="s">
        <v>466</v>
      </c>
      <c r="F383" s="38" t="s">
        <v>467</v>
      </c>
    </row>
    <row r="384" spans="1:6">
      <c r="A384" s="35">
        <v>85125</v>
      </c>
      <c r="B384" s="37" t="s">
        <v>825</v>
      </c>
      <c r="C384" s="37" t="s">
        <v>821</v>
      </c>
      <c r="D384" s="37" t="s">
        <v>725</v>
      </c>
      <c r="E384" s="37" t="s">
        <v>466</v>
      </c>
      <c r="F384" s="38" t="s">
        <v>471</v>
      </c>
    </row>
    <row r="385" spans="1:6">
      <c r="A385" s="35">
        <v>85136</v>
      </c>
      <c r="B385" s="37" t="s">
        <v>826</v>
      </c>
      <c r="C385" s="37" t="s">
        <v>821</v>
      </c>
      <c r="D385" s="37" t="s">
        <v>725</v>
      </c>
      <c r="E385" s="37" t="s">
        <v>466</v>
      </c>
      <c r="F385" s="38" t="s">
        <v>467</v>
      </c>
    </row>
    <row r="386" spans="1:6">
      <c r="A386" s="35">
        <v>85139</v>
      </c>
      <c r="B386" s="37" t="s">
        <v>827</v>
      </c>
      <c r="C386" s="37" t="s">
        <v>821</v>
      </c>
      <c r="D386" s="37" t="s">
        <v>725</v>
      </c>
      <c r="E386" s="37" t="s">
        <v>466</v>
      </c>
      <c r="F386" s="38" t="s">
        <v>469</v>
      </c>
    </row>
    <row r="387" spans="1:6">
      <c r="A387" s="35">
        <v>85162</v>
      </c>
      <c r="B387" s="37" t="s">
        <v>828</v>
      </c>
      <c r="C387" s="37" t="s">
        <v>821</v>
      </c>
      <c r="D387" s="37" t="s">
        <v>725</v>
      </c>
      <c r="E387" s="37" t="s">
        <v>466</v>
      </c>
      <c r="F387" s="38" t="s">
        <v>469</v>
      </c>
    </row>
    <row r="388" spans="1:6">
      <c r="A388" s="35">
        <v>85225</v>
      </c>
      <c r="B388" s="37" t="s">
        <v>829</v>
      </c>
      <c r="C388" s="37" t="s">
        <v>821</v>
      </c>
      <c r="D388" s="37" t="s">
        <v>725</v>
      </c>
      <c r="E388" s="37" t="s">
        <v>466</v>
      </c>
      <c r="F388" s="38" t="s">
        <v>469</v>
      </c>
    </row>
    <row r="389" spans="1:6">
      <c r="A389" s="35">
        <v>85230</v>
      </c>
      <c r="B389" s="37" t="s">
        <v>830</v>
      </c>
      <c r="C389" s="37" t="s">
        <v>821</v>
      </c>
      <c r="D389" s="37" t="s">
        <v>725</v>
      </c>
      <c r="E389" s="37" t="s">
        <v>625</v>
      </c>
      <c r="F389" s="38" t="s">
        <v>454</v>
      </c>
    </row>
    <row r="390" spans="1:6">
      <c r="A390" s="35">
        <v>85250</v>
      </c>
      <c r="B390" s="37" t="s">
        <v>831</v>
      </c>
      <c r="C390" s="37" t="s">
        <v>821</v>
      </c>
      <c r="D390" s="37" t="s">
        <v>725</v>
      </c>
      <c r="E390" s="37" t="s">
        <v>466</v>
      </c>
      <c r="F390" s="38" t="s">
        <v>469</v>
      </c>
    </row>
    <row r="391" spans="1:6">
      <c r="A391" s="35">
        <v>85263</v>
      </c>
      <c r="B391" s="37" t="s">
        <v>832</v>
      </c>
      <c r="C391" s="37" t="s">
        <v>821</v>
      </c>
      <c r="D391" s="37" t="s">
        <v>725</v>
      </c>
      <c r="E391" s="37" t="s">
        <v>466</v>
      </c>
      <c r="F391" s="38" t="s">
        <v>469</v>
      </c>
    </row>
    <row r="392" spans="1:6">
      <c r="A392" s="35">
        <v>85279</v>
      </c>
      <c r="B392" s="37" t="s">
        <v>833</v>
      </c>
      <c r="C392" s="37" t="s">
        <v>821</v>
      </c>
      <c r="D392" s="37" t="s">
        <v>725</v>
      </c>
      <c r="E392" s="37" t="s">
        <v>466</v>
      </c>
      <c r="F392" s="38" t="s">
        <v>471</v>
      </c>
    </row>
    <row r="393" spans="1:6">
      <c r="A393" s="35">
        <v>85315</v>
      </c>
      <c r="B393" s="37" t="s">
        <v>834</v>
      </c>
      <c r="C393" s="37" t="s">
        <v>821</v>
      </c>
      <c r="D393" s="37" t="s">
        <v>725</v>
      </c>
      <c r="E393" s="37" t="s">
        <v>466</v>
      </c>
      <c r="F393" s="38" t="s">
        <v>467</v>
      </c>
    </row>
    <row r="394" spans="1:6">
      <c r="A394" s="35">
        <v>85325</v>
      </c>
      <c r="B394" s="37" t="s">
        <v>835</v>
      </c>
      <c r="C394" s="37" t="s">
        <v>821</v>
      </c>
      <c r="D394" s="37" t="s">
        <v>725</v>
      </c>
      <c r="E394" s="37" t="s">
        <v>466</v>
      </c>
      <c r="F394" s="38" t="s">
        <v>469</v>
      </c>
    </row>
    <row r="395" spans="1:6">
      <c r="A395" s="35">
        <v>85400</v>
      </c>
      <c r="B395" s="37" t="s">
        <v>836</v>
      </c>
      <c r="C395" s="37" t="s">
        <v>821</v>
      </c>
      <c r="D395" s="37" t="s">
        <v>725</v>
      </c>
      <c r="E395" s="37" t="s">
        <v>466</v>
      </c>
      <c r="F395" s="38" t="s">
        <v>471</v>
      </c>
    </row>
    <row r="396" spans="1:6">
      <c r="A396" s="35">
        <v>85410</v>
      </c>
      <c r="B396" s="37" t="s">
        <v>837</v>
      </c>
      <c r="C396" s="37" t="s">
        <v>821</v>
      </c>
      <c r="D396" s="37" t="s">
        <v>725</v>
      </c>
      <c r="E396" s="37" t="s">
        <v>466</v>
      </c>
      <c r="F396" s="38" t="s">
        <v>469</v>
      </c>
    </row>
    <row r="397" spans="1:6">
      <c r="A397" s="35">
        <v>85430</v>
      </c>
      <c r="B397" s="37" t="s">
        <v>838</v>
      </c>
      <c r="C397" s="37" t="s">
        <v>821</v>
      </c>
      <c r="D397" s="37" t="s">
        <v>725</v>
      </c>
      <c r="E397" s="37" t="s">
        <v>466</v>
      </c>
      <c r="F397" s="38" t="s">
        <v>469</v>
      </c>
    </row>
    <row r="398" spans="1:6">
      <c r="A398" s="35">
        <v>85001</v>
      </c>
      <c r="B398" s="37" t="s">
        <v>725</v>
      </c>
      <c r="C398" s="37" t="s">
        <v>821</v>
      </c>
      <c r="D398" s="37" t="s">
        <v>725</v>
      </c>
      <c r="E398" s="37" t="s">
        <v>466</v>
      </c>
      <c r="F398" s="38" t="s">
        <v>474</v>
      </c>
    </row>
    <row r="399" spans="1:6">
      <c r="A399" s="35">
        <v>19050</v>
      </c>
      <c r="B399" s="36" t="s">
        <v>465</v>
      </c>
      <c r="C399" s="37" t="s">
        <v>285</v>
      </c>
      <c r="D399" s="37" t="s">
        <v>138</v>
      </c>
      <c r="E399" s="37" t="s">
        <v>466</v>
      </c>
      <c r="F399" s="38" t="s">
        <v>467</v>
      </c>
    </row>
    <row r="400" spans="1:6">
      <c r="A400" s="35">
        <v>19075</v>
      </c>
      <c r="B400" s="36" t="s">
        <v>839</v>
      </c>
      <c r="C400" s="37" t="s">
        <v>285</v>
      </c>
      <c r="D400" s="37" t="s">
        <v>138</v>
      </c>
      <c r="E400" s="37" t="s">
        <v>466</v>
      </c>
      <c r="F400" s="38" t="s">
        <v>467</v>
      </c>
    </row>
    <row r="401" spans="1:6">
      <c r="A401" s="35">
        <v>19100</v>
      </c>
      <c r="B401" s="36" t="s">
        <v>618</v>
      </c>
      <c r="C401" s="37" t="s">
        <v>285</v>
      </c>
      <c r="D401" s="37" t="s">
        <v>138</v>
      </c>
      <c r="E401" s="37" t="s">
        <v>466</v>
      </c>
      <c r="F401" s="38" t="s">
        <v>467</v>
      </c>
    </row>
    <row r="402" spans="1:6">
      <c r="A402" s="35">
        <v>19256</v>
      </c>
      <c r="B402" s="36" t="s">
        <v>840</v>
      </c>
      <c r="C402" s="37" t="s">
        <v>285</v>
      </c>
      <c r="D402" s="37" t="s">
        <v>138</v>
      </c>
      <c r="E402" s="37" t="s">
        <v>466</v>
      </c>
      <c r="F402" s="38" t="s">
        <v>471</v>
      </c>
    </row>
    <row r="403" spans="1:6">
      <c r="A403" s="35">
        <v>19290</v>
      </c>
      <c r="B403" s="36" t="s">
        <v>302</v>
      </c>
      <c r="C403" s="37" t="s">
        <v>285</v>
      </c>
      <c r="D403" s="37" t="s">
        <v>138</v>
      </c>
      <c r="E403" s="37" t="s">
        <v>466</v>
      </c>
      <c r="F403" s="38" t="s">
        <v>467</v>
      </c>
    </row>
    <row r="404" spans="1:6">
      <c r="A404" s="35">
        <v>19397</v>
      </c>
      <c r="B404" s="36" t="s">
        <v>841</v>
      </c>
      <c r="C404" s="37" t="s">
        <v>285</v>
      </c>
      <c r="D404" s="37" t="s">
        <v>138</v>
      </c>
      <c r="E404" s="37" t="s">
        <v>466</v>
      </c>
      <c r="F404" s="38" t="s">
        <v>467</v>
      </c>
    </row>
    <row r="405" spans="1:6">
      <c r="A405" s="35">
        <v>19473</v>
      </c>
      <c r="B405" s="36" t="s">
        <v>623</v>
      </c>
      <c r="C405" s="37" t="s">
        <v>285</v>
      </c>
      <c r="D405" s="37" t="s">
        <v>138</v>
      </c>
      <c r="E405" s="37" t="s">
        <v>466</v>
      </c>
      <c r="F405" s="38" t="s">
        <v>471</v>
      </c>
    </row>
    <row r="406" spans="1:6">
      <c r="A406" s="35">
        <v>19517</v>
      </c>
      <c r="B406" s="36" t="s">
        <v>670</v>
      </c>
      <c r="C406" s="37" t="s">
        <v>285</v>
      </c>
      <c r="D406" s="37" t="s">
        <v>138</v>
      </c>
      <c r="E406" s="37" t="s">
        <v>466</v>
      </c>
      <c r="F406" s="38" t="s">
        <v>467</v>
      </c>
    </row>
    <row r="407" spans="1:6">
      <c r="A407" s="35">
        <v>19701</v>
      </c>
      <c r="B407" s="36" t="s">
        <v>626</v>
      </c>
      <c r="C407" s="37" t="s">
        <v>285</v>
      </c>
      <c r="D407" s="37" t="s">
        <v>138</v>
      </c>
      <c r="E407" s="37" t="s">
        <v>466</v>
      </c>
      <c r="F407" s="38" t="s">
        <v>467</v>
      </c>
    </row>
    <row r="408" spans="1:6">
      <c r="A408" s="35">
        <v>19780</v>
      </c>
      <c r="B408" s="36" t="s">
        <v>842</v>
      </c>
      <c r="C408" s="37" t="s">
        <v>285</v>
      </c>
      <c r="D408" s="37" t="s">
        <v>138</v>
      </c>
      <c r="E408" s="37" t="s">
        <v>466</v>
      </c>
      <c r="F408" s="38" t="s">
        <v>471</v>
      </c>
    </row>
    <row r="409" spans="1:6">
      <c r="A409" s="35">
        <v>19785</v>
      </c>
      <c r="B409" s="36" t="s">
        <v>395</v>
      </c>
      <c r="C409" s="37" t="s">
        <v>285</v>
      </c>
      <c r="D409" s="37" t="s">
        <v>138</v>
      </c>
      <c r="E409" s="37" t="s">
        <v>466</v>
      </c>
      <c r="F409" s="38" t="s">
        <v>467</v>
      </c>
    </row>
    <row r="410" spans="1:6">
      <c r="A410" s="35">
        <v>19022</v>
      </c>
      <c r="B410" s="37" t="s">
        <v>843</v>
      </c>
      <c r="C410" s="37" t="s">
        <v>285</v>
      </c>
      <c r="D410" s="37" t="s">
        <v>138</v>
      </c>
      <c r="E410" s="37" t="s">
        <v>466</v>
      </c>
      <c r="F410" s="38" t="s">
        <v>467</v>
      </c>
    </row>
    <row r="411" spans="1:6">
      <c r="A411" s="35">
        <v>19110</v>
      </c>
      <c r="B411" s="37" t="s">
        <v>844</v>
      </c>
      <c r="C411" s="37" t="s">
        <v>285</v>
      </c>
      <c r="D411" s="37" t="s">
        <v>138</v>
      </c>
      <c r="E411" s="37" t="s">
        <v>466</v>
      </c>
      <c r="F411" s="38" t="s">
        <v>469</v>
      </c>
    </row>
    <row r="412" spans="1:6">
      <c r="A412" s="35">
        <v>19130</v>
      </c>
      <c r="B412" s="37" t="s">
        <v>845</v>
      </c>
      <c r="C412" s="37" t="s">
        <v>285</v>
      </c>
      <c r="D412" s="37" t="s">
        <v>138</v>
      </c>
      <c r="E412" s="37" t="s">
        <v>466</v>
      </c>
      <c r="F412" s="38" t="s">
        <v>471</v>
      </c>
    </row>
    <row r="413" spans="1:6">
      <c r="A413" s="35">
        <v>19137</v>
      </c>
      <c r="B413" s="37" t="s">
        <v>846</v>
      </c>
      <c r="C413" s="37" t="s">
        <v>285</v>
      </c>
      <c r="D413" s="37" t="s">
        <v>138</v>
      </c>
      <c r="E413" s="37" t="s">
        <v>466</v>
      </c>
      <c r="F413" s="38" t="s">
        <v>471</v>
      </c>
    </row>
    <row r="414" spans="1:6">
      <c r="A414" s="35">
        <v>19142</v>
      </c>
      <c r="B414" s="37" t="s">
        <v>847</v>
      </c>
      <c r="C414" s="37" t="s">
        <v>285</v>
      </c>
      <c r="D414" s="37" t="s">
        <v>138</v>
      </c>
      <c r="E414" s="37" t="s">
        <v>466</v>
      </c>
      <c r="F414" s="38" t="s">
        <v>469</v>
      </c>
    </row>
    <row r="415" spans="1:6">
      <c r="A415" s="35">
        <v>19212</v>
      </c>
      <c r="B415" s="37" t="s">
        <v>848</v>
      </c>
      <c r="C415" s="37" t="s">
        <v>285</v>
      </c>
      <c r="D415" s="37" t="s">
        <v>138</v>
      </c>
      <c r="E415" s="37" t="s">
        <v>466</v>
      </c>
      <c r="F415" s="38" t="s">
        <v>471</v>
      </c>
    </row>
    <row r="416" spans="1:6">
      <c r="A416" s="35">
        <v>19300</v>
      </c>
      <c r="B416" s="37" t="s">
        <v>849</v>
      </c>
      <c r="C416" s="37" t="s">
        <v>285</v>
      </c>
      <c r="D416" s="37" t="s">
        <v>138</v>
      </c>
      <c r="E416" s="37" t="s">
        <v>466</v>
      </c>
      <c r="F416" s="38" t="s">
        <v>469</v>
      </c>
    </row>
    <row r="417" spans="1:6">
      <c r="A417" s="35">
        <v>19318</v>
      </c>
      <c r="B417" s="37" t="s">
        <v>850</v>
      </c>
      <c r="C417" s="37" t="s">
        <v>285</v>
      </c>
      <c r="D417" s="37" t="s">
        <v>138</v>
      </c>
      <c r="E417" s="37" t="s">
        <v>453</v>
      </c>
      <c r="F417" s="38" t="s">
        <v>454</v>
      </c>
    </row>
    <row r="418" spans="1:6">
      <c r="A418" s="35">
        <v>19355</v>
      </c>
      <c r="B418" s="37" t="s">
        <v>851</v>
      </c>
      <c r="C418" s="37" t="s">
        <v>285</v>
      </c>
      <c r="D418" s="37" t="s">
        <v>138</v>
      </c>
      <c r="E418" s="37" t="s">
        <v>466</v>
      </c>
      <c r="F418" s="38" t="s">
        <v>467</v>
      </c>
    </row>
    <row r="419" spans="1:6">
      <c r="A419" s="35">
        <v>19364</v>
      </c>
      <c r="B419" s="37" t="s">
        <v>852</v>
      </c>
      <c r="C419" s="37" t="s">
        <v>285</v>
      </c>
      <c r="D419" s="37" t="s">
        <v>138</v>
      </c>
      <c r="E419" s="37" t="s">
        <v>466</v>
      </c>
      <c r="F419" s="38" t="s">
        <v>471</v>
      </c>
    </row>
    <row r="420" spans="1:6">
      <c r="A420" s="35">
        <v>19392</v>
      </c>
      <c r="B420" s="37" t="s">
        <v>853</v>
      </c>
      <c r="C420" s="37" t="s">
        <v>285</v>
      </c>
      <c r="D420" s="37" t="s">
        <v>138</v>
      </c>
      <c r="E420" s="37" t="s">
        <v>466</v>
      </c>
      <c r="F420" s="38" t="s">
        <v>471</v>
      </c>
    </row>
    <row r="421" spans="1:6">
      <c r="A421" s="35">
        <v>19418</v>
      </c>
      <c r="B421" s="37" t="s">
        <v>854</v>
      </c>
      <c r="C421" s="37" t="s">
        <v>285</v>
      </c>
      <c r="D421" s="37" t="s">
        <v>138</v>
      </c>
      <c r="E421" s="37" t="s">
        <v>466</v>
      </c>
      <c r="F421" s="38" t="s">
        <v>467</v>
      </c>
    </row>
    <row r="422" spans="1:6">
      <c r="A422" s="35">
        <v>19450</v>
      </c>
      <c r="B422" s="37" t="s">
        <v>855</v>
      </c>
      <c r="C422" s="37" t="s">
        <v>285</v>
      </c>
      <c r="D422" s="37" t="s">
        <v>138</v>
      </c>
      <c r="E422" s="37" t="s">
        <v>466</v>
      </c>
      <c r="F422" s="38" t="s">
        <v>467</v>
      </c>
    </row>
    <row r="423" spans="1:6">
      <c r="A423" s="35">
        <v>19455</v>
      </c>
      <c r="B423" s="37" t="s">
        <v>856</v>
      </c>
      <c r="C423" s="37" t="s">
        <v>285</v>
      </c>
      <c r="D423" s="37" t="s">
        <v>138</v>
      </c>
      <c r="E423" s="37" t="s">
        <v>466</v>
      </c>
      <c r="F423" s="38" t="s">
        <v>471</v>
      </c>
    </row>
    <row r="424" spans="1:6">
      <c r="A424" s="35">
        <v>19513</v>
      </c>
      <c r="B424" s="37" t="s">
        <v>857</v>
      </c>
      <c r="C424" s="37" t="s">
        <v>285</v>
      </c>
      <c r="D424" s="37" t="s">
        <v>138</v>
      </c>
      <c r="E424" s="37" t="s">
        <v>466</v>
      </c>
      <c r="F424" s="38" t="s">
        <v>469</v>
      </c>
    </row>
    <row r="425" spans="1:6">
      <c r="A425" s="35">
        <v>19532</v>
      </c>
      <c r="B425" s="37" t="s">
        <v>858</v>
      </c>
      <c r="C425" s="37" t="s">
        <v>285</v>
      </c>
      <c r="D425" s="37" t="s">
        <v>138</v>
      </c>
      <c r="E425" s="37" t="s">
        <v>466</v>
      </c>
      <c r="F425" s="38" t="s">
        <v>467</v>
      </c>
    </row>
    <row r="426" spans="1:6">
      <c r="A426" s="35">
        <v>19533</v>
      </c>
      <c r="B426" s="37" t="s">
        <v>859</v>
      </c>
      <c r="C426" s="37" t="s">
        <v>285</v>
      </c>
      <c r="D426" s="37" t="s">
        <v>338</v>
      </c>
      <c r="E426" s="37" t="s">
        <v>625</v>
      </c>
      <c r="F426" s="38" t="s">
        <v>454</v>
      </c>
    </row>
    <row r="427" spans="1:6">
      <c r="A427" s="35">
        <v>19548</v>
      </c>
      <c r="B427" s="37" t="s">
        <v>860</v>
      </c>
      <c r="C427" s="37" t="s">
        <v>285</v>
      </c>
      <c r="D427" s="37" t="s">
        <v>138</v>
      </c>
      <c r="E427" s="37" t="s">
        <v>466</v>
      </c>
      <c r="F427" s="38" t="s">
        <v>471</v>
      </c>
    </row>
    <row r="428" spans="1:6">
      <c r="A428" s="35">
        <v>19001</v>
      </c>
      <c r="B428" s="37" t="s">
        <v>861</v>
      </c>
      <c r="C428" s="37" t="s">
        <v>285</v>
      </c>
      <c r="D428" s="37" t="s">
        <v>138</v>
      </c>
      <c r="E428" s="37" t="s">
        <v>466</v>
      </c>
      <c r="F428" s="38" t="s">
        <v>471</v>
      </c>
    </row>
    <row r="429" spans="1:6">
      <c r="A429" s="35">
        <v>19573</v>
      </c>
      <c r="B429" s="37" t="s">
        <v>862</v>
      </c>
      <c r="C429" s="37" t="s">
        <v>285</v>
      </c>
      <c r="D429" s="37" t="s">
        <v>138</v>
      </c>
      <c r="E429" s="37" t="s">
        <v>466</v>
      </c>
      <c r="F429" s="38" t="s">
        <v>469</v>
      </c>
    </row>
    <row r="430" spans="1:6">
      <c r="A430" s="35">
        <v>19585</v>
      </c>
      <c r="B430" s="37" t="s">
        <v>863</v>
      </c>
      <c r="C430" s="37" t="s">
        <v>285</v>
      </c>
      <c r="D430" s="37" t="s">
        <v>138</v>
      </c>
      <c r="E430" s="37" t="s">
        <v>466</v>
      </c>
      <c r="F430" s="38" t="s">
        <v>467</v>
      </c>
    </row>
    <row r="431" spans="1:6">
      <c r="A431" s="35">
        <v>19622</v>
      </c>
      <c r="B431" s="37" t="s">
        <v>864</v>
      </c>
      <c r="C431" s="37" t="s">
        <v>285</v>
      </c>
      <c r="D431" s="37" t="s">
        <v>138</v>
      </c>
      <c r="E431" s="37" t="s">
        <v>466</v>
      </c>
      <c r="F431" s="38" t="s">
        <v>471</v>
      </c>
    </row>
    <row r="432" spans="1:6">
      <c r="A432" s="35">
        <v>19693</v>
      </c>
      <c r="B432" s="37" t="s">
        <v>865</v>
      </c>
      <c r="C432" s="37" t="s">
        <v>285</v>
      </c>
      <c r="D432" s="37" t="s">
        <v>138</v>
      </c>
      <c r="E432" s="37" t="s">
        <v>466</v>
      </c>
      <c r="F432" s="38" t="s">
        <v>467</v>
      </c>
    </row>
    <row r="433" spans="1:6">
      <c r="A433" s="35">
        <v>19698</v>
      </c>
      <c r="B433" s="37" t="s">
        <v>286</v>
      </c>
      <c r="C433" s="37" t="s">
        <v>285</v>
      </c>
      <c r="D433" s="37" t="s">
        <v>138</v>
      </c>
      <c r="E433" s="37" t="s">
        <v>466</v>
      </c>
      <c r="F433" s="38" t="s">
        <v>469</v>
      </c>
    </row>
    <row r="434" spans="1:6">
      <c r="A434" s="35">
        <v>19743</v>
      </c>
      <c r="B434" s="37" t="s">
        <v>866</v>
      </c>
      <c r="C434" s="37" t="s">
        <v>285</v>
      </c>
      <c r="D434" s="37" t="s">
        <v>138</v>
      </c>
      <c r="E434" s="37" t="s">
        <v>466</v>
      </c>
      <c r="F434" s="38" t="s">
        <v>471</v>
      </c>
    </row>
    <row r="435" spans="1:6">
      <c r="A435" s="35">
        <v>19760</v>
      </c>
      <c r="B435" s="37" t="s">
        <v>867</v>
      </c>
      <c r="C435" s="37" t="s">
        <v>285</v>
      </c>
      <c r="D435" s="37" t="s">
        <v>138</v>
      </c>
      <c r="E435" s="37" t="s">
        <v>466</v>
      </c>
      <c r="F435" s="38" t="s">
        <v>471</v>
      </c>
    </row>
    <row r="436" spans="1:6">
      <c r="A436" s="35">
        <v>19807</v>
      </c>
      <c r="B436" s="37" t="s">
        <v>868</v>
      </c>
      <c r="C436" s="37" t="s">
        <v>285</v>
      </c>
      <c r="D436" s="37" t="s">
        <v>138</v>
      </c>
      <c r="E436" s="37" t="s">
        <v>466</v>
      </c>
      <c r="F436" s="38" t="s">
        <v>471</v>
      </c>
    </row>
    <row r="437" spans="1:6">
      <c r="A437" s="35">
        <v>19809</v>
      </c>
      <c r="B437" s="37" t="s">
        <v>869</v>
      </c>
      <c r="C437" s="37" t="s">
        <v>285</v>
      </c>
      <c r="D437" s="37" t="s">
        <v>138</v>
      </c>
      <c r="E437" s="37" t="s">
        <v>453</v>
      </c>
      <c r="F437" s="38" t="s">
        <v>454</v>
      </c>
    </row>
    <row r="438" spans="1:6">
      <c r="A438" s="35">
        <v>19821</v>
      </c>
      <c r="B438" s="37" t="s">
        <v>870</v>
      </c>
      <c r="C438" s="37" t="s">
        <v>285</v>
      </c>
      <c r="D438" s="37" t="s">
        <v>138</v>
      </c>
      <c r="E438" s="37" t="s">
        <v>466</v>
      </c>
      <c r="F438" s="38" t="s">
        <v>471</v>
      </c>
    </row>
    <row r="439" spans="1:6">
      <c r="A439" s="35">
        <v>19824</v>
      </c>
      <c r="B439" s="37" t="s">
        <v>871</v>
      </c>
      <c r="C439" s="37" t="s">
        <v>285</v>
      </c>
      <c r="D439" s="37" t="s">
        <v>138</v>
      </c>
      <c r="E439" s="37" t="s">
        <v>466</v>
      </c>
      <c r="F439" s="38" t="s">
        <v>471</v>
      </c>
    </row>
    <row r="440" spans="1:6">
      <c r="A440" s="35">
        <v>19845</v>
      </c>
      <c r="B440" s="37" t="s">
        <v>872</v>
      </c>
      <c r="C440" s="37" t="s">
        <v>285</v>
      </c>
      <c r="D440" s="37" t="s">
        <v>138</v>
      </c>
      <c r="E440" s="37" t="s">
        <v>466</v>
      </c>
      <c r="F440" s="38" t="s">
        <v>467</v>
      </c>
    </row>
    <row r="441" spans="1:6">
      <c r="A441" s="35">
        <v>20621</v>
      </c>
      <c r="B441" s="36" t="s">
        <v>873</v>
      </c>
      <c r="C441" s="37" t="s">
        <v>874</v>
      </c>
      <c r="D441" s="37" t="s">
        <v>622</v>
      </c>
      <c r="E441" s="37" t="s">
        <v>466</v>
      </c>
      <c r="F441" s="38" t="s">
        <v>469</v>
      </c>
    </row>
    <row r="442" spans="1:6">
      <c r="A442" s="35">
        <v>20443</v>
      </c>
      <c r="B442" s="36" t="s">
        <v>875</v>
      </c>
      <c r="C442" s="37" t="s">
        <v>874</v>
      </c>
      <c r="D442" s="37" t="s">
        <v>622</v>
      </c>
      <c r="E442" s="37" t="s">
        <v>466</v>
      </c>
      <c r="F442" s="38" t="s">
        <v>469</v>
      </c>
    </row>
    <row r="443" spans="1:6">
      <c r="A443" s="35">
        <v>20770</v>
      </c>
      <c r="B443" s="36" t="s">
        <v>876</v>
      </c>
      <c r="C443" s="37" t="s">
        <v>874</v>
      </c>
      <c r="D443" s="37" t="s">
        <v>172</v>
      </c>
      <c r="E443" s="37" t="s">
        <v>466</v>
      </c>
      <c r="F443" s="38" t="s">
        <v>471</v>
      </c>
    </row>
    <row r="444" spans="1:6">
      <c r="A444" s="35">
        <v>20011</v>
      </c>
      <c r="B444" s="37" t="s">
        <v>877</v>
      </c>
      <c r="C444" s="37" t="s">
        <v>874</v>
      </c>
      <c r="D444" s="37" t="s">
        <v>622</v>
      </c>
      <c r="E444" s="37" t="s">
        <v>466</v>
      </c>
      <c r="F444" s="38" t="s">
        <v>467</v>
      </c>
    </row>
    <row r="445" spans="1:6">
      <c r="A445" s="35">
        <v>20013</v>
      </c>
      <c r="B445" s="37" t="s">
        <v>878</v>
      </c>
      <c r="C445" s="37" t="s">
        <v>874</v>
      </c>
      <c r="D445" s="37" t="s">
        <v>622</v>
      </c>
      <c r="E445" s="37" t="s">
        <v>466</v>
      </c>
      <c r="F445" s="38" t="s">
        <v>469</v>
      </c>
    </row>
    <row r="446" spans="1:6">
      <c r="A446" s="35">
        <v>20032</v>
      </c>
      <c r="B446" s="37" t="s">
        <v>879</v>
      </c>
      <c r="C446" s="37" t="s">
        <v>874</v>
      </c>
      <c r="D446" s="37" t="s">
        <v>622</v>
      </c>
      <c r="E446" s="37" t="s">
        <v>466</v>
      </c>
      <c r="F446" s="38" t="s">
        <v>471</v>
      </c>
    </row>
    <row r="447" spans="1:6">
      <c r="A447" s="35">
        <v>20045</v>
      </c>
      <c r="B447" s="37" t="s">
        <v>880</v>
      </c>
      <c r="C447" s="37" t="s">
        <v>874</v>
      </c>
      <c r="D447" s="37" t="s">
        <v>622</v>
      </c>
      <c r="E447" s="37" t="s">
        <v>466</v>
      </c>
      <c r="F447" s="38" t="s">
        <v>469</v>
      </c>
    </row>
    <row r="448" spans="1:6">
      <c r="A448" s="35">
        <v>20060</v>
      </c>
      <c r="B448" s="37" t="s">
        <v>881</v>
      </c>
      <c r="C448" s="37" t="s">
        <v>874</v>
      </c>
      <c r="D448" s="37" t="s">
        <v>622</v>
      </c>
      <c r="E448" s="37" t="s">
        <v>466</v>
      </c>
      <c r="F448" s="38" t="s">
        <v>469</v>
      </c>
    </row>
    <row r="449" spans="1:6">
      <c r="A449" s="35">
        <v>20175</v>
      </c>
      <c r="B449" s="37" t="s">
        <v>882</v>
      </c>
      <c r="C449" s="37" t="s">
        <v>874</v>
      </c>
      <c r="D449" s="37" t="s">
        <v>622</v>
      </c>
      <c r="E449" s="37" t="s">
        <v>466</v>
      </c>
      <c r="F449" s="38" t="s">
        <v>467</v>
      </c>
    </row>
    <row r="450" spans="1:6">
      <c r="A450" s="35">
        <v>20178</v>
      </c>
      <c r="B450" s="37" t="s">
        <v>883</v>
      </c>
      <c r="C450" s="37" t="s">
        <v>874</v>
      </c>
      <c r="D450" s="37" t="s">
        <v>622</v>
      </c>
      <c r="E450" s="37" t="s">
        <v>466</v>
      </c>
      <c r="F450" s="38" t="s">
        <v>471</v>
      </c>
    </row>
    <row r="451" spans="1:6">
      <c r="A451" s="35">
        <v>20228</v>
      </c>
      <c r="B451" s="37" t="s">
        <v>884</v>
      </c>
      <c r="C451" s="37" t="s">
        <v>874</v>
      </c>
      <c r="D451" s="37" t="s">
        <v>622</v>
      </c>
      <c r="E451" s="37" t="s">
        <v>466</v>
      </c>
      <c r="F451" s="38" t="s">
        <v>471</v>
      </c>
    </row>
    <row r="452" spans="1:6">
      <c r="A452" s="35">
        <v>20238</v>
      </c>
      <c r="B452" s="37" t="s">
        <v>885</v>
      </c>
      <c r="C452" s="37" t="s">
        <v>874</v>
      </c>
      <c r="D452" s="37" t="s">
        <v>622</v>
      </c>
      <c r="E452" s="37" t="s">
        <v>466</v>
      </c>
      <c r="F452" s="38" t="s">
        <v>469</v>
      </c>
    </row>
    <row r="453" spans="1:6">
      <c r="A453" s="35">
        <v>20250</v>
      </c>
      <c r="B453" s="37" t="s">
        <v>886</v>
      </c>
      <c r="C453" s="37" t="s">
        <v>874</v>
      </c>
      <c r="D453" s="37" t="s">
        <v>622</v>
      </c>
      <c r="E453" s="37" t="s">
        <v>466</v>
      </c>
      <c r="F453" s="38" t="s">
        <v>471</v>
      </c>
    </row>
    <row r="454" spans="1:6">
      <c r="A454" s="35">
        <v>20295</v>
      </c>
      <c r="B454" s="37" t="s">
        <v>887</v>
      </c>
      <c r="C454" s="37" t="s">
        <v>874</v>
      </c>
      <c r="D454" s="37" t="s">
        <v>622</v>
      </c>
      <c r="E454" s="37" t="s">
        <v>466</v>
      </c>
      <c r="F454" s="38" t="s">
        <v>467</v>
      </c>
    </row>
    <row r="455" spans="1:6">
      <c r="A455" s="35">
        <v>20310</v>
      </c>
      <c r="B455" s="37" t="s">
        <v>888</v>
      </c>
      <c r="C455" s="37" t="s">
        <v>874</v>
      </c>
      <c r="D455" s="37" t="s">
        <v>622</v>
      </c>
      <c r="E455" s="37" t="s">
        <v>466</v>
      </c>
      <c r="F455" s="38" t="s">
        <v>467</v>
      </c>
    </row>
    <row r="456" spans="1:6">
      <c r="A456" s="35">
        <v>20383</v>
      </c>
      <c r="B456" s="37" t="s">
        <v>889</v>
      </c>
      <c r="C456" s="37" t="s">
        <v>874</v>
      </c>
      <c r="D456" s="37" t="s">
        <v>622</v>
      </c>
      <c r="E456" s="37" t="s">
        <v>466</v>
      </c>
      <c r="F456" s="38" t="s">
        <v>467</v>
      </c>
    </row>
    <row r="457" spans="1:6">
      <c r="A457" s="35">
        <v>20400</v>
      </c>
      <c r="B457" s="37" t="s">
        <v>890</v>
      </c>
      <c r="C457" s="37" t="s">
        <v>874</v>
      </c>
      <c r="D457" s="37" t="s">
        <v>622</v>
      </c>
      <c r="E457" s="37" t="s">
        <v>466</v>
      </c>
      <c r="F457" s="38" t="s">
        <v>471</v>
      </c>
    </row>
    <row r="458" spans="1:6">
      <c r="A458" s="35">
        <v>20517</v>
      </c>
      <c r="B458" s="37" t="s">
        <v>891</v>
      </c>
      <c r="C458" s="37" t="s">
        <v>874</v>
      </c>
      <c r="D458" s="37" t="s">
        <v>622</v>
      </c>
      <c r="E458" s="37" t="s">
        <v>466</v>
      </c>
      <c r="F458" s="38" t="s">
        <v>467</v>
      </c>
    </row>
    <row r="459" spans="1:6">
      <c r="A459" s="35">
        <v>20550</v>
      </c>
      <c r="B459" s="37" t="s">
        <v>892</v>
      </c>
      <c r="C459" s="37" t="s">
        <v>874</v>
      </c>
      <c r="D459" s="37" t="s">
        <v>622</v>
      </c>
      <c r="E459" s="37" t="s">
        <v>466</v>
      </c>
      <c r="F459" s="38" t="s">
        <v>467</v>
      </c>
    </row>
    <row r="460" spans="1:6">
      <c r="A460" s="35">
        <v>20570</v>
      </c>
      <c r="B460" s="37" t="s">
        <v>893</v>
      </c>
      <c r="C460" s="37" t="s">
        <v>874</v>
      </c>
      <c r="D460" s="37" t="s">
        <v>622</v>
      </c>
      <c r="E460" s="37" t="s">
        <v>466</v>
      </c>
      <c r="F460" s="38" t="s">
        <v>471</v>
      </c>
    </row>
    <row r="461" spans="1:6">
      <c r="A461" s="35">
        <v>20614</v>
      </c>
      <c r="B461" s="37" t="s">
        <v>894</v>
      </c>
      <c r="C461" s="37" t="s">
        <v>874</v>
      </c>
      <c r="D461" s="37" t="s">
        <v>622</v>
      </c>
      <c r="E461" s="37" t="s">
        <v>466</v>
      </c>
      <c r="F461" s="38" t="s">
        <v>467</v>
      </c>
    </row>
    <row r="462" spans="1:6">
      <c r="A462" s="35">
        <v>20710</v>
      </c>
      <c r="B462" s="37" t="s">
        <v>895</v>
      </c>
      <c r="C462" s="37" t="s">
        <v>874</v>
      </c>
      <c r="D462" s="37" t="s">
        <v>172</v>
      </c>
      <c r="E462" s="37" t="s">
        <v>466</v>
      </c>
      <c r="F462" s="38" t="s">
        <v>471</v>
      </c>
    </row>
    <row r="463" spans="1:6">
      <c r="A463" s="35">
        <v>20750</v>
      </c>
      <c r="B463" s="37" t="s">
        <v>896</v>
      </c>
      <c r="C463" s="37" t="s">
        <v>874</v>
      </c>
      <c r="D463" s="37" t="s">
        <v>622</v>
      </c>
      <c r="E463" s="37" t="s">
        <v>466</v>
      </c>
      <c r="F463" s="38" t="s">
        <v>469</v>
      </c>
    </row>
    <row r="464" spans="1:6">
      <c r="A464" s="35">
        <v>20787</v>
      </c>
      <c r="B464" s="37" t="s">
        <v>897</v>
      </c>
      <c r="C464" s="37" t="s">
        <v>874</v>
      </c>
      <c r="D464" s="37" t="s">
        <v>622</v>
      </c>
      <c r="E464" s="37" t="s">
        <v>466</v>
      </c>
      <c r="F464" s="38" t="s">
        <v>467</v>
      </c>
    </row>
    <row r="465" spans="1:6">
      <c r="A465" s="35">
        <v>20001</v>
      </c>
      <c r="B465" s="37" t="s">
        <v>622</v>
      </c>
      <c r="C465" s="37" t="s">
        <v>874</v>
      </c>
      <c r="D465" s="37" t="s">
        <v>622</v>
      </c>
      <c r="E465" s="37" t="s">
        <v>466</v>
      </c>
      <c r="F465" s="38" t="s">
        <v>474</v>
      </c>
    </row>
    <row r="466" spans="1:6">
      <c r="A466" s="35">
        <v>27615</v>
      </c>
      <c r="B466" s="36" t="s">
        <v>782</v>
      </c>
      <c r="C466" s="37" t="s">
        <v>114</v>
      </c>
      <c r="D466" s="37" t="s">
        <v>128</v>
      </c>
      <c r="E466" s="37" t="s">
        <v>625</v>
      </c>
      <c r="F466" s="38" t="s">
        <v>454</v>
      </c>
    </row>
    <row r="467" spans="1:6">
      <c r="A467" s="35">
        <v>27006</v>
      </c>
      <c r="B467" s="37" t="s">
        <v>898</v>
      </c>
      <c r="C467" s="37" t="s">
        <v>114</v>
      </c>
      <c r="D467" s="37" t="s">
        <v>128</v>
      </c>
      <c r="E467" s="37" t="s">
        <v>453</v>
      </c>
      <c r="F467" s="38" t="s">
        <v>454</v>
      </c>
    </row>
    <row r="468" spans="1:6">
      <c r="A468" s="35">
        <v>27025</v>
      </c>
      <c r="B468" s="37" t="s">
        <v>899</v>
      </c>
      <c r="C468" s="37" t="s">
        <v>114</v>
      </c>
      <c r="D468" s="37" t="s">
        <v>111</v>
      </c>
      <c r="E468" s="37" t="s">
        <v>453</v>
      </c>
      <c r="F468" s="38" t="s">
        <v>454</v>
      </c>
    </row>
    <row r="469" spans="1:6">
      <c r="A469" s="35">
        <v>27050</v>
      </c>
      <c r="B469" s="37" t="s">
        <v>900</v>
      </c>
      <c r="C469" s="37" t="s">
        <v>114</v>
      </c>
      <c r="D469" s="37" t="s">
        <v>128</v>
      </c>
      <c r="E469" s="37" t="s">
        <v>818</v>
      </c>
      <c r="F469" s="38" t="s">
        <v>454</v>
      </c>
    </row>
    <row r="470" spans="1:6">
      <c r="A470" s="35">
        <v>27073</v>
      </c>
      <c r="B470" s="37" t="s">
        <v>901</v>
      </c>
      <c r="C470" s="37" t="s">
        <v>114</v>
      </c>
      <c r="D470" s="37" t="s">
        <v>111</v>
      </c>
      <c r="E470" s="37" t="s">
        <v>453</v>
      </c>
      <c r="F470" s="38" t="s">
        <v>454</v>
      </c>
    </row>
    <row r="471" spans="1:6">
      <c r="A471" s="35">
        <v>27075</v>
      </c>
      <c r="B471" s="37" t="s">
        <v>902</v>
      </c>
      <c r="C471" s="37" t="s">
        <v>114</v>
      </c>
      <c r="D471" s="37" t="s">
        <v>111</v>
      </c>
      <c r="E471" s="37" t="s">
        <v>453</v>
      </c>
      <c r="F471" s="38" t="s">
        <v>454</v>
      </c>
    </row>
    <row r="472" spans="1:6">
      <c r="A472" s="35">
        <v>27077</v>
      </c>
      <c r="B472" s="37" t="s">
        <v>903</v>
      </c>
      <c r="C472" s="37" t="s">
        <v>114</v>
      </c>
      <c r="D472" s="37" t="s">
        <v>128</v>
      </c>
      <c r="E472" s="37" t="s">
        <v>453</v>
      </c>
      <c r="F472" s="38" t="s">
        <v>454</v>
      </c>
    </row>
    <row r="473" spans="1:6">
      <c r="A473" s="35">
        <v>27086</v>
      </c>
      <c r="B473" s="37" t="s">
        <v>904</v>
      </c>
      <c r="C473" s="37" t="s">
        <v>114</v>
      </c>
      <c r="D473" s="37" t="s">
        <v>128</v>
      </c>
      <c r="E473" s="37" t="s">
        <v>466</v>
      </c>
      <c r="F473" s="38" t="s">
        <v>467</v>
      </c>
    </row>
    <row r="474" spans="1:6">
      <c r="A474" s="35">
        <v>27099</v>
      </c>
      <c r="B474" s="37" t="s">
        <v>905</v>
      </c>
      <c r="C474" s="37" t="s">
        <v>114</v>
      </c>
      <c r="D474" s="37" t="s">
        <v>111</v>
      </c>
      <c r="E474" s="37" t="s">
        <v>453</v>
      </c>
      <c r="F474" s="38" t="s">
        <v>454</v>
      </c>
    </row>
    <row r="475" spans="1:6">
      <c r="A475" s="35">
        <v>27150</v>
      </c>
      <c r="B475" s="37" t="s">
        <v>906</v>
      </c>
      <c r="C475" s="37" t="s">
        <v>114</v>
      </c>
      <c r="D475" s="37" t="s">
        <v>128</v>
      </c>
      <c r="E475" s="37" t="s">
        <v>466</v>
      </c>
      <c r="F475" s="38" t="s">
        <v>467</v>
      </c>
    </row>
    <row r="476" spans="1:6">
      <c r="A476" s="35">
        <v>27160</v>
      </c>
      <c r="B476" s="37" t="s">
        <v>907</v>
      </c>
      <c r="C476" s="37" t="s">
        <v>114</v>
      </c>
      <c r="D476" s="37" t="s">
        <v>128</v>
      </c>
      <c r="E476" s="37" t="s">
        <v>466</v>
      </c>
      <c r="F476" s="38" t="s">
        <v>467</v>
      </c>
    </row>
    <row r="477" spans="1:6">
      <c r="A477" s="35">
        <v>27205</v>
      </c>
      <c r="B477" s="37" t="s">
        <v>908</v>
      </c>
      <c r="C477" s="37" t="s">
        <v>114</v>
      </c>
      <c r="D477" s="37" t="s">
        <v>111</v>
      </c>
      <c r="E477" s="37" t="s">
        <v>453</v>
      </c>
      <c r="F477" s="38" t="s">
        <v>454</v>
      </c>
    </row>
    <row r="478" spans="1:6">
      <c r="A478" s="35">
        <v>27135</v>
      </c>
      <c r="B478" s="37" t="s">
        <v>909</v>
      </c>
      <c r="C478" s="37" t="s">
        <v>114</v>
      </c>
      <c r="D478" s="37" t="s">
        <v>128</v>
      </c>
      <c r="E478" s="37" t="s">
        <v>466</v>
      </c>
      <c r="F478" s="38" t="s">
        <v>467</v>
      </c>
    </row>
    <row r="479" spans="1:6">
      <c r="A479" s="35">
        <v>27245</v>
      </c>
      <c r="B479" s="37" t="s">
        <v>910</v>
      </c>
      <c r="C479" s="37" t="s">
        <v>114</v>
      </c>
      <c r="D479" s="37" t="s">
        <v>111</v>
      </c>
      <c r="E479" s="37" t="s">
        <v>466</v>
      </c>
      <c r="F479" s="38" t="s">
        <v>467</v>
      </c>
    </row>
    <row r="480" spans="1:6">
      <c r="A480" s="35">
        <v>27250</v>
      </c>
      <c r="B480" s="37" t="s">
        <v>911</v>
      </c>
      <c r="C480" s="37" t="s">
        <v>114</v>
      </c>
      <c r="D480" s="37" t="s">
        <v>138</v>
      </c>
      <c r="E480" s="37" t="s">
        <v>912</v>
      </c>
      <c r="F480" s="38" t="s">
        <v>454</v>
      </c>
    </row>
    <row r="481" spans="1:6">
      <c r="A481" s="35">
        <v>27361</v>
      </c>
      <c r="B481" s="37" t="s">
        <v>115</v>
      </c>
      <c r="C481" s="37" t="s">
        <v>114</v>
      </c>
      <c r="D481" s="37" t="s">
        <v>111</v>
      </c>
      <c r="E481" s="37" t="s">
        <v>453</v>
      </c>
      <c r="F481" s="38" t="s">
        <v>454</v>
      </c>
    </row>
    <row r="482" spans="1:6">
      <c r="A482" s="35">
        <v>27372</v>
      </c>
      <c r="B482" s="37" t="s">
        <v>913</v>
      </c>
      <c r="C482" s="37" t="s">
        <v>114</v>
      </c>
      <c r="D482" s="37" t="s">
        <v>128</v>
      </c>
      <c r="E482" s="37" t="s">
        <v>547</v>
      </c>
      <c r="F482" s="38" t="s">
        <v>454</v>
      </c>
    </row>
    <row r="483" spans="1:6">
      <c r="A483" s="35">
        <v>27413</v>
      </c>
      <c r="B483" s="37" t="s">
        <v>914</v>
      </c>
      <c r="C483" s="37" t="s">
        <v>114</v>
      </c>
      <c r="D483" s="37" t="s">
        <v>128</v>
      </c>
      <c r="E483" s="37" t="s">
        <v>466</v>
      </c>
      <c r="F483" s="38" t="s">
        <v>467</v>
      </c>
    </row>
    <row r="484" spans="1:6">
      <c r="A484" s="35">
        <v>27425</v>
      </c>
      <c r="B484" s="37" t="s">
        <v>915</v>
      </c>
      <c r="C484" s="37" t="s">
        <v>114</v>
      </c>
      <c r="D484" s="37" t="s">
        <v>128</v>
      </c>
      <c r="E484" s="37" t="s">
        <v>466</v>
      </c>
      <c r="F484" s="38" t="s">
        <v>467</v>
      </c>
    </row>
    <row r="485" spans="1:6">
      <c r="A485" s="35">
        <v>27430</v>
      </c>
      <c r="B485" s="37" t="s">
        <v>916</v>
      </c>
      <c r="C485" s="37" t="s">
        <v>114</v>
      </c>
      <c r="D485" s="37" t="s">
        <v>128</v>
      </c>
      <c r="E485" s="37" t="s">
        <v>466</v>
      </c>
      <c r="F485" s="38" t="s">
        <v>467</v>
      </c>
    </row>
    <row r="486" spans="1:6">
      <c r="A486" s="35">
        <v>27450</v>
      </c>
      <c r="B486" s="37" t="s">
        <v>917</v>
      </c>
      <c r="C486" s="37" t="s">
        <v>114</v>
      </c>
      <c r="D486" s="37" t="s">
        <v>128</v>
      </c>
      <c r="E486" s="37" t="s">
        <v>466</v>
      </c>
      <c r="F486" s="38" t="s">
        <v>467</v>
      </c>
    </row>
    <row r="487" spans="1:6">
      <c r="A487" s="35">
        <v>27491</v>
      </c>
      <c r="B487" s="37" t="s">
        <v>918</v>
      </c>
      <c r="C487" s="37" t="s">
        <v>114</v>
      </c>
      <c r="D487" s="37" t="s">
        <v>111</v>
      </c>
      <c r="E487" s="37" t="s">
        <v>453</v>
      </c>
      <c r="F487" s="38" t="s">
        <v>454</v>
      </c>
    </row>
    <row r="488" spans="1:6">
      <c r="A488" s="35">
        <v>27495</v>
      </c>
      <c r="B488" s="37" t="s">
        <v>919</v>
      </c>
      <c r="C488" s="37" t="s">
        <v>114</v>
      </c>
      <c r="D488" s="37" t="s">
        <v>111</v>
      </c>
      <c r="E488" s="37" t="s">
        <v>453</v>
      </c>
      <c r="F488" s="38" t="s">
        <v>454</v>
      </c>
    </row>
    <row r="489" spans="1:6">
      <c r="A489" s="35">
        <v>27001</v>
      </c>
      <c r="B489" s="37" t="s">
        <v>920</v>
      </c>
      <c r="C489" s="37" t="s">
        <v>114</v>
      </c>
      <c r="D489" s="37" t="s">
        <v>111</v>
      </c>
      <c r="E489" s="37" t="s">
        <v>453</v>
      </c>
      <c r="F489" s="38" t="s">
        <v>454</v>
      </c>
    </row>
    <row r="490" spans="1:6">
      <c r="A490" s="35">
        <v>27580</v>
      </c>
      <c r="B490" s="37" t="s">
        <v>921</v>
      </c>
      <c r="C490" s="37" t="s">
        <v>114</v>
      </c>
      <c r="D490" s="37" t="s">
        <v>128</v>
      </c>
      <c r="E490" s="37" t="s">
        <v>466</v>
      </c>
      <c r="F490" s="38" t="s">
        <v>467</v>
      </c>
    </row>
    <row r="491" spans="1:6">
      <c r="A491" s="35">
        <v>27600</v>
      </c>
      <c r="B491" s="37" t="s">
        <v>922</v>
      </c>
      <c r="C491" s="37" t="s">
        <v>114</v>
      </c>
      <c r="D491" s="37" t="s">
        <v>111</v>
      </c>
      <c r="E491" s="37" t="s">
        <v>453</v>
      </c>
      <c r="F491" s="38" t="s">
        <v>454</v>
      </c>
    </row>
    <row r="492" spans="1:6">
      <c r="A492" s="35">
        <v>27660</v>
      </c>
      <c r="B492" s="37" t="s">
        <v>923</v>
      </c>
      <c r="C492" s="37" t="s">
        <v>114</v>
      </c>
      <c r="D492" s="37" t="s">
        <v>195</v>
      </c>
      <c r="E492" s="37" t="s">
        <v>466</v>
      </c>
      <c r="F492" s="38" t="s">
        <v>467</v>
      </c>
    </row>
    <row r="493" spans="1:6">
      <c r="A493" s="35">
        <v>27745</v>
      </c>
      <c r="B493" s="37" t="s">
        <v>924</v>
      </c>
      <c r="C493" s="37" t="s">
        <v>114</v>
      </c>
      <c r="D493" s="37" t="s">
        <v>111</v>
      </c>
      <c r="E493" s="37" t="s">
        <v>453</v>
      </c>
      <c r="F493" s="38" t="s">
        <v>454</v>
      </c>
    </row>
    <row r="494" spans="1:6">
      <c r="A494" s="35">
        <v>27787</v>
      </c>
      <c r="B494" s="37" t="s">
        <v>925</v>
      </c>
      <c r="C494" s="37" t="s">
        <v>114</v>
      </c>
      <c r="D494" s="37" t="s">
        <v>111</v>
      </c>
      <c r="E494" s="37" t="s">
        <v>453</v>
      </c>
      <c r="F494" s="38" t="s">
        <v>454</v>
      </c>
    </row>
    <row r="495" spans="1:6">
      <c r="A495" s="35">
        <v>27800</v>
      </c>
      <c r="B495" s="37" t="s">
        <v>926</v>
      </c>
      <c r="C495" s="37" t="s">
        <v>114</v>
      </c>
      <c r="D495" s="37" t="s">
        <v>128</v>
      </c>
      <c r="E495" s="37" t="s">
        <v>547</v>
      </c>
      <c r="F495" s="38" t="s">
        <v>454</v>
      </c>
    </row>
    <row r="496" spans="1:6">
      <c r="A496" s="35">
        <v>27810</v>
      </c>
      <c r="B496" s="37" t="s">
        <v>927</v>
      </c>
      <c r="C496" s="37" t="s">
        <v>114</v>
      </c>
      <c r="D496" s="37" t="s">
        <v>128</v>
      </c>
      <c r="E496" s="37" t="s">
        <v>466</v>
      </c>
      <c r="F496" s="38" t="s">
        <v>467</v>
      </c>
    </row>
    <row r="497" spans="1:6">
      <c r="A497" s="35">
        <v>23079</v>
      </c>
      <c r="B497" s="36" t="s">
        <v>667</v>
      </c>
      <c r="C497" s="37" t="s">
        <v>620</v>
      </c>
      <c r="D497" s="37" t="s">
        <v>500</v>
      </c>
      <c r="E497" s="37" t="s">
        <v>466</v>
      </c>
      <c r="F497" s="38" t="s">
        <v>469</v>
      </c>
    </row>
    <row r="498" spans="1:6">
      <c r="A498" s="35">
        <v>23168</v>
      </c>
      <c r="B498" s="36" t="s">
        <v>928</v>
      </c>
      <c r="C498" s="37" t="s">
        <v>620</v>
      </c>
      <c r="D498" s="37" t="s">
        <v>500</v>
      </c>
      <c r="E498" s="37" t="s">
        <v>466</v>
      </c>
      <c r="F498" s="38" t="s">
        <v>471</v>
      </c>
    </row>
    <row r="499" spans="1:6">
      <c r="A499" s="35">
        <v>23678</v>
      </c>
      <c r="B499" s="36" t="s">
        <v>481</v>
      </c>
      <c r="C499" s="37" t="s">
        <v>620</v>
      </c>
      <c r="D499" s="37" t="s">
        <v>500</v>
      </c>
      <c r="E499" s="37" t="s">
        <v>466</v>
      </c>
      <c r="F499" s="38" t="s">
        <v>469</v>
      </c>
    </row>
    <row r="500" spans="1:6">
      <c r="A500" s="35">
        <v>23068</v>
      </c>
      <c r="B500" s="37" t="s">
        <v>929</v>
      </c>
      <c r="C500" s="37" t="s">
        <v>620</v>
      </c>
      <c r="D500" s="37" t="s">
        <v>500</v>
      </c>
      <c r="E500" s="37" t="s">
        <v>466</v>
      </c>
      <c r="F500" s="38" t="s">
        <v>471</v>
      </c>
    </row>
    <row r="501" spans="1:6">
      <c r="A501" s="35">
        <v>23090</v>
      </c>
      <c r="B501" s="37" t="s">
        <v>930</v>
      </c>
      <c r="C501" s="37" t="s">
        <v>620</v>
      </c>
      <c r="D501" s="37" t="s">
        <v>500</v>
      </c>
      <c r="E501" s="37" t="s">
        <v>466</v>
      </c>
      <c r="F501" s="38" t="s">
        <v>469</v>
      </c>
    </row>
    <row r="502" spans="1:6">
      <c r="A502" s="35">
        <v>23162</v>
      </c>
      <c r="B502" s="37" t="s">
        <v>931</v>
      </c>
      <c r="C502" s="37" t="s">
        <v>620</v>
      </c>
      <c r="D502" s="37" t="s">
        <v>500</v>
      </c>
      <c r="E502" s="37" t="s">
        <v>466</v>
      </c>
      <c r="F502" s="38" t="s">
        <v>474</v>
      </c>
    </row>
    <row r="503" spans="1:6">
      <c r="A503" s="35">
        <v>23182</v>
      </c>
      <c r="B503" s="37" t="s">
        <v>932</v>
      </c>
      <c r="C503" s="37" t="s">
        <v>620</v>
      </c>
      <c r="D503" s="37" t="s">
        <v>500</v>
      </c>
      <c r="E503" s="37" t="s">
        <v>466</v>
      </c>
      <c r="F503" s="38" t="s">
        <v>469</v>
      </c>
    </row>
    <row r="504" spans="1:6">
      <c r="A504" s="35">
        <v>23189</v>
      </c>
      <c r="B504" s="37" t="s">
        <v>933</v>
      </c>
      <c r="C504" s="37" t="s">
        <v>620</v>
      </c>
      <c r="D504" s="37" t="s">
        <v>500</v>
      </c>
      <c r="E504" s="37" t="s">
        <v>466</v>
      </c>
      <c r="F504" s="38" t="s">
        <v>469</v>
      </c>
    </row>
    <row r="505" spans="1:6">
      <c r="A505" s="35">
        <v>23300</v>
      </c>
      <c r="B505" s="37" t="s">
        <v>934</v>
      </c>
      <c r="C505" s="37" t="s">
        <v>620</v>
      </c>
      <c r="D505" s="37" t="s">
        <v>500</v>
      </c>
      <c r="E505" s="37" t="s">
        <v>466</v>
      </c>
      <c r="F505" s="38" t="s">
        <v>469</v>
      </c>
    </row>
    <row r="506" spans="1:6">
      <c r="A506" s="35">
        <v>23350</v>
      </c>
      <c r="B506" s="37" t="s">
        <v>935</v>
      </c>
      <c r="C506" s="37" t="s">
        <v>620</v>
      </c>
      <c r="D506" s="37" t="s">
        <v>500</v>
      </c>
      <c r="E506" s="37" t="s">
        <v>466</v>
      </c>
      <c r="F506" s="38" t="s">
        <v>469</v>
      </c>
    </row>
    <row r="507" spans="1:6">
      <c r="A507" s="35">
        <v>23417</v>
      </c>
      <c r="B507" s="37" t="s">
        <v>936</v>
      </c>
      <c r="C507" s="37" t="s">
        <v>620</v>
      </c>
      <c r="D507" s="37" t="s">
        <v>500</v>
      </c>
      <c r="E507" s="37" t="s">
        <v>466</v>
      </c>
      <c r="F507" s="38" t="s">
        <v>469</v>
      </c>
    </row>
    <row r="508" spans="1:6">
      <c r="A508" s="35">
        <v>23419</v>
      </c>
      <c r="B508" s="37" t="s">
        <v>937</v>
      </c>
      <c r="C508" s="37" t="s">
        <v>620</v>
      </c>
      <c r="D508" s="37" t="s">
        <v>500</v>
      </c>
      <c r="E508" s="37" t="s">
        <v>466</v>
      </c>
      <c r="F508" s="38" t="s">
        <v>469</v>
      </c>
    </row>
    <row r="509" spans="1:6">
      <c r="A509" s="35">
        <v>23464</v>
      </c>
      <c r="B509" s="37" t="s">
        <v>938</v>
      </c>
      <c r="C509" s="37" t="s">
        <v>620</v>
      </c>
      <c r="D509" s="37" t="s">
        <v>500</v>
      </c>
      <c r="E509" s="37" t="s">
        <v>466</v>
      </c>
      <c r="F509" s="38" t="s">
        <v>469</v>
      </c>
    </row>
    <row r="510" spans="1:6">
      <c r="A510" s="35">
        <v>23466</v>
      </c>
      <c r="B510" s="37" t="s">
        <v>939</v>
      </c>
      <c r="C510" s="37" t="s">
        <v>620</v>
      </c>
      <c r="D510" s="37" t="s">
        <v>500</v>
      </c>
      <c r="E510" s="37" t="s">
        <v>466</v>
      </c>
      <c r="F510" s="38" t="s">
        <v>467</v>
      </c>
    </row>
    <row r="511" spans="1:6">
      <c r="A511" s="35">
        <v>23001</v>
      </c>
      <c r="B511" s="37" t="s">
        <v>500</v>
      </c>
      <c r="C511" s="37" t="s">
        <v>620</v>
      </c>
      <c r="D511" s="37" t="s">
        <v>500</v>
      </c>
      <c r="E511" s="37" t="s">
        <v>466</v>
      </c>
      <c r="F511" s="38" t="s">
        <v>474</v>
      </c>
    </row>
    <row r="512" spans="1:6">
      <c r="A512" s="35">
        <v>23500</v>
      </c>
      <c r="B512" s="37" t="s">
        <v>940</v>
      </c>
      <c r="C512" s="37" t="s">
        <v>620</v>
      </c>
      <c r="D512" s="37" t="s">
        <v>500</v>
      </c>
      <c r="E512" s="37" t="s">
        <v>466</v>
      </c>
      <c r="F512" s="38" t="s">
        <v>471</v>
      </c>
    </row>
    <row r="513" spans="1:6">
      <c r="A513" s="35">
        <v>23555</v>
      </c>
      <c r="B513" s="37" t="s">
        <v>941</v>
      </c>
      <c r="C513" s="37" t="s">
        <v>620</v>
      </c>
      <c r="D513" s="37" t="s">
        <v>500</v>
      </c>
      <c r="E513" s="37" t="s">
        <v>466</v>
      </c>
      <c r="F513" s="38" t="s">
        <v>469</v>
      </c>
    </row>
    <row r="514" spans="1:6">
      <c r="A514" s="35">
        <v>23570</v>
      </c>
      <c r="B514" s="37" t="s">
        <v>942</v>
      </c>
      <c r="C514" s="37" t="s">
        <v>620</v>
      </c>
      <c r="D514" s="37" t="s">
        <v>500</v>
      </c>
      <c r="E514" s="37" t="s">
        <v>466</v>
      </c>
      <c r="F514" s="38" t="s">
        <v>469</v>
      </c>
    </row>
    <row r="515" spans="1:6">
      <c r="A515" s="35">
        <v>23574</v>
      </c>
      <c r="B515" s="37" t="s">
        <v>943</v>
      </c>
      <c r="C515" s="37" t="s">
        <v>620</v>
      </c>
      <c r="D515" s="37" t="s">
        <v>500</v>
      </c>
      <c r="E515" s="37" t="s">
        <v>466</v>
      </c>
      <c r="F515" s="38" t="s">
        <v>471</v>
      </c>
    </row>
    <row r="516" spans="1:6">
      <c r="A516" s="35">
        <v>23580</v>
      </c>
      <c r="B516" s="37" t="s">
        <v>944</v>
      </c>
      <c r="C516" s="37" t="s">
        <v>620</v>
      </c>
      <c r="D516" s="37" t="s">
        <v>500</v>
      </c>
      <c r="E516" s="37" t="s">
        <v>466</v>
      </c>
      <c r="F516" s="38" t="s">
        <v>467</v>
      </c>
    </row>
    <row r="517" spans="1:6">
      <c r="A517" s="35">
        <v>23586</v>
      </c>
      <c r="B517" s="37" t="s">
        <v>945</v>
      </c>
      <c r="C517" s="37" t="s">
        <v>620</v>
      </c>
      <c r="D517" s="37" t="s">
        <v>500</v>
      </c>
      <c r="E517" s="37" t="s">
        <v>466</v>
      </c>
      <c r="F517" s="38" t="s">
        <v>469</v>
      </c>
    </row>
    <row r="518" spans="1:6">
      <c r="A518" s="35">
        <v>23660</v>
      </c>
      <c r="B518" s="37" t="s">
        <v>946</v>
      </c>
      <c r="C518" s="37" t="s">
        <v>620</v>
      </c>
      <c r="D518" s="37" t="s">
        <v>500</v>
      </c>
      <c r="E518" s="37" t="s">
        <v>466</v>
      </c>
      <c r="F518" s="38" t="s">
        <v>469</v>
      </c>
    </row>
    <row r="519" spans="1:6">
      <c r="A519" s="35">
        <v>23670</v>
      </c>
      <c r="B519" s="37" t="s">
        <v>947</v>
      </c>
      <c r="C519" s="37" t="s">
        <v>620</v>
      </c>
      <c r="D519" s="37" t="s">
        <v>500</v>
      </c>
      <c r="E519" s="37" t="s">
        <v>466</v>
      </c>
      <c r="F519" s="38" t="s">
        <v>469</v>
      </c>
    </row>
    <row r="520" spans="1:6">
      <c r="A520" s="35">
        <v>23672</v>
      </c>
      <c r="B520" s="37" t="s">
        <v>948</v>
      </c>
      <c r="C520" s="37" t="s">
        <v>620</v>
      </c>
      <c r="D520" s="37" t="s">
        <v>500</v>
      </c>
      <c r="E520" s="37" t="s">
        <v>466</v>
      </c>
      <c r="F520" s="38" t="s">
        <v>469</v>
      </c>
    </row>
    <row r="521" spans="1:6">
      <c r="A521" s="35">
        <v>23675</v>
      </c>
      <c r="B521" s="37" t="s">
        <v>949</v>
      </c>
      <c r="C521" s="37" t="s">
        <v>620</v>
      </c>
      <c r="D521" s="37" t="s">
        <v>500</v>
      </c>
      <c r="E521" s="37" t="s">
        <v>466</v>
      </c>
      <c r="F521" s="38" t="s">
        <v>469</v>
      </c>
    </row>
    <row r="522" spans="1:6">
      <c r="A522" s="35">
        <v>23686</v>
      </c>
      <c r="B522" s="37" t="s">
        <v>950</v>
      </c>
      <c r="C522" s="37" t="s">
        <v>620</v>
      </c>
      <c r="D522" s="37" t="s">
        <v>500</v>
      </c>
      <c r="E522" s="37" t="s">
        <v>466</v>
      </c>
      <c r="F522" s="38" t="s">
        <v>469</v>
      </c>
    </row>
    <row r="523" spans="1:6">
      <c r="A523" s="35">
        <v>23807</v>
      </c>
      <c r="B523" s="37" t="s">
        <v>951</v>
      </c>
      <c r="C523" s="37" t="s">
        <v>620</v>
      </c>
      <c r="D523" s="37" t="s">
        <v>500</v>
      </c>
      <c r="E523" s="37" t="s">
        <v>466</v>
      </c>
      <c r="F523" s="38" t="s">
        <v>471</v>
      </c>
    </row>
    <row r="524" spans="1:6">
      <c r="A524" s="35">
        <v>23855</v>
      </c>
      <c r="B524" s="37" t="s">
        <v>952</v>
      </c>
      <c r="C524" s="37" t="s">
        <v>620</v>
      </c>
      <c r="D524" s="37" t="s">
        <v>500</v>
      </c>
      <c r="E524" s="37" t="s">
        <v>466</v>
      </c>
      <c r="F524" s="38" t="s">
        <v>471</v>
      </c>
    </row>
    <row r="525" spans="1:6">
      <c r="A525" s="35">
        <v>25019</v>
      </c>
      <c r="B525" s="36" t="s">
        <v>953</v>
      </c>
      <c r="C525" s="37" t="s">
        <v>166</v>
      </c>
      <c r="D525" s="37" t="s">
        <v>163</v>
      </c>
      <c r="E525" s="37" t="s">
        <v>466</v>
      </c>
      <c r="F525" s="38" t="s">
        <v>469</v>
      </c>
    </row>
    <row r="526" spans="1:6">
      <c r="A526" s="35">
        <v>25120</v>
      </c>
      <c r="B526" s="36" t="s">
        <v>954</v>
      </c>
      <c r="C526" s="37" t="s">
        <v>166</v>
      </c>
      <c r="D526" s="37" t="s">
        <v>163</v>
      </c>
      <c r="E526" s="37" t="s">
        <v>466</v>
      </c>
      <c r="F526" s="38" t="s">
        <v>471</v>
      </c>
    </row>
    <row r="527" spans="1:6">
      <c r="A527" s="35">
        <v>25258</v>
      </c>
      <c r="B527" s="36" t="s">
        <v>621</v>
      </c>
      <c r="C527" s="37" t="s">
        <v>166</v>
      </c>
      <c r="D527" s="37" t="s">
        <v>163</v>
      </c>
      <c r="E527" s="37" t="s">
        <v>466</v>
      </c>
      <c r="F527" s="38" t="s">
        <v>471</v>
      </c>
    </row>
    <row r="528" spans="1:6">
      <c r="A528" s="35">
        <v>25312</v>
      </c>
      <c r="B528" s="36" t="s">
        <v>477</v>
      </c>
      <c r="C528" s="37" t="s">
        <v>166</v>
      </c>
      <c r="D528" s="37" t="s">
        <v>163</v>
      </c>
      <c r="E528" s="37" t="s">
        <v>466</v>
      </c>
      <c r="F528" s="38" t="s">
        <v>469</v>
      </c>
    </row>
    <row r="529" spans="1:6">
      <c r="A529" s="35">
        <v>25402</v>
      </c>
      <c r="B529" s="36" t="s">
        <v>841</v>
      </c>
      <c r="C529" s="37" t="s">
        <v>166</v>
      </c>
      <c r="D529" s="37" t="s">
        <v>163</v>
      </c>
      <c r="E529" s="37" t="s">
        <v>466</v>
      </c>
      <c r="F529" s="38" t="s">
        <v>469</v>
      </c>
    </row>
    <row r="530" spans="1:6">
      <c r="A530" s="35">
        <v>25473</v>
      </c>
      <c r="B530" s="36" t="s">
        <v>211</v>
      </c>
      <c r="C530" s="37" t="s">
        <v>166</v>
      </c>
      <c r="D530" s="37" t="s">
        <v>163</v>
      </c>
      <c r="E530" s="37" t="s">
        <v>466</v>
      </c>
      <c r="F530" s="38" t="s">
        <v>474</v>
      </c>
    </row>
    <row r="531" spans="1:6">
      <c r="A531" s="35">
        <v>25483</v>
      </c>
      <c r="B531" s="36" t="s">
        <v>341</v>
      </c>
      <c r="C531" s="37" t="s">
        <v>166</v>
      </c>
      <c r="D531" s="37" t="s">
        <v>163</v>
      </c>
      <c r="E531" s="37" t="s">
        <v>466</v>
      </c>
      <c r="F531" s="38" t="s">
        <v>471</v>
      </c>
    </row>
    <row r="532" spans="1:6">
      <c r="A532" s="35">
        <v>25612</v>
      </c>
      <c r="B532" s="36" t="s">
        <v>955</v>
      </c>
      <c r="C532" s="37" t="s">
        <v>166</v>
      </c>
      <c r="D532" s="37" t="s">
        <v>163</v>
      </c>
      <c r="E532" s="37" t="s">
        <v>466</v>
      </c>
      <c r="F532" s="38" t="s">
        <v>471</v>
      </c>
    </row>
    <row r="533" spans="1:6">
      <c r="A533" s="35">
        <v>25649</v>
      </c>
      <c r="B533" s="36" t="s">
        <v>956</v>
      </c>
      <c r="C533" s="37" t="s">
        <v>166</v>
      </c>
      <c r="D533" s="37" t="s">
        <v>163</v>
      </c>
      <c r="E533" s="37" t="s">
        <v>466</v>
      </c>
      <c r="F533" s="38" t="s">
        <v>471</v>
      </c>
    </row>
    <row r="534" spans="1:6">
      <c r="A534" s="35">
        <v>25653</v>
      </c>
      <c r="B534" s="36" t="s">
        <v>957</v>
      </c>
      <c r="C534" s="37" t="s">
        <v>166</v>
      </c>
      <c r="D534" s="37" t="s">
        <v>163</v>
      </c>
      <c r="E534" s="37" t="s">
        <v>466</v>
      </c>
      <c r="F534" s="38" t="s">
        <v>471</v>
      </c>
    </row>
    <row r="535" spans="1:6">
      <c r="A535" s="35">
        <v>25658</v>
      </c>
      <c r="B535" s="36" t="s">
        <v>482</v>
      </c>
      <c r="C535" s="37" t="s">
        <v>166</v>
      </c>
      <c r="D535" s="37" t="s">
        <v>163</v>
      </c>
      <c r="E535" s="37" t="s">
        <v>466</v>
      </c>
      <c r="F535" s="38" t="s">
        <v>469</v>
      </c>
    </row>
    <row r="536" spans="1:6">
      <c r="A536" s="35">
        <v>25506</v>
      </c>
      <c r="B536" s="36" t="s">
        <v>488</v>
      </c>
      <c r="C536" s="37" t="s">
        <v>166</v>
      </c>
      <c r="D536" s="37" t="s">
        <v>163</v>
      </c>
      <c r="E536" s="37" t="s">
        <v>466</v>
      </c>
      <c r="F536" s="38" t="s">
        <v>471</v>
      </c>
    </row>
    <row r="537" spans="1:6">
      <c r="A537" s="35">
        <v>25001</v>
      </c>
      <c r="B537" s="37" t="s">
        <v>958</v>
      </c>
      <c r="C537" s="37" t="s">
        <v>166</v>
      </c>
      <c r="D537" s="37" t="s">
        <v>163</v>
      </c>
      <c r="E537" s="37" t="s">
        <v>466</v>
      </c>
      <c r="F537" s="38" t="s">
        <v>471</v>
      </c>
    </row>
    <row r="538" spans="1:6">
      <c r="A538" s="35">
        <v>25035</v>
      </c>
      <c r="B538" s="37" t="s">
        <v>959</v>
      </c>
      <c r="C538" s="37" t="s">
        <v>166</v>
      </c>
      <c r="D538" s="37" t="s">
        <v>163</v>
      </c>
      <c r="E538" s="37" t="s">
        <v>466</v>
      </c>
      <c r="F538" s="38" t="s">
        <v>469</v>
      </c>
    </row>
    <row r="539" spans="1:6">
      <c r="A539" s="35">
        <v>25040</v>
      </c>
      <c r="B539" s="37" t="s">
        <v>960</v>
      </c>
      <c r="C539" s="37" t="s">
        <v>166</v>
      </c>
      <c r="D539" s="37" t="s">
        <v>163</v>
      </c>
      <c r="E539" s="37" t="s">
        <v>466</v>
      </c>
      <c r="F539" s="38" t="s">
        <v>469</v>
      </c>
    </row>
    <row r="540" spans="1:6">
      <c r="A540" s="35">
        <v>25599</v>
      </c>
      <c r="B540" s="37" t="s">
        <v>961</v>
      </c>
      <c r="C540" s="37" t="s">
        <v>166</v>
      </c>
      <c r="D540" s="37" t="s">
        <v>163</v>
      </c>
      <c r="E540" s="37" t="s">
        <v>466</v>
      </c>
      <c r="F540" s="38" t="s">
        <v>471</v>
      </c>
    </row>
    <row r="541" spans="1:6">
      <c r="A541" s="35">
        <v>25053</v>
      </c>
      <c r="B541" s="37" t="s">
        <v>962</v>
      </c>
      <c r="C541" s="37" t="s">
        <v>166</v>
      </c>
      <c r="D541" s="37" t="s">
        <v>163</v>
      </c>
      <c r="E541" s="37" t="s">
        <v>466</v>
      </c>
      <c r="F541" s="38" t="s">
        <v>469</v>
      </c>
    </row>
    <row r="542" spans="1:6">
      <c r="A542" s="35">
        <v>25086</v>
      </c>
      <c r="B542" s="37" t="s">
        <v>963</v>
      </c>
      <c r="C542" s="37" t="s">
        <v>166</v>
      </c>
      <c r="D542" s="37" t="s">
        <v>163</v>
      </c>
      <c r="E542" s="37" t="s">
        <v>466</v>
      </c>
      <c r="F542" s="38" t="s">
        <v>471</v>
      </c>
    </row>
    <row r="543" spans="1:6">
      <c r="A543" s="35">
        <v>25095</v>
      </c>
      <c r="B543" s="37" t="s">
        <v>964</v>
      </c>
      <c r="C543" s="37" t="s">
        <v>166</v>
      </c>
      <c r="D543" s="37" t="s">
        <v>163</v>
      </c>
      <c r="E543" s="37" t="s">
        <v>466</v>
      </c>
      <c r="F543" s="38" t="s">
        <v>471</v>
      </c>
    </row>
    <row r="544" spans="1:6">
      <c r="A544" s="35">
        <v>11001</v>
      </c>
      <c r="B544" s="37" t="s">
        <v>163</v>
      </c>
      <c r="C544" s="37" t="s">
        <v>166</v>
      </c>
      <c r="D544" s="37" t="s">
        <v>163</v>
      </c>
      <c r="E544" s="37" t="s">
        <v>466</v>
      </c>
      <c r="F544" s="38" t="s">
        <v>474</v>
      </c>
    </row>
    <row r="545" spans="1:6">
      <c r="A545" s="35">
        <v>25099</v>
      </c>
      <c r="B545" s="37" t="s">
        <v>965</v>
      </c>
      <c r="C545" s="37" t="s">
        <v>166</v>
      </c>
      <c r="D545" s="37" t="s">
        <v>163</v>
      </c>
      <c r="E545" s="37" t="s">
        <v>466</v>
      </c>
      <c r="F545" s="38" t="s">
        <v>469</v>
      </c>
    </row>
    <row r="546" spans="1:6">
      <c r="A546" s="35">
        <v>25123</v>
      </c>
      <c r="B546" s="37" t="s">
        <v>966</v>
      </c>
      <c r="C546" s="37" t="s">
        <v>166</v>
      </c>
      <c r="D546" s="37" t="s">
        <v>163</v>
      </c>
      <c r="E546" s="37" t="s">
        <v>466</v>
      </c>
      <c r="F546" s="38" t="s">
        <v>469</v>
      </c>
    </row>
    <row r="547" spans="1:6">
      <c r="A547" s="35">
        <v>25126</v>
      </c>
      <c r="B547" s="37" t="s">
        <v>967</v>
      </c>
      <c r="C547" s="37" t="s">
        <v>166</v>
      </c>
      <c r="D547" s="37" t="s">
        <v>163</v>
      </c>
      <c r="E547" s="37" t="s">
        <v>466</v>
      </c>
      <c r="F547" s="38" t="s">
        <v>469</v>
      </c>
    </row>
    <row r="548" spans="1:6">
      <c r="A548" s="35">
        <v>25148</v>
      </c>
      <c r="B548" s="37" t="s">
        <v>968</v>
      </c>
      <c r="C548" s="37" t="s">
        <v>166</v>
      </c>
      <c r="D548" s="37" t="s">
        <v>163</v>
      </c>
      <c r="E548" s="37" t="s">
        <v>466</v>
      </c>
      <c r="F548" s="38" t="s">
        <v>471</v>
      </c>
    </row>
    <row r="549" spans="1:6">
      <c r="A549" s="35">
        <v>25151</v>
      </c>
      <c r="B549" s="37" t="s">
        <v>969</v>
      </c>
      <c r="C549" s="37" t="s">
        <v>166</v>
      </c>
      <c r="D549" s="37" t="s">
        <v>163</v>
      </c>
      <c r="E549" s="37" t="s">
        <v>466</v>
      </c>
      <c r="F549" s="38" t="s">
        <v>469</v>
      </c>
    </row>
    <row r="550" spans="1:6">
      <c r="A550" s="35">
        <v>25154</v>
      </c>
      <c r="B550" s="37" t="s">
        <v>970</v>
      </c>
      <c r="C550" s="37" t="s">
        <v>166</v>
      </c>
      <c r="D550" s="37" t="s">
        <v>163</v>
      </c>
      <c r="E550" s="37" t="s">
        <v>466</v>
      </c>
      <c r="F550" s="38" t="s">
        <v>471</v>
      </c>
    </row>
    <row r="551" spans="1:6">
      <c r="A551" s="35">
        <v>25168</v>
      </c>
      <c r="B551" s="37" t="s">
        <v>971</v>
      </c>
      <c r="C551" s="37" t="s">
        <v>166</v>
      </c>
      <c r="D551" s="37" t="s">
        <v>163</v>
      </c>
      <c r="E551" s="37" t="s">
        <v>466</v>
      </c>
      <c r="F551" s="38" t="s">
        <v>471</v>
      </c>
    </row>
    <row r="552" spans="1:6">
      <c r="A552" s="35">
        <v>25175</v>
      </c>
      <c r="B552" s="37" t="s">
        <v>972</v>
      </c>
      <c r="C552" s="37" t="s">
        <v>166</v>
      </c>
      <c r="D552" s="37" t="s">
        <v>163</v>
      </c>
      <c r="E552" s="37" t="s">
        <v>466</v>
      </c>
      <c r="F552" s="38" t="s">
        <v>469</v>
      </c>
    </row>
    <row r="553" spans="1:6">
      <c r="A553" s="35">
        <v>25178</v>
      </c>
      <c r="B553" s="37" t="s">
        <v>973</v>
      </c>
      <c r="C553" s="37" t="s">
        <v>166</v>
      </c>
      <c r="D553" s="37" t="s">
        <v>163</v>
      </c>
      <c r="E553" s="37" t="s">
        <v>466</v>
      </c>
      <c r="F553" s="38" t="s">
        <v>469</v>
      </c>
    </row>
    <row r="554" spans="1:6">
      <c r="A554" s="35">
        <v>25181</v>
      </c>
      <c r="B554" s="37" t="s">
        <v>974</v>
      </c>
      <c r="C554" s="37" t="s">
        <v>166</v>
      </c>
      <c r="D554" s="37" t="s">
        <v>163</v>
      </c>
      <c r="E554" s="37" t="s">
        <v>466</v>
      </c>
      <c r="F554" s="38" t="s">
        <v>469</v>
      </c>
    </row>
    <row r="555" spans="1:6">
      <c r="A555" s="35">
        <v>25183</v>
      </c>
      <c r="B555" s="37" t="s">
        <v>975</v>
      </c>
      <c r="C555" s="37" t="s">
        <v>166</v>
      </c>
      <c r="D555" s="37" t="s">
        <v>147</v>
      </c>
      <c r="E555" s="37" t="s">
        <v>466</v>
      </c>
      <c r="F555" s="38" t="s">
        <v>469</v>
      </c>
    </row>
    <row r="556" spans="1:6">
      <c r="A556" s="35">
        <v>25200</v>
      </c>
      <c r="B556" s="37" t="s">
        <v>976</v>
      </c>
      <c r="C556" s="37" t="s">
        <v>166</v>
      </c>
      <c r="D556" s="37" t="s">
        <v>163</v>
      </c>
      <c r="E556" s="37" t="s">
        <v>466</v>
      </c>
      <c r="F556" s="38" t="s">
        <v>469</v>
      </c>
    </row>
    <row r="557" spans="1:6">
      <c r="A557" s="35">
        <v>25214</v>
      </c>
      <c r="B557" s="37" t="s">
        <v>977</v>
      </c>
      <c r="C557" s="37" t="s">
        <v>166</v>
      </c>
      <c r="D557" s="37" t="s">
        <v>163</v>
      </c>
      <c r="E557" s="37" t="s">
        <v>466</v>
      </c>
      <c r="F557" s="38" t="s">
        <v>469</v>
      </c>
    </row>
    <row r="558" spans="1:6">
      <c r="A558" s="35">
        <v>25224</v>
      </c>
      <c r="B558" s="37" t="s">
        <v>978</v>
      </c>
      <c r="C558" s="37" t="s">
        <v>166</v>
      </c>
      <c r="D558" s="37" t="s">
        <v>163</v>
      </c>
      <c r="E558" s="37" t="s">
        <v>466</v>
      </c>
      <c r="F558" s="38" t="s">
        <v>471</v>
      </c>
    </row>
    <row r="559" spans="1:6">
      <c r="A559" s="35">
        <v>25245</v>
      </c>
      <c r="B559" s="37" t="s">
        <v>979</v>
      </c>
      <c r="C559" s="37" t="s">
        <v>166</v>
      </c>
      <c r="D559" s="37" t="s">
        <v>163</v>
      </c>
      <c r="E559" s="37" t="s">
        <v>466</v>
      </c>
      <c r="F559" s="38" t="s">
        <v>469</v>
      </c>
    </row>
    <row r="560" spans="1:6">
      <c r="A560" s="35">
        <v>25260</v>
      </c>
      <c r="B560" s="37" t="s">
        <v>980</v>
      </c>
      <c r="C560" s="37" t="s">
        <v>166</v>
      </c>
      <c r="D560" s="37" t="s">
        <v>163</v>
      </c>
      <c r="E560" s="37" t="s">
        <v>466</v>
      </c>
      <c r="F560" s="38" t="s">
        <v>469</v>
      </c>
    </row>
    <row r="561" spans="1:6">
      <c r="A561" s="35">
        <v>25269</v>
      </c>
      <c r="B561" s="37" t="s">
        <v>981</v>
      </c>
      <c r="C561" s="37" t="s">
        <v>166</v>
      </c>
      <c r="D561" s="37" t="s">
        <v>163</v>
      </c>
      <c r="E561" s="37" t="s">
        <v>466</v>
      </c>
      <c r="F561" s="38" t="s">
        <v>469</v>
      </c>
    </row>
    <row r="562" spans="1:6">
      <c r="A562" s="35">
        <v>25279</v>
      </c>
      <c r="B562" s="37" t="s">
        <v>982</v>
      </c>
      <c r="C562" s="37" t="s">
        <v>166</v>
      </c>
      <c r="D562" s="37" t="s">
        <v>163</v>
      </c>
      <c r="E562" s="37" t="s">
        <v>466</v>
      </c>
      <c r="F562" s="38" t="s">
        <v>469</v>
      </c>
    </row>
    <row r="563" spans="1:6">
      <c r="A563" s="35">
        <v>25281</v>
      </c>
      <c r="B563" s="37" t="s">
        <v>983</v>
      </c>
      <c r="C563" s="37" t="s">
        <v>166</v>
      </c>
      <c r="D563" s="37" t="s">
        <v>163</v>
      </c>
      <c r="E563" s="37" t="s">
        <v>466</v>
      </c>
      <c r="F563" s="38" t="s">
        <v>469</v>
      </c>
    </row>
    <row r="564" spans="1:6">
      <c r="A564" s="35">
        <v>25286</v>
      </c>
      <c r="B564" s="37" t="s">
        <v>984</v>
      </c>
      <c r="C564" s="37" t="s">
        <v>166</v>
      </c>
      <c r="D564" s="37" t="s">
        <v>163</v>
      </c>
      <c r="E564" s="37" t="s">
        <v>466</v>
      </c>
      <c r="F564" s="38" t="s">
        <v>469</v>
      </c>
    </row>
    <row r="565" spans="1:6">
      <c r="A565" s="35">
        <v>25288</v>
      </c>
      <c r="B565" s="37" t="s">
        <v>985</v>
      </c>
      <c r="C565" s="37" t="s">
        <v>166</v>
      </c>
      <c r="D565" s="37" t="s">
        <v>163</v>
      </c>
      <c r="E565" s="37" t="s">
        <v>466</v>
      </c>
      <c r="F565" s="38" t="s">
        <v>471</v>
      </c>
    </row>
    <row r="566" spans="1:6">
      <c r="A566" s="35">
        <v>25290</v>
      </c>
      <c r="B566" s="37" t="s">
        <v>986</v>
      </c>
      <c r="C566" s="37" t="s">
        <v>166</v>
      </c>
      <c r="D566" s="37" t="s">
        <v>163</v>
      </c>
      <c r="E566" s="37" t="s">
        <v>466</v>
      </c>
      <c r="F566" s="38" t="s">
        <v>469</v>
      </c>
    </row>
    <row r="567" spans="1:6">
      <c r="A567" s="35">
        <v>25293</v>
      </c>
      <c r="B567" s="37" t="s">
        <v>987</v>
      </c>
      <c r="C567" s="37" t="s">
        <v>166</v>
      </c>
      <c r="D567" s="37" t="s">
        <v>163</v>
      </c>
      <c r="E567" s="37" t="s">
        <v>466</v>
      </c>
      <c r="F567" s="38" t="s">
        <v>471</v>
      </c>
    </row>
    <row r="568" spans="1:6">
      <c r="A568" s="35">
        <v>25295</v>
      </c>
      <c r="B568" s="37" t="s">
        <v>988</v>
      </c>
      <c r="C568" s="37" t="s">
        <v>166</v>
      </c>
      <c r="D568" s="37" t="s">
        <v>163</v>
      </c>
      <c r="E568" s="37" t="s">
        <v>466</v>
      </c>
      <c r="F568" s="38" t="s">
        <v>469</v>
      </c>
    </row>
    <row r="569" spans="1:6">
      <c r="A569" s="35">
        <v>25297</v>
      </c>
      <c r="B569" s="37" t="s">
        <v>989</v>
      </c>
      <c r="C569" s="37" t="s">
        <v>166</v>
      </c>
      <c r="D569" s="37" t="s">
        <v>163</v>
      </c>
      <c r="E569" s="37" t="s">
        <v>466</v>
      </c>
      <c r="F569" s="38" t="s">
        <v>471</v>
      </c>
    </row>
    <row r="570" spans="1:6">
      <c r="A570" s="35">
        <v>25299</v>
      </c>
      <c r="B570" s="37" t="s">
        <v>408</v>
      </c>
      <c r="C570" s="37" t="s">
        <v>166</v>
      </c>
      <c r="D570" s="37" t="s">
        <v>163</v>
      </c>
      <c r="E570" s="37" t="s">
        <v>466</v>
      </c>
      <c r="F570" s="38" t="s">
        <v>471</v>
      </c>
    </row>
    <row r="571" spans="1:6">
      <c r="A571" s="35">
        <v>25307</v>
      </c>
      <c r="B571" s="37" t="s">
        <v>990</v>
      </c>
      <c r="C571" s="37" t="s">
        <v>166</v>
      </c>
      <c r="D571" s="37" t="s">
        <v>163</v>
      </c>
      <c r="E571" s="37" t="s">
        <v>466</v>
      </c>
      <c r="F571" s="38" t="s">
        <v>471</v>
      </c>
    </row>
    <row r="572" spans="1:6">
      <c r="A572" s="35">
        <v>25317</v>
      </c>
      <c r="B572" s="37" t="s">
        <v>991</v>
      </c>
      <c r="C572" s="37" t="s">
        <v>166</v>
      </c>
      <c r="D572" s="37" t="s">
        <v>163</v>
      </c>
      <c r="E572" s="37" t="s">
        <v>466</v>
      </c>
      <c r="F572" s="38" t="s">
        <v>471</v>
      </c>
    </row>
    <row r="573" spans="1:6">
      <c r="A573" s="35">
        <v>25320</v>
      </c>
      <c r="B573" s="37" t="s">
        <v>992</v>
      </c>
      <c r="C573" s="37" t="s">
        <v>166</v>
      </c>
      <c r="D573" s="37" t="s">
        <v>163</v>
      </c>
      <c r="E573" s="37" t="s">
        <v>466</v>
      </c>
      <c r="F573" s="38" t="s">
        <v>471</v>
      </c>
    </row>
    <row r="574" spans="1:6">
      <c r="A574" s="35">
        <v>25322</v>
      </c>
      <c r="B574" s="37" t="s">
        <v>993</v>
      </c>
      <c r="C574" s="37" t="s">
        <v>166</v>
      </c>
      <c r="D574" s="37" t="s">
        <v>163</v>
      </c>
      <c r="E574" s="37" t="s">
        <v>466</v>
      </c>
      <c r="F574" s="38" t="s">
        <v>469</v>
      </c>
    </row>
    <row r="575" spans="1:6">
      <c r="A575" s="35">
        <v>25324</v>
      </c>
      <c r="B575" s="37" t="s">
        <v>994</v>
      </c>
      <c r="C575" s="37" t="s">
        <v>166</v>
      </c>
      <c r="D575" s="37" t="s">
        <v>360</v>
      </c>
      <c r="E575" s="37" t="s">
        <v>466</v>
      </c>
      <c r="F575" s="38" t="s">
        <v>471</v>
      </c>
    </row>
    <row r="576" spans="1:6">
      <c r="A576" s="35">
        <v>25326</v>
      </c>
      <c r="B576" s="37" t="s">
        <v>995</v>
      </c>
      <c r="C576" s="37" t="s">
        <v>166</v>
      </c>
      <c r="D576" s="37" t="s">
        <v>163</v>
      </c>
      <c r="E576" s="37" t="s">
        <v>466</v>
      </c>
      <c r="F576" s="38" t="s">
        <v>469</v>
      </c>
    </row>
    <row r="577" spans="1:6">
      <c r="A577" s="35">
        <v>25328</v>
      </c>
      <c r="B577" s="37" t="s">
        <v>996</v>
      </c>
      <c r="C577" s="37" t="s">
        <v>166</v>
      </c>
      <c r="D577" s="37" t="s">
        <v>163</v>
      </c>
      <c r="E577" s="37" t="s">
        <v>466</v>
      </c>
      <c r="F577" s="38" t="s">
        <v>471</v>
      </c>
    </row>
    <row r="578" spans="1:6">
      <c r="A578" s="35">
        <v>25335</v>
      </c>
      <c r="B578" s="37" t="s">
        <v>997</v>
      </c>
      <c r="C578" s="37" t="s">
        <v>166</v>
      </c>
      <c r="D578" s="37" t="s">
        <v>822</v>
      </c>
      <c r="E578" s="37" t="s">
        <v>466</v>
      </c>
      <c r="F578" s="38" t="s">
        <v>469</v>
      </c>
    </row>
    <row r="579" spans="1:6">
      <c r="A579" s="35">
        <v>25339</v>
      </c>
      <c r="B579" s="37" t="s">
        <v>998</v>
      </c>
      <c r="C579" s="37" t="s">
        <v>166</v>
      </c>
      <c r="D579" s="37" t="s">
        <v>163</v>
      </c>
      <c r="E579" s="37" t="s">
        <v>466</v>
      </c>
      <c r="F579" s="38" t="s">
        <v>471</v>
      </c>
    </row>
    <row r="580" spans="1:6">
      <c r="A580" s="35">
        <v>25368</v>
      </c>
      <c r="B580" s="37" t="s">
        <v>999</v>
      </c>
      <c r="C580" s="37" t="s">
        <v>166</v>
      </c>
      <c r="D580" s="37" t="s">
        <v>163</v>
      </c>
      <c r="E580" s="37" t="s">
        <v>466</v>
      </c>
      <c r="F580" s="38" t="s">
        <v>471</v>
      </c>
    </row>
    <row r="581" spans="1:6">
      <c r="A581" s="35">
        <v>25372</v>
      </c>
      <c r="B581" s="37" t="s">
        <v>1000</v>
      </c>
      <c r="C581" s="37" t="s">
        <v>166</v>
      </c>
      <c r="D581" s="37" t="s">
        <v>163</v>
      </c>
      <c r="E581" s="37" t="s">
        <v>466</v>
      </c>
      <c r="F581" s="38" t="s">
        <v>471</v>
      </c>
    </row>
    <row r="582" spans="1:6">
      <c r="A582" s="35">
        <v>25377</v>
      </c>
      <c r="B582" s="37" t="s">
        <v>1001</v>
      </c>
      <c r="C582" s="37" t="s">
        <v>166</v>
      </c>
      <c r="D582" s="37" t="s">
        <v>163</v>
      </c>
      <c r="E582" s="37" t="s">
        <v>466</v>
      </c>
      <c r="F582" s="38" t="s">
        <v>469</v>
      </c>
    </row>
    <row r="583" spans="1:6">
      <c r="A583" s="35">
        <v>25386</v>
      </c>
      <c r="B583" s="37" t="s">
        <v>1002</v>
      </c>
      <c r="C583" s="37" t="s">
        <v>166</v>
      </c>
      <c r="D583" s="37" t="s">
        <v>163</v>
      </c>
      <c r="E583" s="37" t="s">
        <v>466</v>
      </c>
      <c r="F583" s="38" t="s">
        <v>469</v>
      </c>
    </row>
    <row r="584" spans="1:6">
      <c r="A584" s="35">
        <v>25394</v>
      </c>
      <c r="B584" s="37" t="s">
        <v>1003</v>
      </c>
      <c r="C584" s="37" t="s">
        <v>166</v>
      </c>
      <c r="D584" s="37" t="s">
        <v>163</v>
      </c>
      <c r="E584" s="37" t="s">
        <v>466</v>
      </c>
      <c r="F584" s="38" t="s">
        <v>471</v>
      </c>
    </row>
    <row r="585" spans="1:6">
      <c r="A585" s="35">
        <v>25398</v>
      </c>
      <c r="B585" s="37" t="s">
        <v>1004</v>
      </c>
      <c r="C585" s="37" t="s">
        <v>166</v>
      </c>
      <c r="D585" s="37" t="s">
        <v>163</v>
      </c>
      <c r="E585" s="37" t="s">
        <v>466</v>
      </c>
      <c r="F585" s="38" t="s">
        <v>471</v>
      </c>
    </row>
    <row r="586" spans="1:6">
      <c r="A586" s="35">
        <v>25407</v>
      </c>
      <c r="B586" s="37" t="s">
        <v>1005</v>
      </c>
      <c r="C586" s="37" t="s">
        <v>166</v>
      </c>
      <c r="D586" s="37" t="s">
        <v>163</v>
      </c>
      <c r="E586" s="37" t="s">
        <v>466</v>
      </c>
      <c r="F586" s="38" t="s">
        <v>471</v>
      </c>
    </row>
    <row r="587" spans="1:6">
      <c r="A587" s="35">
        <v>25426</v>
      </c>
      <c r="B587" s="37" t="s">
        <v>1006</v>
      </c>
      <c r="C587" s="37" t="s">
        <v>166</v>
      </c>
      <c r="D587" s="37" t="s">
        <v>163</v>
      </c>
      <c r="E587" s="37" t="s">
        <v>466</v>
      </c>
      <c r="F587" s="38" t="s">
        <v>471</v>
      </c>
    </row>
    <row r="588" spans="1:6">
      <c r="A588" s="35">
        <v>25430</v>
      </c>
      <c r="B588" s="37" t="s">
        <v>1007</v>
      </c>
      <c r="C588" s="37" t="s">
        <v>166</v>
      </c>
      <c r="D588" s="37" t="s">
        <v>163</v>
      </c>
      <c r="E588" s="37" t="s">
        <v>466</v>
      </c>
      <c r="F588" s="38" t="s">
        <v>469</v>
      </c>
    </row>
    <row r="589" spans="1:6">
      <c r="A589" s="35">
        <v>25436</v>
      </c>
      <c r="B589" s="37" t="s">
        <v>1008</v>
      </c>
      <c r="C589" s="37" t="s">
        <v>166</v>
      </c>
      <c r="D589" s="37" t="s">
        <v>163</v>
      </c>
      <c r="E589" s="37" t="s">
        <v>466</v>
      </c>
      <c r="F589" s="38" t="s">
        <v>471</v>
      </c>
    </row>
    <row r="590" spans="1:6">
      <c r="A590" s="35">
        <v>25438</v>
      </c>
      <c r="B590" s="37" t="s">
        <v>1009</v>
      </c>
      <c r="C590" s="37" t="s">
        <v>166</v>
      </c>
      <c r="D590" s="37" t="s">
        <v>822</v>
      </c>
      <c r="E590" s="37" t="s">
        <v>466</v>
      </c>
      <c r="F590" s="38" t="s">
        <v>467</v>
      </c>
    </row>
    <row r="591" spans="1:6">
      <c r="A591" s="35">
        <v>25486</v>
      </c>
      <c r="B591" s="37" t="s">
        <v>1010</v>
      </c>
      <c r="C591" s="37" t="s">
        <v>166</v>
      </c>
      <c r="D591" s="37" t="s">
        <v>163</v>
      </c>
      <c r="E591" s="37" t="s">
        <v>466</v>
      </c>
      <c r="F591" s="38" t="s">
        <v>469</v>
      </c>
    </row>
    <row r="592" spans="1:6">
      <c r="A592" s="35">
        <v>25488</v>
      </c>
      <c r="B592" s="37" t="s">
        <v>1011</v>
      </c>
      <c r="C592" s="37" t="s">
        <v>166</v>
      </c>
      <c r="D592" s="37" t="s">
        <v>163</v>
      </c>
      <c r="E592" s="37" t="s">
        <v>466</v>
      </c>
      <c r="F592" s="38" t="s">
        <v>471</v>
      </c>
    </row>
    <row r="593" spans="1:6">
      <c r="A593" s="35">
        <v>25489</v>
      </c>
      <c r="B593" s="37" t="s">
        <v>1012</v>
      </c>
      <c r="C593" s="37" t="s">
        <v>166</v>
      </c>
      <c r="D593" s="37" t="s">
        <v>163</v>
      </c>
      <c r="E593" s="37" t="s">
        <v>466</v>
      </c>
      <c r="F593" s="38" t="s">
        <v>471</v>
      </c>
    </row>
    <row r="594" spans="1:6">
      <c r="A594" s="35">
        <v>25491</v>
      </c>
      <c r="B594" s="37" t="s">
        <v>1013</v>
      </c>
      <c r="C594" s="37" t="s">
        <v>166</v>
      </c>
      <c r="D594" s="37" t="s">
        <v>163</v>
      </c>
      <c r="E594" s="37" t="s">
        <v>466</v>
      </c>
      <c r="F594" s="38" t="s">
        <v>471</v>
      </c>
    </row>
    <row r="595" spans="1:6">
      <c r="A595" s="35">
        <v>25513</v>
      </c>
      <c r="B595" s="37" t="s">
        <v>1014</v>
      </c>
      <c r="C595" s="37" t="s">
        <v>166</v>
      </c>
      <c r="D595" s="37" t="s">
        <v>163</v>
      </c>
      <c r="E595" s="37" t="s">
        <v>466</v>
      </c>
      <c r="F595" s="38" t="s">
        <v>471</v>
      </c>
    </row>
    <row r="596" spans="1:6">
      <c r="A596" s="35">
        <v>25518</v>
      </c>
      <c r="B596" s="37" t="s">
        <v>1015</v>
      </c>
      <c r="C596" s="37" t="s">
        <v>166</v>
      </c>
      <c r="D596" s="37" t="s">
        <v>163</v>
      </c>
      <c r="E596" s="37" t="s">
        <v>466</v>
      </c>
      <c r="F596" s="38" t="s">
        <v>467</v>
      </c>
    </row>
    <row r="597" spans="1:6">
      <c r="A597" s="35">
        <v>25524</v>
      </c>
      <c r="B597" s="37" t="s">
        <v>1016</v>
      </c>
      <c r="C597" s="37" t="s">
        <v>166</v>
      </c>
      <c r="D597" s="37" t="s">
        <v>163</v>
      </c>
      <c r="E597" s="37" t="s">
        <v>466</v>
      </c>
      <c r="F597" s="38" t="s">
        <v>471</v>
      </c>
    </row>
    <row r="598" spans="1:6">
      <c r="A598" s="35">
        <v>25530</v>
      </c>
      <c r="B598" s="37" t="s">
        <v>1017</v>
      </c>
      <c r="C598" s="37" t="s">
        <v>166</v>
      </c>
      <c r="D598" s="37" t="s">
        <v>822</v>
      </c>
      <c r="E598" s="37" t="s">
        <v>466</v>
      </c>
      <c r="F598" s="38" t="s">
        <v>471</v>
      </c>
    </row>
    <row r="599" spans="1:6">
      <c r="A599" s="35">
        <v>25535</v>
      </c>
      <c r="B599" s="37" t="s">
        <v>1018</v>
      </c>
      <c r="C599" s="37" t="s">
        <v>166</v>
      </c>
      <c r="D599" s="37" t="s">
        <v>163</v>
      </c>
      <c r="E599" s="37" t="s">
        <v>466</v>
      </c>
      <c r="F599" s="38" t="s">
        <v>469</v>
      </c>
    </row>
    <row r="600" spans="1:6">
      <c r="A600" s="35">
        <v>25572</v>
      </c>
      <c r="B600" s="37" t="s">
        <v>1019</v>
      </c>
      <c r="C600" s="37" t="s">
        <v>166</v>
      </c>
      <c r="D600" s="37" t="s">
        <v>163</v>
      </c>
      <c r="E600" s="37" t="s">
        <v>466</v>
      </c>
      <c r="F600" s="38" t="s">
        <v>467</v>
      </c>
    </row>
    <row r="601" spans="1:6">
      <c r="A601" s="35">
        <v>25580</v>
      </c>
      <c r="B601" s="37" t="s">
        <v>1020</v>
      </c>
      <c r="C601" s="37" t="s">
        <v>166</v>
      </c>
      <c r="D601" s="37" t="s">
        <v>163</v>
      </c>
      <c r="E601" s="37" t="s">
        <v>466</v>
      </c>
      <c r="F601" s="38" t="s">
        <v>471</v>
      </c>
    </row>
    <row r="602" spans="1:6">
      <c r="A602" s="35">
        <v>25592</v>
      </c>
      <c r="B602" s="37" t="s">
        <v>1021</v>
      </c>
      <c r="C602" s="37" t="s">
        <v>166</v>
      </c>
      <c r="D602" s="37" t="s">
        <v>163</v>
      </c>
      <c r="E602" s="37" t="s">
        <v>466</v>
      </c>
      <c r="F602" s="38" t="s">
        <v>471</v>
      </c>
    </row>
    <row r="603" spans="1:6">
      <c r="A603" s="35">
        <v>25594</v>
      </c>
      <c r="B603" s="37" t="s">
        <v>1022</v>
      </c>
      <c r="C603" s="37" t="s">
        <v>166</v>
      </c>
      <c r="D603" s="37" t="s">
        <v>163</v>
      </c>
      <c r="E603" s="37" t="s">
        <v>466</v>
      </c>
      <c r="F603" s="38" t="s">
        <v>471</v>
      </c>
    </row>
    <row r="604" spans="1:6">
      <c r="A604" s="35">
        <v>25596</v>
      </c>
      <c r="B604" s="37" t="s">
        <v>1023</v>
      </c>
      <c r="C604" s="37" t="s">
        <v>166</v>
      </c>
      <c r="D604" s="37" t="s">
        <v>163</v>
      </c>
      <c r="E604" s="37" t="s">
        <v>466</v>
      </c>
      <c r="F604" s="38" t="s">
        <v>471</v>
      </c>
    </row>
    <row r="605" spans="1:6">
      <c r="A605" s="35">
        <v>25645</v>
      </c>
      <c r="B605" s="37" t="s">
        <v>1024</v>
      </c>
      <c r="C605" s="37" t="s">
        <v>166</v>
      </c>
      <c r="D605" s="37" t="s">
        <v>163</v>
      </c>
      <c r="E605" s="37" t="s">
        <v>466</v>
      </c>
      <c r="F605" s="38" t="s">
        <v>469</v>
      </c>
    </row>
    <row r="606" spans="1:6">
      <c r="A606" s="35">
        <v>25662</v>
      </c>
      <c r="B606" s="37" t="s">
        <v>1025</v>
      </c>
      <c r="C606" s="37" t="s">
        <v>166</v>
      </c>
      <c r="D606" s="37" t="s">
        <v>163</v>
      </c>
      <c r="E606" s="37" t="s">
        <v>466</v>
      </c>
      <c r="F606" s="38" t="s">
        <v>471</v>
      </c>
    </row>
    <row r="607" spans="1:6">
      <c r="A607" s="35">
        <v>25718</v>
      </c>
      <c r="B607" s="37" t="s">
        <v>1026</v>
      </c>
      <c r="C607" s="37" t="s">
        <v>166</v>
      </c>
      <c r="D607" s="37" t="s">
        <v>163</v>
      </c>
      <c r="E607" s="37" t="s">
        <v>466</v>
      </c>
      <c r="F607" s="38" t="s">
        <v>469</v>
      </c>
    </row>
    <row r="608" spans="1:6">
      <c r="A608" s="35">
        <v>25736</v>
      </c>
      <c r="B608" s="37" t="s">
        <v>1027</v>
      </c>
      <c r="C608" s="37" t="s">
        <v>166</v>
      </c>
      <c r="D608" s="37" t="s">
        <v>163</v>
      </c>
      <c r="E608" s="37" t="s">
        <v>466</v>
      </c>
      <c r="F608" s="38" t="s">
        <v>469</v>
      </c>
    </row>
    <row r="609" spans="1:6">
      <c r="A609" s="35">
        <v>25740</v>
      </c>
      <c r="B609" s="37" t="s">
        <v>1028</v>
      </c>
      <c r="C609" s="37" t="s">
        <v>166</v>
      </c>
      <c r="D609" s="37" t="s">
        <v>163</v>
      </c>
      <c r="E609" s="37" t="s">
        <v>466</v>
      </c>
      <c r="F609" s="38" t="s">
        <v>469</v>
      </c>
    </row>
    <row r="610" spans="1:6">
      <c r="A610" s="35">
        <v>25743</v>
      </c>
      <c r="B610" s="37" t="s">
        <v>1029</v>
      </c>
      <c r="C610" s="37" t="s">
        <v>166</v>
      </c>
      <c r="D610" s="37" t="s">
        <v>163</v>
      </c>
      <c r="E610" s="37" t="s">
        <v>466</v>
      </c>
      <c r="F610" s="38" t="s">
        <v>469</v>
      </c>
    </row>
    <row r="611" spans="1:6">
      <c r="A611" s="35">
        <v>25745</v>
      </c>
      <c r="B611" s="37" t="s">
        <v>1030</v>
      </c>
      <c r="C611" s="37" t="s">
        <v>166</v>
      </c>
      <c r="D611" s="37" t="s">
        <v>147</v>
      </c>
      <c r="E611" s="37" t="s">
        <v>466</v>
      </c>
      <c r="F611" s="38" t="s">
        <v>471</v>
      </c>
    </row>
    <row r="612" spans="1:6">
      <c r="A612" s="35">
        <v>25754</v>
      </c>
      <c r="B612" s="37" t="s">
        <v>1031</v>
      </c>
      <c r="C612" s="37" t="s">
        <v>166</v>
      </c>
      <c r="D612" s="37" t="s">
        <v>163</v>
      </c>
      <c r="E612" s="37" t="s">
        <v>466</v>
      </c>
      <c r="F612" s="38" t="s">
        <v>474</v>
      </c>
    </row>
    <row r="613" spans="1:6">
      <c r="A613" s="35">
        <v>25758</v>
      </c>
      <c r="B613" s="37" t="s">
        <v>1032</v>
      </c>
      <c r="C613" s="37" t="s">
        <v>166</v>
      </c>
      <c r="D613" s="37" t="s">
        <v>163</v>
      </c>
      <c r="E613" s="37" t="s">
        <v>466</v>
      </c>
      <c r="F613" s="38" t="s">
        <v>469</v>
      </c>
    </row>
    <row r="614" spans="1:6">
      <c r="A614" s="35">
        <v>25769</v>
      </c>
      <c r="B614" s="37" t="s">
        <v>1033</v>
      </c>
      <c r="C614" s="37" t="s">
        <v>166</v>
      </c>
      <c r="D614" s="37" t="s">
        <v>163</v>
      </c>
      <c r="E614" s="37" t="s">
        <v>466</v>
      </c>
      <c r="F614" s="38" t="s">
        <v>469</v>
      </c>
    </row>
    <row r="615" spans="1:6">
      <c r="A615" s="35">
        <v>25772</v>
      </c>
      <c r="B615" s="37" t="s">
        <v>1034</v>
      </c>
      <c r="C615" s="37" t="s">
        <v>166</v>
      </c>
      <c r="D615" s="37" t="s">
        <v>163</v>
      </c>
      <c r="E615" s="37" t="s">
        <v>466</v>
      </c>
      <c r="F615" s="38" t="s">
        <v>469</v>
      </c>
    </row>
    <row r="616" spans="1:6">
      <c r="A616" s="35">
        <v>25777</v>
      </c>
      <c r="B616" s="37" t="s">
        <v>1035</v>
      </c>
      <c r="C616" s="37" t="s">
        <v>166</v>
      </c>
      <c r="D616" s="37" t="s">
        <v>163</v>
      </c>
      <c r="E616" s="37" t="s">
        <v>466</v>
      </c>
      <c r="F616" s="38" t="s">
        <v>469</v>
      </c>
    </row>
    <row r="617" spans="1:6">
      <c r="A617" s="35">
        <v>25779</v>
      </c>
      <c r="B617" s="37" t="s">
        <v>1036</v>
      </c>
      <c r="C617" s="37" t="s">
        <v>166</v>
      </c>
      <c r="D617" s="37" t="s">
        <v>163</v>
      </c>
      <c r="E617" s="37" t="s">
        <v>466</v>
      </c>
      <c r="F617" s="38" t="s">
        <v>471</v>
      </c>
    </row>
    <row r="618" spans="1:6">
      <c r="A618" s="35">
        <v>25781</v>
      </c>
      <c r="B618" s="37" t="s">
        <v>1037</v>
      </c>
      <c r="C618" s="37" t="s">
        <v>166</v>
      </c>
      <c r="D618" s="37" t="s">
        <v>163</v>
      </c>
      <c r="E618" s="37" t="s">
        <v>466</v>
      </c>
      <c r="F618" s="38" t="s">
        <v>469</v>
      </c>
    </row>
    <row r="619" spans="1:6">
      <c r="A619" s="35">
        <v>25785</v>
      </c>
      <c r="B619" s="37" t="s">
        <v>1038</v>
      </c>
      <c r="C619" s="37" t="s">
        <v>166</v>
      </c>
      <c r="D619" s="37" t="s">
        <v>163</v>
      </c>
      <c r="E619" s="37" t="s">
        <v>466</v>
      </c>
      <c r="F619" s="38" t="s">
        <v>469</v>
      </c>
    </row>
    <row r="620" spans="1:6">
      <c r="A620" s="35">
        <v>25793</v>
      </c>
      <c r="B620" s="37" t="s">
        <v>1039</v>
      </c>
      <c r="C620" s="37" t="s">
        <v>166</v>
      </c>
      <c r="D620" s="37" t="s">
        <v>163</v>
      </c>
      <c r="E620" s="37" t="s">
        <v>466</v>
      </c>
      <c r="F620" s="38" t="s">
        <v>469</v>
      </c>
    </row>
    <row r="621" spans="1:6">
      <c r="A621" s="35">
        <v>25797</v>
      </c>
      <c r="B621" s="37" t="s">
        <v>1040</v>
      </c>
      <c r="C621" s="37" t="s">
        <v>166</v>
      </c>
      <c r="D621" s="37" t="s">
        <v>163</v>
      </c>
      <c r="E621" s="37" t="s">
        <v>466</v>
      </c>
      <c r="F621" s="38" t="s">
        <v>469</v>
      </c>
    </row>
    <row r="622" spans="1:6">
      <c r="A622" s="35">
        <v>25799</v>
      </c>
      <c r="B622" s="37" t="s">
        <v>1041</v>
      </c>
      <c r="C622" s="37" t="s">
        <v>166</v>
      </c>
      <c r="D622" s="37" t="s">
        <v>163</v>
      </c>
      <c r="E622" s="37" t="s">
        <v>466</v>
      </c>
      <c r="F622" s="38" t="s">
        <v>469</v>
      </c>
    </row>
    <row r="623" spans="1:6">
      <c r="A623" s="35">
        <v>25805</v>
      </c>
      <c r="B623" s="37" t="s">
        <v>1042</v>
      </c>
      <c r="C623" s="37" t="s">
        <v>166</v>
      </c>
      <c r="D623" s="37" t="s">
        <v>163</v>
      </c>
      <c r="E623" s="37" t="s">
        <v>466</v>
      </c>
      <c r="F623" s="38" t="s">
        <v>469</v>
      </c>
    </row>
    <row r="624" spans="1:6">
      <c r="A624" s="35">
        <v>25807</v>
      </c>
      <c r="B624" s="37" t="s">
        <v>1043</v>
      </c>
      <c r="C624" s="37" t="s">
        <v>166</v>
      </c>
      <c r="D624" s="37" t="s">
        <v>163</v>
      </c>
      <c r="E624" s="37" t="s">
        <v>466</v>
      </c>
      <c r="F624" s="38" t="s">
        <v>471</v>
      </c>
    </row>
    <row r="625" spans="1:6">
      <c r="A625" s="35">
        <v>25815</v>
      </c>
      <c r="B625" s="37" t="s">
        <v>1044</v>
      </c>
      <c r="C625" s="37" t="s">
        <v>166</v>
      </c>
      <c r="D625" s="37" t="s">
        <v>163</v>
      </c>
      <c r="E625" s="37" t="s">
        <v>466</v>
      </c>
      <c r="F625" s="38" t="s">
        <v>471</v>
      </c>
    </row>
    <row r="626" spans="1:6">
      <c r="A626" s="35">
        <v>25817</v>
      </c>
      <c r="B626" s="37" t="s">
        <v>1045</v>
      </c>
      <c r="C626" s="37" t="s">
        <v>166</v>
      </c>
      <c r="D626" s="37" t="s">
        <v>163</v>
      </c>
      <c r="E626" s="37" t="s">
        <v>466</v>
      </c>
      <c r="F626" s="38" t="s">
        <v>469</v>
      </c>
    </row>
    <row r="627" spans="1:6">
      <c r="A627" s="35">
        <v>25823</v>
      </c>
      <c r="B627" s="37" t="s">
        <v>1046</v>
      </c>
      <c r="C627" s="37" t="s">
        <v>166</v>
      </c>
      <c r="D627" s="37" t="s">
        <v>163</v>
      </c>
      <c r="E627" s="37" t="s">
        <v>466</v>
      </c>
      <c r="F627" s="38" t="s">
        <v>471</v>
      </c>
    </row>
    <row r="628" spans="1:6">
      <c r="A628" s="35">
        <v>25839</v>
      </c>
      <c r="B628" s="37" t="s">
        <v>1047</v>
      </c>
      <c r="C628" s="37" t="s">
        <v>166</v>
      </c>
      <c r="D628" s="37" t="s">
        <v>163</v>
      </c>
      <c r="E628" s="37" t="s">
        <v>466</v>
      </c>
      <c r="F628" s="38" t="s">
        <v>471</v>
      </c>
    </row>
    <row r="629" spans="1:6">
      <c r="A629" s="35">
        <v>25841</v>
      </c>
      <c r="B629" s="37" t="s">
        <v>1048</v>
      </c>
      <c r="C629" s="37" t="s">
        <v>166</v>
      </c>
      <c r="D629" s="37" t="s">
        <v>163</v>
      </c>
      <c r="E629" s="37" t="s">
        <v>466</v>
      </c>
      <c r="F629" s="38" t="s">
        <v>469</v>
      </c>
    </row>
    <row r="630" spans="1:6">
      <c r="A630" s="35">
        <v>25845</v>
      </c>
      <c r="B630" s="37" t="s">
        <v>1049</v>
      </c>
      <c r="C630" s="37" t="s">
        <v>166</v>
      </c>
      <c r="D630" s="37" t="s">
        <v>163</v>
      </c>
      <c r="E630" s="37" t="s">
        <v>466</v>
      </c>
      <c r="F630" s="38" t="s">
        <v>469</v>
      </c>
    </row>
    <row r="631" spans="1:6">
      <c r="A631" s="35">
        <v>25851</v>
      </c>
      <c r="B631" s="37" t="s">
        <v>1050</v>
      </c>
      <c r="C631" s="37" t="s">
        <v>166</v>
      </c>
      <c r="D631" s="37" t="s">
        <v>163</v>
      </c>
      <c r="E631" s="37" t="s">
        <v>466</v>
      </c>
      <c r="F631" s="38" t="s">
        <v>471</v>
      </c>
    </row>
    <row r="632" spans="1:6">
      <c r="A632" s="35">
        <v>25862</v>
      </c>
      <c r="B632" s="37" t="s">
        <v>1051</v>
      </c>
      <c r="C632" s="37" t="s">
        <v>166</v>
      </c>
      <c r="D632" s="37" t="s">
        <v>163</v>
      </c>
      <c r="E632" s="37" t="s">
        <v>466</v>
      </c>
      <c r="F632" s="38" t="s">
        <v>471</v>
      </c>
    </row>
    <row r="633" spans="1:6">
      <c r="A633" s="35">
        <v>25867</v>
      </c>
      <c r="B633" s="37" t="s">
        <v>1052</v>
      </c>
      <c r="C633" s="37" t="s">
        <v>166</v>
      </c>
      <c r="D633" s="37" t="s">
        <v>163</v>
      </c>
      <c r="E633" s="37" t="s">
        <v>466</v>
      </c>
      <c r="F633" s="38" t="s">
        <v>471</v>
      </c>
    </row>
    <row r="634" spans="1:6">
      <c r="A634" s="35">
        <v>25843</v>
      </c>
      <c r="B634" s="37" t="s">
        <v>1053</v>
      </c>
      <c r="C634" s="37" t="s">
        <v>166</v>
      </c>
      <c r="D634" s="37" t="s">
        <v>163</v>
      </c>
      <c r="E634" s="37" t="s">
        <v>466</v>
      </c>
      <c r="F634" s="38" t="s">
        <v>469</v>
      </c>
    </row>
    <row r="635" spans="1:6">
      <c r="A635" s="35">
        <v>25871</v>
      </c>
      <c r="B635" s="37" t="s">
        <v>1054</v>
      </c>
      <c r="C635" s="37" t="s">
        <v>166</v>
      </c>
      <c r="D635" s="37" t="s">
        <v>163</v>
      </c>
      <c r="E635" s="37" t="s">
        <v>466</v>
      </c>
      <c r="F635" s="38" t="s">
        <v>471</v>
      </c>
    </row>
    <row r="636" spans="1:6">
      <c r="A636" s="35">
        <v>25873</v>
      </c>
      <c r="B636" s="37" t="s">
        <v>1055</v>
      </c>
      <c r="C636" s="37" t="s">
        <v>166</v>
      </c>
      <c r="D636" s="37" t="s">
        <v>147</v>
      </c>
      <c r="E636" s="37" t="s">
        <v>466</v>
      </c>
      <c r="F636" s="38" t="s">
        <v>469</v>
      </c>
    </row>
    <row r="637" spans="1:6">
      <c r="A637" s="35">
        <v>25875</v>
      </c>
      <c r="B637" s="37" t="s">
        <v>1056</v>
      </c>
      <c r="C637" s="37" t="s">
        <v>166</v>
      </c>
      <c r="D637" s="37" t="s">
        <v>163</v>
      </c>
      <c r="E637" s="37" t="s">
        <v>466</v>
      </c>
      <c r="F637" s="38" t="s">
        <v>469</v>
      </c>
    </row>
    <row r="638" spans="1:6">
      <c r="A638" s="35">
        <v>25878</v>
      </c>
      <c r="B638" s="37" t="s">
        <v>1057</v>
      </c>
      <c r="C638" s="37" t="s">
        <v>166</v>
      </c>
      <c r="D638" s="37" t="s">
        <v>163</v>
      </c>
      <c r="E638" s="37" t="s">
        <v>466</v>
      </c>
      <c r="F638" s="38" t="s">
        <v>471</v>
      </c>
    </row>
    <row r="639" spans="1:6">
      <c r="A639" s="35">
        <v>25885</v>
      </c>
      <c r="B639" s="37" t="s">
        <v>1058</v>
      </c>
      <c r="C639" s="37" t="s">
        <v>166</v>
      </c>
      <c r="D639" s="37" t="s">
        <v>163</v>
      </c>
      <c r="E639" s="37" t="s">
        <v>466</v>
      </c>
      <c r="F639" s="38" t="s">
        <v>467</v>
      </c>
    </row>
    <row r="640" spans="1:6">
      <c r="A640" s="35">
        <v>25898</v>
      </c>
      <c r="B640" s="37" t="s">
        <v>1059</v>
      </c>
      <c r="C640" s="37" t="s">
        <v>166</v>
      </c>
      <c r="D640" s="37" t="s">
        <v>163</v>
      </c>
      <c r="E640" s="37" t="s">
        <v>466</v>
      </c>
      <c r="F640" s="38" t="s">
        <v>469</v>
      </c>
    </row>
    <row r="641" spans="1:6">
      <c r="A641" s="35">
        <v>25899</v>
      </c>
      <c r="B641" s="37" t="s">
        <v>1060</v>
      </c>
      <c r="C641" s="37" t="s">
        <v>166</v>
      </c>
      <c r="D641" s="37" t="s">
        <v>163</v>
      </c>
      <c r="E641" s="37" t="s">
        <v>466</v>
      </c>
      <c r="F641" s="38" t="s">
        <v>469</v>
      </c>
    </row>
    <row r="642" spans="1:6">
      <c r="A642" s="35">
        <v>94884</v>
      </c>
      <c r="B642" s="36" t="s">
        <v>597</v>
      </c>
      <c r="C642" s="37" t="s">
        <v>1061</v>
      </c>
      <c r="D642" s="37" t="s">
        <v>822</v>
      </c>
      <c r="E642" s="37" t="s">
        <v>453</v>
      </c>
      <c r="F642" s="38" t="s">
        <v>454</v>
      </c>
    </row>
    <row r="643" spans="1:6">
      <c r="A643" s="35">
        <v>94343</v>
      </c>
      <c r="B643" s="37" t="s">
        <v>1062</v>
      </c>
      <c r="C643" s="37" t="s">
        <v>1061</v>
      </c>
      <c r="D643" s="37" t="s">
        <v>822</v>
      </c>
      <c r="E643" s="37" t="s">
        <v>453</v>
      </c>
      <c r="F643" s="38" t="s">
        <v>454</v>
      </c>
    </row>
    <row r="644" spans="1:6">
      <c r="A644" s="35">
        <v>94886</v>
      </c>
      <c r="B644" s="37" t="s">
        <v>1063</v>
      </c>
      <c r="C644" s="37" t="s">
        <v>1061</v>
      </c>
      <c r="D644" s="37" t="s">
        <v>822</v>
      </c>
      <c r="E644" s="37" t="s">
        <v>453</v>
      </c>
      <c r="F644" s="38" t="s">
        <v>454</v>
      </c>
    </row>
    <row r="645" spans="1:6">
      <c r="A645" s="35">
        <v>94001</v>
      </c>
      <c r="B645" s="37" t="s">
        <v>1064</v>
      </c>
      <c r="C645" s="37" t="s">
        <v>1061</v>
      </c>
      <c r="D645" s="37" t="s">
        <v>163</v>
      </c>
      <c r="E645" s="37" t="s">
        <v>453</v>
      </c>
      <c r="F645" s="38" t="s">
        <v>454</v>
      </c>
    </row>
    <row r="646" spans="1:6">
      <c r="A646" s="35">
        <v>94885</v>
      </c>
      <c r="B646" s="37" t="s">
        <v>1065</v>
      </c>
      <c r="C646" s="37" t="s">
        <v>1061</v>
      </c>
      <c r="D646" s="37" t="s">
        <v>822</v>
      </c>
      <c r="E646" s="37" t="s">
        <v>453</v>
      </c>
      <c r="F646" s="38" t="s">
        <v>454</v>
      </c>
    </row>
    <row r="647" spans="1:6">
      <c r="A647" s="35">
        <v>94663</v>
      </c>
      <c r="B647" s="37" t="s">
        <v>1066</v>
      </c>
      <c r="C647" s="37" t="s">
        <v>1061</v>
      </c>
      <c r="D647" s="37" t="s">
        <v>822</v>
      </c>
      <c r="E647" s="37" t="s">
        <v>453</v>
      </c>
      <c r="F647" s="38" t="s">
        <v>454</v>
      </c>
    </row>
    <row r="648" spans="1:6">
      <c r="A648" s="35">
        <v>94888</v>
      </c>
      <c r="B648" s="37" t="s">
        <v>1067</v>
      </c>
      <c r="C648" s="37" t="s">
        <v>1061</v>
      </c>
      <c r="D648" s="37" t="s">
        <v>822</v>
      </c>
      <c r="E648" s="37" t="s">
        <v>453</v>
      </c>
      <c r="F648" s="38" t="s">
        <v>454</v>
      </c>
    </row>
    <row r="649" spans="1:6">
      <c r="A649" s="35">
        <v>94887</v>
      </c>
      <c r="B649" s="37" t="s">
        <v>1068</v>
      </c>
      <c r="C649" s="37" t="s">
        <v>1061</v>
      </c>
      <c r="D649" s="37" t="s">
        <v>822</v>
      </c>
      <c r="E649" s="37" t="s">
        <v>453</v>
      </c>
      <c r="F649" s="38" t="s">
        <v>454</v>
      </c>
    </row>
    <row r="650" spans="1:6">
      <c r="A650" s="35">
        <v>94883</v>
      </c>
      <c r="B650" s="37" t="s">
        <v>1069</v>
      </c>
      <c r="C650" s="37" t="s">
        <v>1061</v>
      </c>
      <c r="D650" s="37" t="s">
        <v>822</v>
      </c>
      <c r="E650" s="37" t="s">
        <v>453</v>
      </c>
      <c r="F650" s="38" t="s">
        <v>454</v>
      </c>
    </row>
    <row r="651" spans="1:6">
      <c r="A651" s="35">
        <v>95015</v>
      </c>
      <c r="B651" s="36" t="s">
        <v>617</v>
      </c>
      <c r="C651" s="37" t="s">
        <v>1070</v>
      </c>
      <c r="D651" s="37" t="s">
        <v>822</v>
      </c>
      <c r="E651" s="37" t="s">
        <v>453</v>
      </c>
      <c r="F651" s="38" t="s">
        <v>454</v>
      </c>
    </row>
    <row r="652" spans="1:6">
      <c r="A652" s="35">
        <v>95200</v>
      </c>
      <c r="B652" s="36" t="s">
        <v>669</v>
      </c>
      <c r="C652" s="37" t="s">
        <v>1070</v>
      </c>
      <c r="D652" s="37" t="s">
        <v>822</v>
      </c>
      <c r="E652" s="37" t="s">
        <v>453</v>
      </c>
      <c r="F652" s="38" t="s">
        <v>454</v>
      </c>
    </row>
    <row r="653" spans="1:6">
      <c r="A653" s="35">
        <v>95025</v>
      </c>
      <c r="B653" s="37" t="s">
        <v>1071</v>
      </c>
      <c r="C653" s="37" t="s">
        <v>1070</v>
      </c>
      <c r="D653" s="37" t="s">
        <v>822</v>
      </c>
      <c r="E653" s="37" t="s">
        <v>466</v>
      </c>
      <c r="F653" s="38" t="s">
        <v>467</v>
      </c>
    </row>
    <row r="654" spans="1:6">
      <c r="A654" s="35">
        <v>95001</v>
      </c>
      <c r="B654" s="37" t="s">
        <v>1072</v>
      </c>
      <c r="C654" s="37" t="s">
        <v>1070</v>
      </c>
      <c r="D654" s="37" t="s">
        <v>822</v>
      </c>
      <c r="E654" s="37" t="s">
        <v>466</v>
      </c>
      <c r="F654" s="38" t="s">
        <v>467</v>
      </c>
    </row>
    <row r="655" spans="1:6">
      <c r="A655" s="35">
        <v>41319</v>
      </c>
      <c r="B655" s="36" t="s">
        <v>478</v>
      </c>
      <c r="C655" s="37" t="s">
        <v>1073</v>
      </c>
      <c r="D655" s="37" t="s">
        <v>298</v>
      </c>
      <c r="E655" s="37" t="s">
        <v>466</v>
      </c>
      <c r="F655" s="38" t="s">
        <v>471</v>
      </c>
    </row>
    <row r="656" spans="1:6">
      <c r="A656" s="35">
        <v>41530</v>
      </c>
      <c r="B656" s="36" t="s">
        <v>780</v>
      </c>
      <c r="C656" s="37" t="s">
        <v>1073</v>
      </c>
      <c r="D656" s="37" t="s">
        <v>298</v>
      </c>
      <c r="E656" s="37" t="s">
        <v>466</v>
      </c>
      <c r="F656" s="38" t="s">
        <v>467</v>
      </c>
    </row>
    <row r="657" spans="1:6">
      <c r="A657" s="35">
        <v>41676</v>
      </c>
      <c r="B657" s="36" t="s">
        <v>671</v>
      </c>
      <c r="C657" s="37" t="s">
        <v>1073</v>
      </c>
      <c r="D657" s="37" t="s">
        <v>298</v>
      </c>
      <c r="E657" s="37" t="s">
        <v>466</v>
      </c>
      <c r="F657" s="38" t="s">
        <v>471</v>
      </c>
    </row>
    <row r="658" spans="1:6">
      <c r="A658" s="35">
        <v>41006</v>
      </c>
      <c r="B658" s="37" t="s">
        <v>1074</v>
      </c>
      <c r="C658" s="37" t="s">
        <v>1073</v>
      </c>
      <c r="D658" s="37" t="s">
        <v>298</v>
      </c>
      <c r="E658" s="37" t="s">
        <v>466</v>
      </c>
      <c r="F658" s="38" t="s">
        <v>471</v>
      </c>
    </row>
    <row r="659" spans="1:6">
      <c r="A659" s="35">
        <v>41013</v>
      </c>
      <c r="B659" s="37" t="s">
        <v>1075</v>
      </c>
      <c r="C659" s="37" t="s">
        <v>1073</v>
      </c>
      <c r="D659" s="37" t="s">
        <v>298</v>
      </c>
      <c r="E659" s="37" t="s">
        <v>466</v>
      </c>
      <c r="F659" s="38" t="s">
        <v>471</v>
      </c>
    </row>
    <row r="660" spans="1:6">
      <c r="A660" s="35">
        <v>41016</v>
      </c>
      <c r="B660" s="37" t="s">
        <v>1076</v>
      </c>
      <c r="C660" s="37" t="s">
        <v>1073</v>
      </c>
      <c r="D660" s="37" t="s">
        <v>298</v>
      </c>
      <c r="E660" s="37" t="s">
        <v>466</v>
      </c>
      <c r="F660" s="38" t="s">
        <v>469</v>
      </c>
    </row>
    <row r="661" spans="1:6">
      <c r="A661" s="35">
        <v>41020</v>
      </c>
      <c r="B661" s="37" t="s">
        <v>1077</v>
      </c>
      <c r="C661" s="37" t="s">
        <v>1073</v>
      </c>
      <c r="D661" s="37" t="s">
        <v>298</v>
      </c>
      <c r="E661" s="37" t="s">
        <v>466</v>
      </c>
      <c r="F661" s="38" t="s">
        <v>469</v>
      </c>
    </row>
    <row r="662" spans="1:6">
      <c r="A662" s="35">
        <v>41026</v>
      </c>
      <c r="B662" s="37" t="s">
        <v>1078</v>
      </c>
      <c r="C662" s="37" t="s">
        <v>1073</v>
      </c>
      <c r="D662" s="37" t="s">
        <v>298</v>
      </c>
      <c r="E662" s="37" t="s">
        <v>466</v>
      </c>
      <c r="F662" s="38" t="s">
        <v>471</v>
      </c>
    </row>
    <row r="663" spans="1:6">
      <c r="A663" s="35">
        <v>41078</v>
      </c>
      <c r="B663" s="37" t="s">
        <v>1079</v>
      </c>
      <c r="C663" s="37" t="s">
        <v>1073</v>
      </c>
      <c r="D663" s="37" t="s">
        <v>298</v>
      </c>
      <c r="E663" s="37" t="s">
        <v>466</v>
      </c>
      <c r="F663" s="38" t="s">
        <v>469</v>
      </c>
    </row>
    <row r="664" spans="1:6">
      <c r="A664" s="35">
        <v>41132</v>
      </c>
      <c r="B664" s="37" t="s">
        <v>1080</v>
      </c>
      <c r="C664" s="37" t="s">
        <v>1073</v>
      </c>
      <c r="D664" s="37" t="s">
        <v>298</v>
      </c>
      <c r="E664" s="37" t="s">
        <v>466</v>
      </c>
      <c r="F664" s="38" t="s">
        <v>469</v>
      </c>
    </row>
    <row r="665" spans="1:6">
      <c r="A665" s="35">
        <v>41206</v>
      </c>
      <c r="B665" s="37" t="s">
        <v>1081</v>
      </c>
      <c r="C665" s="37" t="s">
        <v>1073</v>
      </c>
      <c r="D665" s="37" t="s">
        <v>298</v>
      </c>
      <c r="E665" s="37" t="s">
        <v>466</v>
      </c>
      <c r="F665" s="38" t="s">
        <v>471</v>
      </c>
    </row>
    <row r="666" spans="1:6">
      <c r="A666" s="35">
        <v>41244</v>
      </c>
      <c r="B666" s="37" t="s">
        <v>1082</v>
      </c>
      <c r="C666" s="37" t="s">
        <v>1073</v>
      </c>
      <c r="D666" s="37" t="s">
        <v>298</v>
      </c>
      <c r="E666" s="37" t="s">
        <v>466</v>
      </c>
      <c r="F666" s="38" t="s">
        <v>471</v>
      </c>
    </row>
    <row r="667" spans="1:6">
      <c r="A667" s="35">
        <v>41298</v>
      </c>
      <c r="B667" s="37" t="s">
        <v>1083</v>
      </c>
      <c r="C667" s="37" t="s">
        <v>1073</v>
      </c>
      <c r="D667" s="37" t="s">
        <v>298</v>
      </c>
      <c r="E667" s="37" t="s">
        <v>466</v>
      </c>
      <c r="F667" s="38" t="s">
        <v>471</v>
      </c>
    </row>
    <row r="668" spans="1:6">
      <c r="A668" s="35">
        <v>41306</v>
      </c>
      <c r="B668" s="37" t="s">
        <v>1084</v>
      </c>
      <c r="C668" s="37" t="s">
        <v>1073</v>
      </c>
      <c r="D668" s="37" t="s">
        <v>298</v>
      </c>
      <c r="E668" s="37" t="s">
        <v>466</v>
      </c>
      <c r="F668" s="38" t="s">
        <v>469</v>
      </c>
    </row>
    <row r="669" spans="1:6">
      <c r="A669" s="35">
        <v>41349</v>
      </c>
      <c r="B669" s="37" t="s">
        <v>1085</v>
      </c>
      <c r="C669" s="37" t="s">
        <v>1073</v>
      </c>
      <c r="D669" s="37" t="s">
        <v>298</v>
      </c>
      <c r="E669" s="37" t="s">
        <v>466</v>
      </c>
      <c r="F669" s="38" t="s">
        <v>469</v>
      </c>
    </row>
    <row r="670" spans="1:6">
      <c r="A670" s="35">
        <v>41357</v>
      </c>
      <c r="B670" s="37" t="s">
        <v>1086</v>
      </c>
      <c r="C670" s="37" t="s">
        <v>1073</v>
      </c>
      <c r="D670" s="37" t="s">
        <v>298</v>
      </c>
      <c r="E670" s="37" t="s">
        <v>466</v>
      </c>
      <c r="F670" s="38" t="s">
        <v>469</v>
      </c>
    </row>
    <row r="671" spans="1:6">
      <c r="A671" s="35">
        <v>41359</v>
      </c>
      <c r="B671" s="37" t="s">
        <v>1087</v>
      </c>
      <c r="C671" s="37" t="s">
        <v>1073</v>
      </c>
      <c r="D671" s="37" t="s">
        <v>298</v>
      </c>
      <c r="E671" s="37" t="s">
        <v>466</v>
      </c>
      <c r="F671" s="38" t="s">
        <v>467</v>
      </c>
    </row>
    <row r="672" spans="1:6">
      <c r="A672" s="35">
        <v>41378</v>
      </c>
      <c r="B672" s="37" t="s">
        <v>1088</v>
      </c>
      <c r="C672" s="37" t="s">
        <v>1073</v>
      </c>
      <c r="D672" s="37" t="s">
        <v>298</v>
      </c>
      <c r="E672" s="37" t="s">
        <v>466</v>
      </c>
      <c r="F672" s="38" t="s">
        <v>471</v>
      </c>
    </row>
    <row r="673" spans="1:6">
      <c r="A673" s="35">
        <v>41396</v>
      </c>
      <c r="B673" s="37" t="s">
        <v>1089</v>
      </c>
      <c r="C673" s="37" t="s">
        <v>1073</v>
      </c>
      <c r="D673" s="37" t="s">
        <v>298</v>
      </c>
      <c r="E673" s="37" t="s">
        <v>466</v>
      </c>
      <c r="F673" s="38" t="s">
        <v>471</v>
      </c>
    </row>
    <row r="674" spans="1:6">
      <c r="A674" s="35">
        <v>41483</v>
      </c>
      <c r="B674" s="37" t="s">
        <v>1090</v>
      </c>
      <c r="C674" s="37" t="s">
        <v>1073</v>
      </c>
      <c r="D674" s="37" t="s">
        <v>298</v>
      </c>
      <c r="E674" s="37" t="s">
        <v>466</v>
      </c>
      <c r="F674" s="38" t="s">
        <v>471</v>
      </c>
    </row>
    <row r="675" spans="1:6">
      <c r="A675" s="35">
        <v>41001</v>
      </c>
      <c r="B675" s="37" t="s">
        <v>298</v>
      </c>
      <c r="C675" s="37" t="s">
        <v>1073</v>
      </c>
      <c r="D675" s="37" t="s">
        <v>298</v>
      </c>
      <c r="E675" s="37" t="s">
        <v>466</v>
      </c>
      <c r="F675" s="38" t="s">
        <v>474</v>
      </c>
    </row>
    <row r="676" spans="1:6">
      <c r="A676" s="35">
        <v>41503</v>
      </c>
      <c r="B676" s="37" t="s">
        <v>1091</v>
      </c>
      <c r="C676" s="37" t="s">
        <v>1073</v>
      </c>
      <c r="D676" s="37" t="s">
        <v>298</v>
      </c>
      <c r="E676" s="37" t="s">
        <v>466</v>
      </c>
      <c r="F676" s="38" t="s">
        <v>467</v>
      </c>
    </row>
    <row r="677" spans="1:6">
      <c r="A677" s="35">
        <v>41518</v>
      </c>
      <c r="B677" s="37" t="s">
        <v>1092</v>
      </c>
      <c r="C677" s="37" t="s">
        <v>1073</v>
      </c>
      <c r="D677" s="37" t="s">
        <v>298</v>
      </c>
      <c r="E677" s="37" t="s">
        <v>466</v>
      </c>
      <c r="F677" s="38" t="s">
        <v>469</v>
      </c>
    </row>
    <row r="678" spans="1:6">
      <c r="A678" s="35">
        <v>41524</v>
      </c>
      <c r="B678" s="37" t="s">
        <v>1093</v>
      </c>
      <c r="C678" s="37" t="s">
        <v>1073</v>
      </c>
      <c r="D678" s="37" t="s">
        <v>298</v>
      </c>
      <c r="E678" s="37" t="s">
        <v>466</v>
      </c>
      <c r="F678" s="38" t="s">
        <v>474</v>
      </c>
    </row>
    <row r="679" spans="1:6">
      <c r="A679" s="35">
        <v>41548</v>
      </c>
      <c r="B679" s="37" t="s">
        <v>1094</v>
      </c>
      <c r="C679" s="37" t="s">
        <v>1073</v>
      </c>
      <c r="D679" s="37" t="s">
        <v>298</v>
      </c>
      <c r="E679" s="37" t="s">
        <v>466</v>
      </c>
      <c r="F679" s="38" t="s">
        <v>471</v>
      </c>
    </row>
    <row r="680" spans="1:6">
      <c r="A680" s="35">
        <v>41551</v>
      </c>
      <c r="B680" s="37" t="s">
        <v>1095</v>
      </c>
      <c r="C680" s="37" t="s">
        <v>1073</v>
      </c>
      <c r="D680" s="37" t="s">
        <v>298</v>
      </c>
      <c r="E680" s="37" t="s">
        <v>466</v>
      </c>
      <c r="F680" s="38" t="s">
        <v>471</v>
      </c>
    </row>
    <row r="681" spans="1:6">
      <c r="A681" s="35">
        <v>41615</v>
      </c>
      <c r="B681" s="37" t="s">
        <v>1096</v>
      </c>
      <c r="C681" s="37" t="s">
        <v>1073</v>
      </c>
      <c r="D681" s="37" t="s">
        <v>298</v>
      </c>
      <c r="E681" s="37" t="s">
        <v>466</v>
      </c>
      <c r="F681" s="38" t="s">
        <v>474</v>
      </c>
    </row>
    <row r="682" spans="1:6">
      <c r="A682" s="35">
        <v>41660</v>
      </c>
      <c r="B682" s="37" t="s">
        <v>1097</v>
      </c>
      <c r="C682" s="37" t="s">
        <v>1073</v>
      </c>
      <c r="D682" s="37" t="s">
        <v>298</v>
      </c>
      <c r="E682" s="37" t="s">
        <v>466</v>
      </c>
      <c r="F682" s="38" t="s">
        <v>467</v>
      </c>
    </row>
    <row r="683" spans="1:6">
      <c r="A683" s="35">
        <v>41668</v>
      </c>
      <c r="B683" s="37" t="s">
        <v>1098</v>
      </c>
      <c r="C683" s="37" t="s">
        <v>1073</v>
      </c>
      <c r="D683" s="37" t="s">
        <v>298</v>
      </c>
      <c r="E683" s="37" t="s">
        <v>466</v>
      </c>
      <c r="F683" s="38" t="s">
        <v>467</v>
      </c>
    </row>
    <row r="684" spans="1:6">
      <c r="A684" s="35">
        <v>41770</v>
      </c>
      <c r="B684" s="37" t="s">
        <v>1099</v>
      </c>
      <c r="C684" s="37" t="s">
        <v>1073</v>
      </c>
      <c r="D684" s="37" t="s">
        <v>298</v>
      </c>
      <c r="E684" s="37" t="s">
        <v>466</v>
      </c>
      <c r="F684" s="38" t="s">
        <v>471</v>
      </c>
    </row>
    <row r="685" spans="1:6">
      <c r="A685" s="35">
        <v>41791</v>
      </c>
      <c r="B685" s="37" t="s">
        <v>1100</v>
      </c>
      <c r="C685" s="37" t="s">
        <v>1073</v>
      </c>
      <c r="D685" s="37" t="s">
        <v>298</v>
      </c>
      <c r="E685" s="37" t="s">
        <v>466</v>
      </c>
      <c r="F685" s="38" t="s">
        <v>471</v>
      </c>
    </row>
    <row r="686" spans="1:6">
      <c r="A686" s="35">
        <v>41799</v>
      </c>
      <c r="B686" s="37" t="s">
        <v>1101</v>
      </c>
      <c r="C686" s="37" t="s">
        <v>1073</v>
      </c>
      <c r="D686" s="37" t="s">
        <v>298</v>
      </c>
      <c r="E686" s="37" t="s">
        <v>466</v>
      </c>
      <c r="F686" s="38" t="s">
        <v>469</v>
      </c>
    </row>
    <row r="687" spans="1:6">
      <c r="A687" s="35">
        <v>41801</v>
      </c>
      <c r="B687" s="37" t="s">
        <v>1102</v>
      </c>
      <c r="C687" s="37" t="s">
        <v>1073</v>
      </c>
      <c r="D687" s="37" t="s">
        <v>298</v>
      </c>
      <c r="E687" s="37" t="s">
        <v>466</v>
      </c>
      <c r="F687" s="38" t="s">
        <v>469</v>
      </c>
    </row>
    <row r="688" spans="1:6">
      <c r="A688" s="35">
        <v>41797</v>
      </c>
      <c r="B688" s="37" t="s">
        <v>1103</v>
      </c>
      <c r="C688" s="37" t="s">
        <v>1073</v>
      </c>
      <c r="D688" s="37" t="s">
        <v>298</v>
      </c>
      <c r="E688" s="37" t="s">
        <v>466</v>
      </c>
      <c r="F688" s="38" t="s">
        <v>469</v>
      </c>
    </row>
    <row r="689" spans="1:6">
      <c r="A689" s="35">
        <v>41807</v>
      </c>
      <c r="B689" s="37" t="s">
        <v>1104</v>
      </c>
      <c r="C689" s="37" t="s">
        <v>1073</v>
      </c>
      <c r="D689" s="37" t="s">
        <v>298</v>
      </c>
      <c r="E689" s="37" t="s">
        <v>466</v>
      </c>
      <c r="F689" s="38" t="s">
        <v>471</v>
      </c>
    </row>
    <row r="690" spans="1:6">
      <c r="A690" s="35">
        <v>41872</v>
      </c>
      <c r="B690" s="37" t="s">
        <v>1105</v>
      </c>
      <c r="C690" s="37" t="s">
        <v>1073</v>
      </c>
      <c r="D690" s="37" t="s">
        <v>298</v>
      </c>
      <c r="E690" s="37" t="s">
        <v>466</v>
      </c>
      <c r="F690" s="38" t="s">
        <v>469</v>
      </c>
    </row>
    <row r="691" spans="1:6">
      <c r="A691" s="35">
        <v>41885</v>
      </c>
      <c r="B691" s="37" t="s">
        <v>1106</v>
      </c>
      <c r="C691" s="37" t="s">
        <v>1073</v>
      </c>
      <c r="D691" s="37" t="s">
        <v>298</v>
      </c>
      <c r="E691" s="37" t="s">
        <v>466</v>
      </c>
      <c r="F691" s="38" t="s">
        <v>469</v>
      </c>
    </row>
    <row r="692" spans="1:6">
      <c r="A692" s="35">
        <v>44035</v>
      </c>
      <c r="B692" s="36" t="s">
        <v>806</v>
      </c>
      <c r="C692" s="37" t="s">
        <v>1107</v>
      </c>
      <c r="D692" s="37" t="s">
        <v>622</v>
      </c>
      <c r="E692" s="37" t="s">
        <v>466</v>
      </c>
      <c r="F692" s="38" t="s">
        <v>471</v>
      </c>
    </row>
    <row r="693" spans="1:6">
      <c r="A693" s="35">
        <v>44560</v>
      </c>
      <c r="B693" s="36" t="s">
        <v>875</v>
      </c>
      <c r="C693" s="37" t="s">
        <v>1107</v>
      </c>
      <c r="D693" s="37" t="s">
        <v>1108</v>
      </c>
      <c r="E693" s="37" t="s">
        <v>466</v>
      </c>
      <c r="F693" s="38" t="s">
        <v>467</v>
      </c>
    </row>
    <row r="694" spans="1:6">
      <c r="A694" s="35">
        <v>44874</v>
      </c>
      <c r="B694" s="36" t="s">
        <v>627</v>
      </c>
      <c r="C694" s="37" t="s">
        <v>1107</v>
      </c>
      <c r="D694" s="37" t="s">
        <v>622</v>
      </c>
      <c r="E694" s="37" t="s">
        <v>466</v>
      </c>
      <c r="F694" s="38" t="s">
        <v>469</v>
      </c>
    </row>
    <row r="695" spans="1:6">
      <c r="A695" s="35">
        <v>44078</v>
      </c>
      <c r="B695" s="37" t="s">
        <v>1109</v>
      </c>
      <c r="C695" s="37" t="s">
        <v>1107</v>
      </c>
      <c r="D695" s="37" t="s">
        <v>622</v>
      </c>
      <c r="E695" s="37" t="s">
        <v>466</v>
      </c>
      <c r="F695" s="38" t="s">
        <v>469</v>
      </c>
    </row>
    <row r="696" spans="1:6">
      <c r="A696" s="35">
        <v>44090</v>
      </c>
      <c r="B696" s="37" t="s">
        <v>1110</v>
      </c>
      <c r="C696" s="37" t="s">
        <v>1107</v>
      </c>
      <c r="D696" s="37" t="s">
        <v>1108</v>
      </c>
      <c r="E696" s="37" t="s">
        <v>466</v>
      </c>
      <c r="F696" s="38" t="s">
        <v>471</v>
      </c>
    </row>
    <row r="697" spans="1:6">
      <c r="A697" s="35">
        <v>44098</v>
      </c>
      <c r="B697" s="37" t="s">
        <v>1111</v>
      </c>
      <c r="C697" s="37" t="s">
        <v>1107</v>
      </c>
      <c r="D697" s="37" t="s">
        <v>622</v>
      </c>
      <c r="E697" s="37" t="s">
        <v>466</v>
      </c>
      <c r="F697" s="38" t="s">
        <v>469</v>
      </c>
    </row>
    <row r="698" spans="1:6">
      <c r="A698" s="35">
        <v>44110</v>
      </c>
      <c r="B698" s="37" t="s">
        <v>1112</v>
      </c>
      <c r="C698" s="37" t="s">
        <v>1107</v>
      </c>
      <c r="D698" s="37" t="s">
        <v>622</v>
      </c>
      <c r="E698" s="37" t="s">
        <v>466</v>
      </c>
      <c r="F698" s="38" t="s">
        <v>469</v>
      </c>
    </row>
    <row r="699" spans="1:6">
      <c r="A699" s="35">
        <v>44279</v>
      </c>
      <c r="B699" s="37" t="s">
        <v>1113</v>
      </c>
      <c r="C699" s="37" t="s">
        <v>1107</v>
      </c>
      <c r="D699" s="37" t="s">
        <v>622</v>
      </c>
      <c r="E699" s="37" t="s">
        <v>466</v>
      </c>
      <c r="F699" s="38" t="s">
        <v>469</v>
      </c>
    </row>
    <row r="700" spans="1:6">
      <c r="A700" s="35">
        <v>44378</v>
      </c>
      <c r="B700" s="37" t="s">
        <v>1114</v>
      </c>
      <c r="C700" s="37" t="s">
        <v>1107</v>
      </c>
      <c r="D700" s="37" t="s">
        <v>622</v>
      </c>
      <c r="E700" s="37" t="s">
        <v>466</v>
      </c>
      <c r="F700" s="38" t="s">
        <v>471</v>
      </c>
    </row>
    <row r="701" spans="1:6">
      <c r="A701" s="35">
        <v>44420</v>
      </c>
      <c r="B701" s="37" t="s">
        <v>1115</v>
      </c>
      <c r="C701" s="37" t="s">
        <v>1107</v>
      </c>
      <c r="D701" s="37" t="s">
        <v>622</v>
      </c>
      <c r="E701" s="37" t="s">
        <v>466</v>
      </c>
      <c r="F701" s="38" t="s">
        <v>469</v>
      </c>
    </row>
    <row r="702" spans="1:6">
      <c r="A702" s="35">
        <v>44430</v>
      </c>
      <c r="B702" s="37" t="s">
        <v>1116</v>
      </c>
      <c r="C702" s="37" t="s">
        <v>1107</v>
      </c>
      <c r="D702" s="37" t="s">
        <v>1108</v>
      </c>
      <c r="E702" s="37" t="s">
        <v>466</v>
      </c>
      <c r="F702" s="38" t="s">
        <v>467</v>
      </c>
    </row>
    <row r="703" spans="1:6">
      <c r="A703" s="35">
        <v>44001</v>
      </c>
      <c r="B703" s="37" t="s">
        <v>1117</v>
      </c>
      <c r="C703" s="37" t="s">
        <v>1107</v>
      </c>
      <c r="D703" s="37" t="s">
        <v>1108</v>
      </c>
      <c r="E703" s="37" t="s">
        <v>466</v>
      </c>
      <c r="F703" s="38" t="s">
        <v>471</v>
      </c>
    </row>
    <row r="704" spans="1:6">
      <c r="A704" s="35">
        <v>44650</v>
      </c>
      <c r="B704" s="37" t="s">
        <v>1118</v>
      </c>
      <c r="C704" s="37" t="s">
        <v>1107</v>
      </c>
      <c r="D704" s="37" t="s">
        <v>622</v>
      </c>
      <c r="E704" s="37" t="s">
        <v>466</v>
      </c>
      <c r="F704" s="38" t="s">
        <v>469</v>
      </c>
    </row>
    <row r="705" spans="1:6">
      <c r="A705" s="35">
        <v>44847</v>
      </c>
      <c r="B705" s="37" t="s">
        <v>1119</v>
      </c>
      <c r="C705" s="37" t="s">
        <v>1107</v>
      </c>
      <c r="D705" s="37" t="s">
        <v>1108</v>
      </c>
      <c r="E705" s="37" t="s">
        <v>466</v>
      </c>
      <c r="F705" s="38" t="s">
        <v>467</v>
      </c>
    </row>
    <row r="706" spans="1:6">
      <c r="A706" s="35">
        <v>44855</v>
      </c>
      <c r="B706" s="37" t="s">
        <v>1120</v>
      </c>
      <c r="C706" s="37" t="s">
        <v>1107</v>
      </c>
      <c r="D706" s="37" t="s">
        <v>622</v>
      </c>
      <c r="E706" s="37" t="s">
        <v>466</v>
      </c>
      <c r="F706" s="38" t="s">
        <v>469</v>
      </c>
    </row>
    <row r="707" spans="1:6">
      <c r="A707" s="35">
        <v>47189</v>
      </c>
      <c r="B707" s="36" t="s">
        <v>668</v>
      </c>
      <c r="C707" s="37" t="s">
        <v>1121</v>
      </c>
      <c r="D707" s="37" t="s">
        <v>1108</v>
      </c>
      <c r="E707" s="37" t="s">
        <v>466</v>
      </c>
      <c r="F707" s="38" t="s">
        <v>469</v>
      </c>
    </row>
    <row r="708" spans="1:6">
      <c r="A708" s="35">
        <v>47205</v>
      </c>
      <c r="B708" s="36" t="s">
        <v>476</v>
      </c>
      <c r="C708" s="37" t="s">
        <v>1121</v>
      </c>
      <c r="D708" s="37" t="s">
        <v>320</v>
      </c>
      <c r="E708" s="37" t="s">
        <v>466</v>
      </c>
      <c r="F708" s="38" t="s">
        <v>471</v>
      </c>
    </row>
    <row r="709" spans="1:6">
      <c r="A709" s="35">
        <v>47318</v>
      </c>
      <c r="B709" s="36" t="s">
        <v>1122</v>
      </c>
      <c r="C709" s="37" t="s">
        <v>1121</v>
      </c>
      <c r="D709" s="37" t="s">
        <v>1108</v>
      </c>
      <c r="E709" s="37" t="s">
        <v>466</v>
      </c>
      <c r="F709" s="38" t="s">
        <v>467</v>
      </c>
    </row>
    <row r="710" spans="1:6">
      <c r="A710" s="35">
        <v>47675</v>
      </c>
      <c r="B710" s="36" t="s">
        <v>783</v>
      </c>
      <c r="C710" s="37" t="s">
        <v>1121</v>
      </c>
      <c r="D710" s="37" t="s">
        <v>320</v>
      </c>
      <c r="E710" s="37" t="s">
        <v>466</v>
      </c>
      <c r="F710" s="38" t="s">
        <v>469</v>
      </c>
    </row>
    <row r="711" spans="1:6">
      <c r="A711" s="35">
        <v>47030</v>
      </c>
      <c r="B711" s="37" t="s">
        <v>1123</v>
      </c>
      <c r="C711" s="37" t="s">
        <v>1121</v>
      </c>
      <c r="D711" s="37" t="s">
        <v>1108</v>
      </c>
      <c r="E711" s="37" t="s">
        <v>466</v>
      </c>
      <c r="F711" s="38" t="s">
        <v>467</v>
      </c>
    </row>
    <row r="712" spans="1:6">
      <c r="A712" s="35">
        <v>47053</v>
      </c>
      <c r="B712" s="37" t="s">
        <v>1124</v>
      </c>
      <c r="C712" s="37" t="s">
        <v>1121</v>
      </c>
      <c r="D712" s="37" t="s">
        <v>1108</v>
      </c>
      <c r="E712" s="37" t="s">
        <v>466</v>
      </c>
      <c r="F712" s="38" t="s">
        <v>471</v>
      </c>
    </row>
    <row r="713" spans="1:6">
      <c r="A713" s="35">
        <v>47058</v>
      </c>
      <c r="B713" s="37" t="s">
        <v>1125</v>
      </c>
      <c r="C713" s="37" t="s">
        <v>1121</v>
      </c>
      <c r="D713" s="37" t="s">
        <v>622</v>
      </c>
      <c r="E713" s="37" t="s">
        <v>466</v>
      </c>
      <c r="F713" s="38" t="s">
        <v>471</v>
      </c>
    </row>
    <row r="714" spans="1:6">
      <c r="A714" s="35">
        <v>47161</v>
      </c>
      <c r="B714" s="37" t="s">
        <v>1126</v>
      </c>
      <c r="C714" s="37" t="s">
        <v>1121</v>
      </c>
      <c r="D714" s="37" t="s">
        <v>320</v>
      </c>
      <c r="E714" s="37" t="s">
        <v>466</v>
      </c>
      <c r="F714" s="38" t="s">
        <v>467</v>
      </c>
    </row>
    <row r="715" spans="1:6">
      <c r="A715" s="35">
        <v>47170</v>
      </c>
      <c r="B715" s="37" t="s">
        <v>1127</v>
      </c>
      <c r="C715" s="37" t="s">
        <v>1121</v>
      </c>
      <c r="D715" s="37" t="s">
        <v>1108</v>
      </c>
      <c r="E715" s="37" t="s">
        <v>466</v>
      </c>
      <c r="F715" s="38" t="s">
        <v>467</v>
      </c>
    </row>
    <row r="716" spans="1:6">
      <c r="A716" s="35">
        <v>47245</v>
      </c>
      <c r="B716" s="37" t="s">
        <v>1128</v>
      </c>
      <c r="C716" s="37" t="s">
        <v>1121</v>
      </c>
      <c r="D716" s="37" t="s">
        <v>1108</v>
      </c>
      <c r="E716" s="37" t="s">
        <v>466</v>
      </c>
      <c r="F716" s="38" t="s">
        <v>467</v>
      </c>
    </row>
    <row r="717" spans="1:6">
      <c r="A717" s="35">
        <v>47258</v>
      </c>
      <c r="B717" s="37" t="s">
        <v>1129</v>
      </c>
      <c r="C717" s="37" t="s">
        <v>1121</v>
      </c>
      <c r="D717" s="37" t="s">
        <v>320</v>
      </c>
      <c r="E717" s="37" t="s">
        <v>466</v>
      </c>
      <c r="F717" s="38" t="s">
        <v>471</v>
      </c>
    </row>
    <row r="718" spans="1:6">
      <c r="A718" s="35">
        <v>47268</v>
      </c>
      <c r="B718" s="37" t="s">
        <v>1130</v>
      </c>
      <c r="C718" s="37" t="s">
        <v>1121</v>
      </c>
      <c r="D718" s="37" t="s">
        <v>1108</v>
      </c>
      <c r="E718" s="37" t="s">
        <v>466</v>
      </c>
      <c r="F718" s="38" t="s">
        <v>471</v>
      </c>
    </row>
    <row r="719" spans="1:6">
      <c r="A719" s="35">
        <v>47288</v>
      </c>
      <c r="B719" s="37" t="s">
        <v>1131</v>
      </c>
      <c r="C719" s="37" t="s">
        <v>1121</v>
      </c>
      <c r="D719" s="37" t="s">
        <v>1108</v>
      </c>
      <c r="E719" s="37" t="s">
        <v>466</v>
      </c>
      <c r="F719" s="38" t="s">
        <v>471</v>
      </c>
    </row>
    <row r="720" spans="1:6">
      <c r="A720" s="35">
        <v>47460</v>
      </c>
      <c r="B720" s="37" t="s">
        <v>1132</v>
      </c>
      <c r="C720" s="37" t="s">
        <v>1121</v>
      </c>
      <c r="D720" s="37" t="s">
        <v>622</v>
      </c>
      <c r="E720" s="37" t="s">
        <v>466</v>
      </c>
      <c r="F720" s="38" t="s">
        <v>467</v>
      </c>
    </row>
    <row r="721" spans="1:6">
      <c r="A721" s="35">
        <v>47541</v>
      </c>
      <c r="B721" s="37" t="s">
        <v>1133</v>
      </c>
      <c r="C721" s="37" t="s">
        <v>1121</v>
      </c>
      <c r="D721" s="37" t="s">
        <v>320</v>
      </c>
      <c r="E721" s="37" t="s">
        <v>466</v>
      </c>
      <c r="F721" s="38" t="s">
        <v>471</v>
      </c>
    </row>
    <row r="722" spans="1:6">
      <c r="A722" s="35">
        <v>47545</v>
      </c>
      <c r="B722" s="37" t="s">
        <v>1134</v>
      </c>
      <c r="C722" s="37" t="s">
        <v>1121</v>
      </c>
      <c r="D722" s="37" t="s">
        <v>1108</v>
      </c>
      <c r="E722" s="37" t="s">
        <v>466</v>
      </c>
      <c r="F722" s="38" t="s">
        <v>467</v>
      </c>
    </row>
    <row r="723" spans="1:6">
      <c r="A723" s="35">
        <v>47551</v>
      </c>
      <c r="B723" s="37" t="s">
        <v>1135</v>
      </c>
      <c r="C723" s="37" t="s">
        <v>1121</v>
      </c>
      <c r="D723" s="37" t="s">
        <v>1108</v>
      </c>
      <c r="E723" s="37" t="s">
        <v>466</v>
      </c>
      <c r="F723" s="38" t="s">
        <v>467</v>
      </c>
    </row>
    <row r="724" spans="1:6">
      <c r="A724" s="35">
        <v>47555</v>
      </c>
      <c r="B724" s="37" t="s">
        <v>1136</v>
      </c>
      <c r="C724" s="37" t="s">
        <v>1121</v>
      </c>
      <c r="D724" s="37" t="s">
        <v>1108</v>
      </c>
      <c r="E724" s="37" t="s">
        <v>466</v>
      </c>
      <c r="F724" s="38" t="s">
        <v>467</v>
      </c>
    </row>
    <row r="725" spans="1:6">
      <c r="A725" s="35">
        <v>47570</v>
      </c>
      <c r="B725" s="37" t="s">
        <v>1137</v>
      </c>
      <c r="C725" s="37" t="s">
        <v>1121</v>
      </c>
      <c r="D725" s="37" t="s">
        <v>1108</v>
      </c>
      <c r="E725" s="37" t="s">
        <v>466</v>
      </c>
      <c r="F725" s="38" t="s">
        <v>469</v>
      </c>
    </row>
    <row r="726" spans="1:6">
      <c r="A726" s="35">
        <v>47605</v>
      </c>
      <c r="B726" s="37" t="s">
        <v>1138</v>
      </c>
      <c r="C726" s="37" t="s">
        <v>1121</v>
      </c>
      <c r="D726" s="37" t="s">
        <v>320</v>
      </c>
      <c r="E726" s="37" t="s">
        <v>466</v>
      </c>
      <c r="F726" s="38" t="s">
        <v>471</v>
      </c>
    </row>
    <row r="727" spans="1:6">
      <c r="A727" s="35">
        <v>47660</v>
      </c>
      <c r="B727" s="37" t="s">
        <v>1139</v>
      </c>
      <c r="C727" s="37" t="s">
        <v>1121</v>
      </c>
      <c r="D727" s="37" t="s">
        <v>1108</v>
      </c>
      <c r="E727" s="37" t="s">
        <v>466</v>
      </c>
      <c r="F727" s="38" t="s">
        <v>467</v>
      </c>
    </row>
    <row r="728" spans="1:6">
      <c r="A728" s="35">
        <v>47692</v>
      </c>
      <c r="B728" s="37" t="s">
        <v>1140</v>
      </c>
      <c r="C728" s="37" t="s">
        <v>1121</v>
      </c>
      <c r="D728" s="37" t="s">
        <v>1108</v>
      </c>
      <c r="E728" s="37" t="s">
        <v>466</v>
      </c>
      <c r="F728" s="38" t="s">
        <v>467</v>
      </c>
    </row>
    <row r="729" spans="1:6">
      <c r="A729" s="35">
        <v>47703</v>
      </c>
      <c r="B729" s="37" t="s">
        <v>1141</v>
      </c>
      <c r="C729" s="37" t="s">
        <v>1121</v>
      </c>
      <c r="D729" s="37" t="s">
        <v>1108</v>
      </c>
      <c r="E729" s="37" t="s">
        <v>466</v>
      </c>
      <c r="F729" s="38" t="s">
        <v>467</v>
      </c>
    </row>
    <row r="730" spans="1:6">
      <c r="A730" s="35">
        <v>47707</v>
      </c>
      <c r="B730" s="37" t="s">
        <v>1142</v>
      </c>
      <c r="C730" s="37" t="s">
        <v>1121</v>
      </c>
      <c r="D730" s="37" t="s">
        <v>1108</v>
      </c>
      <c r="E730" s="37" t="s">
        <v>466</v>
      </c>
      <c r="F730" s="38" t="s">
        <v>467</v>
      </c>
    </row>
    <row r="731" spans="1:6">
      <c r="A731" s="35">
        <v>47720</v>
      </c>
      <c r="B731" s="37" t="s">
        <v>1143</v>
      </c>
      <c r="C731" s="37" t="s">
        <v>1121</v>
      </c>
      <c r="D731" s="37" t="s">
        <v>1108</v>
      </c>
      <c r="E731" s="37" t="s">
        <v>466</v>
      </c>
      <c r="F731" s="38" t="s">
        <v>467</v>
      </c>
    </row>
    <row r="732" spans="1:6">
      <c r="A732" s="35">
        <v>47001</v>
      </c>
      <c r="B732" s="37" t="s">
        <v>1108</v>
      </c>
      <c r="C732" s="37" t="s">
        <v>1121</v>
      </c>
      <c r="D732" s="37" t="s">
        <v>1108</v>
      </c>
      <c r="E732" s="37" t="s">
        <v>466</v>
      </c>
      <c r="F732" s="38" t="s">
        <v>474</v>
      </c>
    </row>
    <row r="733" spans="1:6">
      <c r="A733" s="35">
        <v>47745</v>
      </c>
      <c r="B733" s="37" t="s">
        <v>1144</v>
      </c>
      <c r="C733" s="37" t="s">
        <v>1121</v>
      </c>
      <c r="D733" s="37" t="s">
        <v>320</v>
      </c>
      <c r="E733" s="37" t="s">
        <v>466</v>
      </c>
      <c r="F733" s="38" t="s">
        <v>469</v>
      </c>
    </row>
    <row r="734" spans="1:6">
      <c r="A734" s="35">
        <v>47798</v>
      </c>
      <c r="B734" s="37" t="s">
        <v>1145</v>
      </c>
      <c r="C734" s="37" t="s">
        <v>1121</v>
      </c>
      <c r="D734" s="37" t="s">
        <v>1108</v>
      </c>
      <c r="E734" s="37" t="s">
        <v>466</v>
      </c>
      <c r="F734" s="38" t="s">
        <v>467</v>
      </c>
    </row>
    <row r="735" spans="1:6">
      <c r="A735" s="35">
        <v>47960</v>
      </c>
      <c r="B735" s="37" t="s">
        <v>1146</v>
      </c>
      <c r="C735" s="37" t="s">
        <v>1121</v>
      </c>
      <c r="D735" s="37" t="s">
        <v>320</v>
      </c>
      <c r="E735" s="37" t="s">
        <v>547</v>
      </c>
      <c r="F735" s="38" t="s">
        <v>454</v>
      </c>
    </row>
    <row r="736" spans="1:6">
      <c r="A736" s="35">
        <v>47980</v>
      </c>
      <c r="B736" s="37" t="s">
        <v>1147</v>
      </c>
      <c r="C736" s="37" t="s">
        <v>1121</v>
      </c>
      <c r="D736" s="37" t="s">
        <v>1108</v>
      </c>
      <c r="E736" s="37" t="s">
        <v>466</v>
      </c>
      <c r="F736" s="38" t="s">
        <v>469</v>
      </c>
    </row>
    <row r="737" spans="1:6">
      <c r="A737" s="35">
        <v>50313</v>
      </c>
      <c r="B737" s="36" t="s">
        <v>477</v>
      </c>
      <c r="C737" s="37" t="s">
        <v>1148</v>
      </c>
      <c r="D737" s="37" t="s">
        <v>822</v>
      </c>
      <c r="E737" s="37" t="s">
        <v>466</v>
      </c>
      <c r="F737" s="38" t="s">
        <v>469</v>
      </c>
    </row>
    <row r="738" spans="1:6">
      <c r="A738" s="35">
        <v>50318</v>
      </c>
      <c r="B738" s="36" t="s">
        <v>1122</v>
      </c>
      <c r="C738" s="37" t="s">
        <v>1148</v>
      </c>
      <c r="D738" s="37" t="s">
        <v>822</v>
      </c>
      <c r="E738" s="37" t="s">
        <v>466</v>
      </c>
      <c r="F738" s="38" t="s">
        <v>469</v>
      </c>
    </row>
    <row r="739" spans="1:6">
      <c r="A739" s="35">
        <v>50590</v>
      </c>
      <c r="B739" s="36" t="s">
        <v>807</v>
      </c>
      <c r="C739" s="37" t="s">
        <v>1148</v>
      </c>
      <c r="D739" s="37" t="s">
        <v>822</v>
      </c>
      <c r="E739" s="37" t="s">
        <v>466</v>
      </c>
      <c r="F739" s="38" t="s">
        <v>467</v>
      </c>
    </row>
    <row r="740" spans="1:6">
      <c r="A740" s="35">
        <v>50606</v>
      </c>
      <c r="B740" s="36" t="s">
        <v>1149</v>
      </c>
      <c r="C740" s="37" t="s">
        <v>1148</v>
      </c>
      <c r="D740" s="37" t="s">
        <v>822</v>
      </c>
      <c r="E740" s="37" t="s">
        <v>466</v>
      </c>
      <c r="F740" s="38" t="s">
        <v>469</v>
      </c>
    </row>
    <row r="741" spans="1:6">
      <c r="A741" s="35">
        <v>50689</v>
      </c>
      <c r="B741" s="36" t="s">
        <v>876</v>
      </c>
      <c r="C741" s="37" t="s">
        <v>1148</v>
      </c>
      <c r="D741" s="37" t="s">
        <v>822</v>
      </c>
      <c r="E741" s="37" t="s">
        <v>466</v>
      </c>
      <c r="F741" s="38" t="s">
        <v>469</v>
      </c>
    </row>
    <row r="742" spans="1:6">
      <c r="A742" s="35">
        <v>50006</v>
      </c>
      <c r="B742" s="37" t="s">
        <v>1150</v>
      </c>
      <c r="C742" s="37" t="s">
        <v>1148</v>
      </c>
      <c r="D742" s="37" t="s">
        <v>822</v>
      </c>
      <c r="E742" s="37" t="s">
        <v>466</v>
      </c>
      <c r="F742" s="38" t="s">
        <v>469</v>
      </c>
    </row>
    <row r="743" spans="1:6">
      <c r="A743" s="35">
        <v>50110</v>
      </c>
      <c r="B743" s="37" t="s">
        <v>1151</v>
      </c>
      <c r="C743" s="37" t="s">
        <v>1148</v>
      </c>
      <c r="D743" s="37" t="s">
        <v>822</v>
      </c>
      <c r="E743" s="37" t="s">
        <v>466</v>
      </c>
      <c r="F743" s="38" t="s">
        <v>469</v>
      </c>
    </row>
    <row r="744" spans="1:6">
      <c r="A744" s="35">
        <v>50124</v>
      </c>
      <c r="B744" s="37" t="s">
        <v>1152</v>
      </c>
      <c r="C744" s="37" t="s">
        <v>1148</v>
      </c>
      <c r="D744" s="37" t="s">
        <v>822</v>
      </c>
      <c r="E744" s="37" t="s">
        <v>466</v>
      </c>
      <c r="F744" s="38" t="s">
        <v>471</v>
      </c>
    </row>
    <row r="745" spans="1:6">
      <c r="A745" s="35">
        <v>50150</v>
      </c>
      <c r="B745" s="37" t="s">
        <v>1153</v>
      </c>
      <c r="C745" s="37" t="s">
        <v>1148</v>
      </c>
      <c r="D745" s="37" t="s">
        <v>822</v>
      </c>
      <c r="E745" s="37" t="s">
        <v>466</v>
      </c>
      <c r="F745" s="38" t="s">
        <v>469</v>
      </c>
    </row>
    <row r="746" spans="1:6">
      <c r="A746" s="35">
        <v>50223</v>
      </c>
      <c r="B746" s="37" t="s">
        <v>1154</v>
      </c>
      <c r="C746" s="37" t="s">
        <v>1148</v>
      </c>
      <c r="D746" s="37" t="s">
        <v>822</v>
      </c>
      <c r="E746" s="37" t="s">
        <v>466</v>
      </c>
      <c r="F746" s="38" t="s">
        <v>469</v>
      </c>
    </row>
    <row r="747" spans="1:6">
      <c r="A747" s="35">
        <v>50226</v>
      </c>
      <c r="B747" s="37" t="s">
        <v>1155</v>
      </c>
      <c r="C747" s="37" t="s">
        <v>1148</v>
      </c>
      <c r="D747" s="37" t="s">
        <v>822</v>
      </c>
      <c r="E747" s="37" t="s">
        <v>466</v>
      </c>
      <c r="F747" s="38" t="s">
        <v>469</v>
      </c>
    </row>
    <row r="748" spans="1:6">
      <c r="A748" s="35">
        <v>50245</v>
      </c>
      <c r="B748" s="37" t="s">
        <v>1156</v>
      </c>
      <c r="C748" s="37" t="s">
        <v>1148</v>
      </c>
      <c r="D748" s="37" t="s">
        <v>822</v>
      </c>
      <c r="E748" s="37" t="s">
        <v>466</v>
      </c>
      <c r="F748" s="38" t="s">
        <v>467</v>
      </c>
    </row>
    <row r="749" spans="1:6">
      <c r="A749" s="35">
        <v>50251</v>
      </c>
      <c r="B749" s="37" t="s">
        <v>1157</v>
      </c>
      <c r="C749" s="37" t="s">
        <v>1148</v>
      </c>
      <c r="D749" s="37" t="s">
        <v>822</v>
      </c>
      <c r="E749" s="37" t="s">
        <v>466</v>
      </c>
      <c r="F749" s="38" t="s">
        <v>469</v>
      </c>
    </row>
    <row r="750" spans="1:6">
      <c r="A750" s="35">
        <v>50270</v>
      </c>
      <c r="B750" s="37" t="s">
        <v>1158</v>
      </c>
      <c r="C750" s="37" t="s">
        <v>1148</v>
      </c>
      <c r="D750" s="37" t="s">
        <v>822</v>
      </c>
      <c r="E750" s="37" t="s">
        <v>466</v>
      </c>
      <c r="F750" s="38" t="s">
        <v>469</v>
      </c>
    </row>
    <row r="751" spans="1:6">
      <c r="A751" s="35">
        <v>50287</v>
      </c>
      <c r="B751" s="37" t="s">
        <v>1159</v>
      </c>
      <c r="C751" s="37" t="s">
        <v>1148</v>
      </c>
      <c r="D751" s="37" t="s">
        <v>822</v>
      </c>
      <c r="E751" s="37" t="s">
        <v>466</v>
      </c>
      <c r="F751" s="38" t="s">
        <v>471</v>
      </c>
    </row>
    <row r="752" spans="1:6">
      <c r="A752" s="35">
        <v>50350</v>
      </c>
      <c r="B752" s="37" t="s">
        <v>1160</v>
      </c>
      <c r="C752" s="37" t="s">
        <v>1148</v>
      </c>
      <c r="D752" s="37" t="s">
        <v>822</v>
      </c>
      <c r="E752" s="37" t="s">
        <v>453</v>
      </c>
      <c r="F752" s="38" t="s">
        <v>454</v>
      </c>
    </row>
    <row r="753" spans="1:6">
      <c r="A753" s="35">
        <v>50400</v>
      </c>
      <c r="B753" s="37" t="s">
        <v>1161</v>
      </c>
      <c r="C753" s="37" t="s">
        <v>1148</v>
      </c>
      <c r="D753" s="37" t="s">
        <v>822</v>
      </c>
      <c r="E753" s="37" t="s">
        <v>466</v>
      </c>
      <c r="F753" s="38" t="s">
        <v>471</v>
      </c>
    </row>
    <row r="754" spans="1:6">
      <c r="A754" s="35">
        <v>50325</v>
      </c>
      <c r="B754" s="37" t="s">
        <v>1162</v>
      </c>
      <c r="C754" s="37" t="s">
        <v>1148</v>
      </c>
      <c r="D754" s="37" t="s">
        <v>822</v>
      </c>
      <c r="E754" s="37" t="s">
        <v>453</v>
      </c>
      <c r="F754" s="38" t="s">
        <v>454</v>
      </c>
    </row>
    <row r="755" spans="1:6">
      <c r="A755" s="35">
        <v>50330</v>
      </c>
      <c r="B755" s="37" t="s">
        <v>1163</v>
      </c>
      <c r="C755" s="37" t="s">
        <v>1148</v>
      </c>
      <c r="D755" s="37" t="s">
        <v>822</v>
      </c>
      <c r="E755" s="37" t="s">
        <v>466</v>
      </c>
      <c r="F755" s="38" t="s">
        <v>471</v>
      </c>
    </row>
    <row r="756" spans="1:6">
      <c r="A756" s="35">
        <v>50450</v>
      </c>
      <c r="B756" s="37" t="s">
        <v>1164</v>
      </c>
      <c r="C756" s="37" t="s">
        <v>1148</v>
      </c>
      <c r="D756" s="37" t="s">
        <v>822</v>
      </c>
      <c r="E756" s="37" t="s">
        <v>466</v>
      </c>
      <c r="F756" s="38" t="s">
        <v>467</v>
      </c>
    </row>
    <row r="757" spans="1:6">
      <c r="A757" s="35">
        <v>50568</v>
      </c>
      <c r="B757" s="37" t="s">
        <v>1165</v>
      </c>
      <c r="C757" s="37" t="s">
        <v>1148</v>
      </c>
      <c r="D757" s="37" t="s">
        <v>822</v>
      </c>
      <c r="E757" s="37" t="s">
        <v>466</v>
      </c>
      <c r="F757" s="38" t="s">
        <v>471</v>
      </c>
    </row>
    <row r="758" spans="1:6">
      <c r="A758" s="35">
        <v>50577</v>
      </c>
      <c r="B758" s="37" t="s">
        <v>1166</v>
      </c>
      <c r="C758" s="37" t="s">
        <v>1148</v>
      </c>
      <c r="D758" s="37" t="s">
        <v>822</v>
      </c>
      <c r="E758" s="37" t="s">
        <v>466</v>
      </c>
      <c r="F758" s="38" t="s">
        <v>471</v>
      </c>
    </row>
    <row r="759" spans="1:6">
      <c r="A759" s="35">
        <v>50573</v>
      </c>
      <c r="B759" s="37" t="s">
        <v>1167</v>
      </c>
      <c r="C759" s="37" t="s">
        <v>1148</v>
      </c>
      <c r="D759" s="37" t="s">
        <v>822</v>
      </c>
      <c r="E759" s="37" t="s">
        <v>466</v>
      </c>
      <c r="F759" s="38" t="s">
        <v>469</v>
      </c>
    </row>
    <row r="760" spans="1:6">
      <c r="A760" s="35">
        <v>50680</v>
      </c>
      <c r="B760" s="37" t="s">
        <v>1168</v>
      </c>
      <c r="C760" s="37" t="s">
        <v>1148</v>
      </c>
      <c r="D760" s="37" t="s">
        <v>822</v>
      </c>
      <c r="E760" s="37" t="s">
        <v>466</v>
      </c>
      <c r="F760" s="38" t="s">
        <v>469</v>
      </c>
    </row>
    <row r="761" spans="1:6">
      <c r="A761" s="35">
        <v>50683</v>
      </c>
      <c r="B761" s="37" t="s">
        <v>1169</v>
      </c>
      <c r="C761" s="37" t="s">
        <v>1148</v>
      </c>
      <c r="D761" s="37" t="s">
        <v>822</v>
      </c>
      <c r="E761" s="37" t="s">
        <v>466</v>
      </c>
      <c r="F761" s="38" t="s">
        <v>471</v>
      </c>
    </row>
    <row r="762" spans="1:6">
      <c r="A762" s="35">
        <v>50686</v>
      </c>
      <c r="B762" s="37" t="s">
        <v>1170</v>
      </c>
      <c r="C762" s="37" t="s">
        <v>1148</v>
      </c>
      <c r="D762" s="37" t="s">
        <v>822</v>
      </c>
      <c r="E762" s="37" t="s">
        <v>466</v>
      </c>
      <c r="F762" s="38" t="s">
        <v>467</v>
      </c>
    </row>
    <row r="763" spans="1:6">
      <c r="A763" s="35">
        <v>50370</v>
      </c>
      <c r="B763" s="37" t="s">
        <v>1171</v>
      </c>
      <c r="C763" s="37" t="s">
        <v>1148</v>
      </c>
      <c r="D763" s="37" t="s">
        <v>822</v>
      </c>
      <c r="E763" s="37" t="s">
        <v>453</v>
      </c>
      <c r="F763" s="38" t="s">
        <v>454</v>
      </c>
    </row>
    <row r="764" spans="1:6">
      <c r="A764" s="35">
        <v>50001</v>
      </c>
      <c r="B764" s="37" t="s">
        <v>822</v>
      </c>
      <c r="C764" s="37" t="s">
        <v>1148</v>
      </c>
      <c r="D764" s="37" t="s">
        <v>822</v>
      </c>
      <c r="E764" s="37" t="s">
        <v>466</v>
      </c>
      <c r="F764" s="38" t="s">
        <v>474</v>
      </c>
    </row>
    <row r="765" spans="1:6">
      <c r="A765" s="35">
        <v>50711</v>
      </c>
      <c r="B765" s="37" t="s">
        <v>1172</v>
      </c>
      <c r="C765" s="37" t="s">
        <v>1148</v>
      </c>
      <c r="D765" s="37" t="s">
        <v>822</v>
      </c>
      <c r="E765" s="37" t="s">
        <v>466</v>
      </c>
      <c r="F765" s="38" t="s">
        <v>471</v>
      </c>
    </row>
    <row r="766" spans="1:6">
      <c r="A766" s="35">
        <v>52019</v>
      </c>
      <c r="B766" s="36" t="s">
        <v>953</v>
      </c>
      <c r="C766" s="37" t="s">
        <v>341</v>
      </c>
      <c r="D766" s="37" t="s">
        <v>338</v>
      </c>
      <c r="E766" s="37" t="s">
        <v>466</v>
      </c>
      <c r="F766" s="38" t="s">
        <v>469</v>
      </c>
    </row>
    <row r="767" spans="1:6">
      <c r="A767" s="35">
        <v>52083</v>
      </c>
      <c r="B767" s="36" t="s">
        <v>666</v>
      </c>
      <c r="C767" s="37" t="s">
        <v>341</v>
      </c>
      <c r="D767" s="37" t="s">
        <v>338</v>
      </c>
      <c r="E767" s="37" t="s">
        <v>466</v>
      </c>
      <c r="F767" s="38" t="s">
        <v>471</v>
      </c>
    </row>
    <row r="768" spans="1:6">
      <c r="A768" s="35">
        <v>52203</v>
      </c>
      <c r="B768" s="36" t="s">
        <v>1173</v>
      </c>
      <c r="C768" s="37" t="s">
        <v>341</v>
      </c>
      <c r="D768" s="37" t="s">
        <v>338</v>
      </c>
      <c r="E768" s="37" t="s">
        <v>466</v>
      </c>
      <c r="F768" s="38" t="s">
        <v>467</v>
      </c>
    </row>
    <row r="769" spans="1:6">
      <c r="A769" s="35">
        <v>52215</v>
      </c>
      <c r="B769" s="36" t="s">
        <v>620</v>
      </c>
      <c r="C769" s="37" t="s">
        <v>341</v>
      </c>
      <c r="D769" s="37" t="s">
        <v>338</v>
      </c>
      <c r="E769" s="37" t="s">
        <v>466</v>
      </c>
      <c r="F769" s="38" t="s">
        <v>469</v>
      </c>
    </row>
    <row r="770" spans="1:6">
      <c r="A770" s="35">
        <v>52260</v>
      </c>
      <c r="B770" s="36" t="s">
        <v>840</v>
      </c>
      <c r="C770" s="37" t="s">
        <v>341</v>
      </c>
      <c r="D770" s="37" t="s">
        <v>338</v>
      </c>
      <c r="E770" s="37" t="s">
        <v>466</v>
      </c>
      <c r="F770" s="38" t="s">
        <v>469</v>
      </c>
    </row>
    <row r="771" spans="1:6">
      <c r="A771" s="35">
        <v>52399</v>
      </c>
      <c r="B771" s="36" t="s">
        <v>349</v>
      </c>
      <c r="C771" s="37" t="s">
        <v>341</v>
      </c>
      <c r="D771" s="37" t="s">
        <v>338</v>
      </c>
      <c r="E771" s="37" t="s">
        <v>466</v>
      </c>
      <c r="F771" s="38" t="s">
        <v>471</v>
      </c>
    </row>
    <row r="772" spans="1:6">
      <c r="A772" s="35">
        <v>52473</v>
      </c>
      <c r="B772" s="36" t="s">
        <v>211</v>
      </c>
      <c r="C772" s="37" t="s">
        <v>341</v>
      </c>
      <c r="D772" s="37" t="s">
        <v>338</v>
      </c>
      <c r="E772" s="37" t="s">
        <v>466</v>
      </c>
      <c r="F772" s="38" t="s">
        <v>467</v>
      </c>
    </row>
    <row r="773" spans="1:6">
      <c r="A773" s="35">
        <v>52480</v>
      </c>
      <c r="B773" s="36" t="s">
        <v>341</v>
      </c>
      <c r="C773" s="37" t="s">
        <v>341</v>
      </c>
      <c r="D773" s="37" t="s">
        <v>338</v>
      </c>
      <c r="E773" s="37" t="s">
        <v>466</v>
      </c>
      <c r="F773" s="38" t="s">
        <v>469</v>
      </c>
    </row>
    <row r="774" spans="1:6">
      <c r="A774" s="35">
        <v>52565</v>
      </c>
      <c r="B774" s="36" t="s">
        <v>1174</v>
      </c>
      <c r="C774" s="37" t="s">
        <v>341</v>
      </c>
      <c r="D774" s="37" t="s">
        <v>338</v>
      </c>
      <c r="E774" s="37" t="s">
        <v>466</v>
      </c>
      <c r="F774" s="38" t="s">
        <v>471</v>
      </c>
    </row>
    <row r="775" spans="1:6">
      <c r="A775" s="35">
        <v>52612</v>
      </c>
      <c r="B775" s="36" t="s">
        <v>955</v>
      </c>
      <c r="C775" s="37" t="s">
        <v>341</v>
      </c>
      <c r="D775" s="37" t="s">
        <v>338</v>
      </c>
      <c r="E775" s="37" t="s">
        <v>466</v>
      </c>
      <c r="F775" s="38" t="s">
        <v>471</v>
      </c>
    </row>
    <row r="776" spans="1:6">
      <c r="A776" s="35">
        <v>52685</v>
      </c>
      <c r="B776" s="36" t="s">
        <v>956</v>
      </c>
      <c r="C776" s="37" t="s">
        <v>341</v>
      </c>
      <c r="D776" s="37" t="s">
        <v>338</v>
      </c>
      <c r="E776" s="37" t="s">
        <v>466</v>
      </c>
      <c r="F776" s="38" t="s">
        <v>469</v>
      </c>
    </row>
    <row r="777" spans="1:6">
      <c r="A777" s="35">
        <v>52693</v>
      </c>
      <c r="B777" s="36" t="s">
        <v>624</v>
      </c>
      <c r="C777" s="37" t="s">
        <v>341</v>
      </c>
      <c r="D777" s="37" t="s">
        <v>338</v>
      </c>
      <c r="E777" s="37" t="s">
        <v>466</v>
      </c>
      <c r="F777" s="38" t="s">
        <v>467</v>
      </c>
    </row>
    <row r="778" spans="1:6">
      <c r="A778" s="35">
        <v>52696</v>
      </c>
      <c r="B778" s="36" t="s">
        <v>485</v>
      </c>
      <c r="C778" s="37" t="s">
        <v>341</v>
      </c>
      <c r="D778" s="37" t="s">
        <v>338</v>
      </c>
      <c r="E778" s="37" t="s">
        <v>625</v>
      </c>
      <c r="F778" s="38" t="s">
        <v>454</v>
      </c>
    </row>
    <row r="779" spans="1:6">
      <c r="A779" s="35">
        <v>52022</v>
      </c>
      <c r="B779" s="37" t="s">
        <v>1175</v>
      </c>
      <c r="C779" s="37" t="s">
        <v>341</v>
      </c>
      <c r="D779" s="37" t="s">
        <v>338</v>
      </c>
      <c r="E779" s="37" t="s">
        <v>466</v>
      </c>
      <c r="F779" s="38" t="s">
        <v>469</v>
      </c>
    </row>
    <row r="780" spans="1:6">
      <c r="A780" s="35">
        <v>52036</v>
      </c>
      <c r="B780" s="37" t="s">
        <v>1176</v>
      </c>
      <c r="C780" s="37" t="s">
        <v>341</v>
      </c>
      <c r="D780" s="37" t="s">
        <v>338</v>
      </c>
      <c r="E780" s="37" t="s">
        <v>466</v>
      </c>
      <c r="F780" s="38" t="s">
        <v>469</v>
      </c>
    </row>
    <row r="781" spans="1:6">
      <c r="A781" s="35">
        <v>52051</v>
      </c>
      <c r="B781" s="37" t="s">
        <v>1177</v>
      </c>
      <c r="C781" s="37" t="s">
        <v>341</v>
      </c>
      <c r="D781" s="37" t="s">
        <v>338</v>
      </c>
      <c r="E781" s="37" t="s">
        <v>466</v>
      </c>
      <c r="F781" s="38" t="s">
        <v>469</v>
      </c>
    </row>
    <row r="782" spans="1:6">
      <c r="A782" s="35">
        <v>52079</v>
      </c>
      <c r="B782" s="37" t="s">
        <v>1178</v>
      </c>
      <c r="C782" s="37" t="s">
        <v>341</v>
      </c>
      <c r="D782" s="37" t="s">
        <v>338</v>
      </c>
      <c r="E782" s="37" t="s">
        <v>466</v>
      </c>
      <c r="F782" s="38" t="s">
        <v>467</v>
      </c>
    </row>
    <row r="783" spans="1:6">
      <c r="A783" s="35">
        <v>52110</v>
      </c>
      <c r="B783" s="37" t="s">
        <v>1179</v>
      </c>
      <c r="C783" s="37" t="s">
        <v>341</v>
      </c>
      <c r="D783" s="37" t="s">
        <v>338</v>
      </c>
      <c r="E783" s="37" t="s">
        <v>466</v>
      </c>
      <c r="F783" s="38" t="s">
        <v>469</v>
      </c>
    </row>
    <row r="784" spans="1:6">
      <c r="A784" s="35">
        <v>52240</v>
      </c>
      <c r="B784" s="37" t="s">
        <v>1180</v>
      </c>
      <c r="C784" s="37" t="s">
        <v>341</v>
      </c>
      <c r="D784" s="37" t="s">
        <v>338</v>
      </c>
      <c r="E784" s="37" t="s">
        <v>466</v>
      </c>
      <c r="F784" s="38" t="s">
        <v>469</v>
      </c>
    </row>
    <row r="785" spans="1:6">
      <c r="A785" s="35">
        <v>52207</v>
      </c>
      <c r="B785" s="37" t="s">
        <v>1181</v>
      </c>
      <c r="C785" s="37" t="s">
        <v>341</v>
      </c>
      <c r="D785" s="37" t="s">
        <v>338</v>
      </c>
      <c r="E785" s="37" t="s">
        <v>466</v>
      </c>
      <c r="F785" s="38" t="s">
        <v>469</v>
      </c>
    </row>
    <row r="786" spans="1:6">
      <c r="A786" s="35">
        <v>52210</v>
      </c>
      <c r="B786" s="37" t="s">
        <v>1182</v>
      </c>
      <c r="C786" s="37" t="s">
        <v>341</v>
      </c>
      <c r="D786" s="37" t="s">
        <v>338</v>
      </c>
      <c r="E786" s="37" t="s">
        <v>466</v>
      </c>
      <c r="F786" s="38" t="s">
        <v>469</v>
      </c>
    </row>
    <row r="787" spans="1:6">
      <c r="A787" s="35">
        <v>52224</v>
      </c>
      <c r="B787" s="37" t="s">
        <v>1183</v>
      </c>
      <c r="C787" s="37" t="s">
        <v>341</v>
      </c>
      <c r="D787" s="37" t="s">
        <v>338</v>
      </c>
      <c r="E787" s="37" t="s">
        <v>466</v>
      </c>
      <c r="F787" s="38" t="s">
        <v>469</v>
      </c>
    </row>
    <row r="788" spans="1:6">
      <c r="A788" s="35">
        <v>52227</v>
      </c>
      <c r="B788" s="37" t="s">
        <v>1184</v>
      </c>
      <c r="C788" s="37" t="s">
        <v>341</v>
      </c>
      <c r="D788" s="37" t="s">
        <v>338</v>
      </c>
      <c r="E788" s="37" t="s">
        <v>466</v>
      </c>
      <c r="F788" s="38" t="s">
        <v>471</v>
      </c>
    </row>
    <row r="789" spans="1:6">
      <c r="A789" s="35">
        <v>52233</v>
      </c>
      <c r="B789" s="37" t="s">
        <v>1185</v>
      </c>
      <c r="C789" s="37" t="s">
        <v>341</v>
      </c>
      <c r="D789" s="37" t="s">
        <v>338</v>
      </c>
      <c r="E789" s="37" t="s">
        <v>466</v>
      </c>
      <c r="F789" s="38" t="s">
        <v>469</v>
      </c>
    </row>
    <row r="790" spans="1:6">
      <c r="A790" s="35">
        <v>52250</v>
      </c>
      <c r="B790" s="37" t="s">
        <v>1186</v>
      </c>
      <c r="C790" s="37" t="s">
        <v>341</v>
      </c>
      <c r="D790" s="37" t="s">
        <v>338</v>
      </c>
      <c r="E790" s="37" t="s">
        <v>547</v>
      </c>
      <c r="F790" s="38" t="s">
        <v>454</v>
      </c>
    </row>
    <row r="791" spans="1:6">
      <c r="A791" s="35">
        <v>52254</v>
      </c>
      <c r="B791" s="37" t="s">
        <v>1187</v>
      </c>
      <c r="C791" s="37" t="s">
        <v>341</v>
      </c>
      <c r="D791" s="37" t="s">
        <v>338</v>
      </c>
      <c r="E791" s="37" t="s">
        <v>466</v>
      </c>
      <c r="F791" s="38" t="s">
        <v>469</v>
      </c>
    </row>
    <row r="792" spans="1:6">
      <c r="A792" s="35">
        <v>52256</v>
      </c>
      <c r="B792" s="37" t="s">
        <v>1188</v>
      </c>
      <c r="C792" s="37" t="s">
        <v>341</v>
      </c>
      <c r="D792" s="37" t="s">
        <v>338</v>
      </c>
      <c r="E792" s="37" t="s">
        <v>466</v>
      </c>
      <c r="F792" s="38" t="s">
        <v>469</v>
      </c>
    </row>
    <row r="793" spans="1:6">
      <c r="A793" s="35">
        <v>52258</v>
      </c>
      <c r="B793" s="37" t="s">
        <v>1189</v>
      </c>
      <c r="C793" s="37" t="s">
        <v>341</v>
      </c>
      <c r="D793" s="37" t="s">
        <v>338</v>
      </c>
      <c r="E793" s="37" t="s">
        <v>466</v>
      </c>
      <c r="F793" s="38" t="s">
        <v>469</v>
      </c>
    </row>
    <row r="794" spans="1:6">
      <c r="A794" s="35">
        <v>52520</v>
      </c>
      <c r="B794" s="37" t="s">
        <v>1190</v>
      </c>
      <c r="C794" s="37" t="s">
        <v>341</v>
      </c>
      <c r="D794" s="37" t="s">
        <v>338</v>
      </c>
      <c r="E794" s="37" t="s">
        <v>547</v>
      </c>
      <c r="F794" s="38" t="s">
        <v>454</v>
      </c>
    </row>
    <row r="795" spans="1:6">
      <c r="A795" s="35">
        <v>52287</v>
      </c>
      <c r="B795" s="37" t="s">
        <v>1191</v>
      </c>
      <c r="C795" s="37" t="s">
        <v>341</v>
      </c>
      <c r="D795" s="37" t="s">
        <v>338</v>
      </c>
      <c r="E795" s="37" t="s">
        <v>466</v>
      </c>
      <c r="F795" s="38" t="s">
        <v>469</v>
      </c>
    </row>
    <row r="796" spans="1:6">
      <c r="A796" s="35">
        <v>52317</v>
      </c>
      <c r="B796" s="37" t="s">
        <v>1192</v>
      </c>
      <c r="C796" s="37" t="s">
        <v>341</v>
      </c>
      <c r="D796" s="37" t="s">
        <v>338</v>
      </c>
      <c r="E796" s="37" t="s">
        <v>466</v>
      </c>
      <c r="F796" s="38" t="s">
        <v>469</v>
      </c>
    </row>
    <row r="797" spans="1:6">
      <c r="A797" s="35">
        <v>52320</v>
      </c>
      <c r="B797" s="37" t="s">
        <v>1193</v>
      </c>
      <c r="C797" s="37" t="s">
        <v>341</v>
      </c>
      <c r="D797" s="37" t="s">
        <v>338</v>
      </c>
      <c r="E797" s="37" t="s">
        <v>466</v>
      </c>
      <c r="F797" s="38" t="s">
        <v>469</v>
      </c>
    </row>
    <row r="798" spans="1:6">
      <c r="A798" s="35">
        <v>52323</v>
      </c>
      <c r="B798" s="37" t="s">
        <v>1194</v>
      </c>
      <c r="C798" s="37" t="s">
        <v>341</v>
      </c>
      <c r="D798" s="37" t="s">
        <v>338</v>
      </c>
      <c r="E798" s="37" t="s">
        <v>466</v>
      </c>
      <c r="F798" s="38" t="s">
        <v>469</v>
      </c>
    </row>
    <row r="799" spans="1:6">
      <c r="A799" s="35">
        <v>52352</v>
      </c>
      <c r="B799" s="37" t="s">
        <v>1195</v>
      </c>
      <c r="C799" s="37" t="s">
        <v>341</v>
      </c>
      <c r="D799" s="37" t="s">
        <v>338</v>
      </c>
      <c r="E799" s="37" t="s">
        <v>466</v>
      </c>
      <c r="F799" s="38" t="s">
        <v>469</v>
      </c>
    </row>
    <row r="800" spans="1:6">
      <c r="A800" s="35">
        <v>52354</v>
      </c>
      <c r="B800" s="37" t="s">
        <v>1196</v>
      </c>
      <c r="C800" s="37" t="s">
        <v>341</v>
      </c>
      <c r="D800" s="37" t="s">
        <v>338</v>
      </c>
      <c r="E800" s="37" t="s">
        <v>466</v>
      </c>
      <c r="F800" s="38" t="s">
        <v>469</v>
      </c>
    </row>
    <row r="801" spans="1:6">
      <c r="A801" s="35">
        <v>52356</v>
      </c>
      <c r="B801" s="37" t="s">
        <v>1197</v>
      </c>
      <c r="C801" s="37" t="s">
        <v>341</v>
      </c>
      <c r="D801" s="37" t="s">
        <v>338</v>
      </c>
      <c r="E801" s="37" t="s">
        <v>466</v>
      </c>
      <c r="F801" s="38" t="s">
        <v>469</v>
      </c>
    </row>
    <row r="802" spans="1:6">
      <c r="A802" s="35">
        <v>52378</v>
      </c>
      <c r="B802" s="37" t="s">
        <v>1198</v>
      </c>
      <c r="C802" s="37" t="s">
        <v>341</v>
      </c>
      <c r="D802" s="37" t="s">
        <v>338</v>
      </c>
      <c r="E802" s="37" t="s">
        <v>466</v>
      </c>
      <c r="F802" s="38" t="s">
        <v>471</v>
      </c>
    </row>
    <row r="803" spans="1:6">
      <c r="A803" s="35">
        <v>52381</v>
      </c>
      <c r="B803" s="37" t="s">
        <v>1199</v>
      </c>
      <c r="C803" s="37" t="s">
        <v>341</v>
      </c>
      <c r="D803" s="37" t="s">
        <v>338</v>
      </c>
      <c r="E803" s="37" t="s">
        <v>466</v>
      </c>
      <c r="F803" s="38" t="s">
        <v>469</v>
      </c>
    </row>
    <row r="804" spans="1:6">
      <c r="A804" s="35">
        <v>52385</v>
      </c>
      <c r="B804" s="37" t="s">
        <v>1200</v>
      </c>
      <c r="C804" s="37" t="s">
        <v>341</v>
      </c>
      <c r="D804" s="37" t="s">
        <v>338</v>
      </c>
      <c r="E804" s="37" t="s">
        <v>466</v>
      </c>
      <c r="F804" s="38" t="s">
        <v>467</v>
      </c>
    </row>
    <row r="805" spans="1:6">
      <c r="A805" s="35">
        <v>52390</v>
      </c>
      <c r="B805" s="37" t="s">
        <v>1201</v>
      </c>
      <c r="C805" s="37" t="s">
        <v>341</v>
      </c>
      <c r="D805" s="37" t="s">
        <v>338</v>
      </c>
      <c r="E805" s="37" t="s">
        <v>547</v>
      </c>
      <c r="F805" s="38" t="s">
        <v>454</v>
      </c>
    </row>
    <row r="806" spans="1:6">
      <c r="A806" s="35">
        <v>52405</v>
      </c>
      <c r="B806" s="37" t="s">
        <v>1202</v>
      </c>
      <c r="C806" s="37" t="s">
        <v>341</v>
      </c>
      <c r="D806" s="37" t="s">
        <v>338</v>
      </c>
      <c r="E806" s="37" t="s">
        <v>466</v>
      </c>
      <c r="F806" s="38" t="s">
        <v>471</v>
      </c>
    </row>
    <row r="807" spans="1:6">
      <c r="A807" s="35">
        <v>52411</v>
      </c>
      <c r="B807" s="37" t="s">
        <v>1203</v>
      </c>
      <c r="C807" s="37" t="s">
        <v>341</v>
      </c>
      <c r="D807" s="37" t="s">
        <v>338</v>
      </c>
      <c r="E807" s="37" t="s">
        <v>466</v>
      </c>
      <c r="F807" s="38" t="s">
        <v>471</v>
      </c>
    </row>
    <row r="808" spans="1:6">
      <c r="A808" s="35">
        <v>52418</v>
      </c>
      <c r="B808" s="37" t="s">
        <v>1204</v>
      </c>
      <c r="C808" s="37" t="s">
        <v>341</v>
      </c>
      <c r="D808" s="37" t="s">
        <v>338</v>
      </c>
      <c r="E808" s="37" t="s">
        <v>466</v>
      </c>
      <c r="F808" s="38" t="s">
        <v>471</v>
      </c>
    </row>
    <row r="809" spans="1:6">
      <c r="A809" s="35">
        <v>52427</v>
      </c>
      <c r="B809" s="37" t="s">
        <v>1205</v>
      </c>
      <c r="C809" s="37" t="s">
        <v>341</v>
      </c>
      <c r="D809" s="37" t="s">
        <v>338</v>
      </c>
      <c r="E809" s="37" t="s">
        <v>547</v>
      </c>
      <c r="F809" s="38" t="s">
        <v>454</v>
      </c>
    </row>
    <row r="810" spans="1:6">
      <c r="A810" s="35">
        <v>52435</v>
      </c>
      <c r="B810" s="37" t="s">
        <v>1206</v>
      </c>
      <c r="C810" s="37" t="s">
        <v>341</v>
      </c>
      <c r="D810" s="37" t="s">
        <v>338</v>
      </c>
      <c r="E810" s="37" t="s">
        <v>466</v>
      </c>
      <c r="F810" s="38" t="s">
        <v>471</v>
      </c>
    </row>
    <row r="811" spans="1:6">
      <c r="A811" s="35">
        <v>52490</v>
      </c>
      <c r="B811" s="37" t="s">
        <v>1207</v>
      </c>
      <c r="C811" s="37" t="s">
        <v>341</v>
      </c>
      <c r="D811" s="37" t="s">
        <v>338</v>
      </c>
      <c r="E811" s="37" t="s">
        <v>547</v>
      </c>
      <c r="F811" s="38" t="s">
        <v>454</v>
      </c>
    </row>
    <row r="812" spans="1:6">
      <c r="A812" s="35">
        <v>52506</v>
      </c>
      <c r="B812" s="37" t="s">
        <v>1208</v>
      </c>
      <c r="C812" s="37" t="s">
        <v>341</v>
      </c>
      <c r="D812" s="37" t="s">
        <v>338</v>
      </c>
      <c r="E812" s="37" t="s">
        <v>466</v>
      </c>
      <c r="F812" s="38" t="s">
        <v>469</v>
      </c>
    </row>
    <row r="813" spans="1:6">
      <c r="A813" s="35">
        <v>52001</v>
      </c>
      <c r="B813" s="37" t="s">
        <v>338</v>
      </c>
      <c r="C813" s="37" t="s">
        <v>341</v>
      </c>
      <c r="D813" s="37" t="s">
        <v>338</v>
      </c>
      <c r="E813" s="37" t="s">
        <v>466</v>
      </c>
      <c r="F813" s="38" t="s">
        <v>474</v>
      </c>
    </row>
    <row r="814" spans="1:6">
      <c r="A814" s="35">
        <v>52540</v>
      </c>
      <c r="B814" s="37" t="s">
        <v>1209</v>
      </c>
      <c r="C814" s="37" t="s">
        <v>341</v>
      </c>
      <c r="D814" s="37" t="s">
        <v>338</v>
      </c>
      <c r="E814" s="37" t="s">
        <v>466</v>
      </c>
      <c r="F814" s="38" t="s">
        <v>467</v>
      </c>
    </row>
    <row r="815" spans="1:6">
      <c r="A815" s="35">
        <v>52560</v>
      </c>
      <c r="B815" s="37" t="s">
        <v>1210</v>
      </c>
      <c r="C815" s="37" t="s">
        <v>341</v>
      </c>
      <c r="D815" s="37" t="s">
        <v>338</v>
      </c>
      <c r="E815" s="37" t="s">
        <v>466</v>
      </c>
      <c r="F815" s="38" t="s">
        <v>469</v>
      </c>
    </row>
    <row r="816" spans="1:6">
      <c r="A816" s="35">
        <v>52573</v>
      </c>
      <c r="B816" s="37" t="s">
        <v>1211</v>
      </c>
      <c r="C816" s="37" t="s">
        <v>341</v>
      </c>
      <c r="D816" s="37" t="s">
        <v>338</v>
      </c>
      <c r="E816" s="37" t="s">
        <v>466</v>
      </c>
      <c r="F816" s="38" t="s">
        <v>469</v>
      </c>
    </row>
    <row r="817" spans="1:6">
      <c r="A817" s="35">
        <v>52585</v>
      </c>
      <c r="B817" s="37" t="s">
        <v>1212</v>
      </c>
      <c r="C817" s="37" t="s">
        <v>341</v>
      </c>
      <c r="D817" s="37" t="s">
        <v>338</v>
      </c>
      <c r="E817" s="37" t="s">
        <v>466</v>
      </c>
      <c r="F817" s="38" t="s">
        <v>469</v>
      </c>
    </row>
    <row r="818" spans="1:6">
      <c r="A818" s="35">
        <v>52621</v>
      </c>
      <c r="B818" s="37" t="s">
        <v>1213</v>
      </c>
      <c r="C818" s="37" t="s">
        <v>341</v>
      </c>
      <c r="D818" s="37" t="s">
        <v>338</v>
      </c>
      <c r="E818" s="37" t="s">
        <v>547</v>
      </c>
      <c r="F818" s="38" t="s">
        <v>454</v>
      </c>
    </row>
    <row r="819" spans="1:6">
      <c r="A819" s="35">
        <v>52678</v>
      </c>
      <c r="B819" s="37" t="s">
        <v>1214</v>
      </c>
      <c r="C819" s="37" t="s">
        <v>341</v>
      </c>
      <c r="D819" s="37" t="s">
        <v>338</v>
      </c>
      <c r="E819" s="37" t="s">
        <v>466</v>
      </c>
      <c r="F819" s="38" t="s">
        <v>471</v>
      </c>
    </row>
    <row r="820" spans="1:6">
      <c r="A820" s="35">
        <v>52835</v>
      </c>
      <c r="B820" s="37" t="s">
        <v>1215</v>
      </c>
      <c r="C820" s="37" t="s">
        <v>341</v>
      </c>
      <c r="D820" s="37" t="s">
        <v>338</v>
      </c>
      <c r="E820" s="37" t="s">
        <v>466</v>
      </c>
      <c r="F820" s="38" t="s">
        <v>467</v>
      </c>
    </row>
    <row r="821" spans="1:6">
      <c r="A821" s="35">
        <v>52687</v>
      </c>
      <c r="B821" s="37" t="s">
        <v>1216</v>
      </c>
      <c r="C821" s="37" t="s">
        <v>341</v>
      </c>
      <c r="D821" s="37" t="s">
        <v>338</v>
      </c>
      <c r="E821" s="37" t="s">
        <v>466</v>
      </c>
      <c r="F821" s="38" t="s">
        <v>469</v>
      </c>
    </row>
    <row r="822" spans="1:6">
      <c r="A822" s="35">
        <v>52694</v>
      </c>
      <c r="B822" s="37" t="s">
        <v>1217</v>
      </c>
      <c r="C822" s="37" t="s">
        <v>341</v>
      </c>
      <c r="D822" s="37" t="s">
        <v>338</v>
      </c>
      <c r="E822" s="37" t="s">
        <v>466</v>
      </c>
      <c r="F822" s="38" t="s">
        <v>469</v>
      </c>
    </row>
    <row r="823" spans="1:6">
      <c r="A823" s="35">
        <v>52683</v>
      </c>
      <c r="B823" s="37" t="s">
        <v>1218</v>
      </c>
      <c r="C823" s="37" t="s">
        <v>341</v>
      </c>
      <c r="D823" s="37" t="s">
        <v>338</v>
      </c>
      <c r="E823" s="37" t="s">
        <v>466</v>
      </c>
      <c r="F823" s="38" t="s">
        <v>469</v>
      </c>
    </row>
    <row r="824" spans="1:6">
      <c r="A824" s="35">
        <v>52699</v>
      </c>
      <c r="B824" s="37" t="s">
        <v>1219</v>
      </c>
      <c r="C824" s="37" t="s">
        <v>341</v>
      </c>
      <c r="D824" s="37" t="s">
        <v>338</v>
      </c>
      <c r="E824" s="37" t="s">
        <v>466</v>
      </c>
      <c r="F824" s="38" t="s">
        <v>467</v>
      </c>
    </row>
    <row r="825" spans="1:6">
      <c r="A825" s="35">
        <v>52720</v>
      </c>
      <c r="B825" s="37" t="s">
        <v>1220</v>
      </c>
      <c r="C825" s="37" t="s">
        <v>341</v>
      </c>
      <c r="D825" s="37" t="s">
        <v>338</v>
      </c>
      <c r="E825" s="37" t="s">
        <v>466</v>
      </c>
      <c r="F825" s="38" t="s">
        <v>469</v>
      </c>
    </row>
    <row r="826" spans="1:6">
      <c r="A826" s="35">
        <v>52786</v>
      </c>
      <c r="B826" s="37" t="s">
        <v>1221</v>
      </c>
      <c r="C826" s="37" t="s">
        <v>341</v>
      </c>
      <c r="D826" s="37" t="s">
        <v>338</v>
      </c>
      <c r="E826" s="37" t="s">
        <v>466</v>
      </c>
      <c r="F826" s="38" t="s">
        <v>469</v>
      </c>
    </row>
    <row r="827" spans="1:6">
      <c r="A827" s="35">
        <v>52788</v>
      </c>
      <c r="B827" s="37" t="s">
        <v>1222</v>
      </c>
      <c r="C827" s="37" t="s">
        <v>341</v>
      </c>
      <c r="D827" s="37" t="s">
        <v>338</v>
      </c>
      <c r="E827" s="37" t="s">
        <v>466</v>
      </c>
      <c r="F827" s="38" t="s">
        <v>469</v>
      </c>
    </row>
    <row r="828" spans="1:6">
      <c r="A828" s="35">
        <v>52838</v>
      </c>
      <c r="B828" s="37" t="s">
        <v>1223</v>
      </c>
      <c r="C828" s="37" t="s">
        <v>341</v>
      </c>
      <c r="D828" s="37" t="s">
        <v>338</v>
      </c>
      <c r="E828" s="37" t="s">
        <v>466</v>
      </c>
      <c r="F828" s="38" t="s">
        <v>469</v>
      </c>
    </row>
    <row r="829" spans="1:6">
      <c r="A829" s="35">
        <v>52885</v>
      </c>
      <c r="B829" s="37" t="s">
        <v>1224</v>
      </c>
      <c r="C829" s="37" t="s">
        <v>341</v>
      </c>
      <c r="D829" s="37" t="s">
        <v>338</v>
      </c>
      <c r="E829" s="37" t="s">
        <v>466</v>
      </c>
      <c r="F829" s="38" t="s">
        <v>469</v>
      </c>
    </row>
    <row r="830" spans="1:6">
      <c r="A830" s="35">
        <v>54553</v>
      </c>
      <c r="B830" s="36" t="s">
        <v>455</v>
      </c>
      <c r="C830" s="37" t="s">
        <v>278</v>
      </c>
      <c r="D830" s="37" t="s">
        <v>275</v>
      </c>
      <c r="E830" s="37" t="s">
        <v>466</v>
      </c>
      <c r="F830" s="38" t="s">
        <v>469</v>
      </c>
    </row>
    <row r="831" spans="1:6">
      <c r="A831" s="35">
        <v>54673</v>
      </c>
      <c r="B831" s="36" t="s">
        <v>957</v>
      </c>
      <c r="C831" s="37" t="s">
        <v>278</v>
      </c>
      <c r="D831" s="37" t="s">
        <v>275</v>
      </c>
      <c r="E831" s="37" t="s">
        <v>466</v>
      </c>
      <c r="F831" s="38" t="s">
        <v>469</v>
      </c>
    </row>
    <row r="832" spans="1:6">
      <c r="A832" s="35">
        <v>54680</v>
      </c>
      <c r="B832" s="36" t="s">
        <v>1225</v>
      </c>
      <c r="C832" s="37" t="s">
        <v>278</v>
      </c>
      <c r="D832" s="37" t="s">
        <v>275</v>
      </c>
      <c r="E832" s="37" t="s">
        <v>466</v>
      </c>
      <c r="F832" s="38" t="s">
        <v>469</v>
      </c>
    </row>
    <row r="833" spans="1:6">
      <c r="A833" s="35">
        <v>54820</v>
      </c>
      <c r="B833" s="36" t="s">
        <v>486</v>
      </c>
      <c r="C833" s="37" t="s">
        <v>278</v>
      </c>
      <c r="D833" s="37" t="s">
        <v>275</v>
      </c>
      <c r="E833" s="37" t="s">
        <v>466</v>
      </c>
      <c r="F833" s="38" t="s">
        <v>467</v>
      </c>
    </row>
    <row r="834" spans="1:6">
      <c r="A834" s="35">
        <v>54003</v>
      </c>
      <c r="B834" s="37" t="s">
        <v>1226</v>
      </c>
      <c r="C834" s="37" t="s">
        <v>278</v>
      </c>
      <c r="D834" s="37" t="s">
        <v>275</v>
      </c>
      <c r="E834" s="37" t="s">
        <v>466</v>
      </c>
      <c r="F834" s="38" t="s">
        <v>471</v>
      </c>
    </row>
    <row r="835" spans="1:6">
      <c r="A835" s="35">
        <v>54051</v>
      </c>
      <c r="B835" s="37" t="s">
        <v>1227</v>
      </c>
      <c r="C835" s="37" t="s">
        <v>278</v>
      </c>
      <c r="D835" s="37" t="s">
        <v>275</v>
      </c>
      <c r="E835" s="37" t="s">
        <v>466</v>
      </c>
      <c r="F835" s="38" t="s">
        <v>467</v>
      </c>
    </row>
    <row r="836" spans="1:6">
      <c r="A836" s="35">
        <v>54099</v>
      </c>
      <c r="B836" s="37" t="s">
        <v>1228</v>
      </c>
      <c r="C836" s="37" t="s">
        <v>278</v>
      </c>
      <c r="D836" s="37" t="s">
        <v>275</v>
      </c>
      <c r="E836" s="37" t="s">
        <v>466</v>
      </c>
      <c r="F836" s="38" t="s">
        <v>469</v>
      </c>
    </row>
    <row r="837" spans="1:6">
      <c r="A837" s="35">
        <v>54109</v>
      </c>
      <c r="B837" s="37" t="s">
        <v>1229</v>
      </c>
      <c r="C837" s="37" t="s">
        <v>278</v>
      </c>
      <c r="D837" s="37" t="s">
        <v>275</v>
      </c>
      <c r="E837" s="37" t="s">
        <v>466</v>
      </c>
      <c r="F837" s="38" t="s">
        <v>471</v>
      </c>
    </row>
    <row r="838" spans="1:6">
      <c r="A838" s="35">
        <v>54128</v>
      </c>
      <c r="B838" s="37" t="s">
        <v>1230</v>
      </c>
      <c r="C838" s="37" t="s">
        <v>278</v>
      </c>
      <c r="D838" s="37" t="s">
        <v>275</v>
      </c>
      <c r="E838" s="37" t="s">
        <v>466</v>
      </c>
      <c r="F838" s="38" t="s">
        <v>467</v>
      </c>
    </row>
    <row r="839" spans="1:6">
      <c r="A839" s="35">
        <v>54125</v>
      </c>
      <c r="B839" s="37" t="s">
        <v>1231</v>
      </c>
      <c r="C839" s="37" t="s">
        <v>278</v>
      </c>
      <c r="D839" s="37" t="s">
        <v>275</v>
      </c>
      <c r="E839" s="37" t="s">
        <v>466</v>
      </c>
      <c r="F839" s="38" t="s">
        <v>471</v>
      </c>
    </row>
    <row r="840" spans="1:6">
      <c r="A840" s="35">
        <v>54172</v>
      </c>
      <c r="B840" s="37" t="s">
        <v>1232</v>
      </c>
      <c r="C840" s="37" t="s">
        <v>278</v>
      </c>
      <c r="D840" s="37" t="s">
        <v>275</v>
      </c>
      <c r="E840" s="37" t="s">
        <v>466</v>
      </c>
      <c r="F840" s="38" t="s">
        <v>469</v>
      </c>
    </row>
    <row r="841" spans="1:6">
      <c r="A841" s="35">
        <v>54174</v>
      </c>
      <c r="B841" s="37" t="s">
        <v>1233</v>
      </c>
      <c r="C841" s="37" t="s">
        <v>278</v>
      </c>
      <c r="D841" s="37" t="s">
        <v>275</v>
      </c>
      <c r="E841" s="37" t="s">
        <v>466</v>
      </c>
      <c r="F841" s="38" t="s">
        <v>467</v>
      </c>
    </row>
    <row r="842" spans="1:6">
      <c r="A842" s="35">
        <v>54206</v>
      </c>
      <c r="B842" s="37" t="s">
        <v>1234</v>
      </c>
      <c r="C842" s="37" t="s">
        <v>278</v>
      </c>
      <c r="D842" s="37" t="s">
        <v>275</v>
      </c>
      <c r="E842" s="37" t="s">
        <v>466</v>
      </c>
      <c r="F842" s="38" t="s">
        <v>467</v>
      </c>
    </row>
    <row r="843" spans="1:6">
      <c r="A843" s="35">
        <v>54001</v>
      </c>
      <c r="B843" s="37" t="s">
        <v>275</v>
      </c>
      <c r="C843" s="37" t="s">
        <v>278</v>
      </c>
      <c r="D843" s="37" t="s">
        <v>275</v>
      </c>
      <c r="E843" s="37" t="s">
        <v>466</v>
      </c>
      <c r="F843" s="38" t="s">
        <v>474</v>
      </c>
    </row>
    <row r="844" spans="1:6">
      <c r="A844" s="35">
        <v>54223</v>
      </c>
      <c r="B844" s="37" t="s">
        <v>1235</v>
      </c>
      <c r="C844" s="37" t="s">
        <v>278</v>
      </c>
      <c r="D844" s="37" t="s">
        <v>275</v>
      </c>
      <c r="E844" s="37" t="s">
        <v>466</v>
      </c>
      <c r="F844" s="38" t="s">
        <v>467</v>
      </c>
    </row>
    <row r="845" spans="1:6">
      <c r="A845" s="35">
        <v>54239</v>
      </c>
      <c r="B845" s="37" t="s">
        <v>1236</v>
      </c>
      <c r="C845" s="37" t="s">
        <v>278</v>
      </c>
      <c r="D845" s="37" t="s">
        <v>275</v>
      </c>
      <c r="E845" s="37" t="s">
        <v>466</v>
      </c>
      <c r="F845" s="38" t="s">
        <v>469</v>
      </c>
    </row>
    <row r="846" spans="1:6">
      <c r="A846" s="35">
        <v>54245</v>
      </c>
      <c r="B846" s="37" t="s">
        <v>1237</v>
      </c>
      <c r="C846" s="37" t="s">
        <v>278</v>
      </c>
      <c r="D846" s="37" t="s">
        <v>275</v>
      </c>
      <c r="E846" s="37" t="s">
        <v>466</v>
      </c>
      <c r="F846" s="38" t="s">
        <v>467</v>
      </c>
    </row>
    <row r="847" spans="1:6">
      <c r="A847" s="35">
        <v>54250</v>
      </c>
      <c r="B847" s="37" t="s">
        <v>1238</v>
      </c>
      <c r="C847" s="37" t="s">
        <v>278</v>
      </c>
      <c r="D847" s="37" t="s">
        <v>275</v>
      </c>
      <c r="E847" s="37" t="s">
        <v>466</v>
      </c>
      <c r="F847" s="38" t="s">
        <v>467</v>
      </c>
    </row>
    <row r="848" spans="1:6">
      <c r="A848" s="35">
        <v>54261</v>
      </c>
      <c r="B848" s="37" t="s">
        <v>1239</v>
      </c>
      <c r="C848" s="37" t="s">
        <v>278</v>
      </c>
      <c r="D848" s="37" t="s">
        <v>275</v>
      </c>
      <c r="E848" s="37" t="s">
        <v>466</v>
      </c>
      <c r="F848" s="38" t="s">
        <v>469</v>
      </c>
    </row>
    <row r="849" spans="1:6">
      <c r="A849" s="35">
        <v>54313</v>
      </c>
      <c r="B849" s="37" t="s">
        <v>1240</v>
      </c>
      <c r="C849" s="37" t="s">
        <v>278</v>
      </c>
      <c r="D849" s="37" t="s">
        <v>275</v>
      </c>
      <c r="E849" s="37" t="s">
        <v>466</v>
      </c>
      <c r="F849" s="38" t="s">
        <v>469</v>
      </c>
    </row>
    <row r="850" spans="1:6">
      <c r="A850" s="35">
        <v>54344</v>
      </c>
      <c r="B850" s="37" t="s">
        <v>1241</v>
      </c>
      <c r="C850" s="37" t="s">
        <v>278</v>
      </c>
      <c r="D850" s="37" t="s">
        <v>275</v>
      </c>
      <c r="E850" s="37" t="s">
        <v>466</v>
      </c>
      <c r="F850" s="38" t="s">
        <v>467</v>
      </c>
    </row>
    <row r="851" spans="1:6">
      <c r="A851" s="35">
        <v>54347</v>
      </c>
      <c r="B851" s="37" t="s">
        <v>1242</v>
      </c>
      <c r="C851" s="37" t="s">
        <v>278</v>
      </c>
      <c r="D851" s="37" t="s">
        <v>275</v>
      </c>
      <c r="E851" s="37" t="s">
        <v>466</v>
      </c>
      <c r="F851" s="38" t="s">
        <v>471</v>
      </c>
    </row>
    <row r="852" spans="1:6">
      <c r="A852" s="35">
        <v>54385</v>
      </c>
      <c r="B852" s="37" t="s">
        <v>1243</v>
      </c>
      <c r="C852" s="37" t="s">
        <v>278</v>
      </c>
      <c r="D852" s="37" t="s">
        <v>172</v>
      </c>
      <c r="E852" s="37" t="s">
        <v>466</v>
      </c>
      <c r="F852" s="38" t="s">
        <v>471</v>
      </c>
    </row>
    <row r="853" spans="1:6">
      <c r="A853" s="35">
        <v>54398</v>
      </c>
      <c r="B853" s="37" t="s">
        <v>1244</v>
      </c>
      <c r="C853" s="37" t="s">
        <v>278</v>
      </c>
      <c r="D853" s="37" t="s">
        <v>275</v>
      </c>
      <c r="E853" s="37" t="s">
        <v>466</v>
      </c>
      <c r="F853" s="38" t="s">
        <v>467</v>
      </c>
    </row>
    <row r="854" spans="1:6">
      <c r="A854" s="35">
        <v>54377</v>
      </c>
      <c r="B854" s="37" t="s">
        <v>1245</v>
      </c>
      <c r="C854" s="37" t="s">
        <v>278</v>
      </c>
      <c r="D854" s="37" t="s">
        <v>275</v>
      </c>
      <c r="E854" s="37" t="s">
        <v>466</v>
      </c>
      <c r="F854" s="38" t="s">
        <v>467</v>
      </c>
    </row>
    <row r="855" spans="1:6">
      <c r="A855" s="35">
        <v>54405</v>
      </c>
      <c r="B855" s="37" t="s">
        <v>1246</v>
      </c>
      <c r="C855" s="37" t="s">
        <v>278</v>
      </c>
      <c r="D855" s="37" t="s">
        <v>275</v>
      </c>
      <c r="E855" s="37" t="s">
        <v>466</v>
      </c>
      <c r="F855" s="38" t="s">
        <v>474</v>
      </c>
    </row>
    <row r="856" spans="1:6">
      <c r="A856" s="35">
        <v>54418</v>
      </c>
      <c r="B856" s="37" t="s">
        <v>1247</v>
      </c>
      <c r="C856" s="37" t="s">
        <v>278</v>
      </c>
      <c r="D856" s="37" t="s">
        <v>275</v>
      </c>
      <c r="E856" s="37" t="s">
        <v>466</v>
      </c>
      <c r="F856" s="38" t="s">
        <v>471</v>
      </c>
    </row>
    <row r="857" spans="1:6">
      <c r="A857" s="35">
        <v>54480</v>
      </c>
      <c r="B857" s="37" t="s">
        <v>1248</v>
      </c>
      <c r="C857" s="37" t="s">
        <v>278</v>
      </c>
      <c r="D857" s="37" t="s">
        <v>275</v>
      </c>
      <c r="E857" s="37" t="s">
        <v>466</v>
      </c>
      <c r="F857" s="38" t="s">
        <v>471</v>
      </c>
    </row>
    <row r="858" spans="1:6">
      <c r="A858" s="35">
        <v>54498</v>
      </c>
      <c r="B858" s="37" t="s">
        <v>279</v>
      </c>
      <c r="C858" s="37" t="s">
        <v>278</v>
      </c>
      <c r="D858" s="37" t="s">
        <v>275</v>
      </c>
      <c r="E858" s="37" t="s">
        <v>466</v>
      </c>
      <c r="F858" s="38" t="s">
        <v>467</v>
      </c>
    </row>
    <row r="859" spans="1:6">
      <c r="A859" s="35">
        <v>54518</v>
      </c>
      <c r="B859" s="37" t="s">
        <v>1249</v>
      </c>
      <c r="C859" s="37" t="s">
        <v>278</v>
      </c>
      <c r="D859" s="37" t="s">
        <v>275</v>
      </c>
      <c r="E859" s="37" t="s">
        <v>466</v>
      </c>
      <c r="F859" s="38" t="s">
        <v>471</v>
      </c>
    </row>
    <row r="860" spans="1:6">
      <c r="A860" s="35">
        <v>54520</v>
      </c>
      <c r="B860" s="37" t="s">
        <v>1250</v>
      </c>
      <c r="C860" s="37" t="s">
        <v>278</v>
      </c>
      <c r="D860" s="37" t="s">
        <v>275</v>
      </c>
      <c r="E860" s="37" t="s">
        <v>466</v>
      </c>
      <c r="F860" s="38" t="s">
        <v>471</v>
      </c>
    </row>
    <row r="861" spans="1:6">
      <c r="A861" s="35">
        <v>54599</v>
      </c>
      <c r="B861" s="37" t="s">
        <v>1251</v>
      </c>
      <c r="C861" s="37" t="s">
        <v>278</v>
      </c>
      <c r="D861" s="37" t="s">
        <v>275</v>
      </c>
      <c r="E861" s="37" t="s">
        <v>466</v>
      </c>
      <c r="F861" s="38" t="s">
        <v>471</v>
      </c>
    </row>
    <row r="862" spans="1:6">
      <c r="A862" s="35">
        <v>54660</v>
      </c>
      <c r="B862" s="37" t="s">
        <v>1252</v>
      </c>
      <c r="C862" s="37" t="s">
        <v>278</v>
      </c>
      <c r="D862" s="37" t="s">
        <v>275</v>
      </c>
      <c r="E862" s="37" t="s">
        <v>466</v>
      </c>
      <c r="F862" s="38" t="s">
        <v>469</v>
      </c>
    </row>
    <row r="863" spans="1:6">
      <c r="A863" s="35">
        <v>54670</v>
      </c>
      <c r="B863" s="37" t="s">
        <v>1253</v>
      </c>
      <c r="C863" s="37" t="s">
        <v>278</v>
      </c>
      <c r="D863" s="37" t="s">
        <v>275</v>
      </c>
      <c r="E863" s="37" t="s">
        <v>466</v>
      </c>
      <c r="F863" s="38" t="s">
        <v>467</v>
      </c>
    </row>
    <row r="864" spans="1:6">
      <c r="A864" s="35">
        <v>54720</v>
      </c>
      <c r="B864" s="37" t="s">
        <v>1254</v>
      </c>
      <c r="C864" s="37" t="s">
        <v>278</v>
      </c>
      <c r="D864" s="37" t="s">
        <v>275</v>
      </c>
      <c r="E864" s="37" t="s">
        <v>466</v>
      </c>
      <c r="F864" s="38" t="s">
        <v>469</v>
      </c>
    </row>
    <row r="865" spans="1:6">
      <c r="A865" s="35">
        <v>54743</v>
      </c>
      <c r="B865" s="37" t="s">
        <v>1255</v>
      </c>
      <c r="C865" s="37" t="s">
        <v>278</v>
      </c>
      <c r="D865" s="37" t="s">
        <v>275</v>
      </c>
      <c r="E865" s="37" t="s">
        <v>466</v>
      </c>
      <c r="F865" s="38" t="s">
        <v>467</v>
      </c>
    </row>
    <row r="866" spans="1:6">
      <c r="A866" s="35">
        <v>54800</v>
      </c>
      <c r="B866" s="37" t="s">
        <v>1256</v>
      </c>
      <c r="C866" s="37" t="s">
        <v>278</v>
      </c>
      <c r="D866" s="37" t="s">
        <v>275</v>
      </c>
      <c r="E866" s="37" t="s">
        <v>466</v>
      </c>
      <c r="F866" s="38" t="s">
        <v>467</v>
      </c>
    </row>
    <row r="867" spans="1:6">
      <c r="A867" s="35">
        <v>54810</v>
      </c>
      <c r="B867" s="37" t="s">
        <v>1257</v>
      </c>
      <c r="C867" s="37" t="s">
        <v>278</v>
      </c>
      <c r="D867" s="37" t="s">
        <v>275</v>
      </c>
      <c r="E867" s="37" t="s">
        <v>466</v>
      </c>
      <c r="F867" s="38" t="s">
        <v>454</v>
      </c>
    </row>
    <row r="868" spans="1:6">
      <c r="A868" s="35">
        <v>54871</v>
      </c>
      <c r="B868" s="37" t="s">
        <v>1258</v>
      </c>
      <c r="C868" s="37" t="s">
        <v>278</v>
      </c>
      <c r="D868" s="37" t="s">
        <v>275</v>
      </c>
      <c r="E868" s="37" t="s">
        <v>466</v>
      </c>
      <c r="F868" s="38" t="s">
        <v>467</v>
      </c>
    </row>
    <row r="869" spans="1:6">
      <c r="A869" s="35">
        <v>54874</v>
      </c>
      <c r="B869" s="37" t="s">
        <v>1259</v>
      </c>
      <c r="C869" s="37" t="s">
        <v>278</v>
      </c>
      <c r="D869" s="37" t="s">
        <v>275</v>
      </c>
      <c r="E869" s="37" t="s">
        <v>466</v>
      </c>
      <c r="F869" s="38" t="s">
        <v>474</v>
      </c>
    </row>
    <row r="870" spans="1:6">
      <c r="A870" s="35">
        <v>86219</v>
      </c>
      <c r="B870" s="36" t="s">
        <v>1173</v>
      </c>
      <c r="C870" s="37" t="s">
        <v>1260</v>
      </c>
      <c r="D870" s="37" t="s">
        <v>338</v>
      </c>
      <c r="E870" s="37" t="s">
        <v>466</v>
      </c>
      <c r="F870" s="38" t="s">
        <v>469</v>
      </c>
    </row>
    <row r="871" spans="1:6">
      <c r="A871" s="35">
        <v>86755</v>
      </c>
      <c r="B871" s="36" t="s">
        <v>482</v>
      </c>
      <c r="C871" s="37" t="s">
        <v>1260</v>
      </c>
      <c r="D871" s="37" t="s">
        <v>338</v>
      </c>
      <c r="E871" s="37" t="s">
        <v>466</v>
      </c>
      <c r="F871" s="38" t="s">
        <v>471</v>
      </c>
    </row>
    <row r="872" spans="1:6">
      <c r="A872" s="35">
        <v>86757</v>
      </c>
      <c r="B872" s="36" t="s">
        <v>1261</v>
      </c>
      <c r="C872" s="37" t="s">
        <v>1260</v>
      </c>
      <c r="D872" s="37" t="s">
        <v>338</v>
      </c>
      <c r="E872" s="37" t="s">
        <v>466</v>
      </c>
      <c r="F872" s="38" t="s">
        <v>467</v>
      </c>
    </row>
    <row r="873" spans="1:6">
      <c r="A873" s="35">
        <v>86760</v>
      </c>
      <c r="B873" s="36" t="s">
        <v>1225</v>
      </c>
      <c r="C873" s="37" t="s">
        <v>1260</v>
      </c>
      <c r="D873" s="37" t="s">
        <v>338</v>
      </c>
      <c r="E873" s="37" t="s">
        <v>466</v>
      </c>
      <c r="F873" s="38" t="s">
        <v>469</v>
      </c>
    </row>
    <row r="874" spans="1:6">
      <c r="A874" s="35">
        <v>86573</v>
      </c>
      <c r="B874" s="37" t="s">
        <v>1262</v>
      </c>
      <c r="C874" s="37" t="s">
        <v>1260</v>
      </c>
      <c r="D874" s="37" t="s">
        <v>338</v>
      </c>
      <c r="E874" s="39" t="s">
        <v>453</v>
      </c>
      <c r="F874" s="38" t="s">
        <v>467</v>
      </c>
    </row>
    <row r="875" spans="1:6">
      <c r="A875" s="35">
        <v>86001</v>
      </c>
      <c r="B875" s="37" t="s">
        <v>1263</v>
      </c>
      <c r="C875" s="37" t="s">
        <v>1260</v>
      </c>
      <c r="D875" s="37" t="s">
        <v>338</v>
      </c>
      <c r="E875" s="37" t="s">
        <v>466</v>
      </c>
      <c r="F875" s="38" t="s">
        <v>467</v>
      </c>
    </row>
    <row r="876" spans="1:6">
      <c r="A876" s="35">
        <v>86320</v>
      </c>
      <c r="B876" s="37" t="s">
        <v>1264</v>
      </c>
      <c r="C876" s="37" t="s">
        <v>1260</v>
      </c>
      <c r="D876" s="37" t="s">
        <v>338</v>
      </c>
      <c r="E876" s="37" t="s">
        <v>466</v>
      </c>
      <c r="F876" s="38" t="s">
        <v>467</v>
      </c>
    </row>
    <row r="877" spans="1:6">
      <c r="A877" s="35">
        <v>86568</v>
      </c>
      <c r="B877" s="37" t="s">
        <v>1265</v>
      </c>
      <c r="C877" s="37" t="s">
        <v>1260</v>
      </c>
      <c r="D877" s="37" t="s">
        <v>338</v>
      </c>
      <c r="E877" s="37" t="s">
        <v>466</v>
      </c>
      <c r="F877" s="38" t="s">
        <v>467</v>
      </c>
    </row>
    <row r="878" spans="1:6">
      <c r="A878" s="35">
        <v>86569</v>
      </c>
      <c r="B878" s="37" t="s">
        <v>1266</v>
      </c>
      <c r="C878" s="37" t="s">
        <v>1260</v>
      </c>
      <c r="D878" s="37" t="s">
        <v>338</v>
      </c>
      <c r="E878" s="37" t="s">
        <v>466</v>
      </c>
      <c r="F878" s="38" t="s">
        <v>467</v>
      </c>
    </row>
    <row r="879" spans="1:6">
      <c r="A879" s="35">
        <v>86571</v>
      </c>
      <c r="B879" s="37" t="s">
        <v>1267</v>
      </c>
      <c r="C879" s="37" t="s">
        <v>1260</v>
      </c>
      <c r="D879" s="37" t="s">
        <v>338</v>
      </c>
      <c r="E879" s="37" t="s">
        <v>466</v>
      </c>
      <c r="F879" s="38" t="s">
        <v>467</v>
      </c>
    </row>
    <row r="880" spans="1:6">
      <c r="A880" s="35">
        <v>86749</v>
      </c>
      <c r="B880" s="37" t="s">
        <v>1268</v>
      </c>
      <c r="C880" s="37" t="s">
        <v>1260</v>
      </c>
      <c r="D880" s="37" t="s">
        <v>338</v>
      </c>
      <c r="E880" s="37" t="s">
        <v>466</v>
      </c>
      <c r="F880" s="38" t="s">
        <v>471</v>
      </c>
    </row>
    <row r="881" spans="1:6">
      <c r="A881" s="35">
        <v>86865</v>
      </c>
      <c r="B881" s="37" t="s">
        <v>1269</v>
      </c>
      <c r="C881" s="37" t="s">
        <v>1260</v>
      </c>
      <c r="D881" s="37" t="s">
        <v>338</v>
      </c>
      <c r="E881" s="37" t="s">
        <v>466</v>
      </c>
      <c r="F881" s="38" t="s">
        <v>467</v>
      </c>
    </row>
    <row r="882" spans="1:6">
      <c r="A882" s="35">
        <v>86885</v>
      </c>
      <c r="B882" s="37" t="s">
        <v>1270</v>
      </c>
      <c r="C882" s="37" t="s">
        <v>1260</v>
      </c>
      <c r="D882" s="37" t="s">
        <v>338</v>
      </c>
      <c r="E882" s="37" t="s">
        <v>466</v>
      </c>
      <c r="F882" s="38" t="s">
        <v>467</v>
      </c>
    </row>
    <row r="883" spans="1:6">
      <c r="A883" s="35">
        <v>63001</v>
      </c>
      <c r="B883" s="36" t="s">
        <v>468</v>
      </c>
      <c r="C883" s="37" t="s">
        <v>1271</v>
      </c>
      <c r="D883" s="37" t="s">
        <v>195</v>
      </c>
      <c r="E883" s="37" t="s">
        <v>466</v>
      </c>
      <c r="F883" s="38" t="s">
        <v>469</v>
      </c>
    </row>
    <row r="884" spans="1:6">
      <c r="A884" s="35">
        <v>63111</v>
      </c>
      <c r="B884" s="36" t="s">
        <v>667</v>
      </c>
      <c r="C884" s="37" t="s">
        <v>1271</v>
      </c>
      <c r="D884" s="37" t="s">
        <v>195</v>
      </c>
      <c r="E884" s="37" t="s">
        <v>466</v>
      </c>
      <c r="F884" s="38" t="s">
        <v>469</v>
      </c>
    </row>
    <row r="885" spans="1:6">
      <c r="A885" s="35">
        <v>63212</v>
      </c>
      <c r="B885" s="36" t="s">
        <v>620</v>
      </c>
      <c r="C885" s="37" t="s">
        <v>1271</v>
      </c>
      <c r="D885" s="37" t="s">
        <v>195</v>
      </c>
      <c r="E885" s="37" t="s">
        <v>466</v>
      </c>
      <c r="F885" s="38" t="s">
        <v>469</v>
      </c>
    </row>
    <row r="886" spans="1:6">
      <c r="A886" s="35">
        <v>63130</v>
      </c>
      <c r="B886" s="37" t="s">
        <v>1272</v>
      </c>
      <c r="C886" s="37" t="s">
        <v>1271</v>
      </c>
      <c r="D886" s="37" t="s">
        <v>195</v>
      </c>
      <c r="E886" s="37" t="s">
        <v>466</v>
      </c>
      <c r="F886" s="38" t="s">
        <v>469</v>
      </c>
    </row>
    <row r="887" spans="1:6">
      <c r="A887" s="35">
        <v>63190</v>
      </c>
      <c r="B887" s="37" t="s">
        <v>1273</v>
      </c>
      <c r="C887" s="37" t="s">
        <v>1271</v>
      </c>
      <c r="D887" s="37" t="s">
        <v>195</v>
      </c>
      <c r="E887" s="37" t="s">
        <v>466</v>
      </c>
      <c r="F887" s="38" t="s">
        <v>469</v>
      </c>
    </row>
    <row r="888" spans="1:6">
      <c r="A888" s="35">
        <v>63272</v>
      </c>
      <c r="B888" s="37" t="s">
        <v>1274</v>
      </c>
      <c r="C888" s="37" t="s">
        <v>1271</v>
      </c>
      <c r="D888" s="37" t="s">
        <v>195</v>
      </c>
      <c r="E888" s="37" t="s">
        <v>466</v>
      </c>
      <c r="F888" s="38" t="s">
        <v>469</v>
      </c>
    </row>
    <row r="889" spans="1:6">
      <c r="A889" s="35">
        <v>63302</v>
      </c>
      <c r="B889" s="37" t="s">
        <v>1275</v>
      </c>
      <c r="C889" s="37" t="s">
        <v>1271</v>
      </c>
      <c r="D889" s="37" t="s">
        <v>195</v>
      </c>
      <c r="E889" s="37" t="s">
        <v>466</v>
      </c>
      <c r="F889" s="38" t="s">
        <v>471</v>
      </c>
    </row>
    <row r="890" spans="1:6">
      <c r="A890" s="35">
        <v>63401</v>
      </c>
      <c r="B890" s="37" t="s">
        <v>1276</v>
      </c>
      <c r="C890" s="37" t="s">
        <v>1271</v>
      </c>
      <c r="D890" s="37" t="s">
        <v>195</v>
      </c>
      <c r="E890" s="37" t="s">
        <v>466</v>
      </c>
      <c r="F890" s="38" t="s">
        <v>469</v>
      </c>
    </row>
    <row r="891" spans="1:6">
      <c r="A891" s="35">
        <v>63470</v>
      </c>
      <c r="B891" s="37" t="s">
        <v>1277</v>
      </c>
      <c r="C891" s="37" t="s">
        <v>1271</v>
      </c>
      <c r="D891" s="37" t="s">
        <v>195</v>
      </c>
      <c r="E891" s="37" t="s">
        <v>466</v>
      </c>
      <c r="F891" s="38" t="s">
        <v>469</v>
      </c>
    </row>
    <row r="892" spans="1:6">
      <c r="A892" s="35">
        <v>63548</v>
      </c>
      <c r="B892" s="37" t="s">
        <v>1278</v>
      </c>
      <c r="C892" s="37" t="s">
        <v>1271</v>
      </c>
      <c r="D892" s="37" t="s">
        <v>195</v>
      </c>
      <c r="E892" s="37" t="s">
        <v>466</v>
      </c>
      <c r="F892" s="38" t="s">
        <v>471</v>
      </c>
    </row>
    <row r="893" spans="1:6">
      <c r="A893" s="35">
        <v>63594</v>
      </c>
      <c r="B893" s="37" t="s">
        <v>1279</v>
      </c>
      <c r="C893" s="37" t="s">
        <v>1271</v>
      </c>
      <c r="D893" s="37" t="s">
        <v>195</v>
      </c>
      <c r="E893" s="37" t="s">
        <v>466</v>
      </c>
      <c r="F893" s="38" t="s">
        <v>469</v>
      </c>
    </row>
    <row r="894" spans="1:6">
      <c r="A894" s="35">
        <v>63690</v>
      </c>
      <c r="B894" s="37" t="s">
        <v>1280</v>
      </c>
      <c r="C894" s="37" t="s">
        <v>1271</v>
      </c>
      <c r="D894" s="37" t="s">
        <v>195</v>
      </c>
      <c r="E894" s="37" t="s">
        <v>466</v>
      </c>
      <c r="F894" s="38" t="s">
        <v>469</v>
      </c>
    </row>
    <row r="895" spans="1:6">
      <c r="A895" s="35">
        <v>66075</v>
      </c>
      <c r="B895" s="36" t="s">
        <v>839</v>
      </c>
      <c r="C895" s="37" t="s">
        <v>198</v>
      </c>
      <c r="D895" s="37" t="s">
        <v>195</v>
      </c>
      <c r="E895" s="37" t="s">
        <v>466</v>
      </c>
      <c r="F895" s="38" t="s">
        <v>469</v>
      </c>
    </row>
    <row r="896" spans="1:6">
      <c r="A896" s="35">
        <v>66045</v>
      </c>
      <c r="B896" s="37" t="s">
        <v>1281</v>
      </c>
      <c r="C896" s="37" t="s">
        <v>198</v>
      </c>
      <c r="D896" s="37" t="s">
        <v>195</v>
      </c>
      <c r="E896" s="37" t="s">
        <v>466</v>
      </c>
      <c r="F896" s="38" t="s">
        <v>469</v>
      </c>
    </row>
    <row r="897" spans="1:6">
      <c r="A897" s="35">
        <v>66088</v>
      </c>
      <c r="B897" s="37" t="s">
        <v>1282</v>
      </c>
      <c r="C897" s="37" t="s">
        <v>198</v>
      </c>
      <c r="D897" s="37" t="s">
        <v>195</v>
      </c>
      <c r="E897" s="37" t="s">
        <v>466</v>
      </c>
      <c r="F897" s="38" t="s">
        <v>469</v>
      </c>
    </row>
    <row r="898" spans="1:6">
      <c r="A898" s="35">
        <v>66170</v>
      </c>
      <c r="B898" s="37" t="s">
        <v>1283</v>
      </c>
      <c r="C898" s="37" t="s">
        <v>198</v>
      </c>
      <c r="D898" s="37" t="s">
        <v>195</v>
      </c>
      <c r="E898" s="37" t="s">
        <v>466</v>
      </c>
      <c r="F898" s="38" t="s">
        <v>474</v>
      </c>
    </row>
    <row r="899" spans="1:6">
      <c r="A899" s="35">
        <v>66318</v>
      </c>
      <c r="B899" s="37" t="s">
        <v>1284</v>
      </c>
      <c r="C899" s="37" t="s">
        <v>198</v>
      </c>
      <c r="D899" s="37" t="s">
        <v>195</v>
      </c>
      <c r="E899" s="37" t="s">
        <v>466</v>
      </c>
      <c r="F899" s="38" t="s">
        <v>469</v>
      </c>
    </row>
    <row r="900" spans="1:6">
      <c r="A900" s="35">
        <v>66383</v>
      </c>
      <c r="B900" s="37" t="s">
        <v>1285</v>
      </c>
      <c r="C900" s="37" t="s">
        <v>198</v>
      </c>
      <c r="D900" s="37" t="s">
        <v>195</v>
      </c>
      <c r="E900" s="37" t="s">
        <v>466</v>
      </c>
      <c r="F900" s="38" t="s">
        <v>469</v>
      </c>
    </row>
    <row r="901" spans="1:6">
      <c r="A901" s="35">
        <v>66400</v>
      </c>
      <c r="B901" s="37" t="s">
        <v>1286</v>
      </c>
      <c r="C901" s="37" t="s">
        <v>198</v>
      </c>
      <c r="D901" s="37" t="s">
        <v>195</v>
      </c>
      <c r="E901" s="37" t="s">
        <v>466</v>
      </c>
      <c r="F901" s="38" t="s">
        <v>474</v>
      </c>
    </row>
    <row r="902" spans="1:6">
      <c r="A902" s="35">
        <v>66440</v>
      </c>
      <c r="B902" s="37" t="s">
        <v>1287</v>
      </c>
      <c r="C902" s="37" t="s">
        <v>198</v>
      </c>
      <c r="D902" s="37" t="s">
        <v>195</v>
      </c>
      <c r="E902" s="37" t="s">
        <v>466</v>
      </c>
      <c r="F902" s="38" t="s">
        <v>469</v>
      </c>
    </row>
    <row r="903" spans="1:6">
      <c r="A903" s="35">
        <v>66456</v>
      </c>
      <c r="B903" s="37" t="s">
        <v>1288</v>
      </c>
      <c r="C903" s="37" t="s">
        <v>198</v>
      </c>
      <c r="D903" s="37" t="s">
        <v>195</v>
      </c>
      <c r="E903" s="37" t="s">
        <v>466</v>
      </c>
      <c r="F903" s="38" t="s">
        <v>469</v>
      </c>
    </row>
    <row r="904" spans="1:6">
      <c r="A904" s="35">
        <v>66001</v>
      </c>
      <c r="B904" s="37" t="s">
        <v>195</v>
      </c>
      <c r="C904" s="37" t="s">
        <v>198</v>
      </c>
      <c r="D904" s="37" t="s">
        <v>195</v>
      </c>
      <c r="E904" s="37" t="s">
        <v>466</v>
      </c>
      <c r="F904" s="38" t="s">
        <v>474</v>
      </c>
    </row>
    <row r="905" spans="1:6">
      <c r="A905" s="35">
        <v>66572</v>
      </c>
      <c r="B905" s="37" t="s">
        <v>1289</v>
      </c>
      <c r="C905" s="37" t="s">
        <v>198</v>
      </c>
      <c r="D905" s="37" t="s">
        <v>195</v>
      </c>
      <c r="E905" s="37" t="s">
        <v>466</v>
      </c>
      <c r="F905" s="38" t="s">
        <v>469</v>
      </c>
    </row>
    <row r="906" spans="1:6">
      <c r="A906" s="35">
        <v>66594</v>
      </c>
      <c r="B906" s="37" t="s">
        <v>1290</v>
      </c>
      <c r="C906" s="37" t="s">
        <v>198</v>
      </c>
      <c r="D906" s="37" t="s">
        <v>195</v>
      </c>
      <c r="E906" s="37" t="s">
        <v>466</v>
      </c>
      <c r="F906" s="38" t="s">
        <v>469</v>
      </c>
    </row>
    <row r="907" spans="1:6">
      <c r="A907" s="35">
        <v>66682</v>
      </c>
      <c r="B907" s="37" t="s">
        <v>1291</v>
      </c>
      <c r="C907" s="37" t="s">
        <v>198</v>
      </c>
      <c r="D907" s="37" t="s">
        <v>195</v>
      </c>
      <c r="E907" s="37" t="s">
        <v>466</v>
      </c>
      <c r="F907" s="38" t="s">
        <v>474</v>
      </c>
    </row>
    <row r="908" spans="1:6">
      <c r="A908" s="35">
        <v>66687</v>
      </c>
      <c r="B908" s="37" t="s">
        <v>1292</v>
      </c>
      <c r="C908" s="37" t="s">
        <v>198</v>
      </c>
      <c r="D908" s="37" t="s">
        <v>195</v>
      </c>
      <c r="E908" s="37" t="s">
        <v>466</v>
      </c>
      <c r="F908" s="38" t="s">
        <v>469</v>
      </c>
    </row>
    <row r="909" spans="1:6">
      <c r="A909" s="35">
        <v>88564</v>
      </c>
      <c r="B909" s="36" t="s">
        <v>1174</v>
      </c>
      <c r="C909" s="37" t="s">
        <v>1293</v>
      </c>
      <c r="D909" s="37" t="s">
        <v>320</v>
      </c>
      <c r="E909" s="37" t="s">
        <v>453</v>
      </c>
      <c r="F909" s="38" t="s">
        <v>454</v>
      </c>
    </row>
    <row r="910" spans="1:6">
      <c r="A910" s="35">
        <v>88001</v>
      </c>
      <c r="B910" s="36" t="s">
        <v>1294</v>
      </c>
      <c r="C910" s="37" t="s">
        <v>1293</v>
      </c>
      <c r="D910" s="37" t="s">
        <v>320</v>
      </c>
      <c r="E910" s="37" t="s">
        <v>453</v>
      </c>
      <c r="F910" s="38" t="s">
        <v>454</v>
      </c>
    </row>
    <row r="911" spans="1:6">
      <c r="A911" s="35">
        <v>68020</v>
      </c>
      <c r="B911" s="36" t="s">
        <v>806</v>
      </c>
      <c r="C911" s="37" t="s">
        <v>175</v>
      </c>
      <c r="D911" s="37" t="s">
        <v>147</v>
      </c>
      <c r="E911" s="37" t="s">
        <v>466</v>
      </c>
      <c r="F911" s="38" t="s">
        <v>471</v>
      </c>
    </row>
    <row r="912" spans="1:6">
      <c r="A912" s="35">
        <v>68077</v>
      </c>
      <c r="B912" s="36" t="s">
        <v>315</v>
      </c>
      <c r="C912" s="37" t="s">
        <v>175</v>
      </c>
      <c r="D912" s="37" t="s">
        <v>147</v>
      </c>
      <c r="E912" s="37" t="s">
        <v>466</v>
      </c>
      <c r="F912" s="38" t="s">
        <v>469</v>
      </c>
    </row>
    <row r="913" spans="1:6">
      <c r="A913" s="35">
        <v>68092</v>
      </c>
      <c r="B913" s="36" t="s">
        <v>470</v>
      </c>
      <c r="C913" s="37" t="s">
        <v>175</v>
      </c>
      <c r="D913" s="37" t="s">
        <v>172</v>
      </c>
      <c r="E913" s="37" t="s">
        <v>466</v>
      </c>
      <c r="F913" s="38" t="s">
        <v>467</v>
      </c>
    </row>
    <row r="914" spans="1:6">
      <c r="A914" s="35">
        <v>68101</v>
      </c>
      <c r="B914" s="36" t="s">
        <v>618</v>
      </c>
      <c r="C914" s="37" t="s">
        <v>175</v>
      </c>
      <c r="D914" s="37" t="s">
        <v>147</v>
      </c>
      <c r="E914" s="37" t="s">
        <v>466</v>
      </c>
      <c r="F914" s="38" t="s">
        <v>471</v>
      </c>
    </row>
    <row r="915" spans="1:6">
      <c r="A915" s="35">
        <v>68121</v>
      </c>
      <c r="B915" s="36" t="s">
        <v>954</v>
      </c>
      <c r="C915" s="37" t="s">
        <v>175</v>
      </c>
      <c r="D915" s="37" t="s">
        <v>172</v>
      </c>
      <c r="E915" s="37" t="s">
        <v>466</v>
      </c>
      <c r="F915" s="38" t="s">
        <v>471</v>
      </c>
    </row>
    <row r="916" spans="1:6">
      <c r="A916" s="35">
        <v>68176</v>
      </c>
      <c r="B916" s="36" t="s">
        <v>928</v>
      </c>
      <c r="C916" s="37" t="s">
        <v>175</v>
      </c>
      <c r="D916" s="37" t="s">
        <v>172</v>
      </c>
      <c r="E916" s="37" t="s">
        <v>466</v>
      </c>
      <c r="F916" s="38" t="s">
        <v>467</v>
      </c>
    </row>
    <row r="917" spans="1:6">
      <c r="A917" s="35">
        <v>68207</v>
      </c>
      <c r="B917" s="36" t="s">
        <v>475</v>
      </c>
      <c r="C917" s="37" t="s">
        <v>175</v>
      </c>
      <c r="D917" s="37" t="s">
        <v>172</v>
      </c>
      <c r="E917" s="37" t="s">
        <v>466</v>
      </c>
      <c r="F917" s="38" t="s">
        <v>467</v>
      </c>
    </row>
    <row r="918" spans="1:6">
      <c r="A918" s="35">
        <v>68250</v>
      </c>
      <c r="B918" s="36" t="s">
        <v>621</v>
      </c>
      <c r="C918" s="37" t="s">
        <v>175</v>
      </c>
      <c r="D918" s="37" t="s">
        <v>172</v>
      </c>
      <c r="E918" s="37" t="s">
        <v>466</v>
      </c>
      <c r="F918" s="38" t="s">
        <v>467</v>
      </c>
    </row>
    <row r="919" spans="1:6">
      <c r="A919" s="35">
        <v>68320</v>
      </c>
      <c r="B919" s="36" t="s">
        <v>478</v>
      </c>
      <c r="C919" s="37" t="s">
        <v>175</v>
      </c>
      <c r="D919" s="37" t="s">
        <v>172</v>
      </c>
      <c r="E919" s="37" t="s">
        <v>466</v>
      </c>
      <c r="F919" s="38" t="s">
        <v>467</v>
      </c>
    </row>
    <row r="920" spans="1:6">
      <c r="A920" s="35">
        <v>68397</v>
      </c>
      <c r="B920" s="36" t="s">
        <v>873</v>
      </c>
      <c r="C920" s="37" t="s">
        <v>175</v>
      </c>
      <c r="D920" s="37" t="s">
        <v>172</v>
      </c>
      <c r="E920" s="37" t="s">
        <v>466</v>
      </c>
      <c r="F920" s="38" t="s">
        <v>467</v>
      </c>
    </row>
    <row r="921" spans="1:6">
      <c r="A921" s="35">
        <v>68615</v>
      </c>
      <c r="B921" s="36" t="s">
        <v>226</v>
      </c>
      <c r="C921" s="37" t="s">
        <v>175</v>
      </c>
      <c r="D921" s="37" t="s">
        <v>172</v>
      </c>
      <c r="E921" s="37" t="s">
        <v>466</v>
      </c>
      <c r="F921" s="38" t="s">
        <v>469</v>
      </c>
    </row>
    <row r="922" spans="1:6">
      <c r="A922" s="35">
        <v>68669</v>
      </c>
      <c r="B922" s="36" t="s">
        <v>1294</v>
      </c>
      <c r="C922" s="37" t="s">
        <v>175</v>
      </c>
      <c r="D922" s="37" t="s">
        <v>172</v>
      </c>
      <c r="E922" s="37" t="s">
        <v>466</v>
      </c>
      <c r="F922" s="38" t="s">
        <v>471</v>
      </c>
    </row>
    <row r="923" spans="1:6">
      <c r="A923" s="35">
        <v>68686</v>
      </c>
      <c r="B923" s="36" t="s">
        <v>1261</v>
      </c>
      <c r="C923" s="37" t="s">
        <v>175</v>
      </c>
      <c r="D923" s="37" t="s">
        <v>147</v>
      </c>
      <c r="E923" s="37" t="s">
        <v>466</v>
      </c>
      <c r="F923" s="38" t="s">
        <v>467</v>
      </c>
    </row>
    <row r="924" spans="1:6">
      <c r="A924" s="35">
        <v>68705</v>
      </c>
      <c r="B924" s="36" t="s">
        <v>485</v>
      </c>
      <c r="C924" s="37" t="s">
        <v>175</v>
      </c>
      <c r="D924" s="37" t="s">
        <v>172</v>
      </c>
      <c r="E924" s="37" t="s">
        <v>466</v>
      </c>
      <c r="F924" s="38" t="s">
        <v>469</v>
      </c>
    </row>
    <row r="925" spans="1:6">
      <c r="A925" s="35">
        <v>68773</v>
      </c>
      <c r="B925" s="36" t="s">
        <v>395</v>
      </c>
      <c r="C925" s="37" t="s">
        <v>175</v>
      </c>
      <c r="D925" s="37" t="s">
        <v>147</v>
      </c>
      <c r="E925" s="37" t="s">
        <v>466</v>
      </c>
      <c r="F925" s="38" t="s">
        <v>471</v>
      </c>
    </row>
    <row r="926" spans="1:6">
      <c r="A926" s="35">
        <v>68872</v>
      </c>
      <c r="B926" s="36" t="s">
        <v>627</v>
      </c>
      <c r="C926" s="37" t="s">
        <v>175</v>
      </c>
      <c r="D926" s="37" t="s">
        <v>172</v>
      </c>
      <c r="E926" s="37" t="s">
        <v>466</v>
      </c>
      <c r="F926" s="38" t="s">
        <v>471</v>
      </c>
    </row>
    <row r="927" spans="1:6">
      <c r="A927" s="35">
        <v>68013</v>
      </c>
      <c r="B927" s="37" t="s">
        <v>1295</v>
      </c>
      <c r="C927" s="37" t="s">
        <v>175</v>
      </c>
      <c r="D927" s="37" t="s">
        <v>172</v>
      </c>
      <c r="E927" s="37" t="s">
        <v>466</v>
      </c>
      <c r="F927" s="38" t="s">
        <v>467</v>
      </c>
    </row>
    <row r="928" spans="1:6">
      <c r="A928" s="35">
        <v>68051</v>
      </c>
      <c r="B928" s="37" t="s">
        <v>1296</v>
      </c>
      <c r="C928" s="37" t="s">
        <v>175</v>
      </c>
      <c r="D928" s="37" t="s">
        <v>172</v>
      </c>
      <c r="E928" s="37" t="s">
        <v>466</v>
      </c>
      <c r="F928" s="38" t="s">
        <v>469</v>
      </c>
    </row>
    <row r="929" spans="1:6">
      <c r="A929" s="35">
        <v>68079</v>
      </c>
      <c r="B929" s="37" t="s">
        <v>1297</v>
      </c>
      <c r="C929" s="37" t="s">
        <v>175</v>
      </c>
      <c r="D929" s="37" t="s">
        <v>172</v>
      </c>
      <c r="E929" s="37" t="s">
        <v>466</v>
      </c>
      <c r="F929" s="38" t="s">
        <v>471</v>
      </c>
    </row>
    <row r="930" spans="1:6">
      <c r="A930" s="35">
        <v>68081</v>
      </c>
      <c r="B930" s="37" t="s">
        <v>1298</v>
      </c>
      <c r="C930" s="37" t="s">
        <v>175</v>
      </c>
      <c r="D930" s="37" t="s">
        <v>172</v>
      </c>
      <c r="E930" s="37" t="s">
        <v>466</v>
      </c>
      <c r="F930" s="38" t="s">
        <v>471</v>
      </c>
    </row>
    <row r="931" spans="1:6">
      <c r="A931" s="35">
        <v>68001</v>
      </c>
      <c r="B931" s="37" t="s">
        <v>172</v>
      </c>
      <c r="C931" s="37" t="s">
        <v>175</v>
      </c>
      <c r="D931" s="37" t="s">
        <v>172</v>
      </c>
      <c r="E931" s="37" t="s">
        <v>466</v>
      </c>
      <c r="F931" s="38" t="s">
        <v>474</v>
      </c>
    </row>
    <row r="932" spans="1:6">
      <c r="A932" s="35">
        <v>68132</v>
      </c>
      <c r="B932" s="37" t="s">
        <v>1299</v>
      </c>
      <c r="C932" s="37" t="s">
        <v>175</v>
      </c>
      <c r="D932" s="37" t="s">
        <v>172</v>
      </c>
      <c r="E932" s="37" t="s">
        <v>466</v>
      </c>
      <c r="F932" s="38" t="s">
        <v>471</v>
      </c>
    </row>
    <row r="933" spans="1:6">
      <c r="A933" s="35">
        <v>68147</v>
      </c>
      <c r="B933" s="37" t="s">
        <v>1300</v>
      </c>
      <c r="C933" s="37" t="s">
        <v>175</v>
      </c>
      <c r="D933" s="37" t="s">
        <v>172</v>
      </c>
      <c r="E933" s="37" t="s">
        <v>466</v>
      </c>
      <c r="F933" s="38" t="s">
        <v>467</v>
      </c>
    </row>
    <row r="934" spans="1:6">
      <c r="A934" s="35">
        <v>68152</v>
      </c>
      <c r="B934" s="37" t="s">
        <v>1301</v>
      </c>
      <c r="C934" s="37" t="s">
        <v>175</v>
      </c>
      <c r="D934" s="37" t="s">
        <v>172</v>
      </c>
      <c r="E934" s="37" t="s">
        <v>466</v>
      </c>
      <c r="F934" s="38" t="s">
        <v>467</v>
      </c>
    </row>
    <row r="935" spans="1:6">
      <c r="A935" s="35">
        <v>68160</v>
      </c>
      <c r="B935" s="37" t="s">
        <v>1302</v>
      </c>
      <c r="C935" s="37" t="s">
        <v>175</v>
      </c>
      <c r="D935" s="37" t="s">
        <v>172</v>
      </c>
      <c r="E935" s="37" t="s">
        <v>466</v>
      </c>
      <c r="F935" s="38" t="s">
        <v>471</v>
      </c>
    </row>
    <row r="936" spans="1:6">
      <c r="A936" s="35">
        <v>68162</v>
      </c>
      <c r="B936" s="37" t="s">
        <v>1303</v>
      </c>
      <c r="C936" s="37" t="s">
        <v>175</v>
      </c>
      <c r="D936" s="37" t="s">
        <v>172</v>
      </c>
      <c r="E936" s="37" t="s">
        <v>466</v>
      </c>
      <c r="F936" s="38" t="s">
        <v>467</v>
      </c>
    </row>
    <row r="937" spans="1:6">
      <c r="A937" s="35">
        <v>68167</v>
      </c>
      <c r="B937" s="37" t="s">
        <v>1304</v>
      </c>
      <c r="C937" s="37" t="s">
        <v>175</v>
      </c>
      <c r="D937" s="37" t="s">
        <v>172</v>
      </c>
      <c r="E937" s="37" t="s">
        <v>466</v>
      </c>
      <c r="F937" s="38" t="s">
        <v>467</v>
      </c>
    </row>
    <row r="938" spans="1:6">
      <c r="A938" s="35">
        <v>68169</v>
      </c>
      <c r="B938" s="37" t="s">
        <v>1305</v>
      </c>
      <c r="C938" s="37" t="s">
        <v>175</v>
      </c>
      <c r="D938" s="37" t="s">
        <v>172</v>
      </c>
      <c r="E938" s="37" t="s">
        <v>466</v>
      </c>
      <c r="F938" s="38" t="s">
        <v>469</v>
      </c>
    </row>
    <row r="939" spans="1:6">
      <c r="A939" s="35">
        <v>68179</v>
      </c>
      <c r="B939" s="37" t="s">
        <v>1306</v>
      </c>
      <c r="C939" s="37" t="s">
        <v>175</v>
      </c>
      <c r="D939" s="37" t="s">
        <v>147</v>
      </c>
      <c r="E939" s="37" t="s">
        <v>466</v>
      </c>
      <c r="F939" s="38" t="s">
        <v>467</v>
      </c>
    </row>
    <row r="940" spans="1:6">
      <c r="A940" s="35">
        <v>68190</v>
      </c>
      <c r="B940" s="37" t="s">
        <v>1307</v>
      </c>
      <c r="C940" s="37" t="s">
        <v>175</v>
      </c>
      <c r="D940" s="37" t="s">
        <v>172</v>
      </c>
      <c r="E940" s="37" t="s">
        <v>466</v>
      </c>
      <c r="F940" s="38" t="s">
        <v>467</v>
      </c>
    </row>
    <row r="941" spans="1:6">
      <c r="A941" s="35">
        <v>68209</v>
      </c>
      <c r="B941" s="37" t="s">
        <v>1308</v>
      </c>
      <c r="C941" s="37" t="s">
        <v>175</v>
      </c>
      <c r="D941" s="37" t="s">
        <v>172</v>
      </c>
      <c r="E941" s="37" t="s">
        <v>466</v>
      </c>
      <c r="F941" s="38" t="s">
        <v>471</v>
      </c>
    </row>
    <row r="942" spans="1:6">
      <c r="A942" s="35">
        <v>68211</v>
      </c>
      <c r="B942" s="37" t="s">
        <v>1309</v>
      </c>
      <c r="C942" s="37" t="s">
        <v>175</v>
      </c>
      <c r="D942" s="37" t="s">
        <v>172</v>
      </c>
      <c r="E942" s="37" t="s">
        <v>466</v>
      </c>
      <c r="F942" s="38" t="s">
        <v>467</v>
      </c>
    </row>
    <row r="943" spans="1:6">
      <c r="A943" s="35">
        <v>68217</v>
      </c>
      <c r="B943" s="37" t="s">
        <v>1310</v>
      </c>
      <c r="C943" s="37" t="s">
        <v>175</v>
      </c>
      <c r="D943" s="37" t="s">
        <v>172</v>
      </c>
      <c r="E943" s="37" t="s">
        <v>466</v>
      </c>
      <c r="F943" s="38" t="s">
        <v>467</v>
      </c>
    </row>
    <row r="944" spans="1:6">
      <c r="A944" s="35">
        <v>68229</v>
      </c>
      <c r="B944" s="37" t="s">
        <v>1311</v>
      </c>
      <c r="C944" s="37" t="s">
        <v>175</v>
      </c>
      <c r="D944" s="37" t="s">
        <v>172</v>
      </c>
      <c r="E944" s="37" t="s">
        <v>466</v>
      </c>
      <c r="F944" s="38" t="s">
        <v>469</v>
      </c>
    </row>
    <row r="945" spans="1:6">
      <c r="A945" s="35">
        <v>68235</v>
      </c>
      <c r="B945" s="37" t="s">
        <v>1312</v>
      </c>
      <c r="C945" s="37" t="s">
        <v>175</v>
      </c>
      <c r="D945" s="37" t="s">
        <v>172</v>
      </c>
      <c r="E945" s="37" t="s">
        <v>466</v>
      </c>
      <c r="F945" s="38" t="s">
        <v>467</v>
      </c>
    </row>
    <row r="946" spans="1:6">
      <c r="A946" s="35">
        <v>68245</v>
      </c>
      <c r="B946" s="37" t="s">
        <v>1313</v>
      </c>
      <c r="C946" s="37" t="s">
        <v>175</v>
      </c>
      <c r="D946" s="37" t="s">
        <v>172</v>
      </c>
      <c r="E946" s="37" t="s">
        <v>466</v>
      </c>
      <c r="F946" s="38" t="s">
        <v>467</v>
      </c>
    </row>
    <row r="947" spans="1:6">
      <c r="A947" s="35">
        <v>68255</v>
      </c>
      <c r="B947" s="37" t="s">
        <v>1314</v>
      </c>
      <c r="C947" s="37" t="s">
        <v>175</v>
      </c>
      <c r="D947" s="37" t="s">
        <v>172</v>
      </c>
      <c r="E947" s="37" t="s">
        <v>466</v>
      </c>
      <c r="F947" s="38" t="s">
        <v>469</v>
      </c>
    </row>
    <row r="948" spans="1:6">
      <c r="A948" s="35">
        <v>68264</v>
      </c>
      <c r="B948" s="37" t="s">
        <v>1315</v>
      </c>
      <c r="C948" s="37" t="s">
        <v>175</v>
      </c>
      <c r="D948" s="37" t="s">
        <v>172</v>
      </c>
      <c r="E948" s="37" t="s">
        <v>466</v>
      </c>
      <c r="F948" s="38" t="s">
        <v>467</v>
      </c>
    </row>
    <row r="949" spans="1:6">
      <c r="A949" s="35">
        <v>68266</v>
      </c>
      <c r="B949" s="37" t="s">
        <v>1316</v>
      </c>
      <c r="C949" s="37" t="s">
        <v>175</v>
      </c>
      <c r="D949" s="37" t="s">
        <v>172</v>
      </c>
      <c r="E949" s="37" t="s">
        <v>466</v>
      </c>
      <c r="F949" s="38" t="s">
        <v>467</v>
      </c>
    </row>
    <row r="950" spans="1:6">
      <c r="A950" s="35">
        <v>68271</v>
      </c>
      <c r="B950" s="37" t="s">
        <v>1317</v>
      </c>
      <c r="C950" s="37" t="s">
        <v>175</v>
      </c>
      <c r="D950" s="37" t="s">
        <v>147</v>
      </c>
      <c r="E950" s="37" t="s">
        <v>466</v>
      </c>
      <c r="F950" s="38" t="s">
        <v>467</v>
      </c>
    </row>
    <row r="951" spans="1:6">
      <c r="A951" s="35">
        <v>68276</v>
      </c>
      <c r="B951" s="37" t="s">
        <v>1318</v>
      </c>
      <c r="C951" s="37" t="s">
        <v>175</v>
      </c>
      <c r="D951" s="37" t="s">
        <v>172</v>
      </c>
      <c r="E951" s="37" t="s">
        <v>466</v>
      </c>
      <c r="F951" s="38" t="s">
        <v>474</v>
      </c>
    </row>
    <row r="952" spans="1:6">
      <c r="A952" s="35">
        <v>68296</v>
      </c>
      <c r="B952" s="37" t="s">
        <v>1319</v>
      </c>
      <c r="C952" s="37" t="s">
        <v>175</v>
      </c>
      <c r="D952" s="37" t="s">
        <v>172</v>
      </c>
      <c r="E952" s="37" t="s">
        <v>466</v>
      </c>
      <c r="F952" s="38" t="s">
        <v>471</v>
      </c>
    </row>
    <row r="953" spans="1:6">
      <c r="A953" s="35">
        <v>68298</v>
      </c>
      <c r="B953" s="37" t="s">
        <v>1320</v>
      </c>
      <c r="C953" s="37" t="s">
        <v>175</v>
      </c>
      <c r="D953" s="37" t="s">
        <v>172</v>
      </c>
      <c r="E953" s="37" t="s">
        <v>466</v>
      </c>
      <c r="F953" s="38" t="s">
        <v>467</v>
      </c>
    </row>
    <row r="954" spans="1:6">
      <c r="A954" s="35">
        <v>68307</v>
      </c>
      <c r="B954" s="37" t="s">
        <v>190</v>
      </c>
      <c r="C954" s="37" t="s">
        <v>175</v>
      </c>
      <c r="D954" s="37" t="s">
        <v>172</v>
      </c>
      <c r="E954" s="37" t="s">
        <v>466</v>
      </c>
      <c r="F954" s="38" t="s">
        <v>474</v>
      </c>
    </row>
    <row r="955" spans="1:6">
      <c r="A955" s="35">
        <v>68318</v>
      </c>
      <c r="B955" s="37" t="s">
        <v>1321</v>
      </c>
      <c r="C955" s="37" t="s">
        <v>175</v>
      </c>
      <c r="D955" s="37" t="s">
        <v>172</v>
      </c>
      <c r="E955" s="37" t="s">
        <v>466</v>
      </c>
      <c r="F955" s="38" t="s">
        <v>471</v>
      </c>
    </row>
    <row r="956" spans="1:6">
      <c r="A956" s="35">
        <v>68322</v>
      </c>
      <c r="B956" s="37" t="s">
        <v>1322</v>
      </c>
      <c r="C956" s="37" t="s">
        <v>175</v>
      </c>
      <c r="D956" s="37" t="s">
        <v>172</v>
      </c>
      <c r="E956" s="37" t="s">
        <v>466</v>
      </c>
      <c r="F956" s="38" t="s">
        <v>467</v>
      </c>
    </row>
    <row r="957" spans="1:6">
      <c r="A957" s="35">
        <v>68324</v>
      </c>
      <c r="B957" s="37" t="s">
        <v>1323</v>
      </c>
      <c r="C957" s="37" t="s">
        <v>175</v>
      </c>
      <c r="D957" s="37" t="s">
        <v>172</v>
      </c>
      <c r="E957" s="37" t="s">
        <v>466</v>
      </c>
      <c r="F957" s="38" t="s">
        <v>467</v>
      </c>
    </row>
    <row r="958" spans="1:6">
      <c r="A958" s="35">
        <v>68327</v>
      </c>
      <c r="B958" s="37" t="s">
        <v>1324</v>
      </c>
      <c r="C958" s="37" t="s">
        <v>175</v>
      </c>
      <c r="D958" s="37" t="s">
        <v>172</v>
      </c>
      <c r="E958" s="37" t="s">
        <v>466</v>
      </c>
      <c r="F958" s="38" t="s">
        <v>471</v>
      </c>
    </row>
    <row r="959" spans="1:6">
      <c r="A959" s="35">
        <v>68344</v>
      </c>
      <c r="B959" s="37" t="s">
        <v>1325</v>
      </c>
      <c r="C959" s="37" t="s">
        <v>175</v>
      </c>
      <c r="D959" s="37" t="s">
        <v>172</v>
      </c>
      <c r="E959" s="37" t="s">
        <v>466</v>
      </c>
      <c r="F959" s="38" t="s">
        <v>471</v>
      </c>
    </row>
    <row r="960" spans="1:6">
      <c r="A960" s="35">
        <v>68368</v>
      </c>
      <c r="B960" s="37" t="s">
        <v>1326</v>
      </c>
      <c r="C960" s="37" t="s">
        <v>175</v>
      </c>
      <c r="D960" s="37" t="s">
        <v>147</v>
      </c>
      <c r="E960" s="37" t="s">
        <v>466</v>
      </c>
      <c r="F960" s="38" t="s">
        <v>467</v>
      </c>
    </row>
    <row r="961" spans="1:6">
      <c r="A961" s="35">
        <v>68370</v>
      </c>
      <c r="B961" s="37" t="s">
        <v>1327</v>
      </c>
      <c r="C961" s="37" t="s">
        <v>175</v>
      </c>
      <c r="D961" s="37" t="s">
        <v>172</v>
      </c>
      <c r="E961" s="37" t="s">
        <v>466</v>
      </c>
      <c r="F961" s="38" t="s">
        <v>471</v>
      </c>
    </row>
    <row r="962" spans="1:6">
      <c r="A962" s="35">
        <v>68377</v>
      </c>
      <c r="B962" s="37" t="s">
        <v>1328</v>
      </c>
      <c r="C962" s="37" t="s">
        <v>175</v>
      </c>
      <c r="D962" s="37" t="s">
        <v>147</v>
      </c>
      <c r="E962" s="37" t="s">
        <v>466</v>
      </c>
      <c r="F962" s="38" t="s">
        <v>467</v>
      </c>
    </row>
    <row r="963" spans="1:6">
      <c r="A963" s="35">
        <v>68385</v>
      </c>
      <c r="B963" s="37" t="s">
        <v>1329</v>
      </c>
      <c r="C963" s="37" t="s">
        <v>175</v>
      </c>
      <c r="D963" s="37" t="s">
        <v>147</v>
      </c>
      <c r="E963" s="37" t="s">
        <v>466</v>
      </c>
      <c r="F963" s="38" t="s">
        <v>471</v>
      </c>
    </row>
    <row r="964" spans="1:6">
      <c r="A964" s="35">
        <v>68406</v>
      </c>
      <c r="B964" s="37" t="s">
        <v>1330</v>
      </c>
      <c r="C964" s="37" t="s">
        <v>175</v>
      </c>
      <c r="D964" s="37" t="s">
        <v>172</v>
      </c>
      <c r="E964" s="37" t="s">
        <v>466</v>
      </c>
      <c r="F964" s="38" t="s">
        <v>469</v>
      </c>
    </row>
    <row r="965" spans="1:6">
      <c r="A965" s="35">
        <v>68418</v>
      </c>
      <c r="B965" s="37" t="s">
        <v>1331</v>
      </c>
      <c r="C965" s="37" t="s">
        <v>175</v>
      </c>
      <c r="D965" s="37" t="s">
        <v>172</v>
      </c>
      <c r="E965" s="37" t="s">
        <v>466</v>
      </c>
      <c r="F965" s="38" t="s">
        <v>469</v>
      </c>
    </row>
    <row r="966" spans="1:6">
      <c r="A966" s="35">
        <v>68425</v>
      </c>
      <c r="B966" s="37" t="s">
        <v>1332</v>
      </c>
      <c r="C966" s="37" t="s">
        <v>175</v>
      </c>
      <c r="D966" s="37" t="s">
        <v>172</v>
      </c>
      <c r="E966" s="37" t="s">
        <v>466</v>
      </c>
      <c r="F966" s="38" t="s">
        <v>467</v>
      </c>
    </row>
    <row r="967" spans="1:6">
      <c r="A967" s="35">
        <v>68432</v>
      </c>
      <c r="B967" s="37" t="s">
        <v>1333</v>
      </c>
      <c r="C967" s="37" t="s">
        <v>175</v>
      </c>
      <c r="D967" s="37" t="s">
        <v>172</v>
      </c>
      <c r="E967" s="37" t="s">
        <v>466</v>
      </c>
      <c r="F967" s="38" t="s">
        <v>467</v>
      </c>
    </row>
    <row r="968" spans="1:6">
      <c r="A968" s="35">
        <v>68444</v>
      </c>
      <c r="B968" s="37" t="s">
        <v>1334</v>
      </c>
      <c r="C968" s="37" t="s">
        <v>175</v>
      </c>
      <c r="D968" s="37" t="s">
        <v>172</v>
      </c>
      <c r="E968" s="37" t="s">
        <v>466</v>
      </c>
      <c r="F968" s="38" t="s">
        <v>471</v>
      </c>
    </row>
    <row r="969" spans="1:6">
      <c r="A969" s="35">
        <v>68464</v>
      </c>
      <c r="B969" s="37" t="s">
        <v>1335</v>
      </c>
      <c r="C969" s="37" t="s">
        <v>175</v>
      </c>
      <c r="D969" s="37" t="s">
        <v>172</v>
      </c>
      <c r="E969" s="37" t="s">
        <v>466</v>
      </c>
      <c r="F969" s="38" t="s">
        <v>471</v>
      </c>
    </row>
    <row r="970" spans="1:6">
      <c r="A970" s="35">
        <v>68468</v>
      </c>
      <c r="B970" s="37" t="s">
        <v>1336</v>
      </c>
      <c r="C970" s="37" t="s">
        <v>175</v>
      </c>
      <c r="D970" s="37" t="s">
        <v>172</v>
      </c>
      <c r="E970" s="37" t="s">
        <v>466</v>
      </c>
      <c r="F970" s="38" t="s">
        <v>467</v>
      </c>
    </row>
    <row r="971" spans="1:6">
      <c r="A971" s="35">
        <v>68498</v>
      </c>
      <c r="B971" s="37" t="s">
        <v>1337</v>
      </c>
      <c r="C971" s="37" t="s">
        <v>175</v>
      </c>
      <c r="D971" s="37" t="s">
        <v>172</v>
      </c>
      <c r="E971" s="37" t="s">
        <v>466</v>
      </c>
      <c r="F971" s="38" t="s">
        <v>467</v>
      </c>
    </row>
    <row r="972" spans="1:6">
      <c r="A972" s="35">
        <v>68500</v>
      </c>
      <c r="B972" s="37" t="s">
        <v>219</v>
      </c>
      <c r="C972" s="37" t="s">
        <v>175</v>
      </c>
      <c r="D972" s="37" t="s">
        <v>172</v>
      </c>
      <c r="E972" s="37" t="s">
        <v>466</v>
      </c>
      <c r="F972" s="38" t="s">
        <v>471</v>
      </c>
    </row>
    <row r="973" spans="1:6">
      <c r="A973" s="35">
        <v>68502</v>
      </c>
      <c r="B973" s="37" t="s">
        <v>1338</v>
      </c>
      <c r="C973" s="37" t="s">
        <v>175</v>
      </c>
      <c r="D973" s="37" t="s">
        <v>172</v>
      </c>
      <c r="E973" s="37" t="s">
        <v>466</v>
      </c>
      <c r="F973" s="38" t="s">
        <v>467</v>
      </c>
    </row>
    <row r="974" spans="1:6">
      <c r="A974" s="35">
        <v>68522</v>
      </c>
      <c r="B974" s="37" t="s">
        <v>1339</v>
      </c>
      <c r="C974" s="37" t="s">
        <v>175</v>
      </c>
      <c r="D974" s="37" t="s">
        <v>172</v>
      </c>
      <c r="E974" s="37" t="s">
        <v>466</v>
      </c>
      <c r="F974" s="38" t="s">
        <v>471</v>
      </c>
    </row>
    <row r="975" spans="1:6">
      <c r="A975" s="35">
        <v>68524</v>
      </c>
      <c r="B975" s="37" t="s">
        <v>1340</v>
      </c>
      <c r="C975" s="37" t="s">
        <v>175</v>
      </c>
      <c r="D975" s="37" t="s">
        <v>172</v>
      </c>
      <c r="E975" s="37" t="s">
        <v>466</v>
      </c>
      <c r="F975" s="38" t="s">
        <v>471</v>
      </c>
    </row>
    <row r="976" spans="1:6">
      <c r="A976" s="35">
        <v>68533</v>
      </c>
      <c r="B976" s="37" t="s">
        <v>1341</v>
      </c>
      <c r="C976" s="37" t="s">
        <v>175</v>
      </c>
      <c r="D976" s="37" t="s">
        <v>172</v>
      </c>
      <c r="E976" s="37" t="s">
        <v>466</v>
      </c>
      <c r="F976" s="38" t="s">
        <v>471</v>
      </c>
    </row>
    <row r="977" spans="1:6">
      <c r="A977" s="35">
        <v>68547</v>
      </c>
      <c r="B977" s="37" t="s">
        <v>1342</v>
      </c>
      <c r="C977" s="37" t="s">
        <v>175</v>
      </c>
      <c r="D977" s="37" t="s">
        <v>172</v>
      </c>
      <c r="E977" s="37" t="s">
        <v>466</v>
      </c>
      <c r="F977" s="38" t="s">
        <v>469</v>
      </c>
    </row>
    <row r="978" spans="1:6">
      <c r="A978" s="35">
        <v>68549</v>
      </c>
      <c r="B978" s="37" t="s">
        <v>1343</v>
      </c>
      <c r="C978" s="37" t="s">
        <v>175</v>
      </c>
      <c r="D978" s="37" t="s">
        <v>172</v>
      </c>
      <c r="E978" s="37" t="s">
        <v>466</v>
      </c>
      <c r="F978" s="38" t="s">
        <v>471</v>
      </c>
    </row>
    <row r="979" spans="1:6">
      <c r="A979" s="35">
        <v>68572</v>
      </c>
      <c r="B979" s="37" t="s">
        <v>1344</v>
      </c>
      <c r="C979" s="37" t="s">
        <v>175</v>
      </c>
      <c r="D979" s="37" t="s">
        <v>147</v>
      </c>
      <c r="E979" s="37" t="s">
        <v>466</v>
      </c>
      <c r="F979" s="38" t="s">
        <v>469</v>
      </c>
    </row>
    <row r="980" spans="1:6">
      <c r="A980" s="35">
        <v>68573</v>
      </c>
      <c r="B980" s="37" t="s">
        <v>1345</v>
      </c>
      <c r="C980" s="37" t="s">
        <v>175</v>
      </c>
      <c r="D980" s="37" t="s">
        <v>172</v>
      </c>
      <c r="E980" s="37" t="s">
        <v>466</v>
      </c>
      <c r="F980" s="38" t="s">
        <v>471</v>
      </c>
    </row>
    <row r="981" spans="1:6">
      <c r="A981" s="35">
        <v>68575</v>
      </c>
      <c r="B981" s="37" t="s">
        <v>1346</v>
      </c>
      <c r="C981" s="37" t="s">
        <v>175</v>
      </c>
      <c r="D981" s="37" t="s">
        <v>172</v>
      </c>
      <c r="E981" s="37" t="s">
        <v>466</v>
      </c>
      <c r="F981" s="38" t="s">
        <v>467</v>
      </c>
    </row>
    <row r="982" spans="1:6">
      <c r="A982" s="35">
        <v>68655</v>
      </c>
      <c r="B982" s="37" t="s">
        <v>1347</v>
      </c>
      <c r="C982" s="37" t="s">
        <v>175</v>
      </c>
      <c r="D982" s="37" t="s">
        <v>172</v>
      </c>
      <c r="E982" s="37" t="s">
        <v>466</v>
      </c>
      <c r="F982" s="38" t="s">
        <v>471</v>
      </c>
    </row>
    <row r="983" spans="1:6">
      <c r="A983" s="35">
        <v>68673</v>
      </c>
      <c r="B983" s="37" t="s">
        <v>1348</v>
      </c>
      <c r="C983" s="37" t="s">
        <v>175</v>
      </c>
      <c r="D983" s="37" t="s">
        <v>172</v>
      </c>
      <c r="E983" s="37" t="s">
        <v>466</v>
      </c>
      <c r="F983" s="38" t="s">
        <v>467</v>
      </c>
    </row>
    <row r="984" spans="1:6">
      <c r="A984" s="35">
        <v>68679</v>
      </c>
      <c r="B984" s="37" t="s">
        <v>376</v>
      </c>
      <c r="C984" s="37" t="s">
        <v>175</v>
      </c>
      <c r="D984" s="37" t="s">
        <v>172</v>
      </c>
      <c r="E984" s="37" t="s">
        <v>466</v>
      </c>
      <c r="F984" s="38" t="s">
        <v>469</v>
      </c>
    </row>
    <row r="985" spans="1:6">
      <c r="A985" s="35">
        <v>68682</v>
      </c>
      <c r="B985" s="37" t="s">
        <v>1349</v>
      </c>
      <c r="C985" s="37" t="s">
        <v>175</v>
      </c>
      <c r="D985" s="37" t="s">
        <v>172</v>
      </c>
      <c r="E985" s="37" t="s">
        <v>466</v>
      </c>
      <c r="F985" s="38" t="s">
        <v>467</v>
      </c>
    </row>
    <row r="986" spans="1:6">
      <c r="A986" s="35">
        <v>68684</v>
      </c>
      <c r="B986" s="37" t="s">
        <v>1350</v>
      </c>
      <c r="C986" s="37" t="s">
        <v>175</v>
      </c>
      <c r="D986" s="37" t="s">
        <v>172</v>
      </c>
      <c r="E986" s="37" t="s">
        <v>466</v>
      </c>
      <c r="F986" s="38" t="s">
        <v>467</v>
      </c>
    </row>
    <row r="987" spans="1:6">
      <c r="A987" s="35">
        <v>68689</v>
      </c>
      <c r="B987" s="37" t="s">
        <v>1351</v>
      </c>
      <c r="C987" s="37" t="s">
        <v>175</v>
      </c>
      <c r="D987" s="37" t="s">
        <v>172</v>
      </c>
      <c r="E987" s="37" t="s">
        <v>466</v>
      </c>
      <c r="F987" s="38" t="s">
        <v>471</v>
      </c>
    </row>
    <row r="988" spans="1:6">
      <c r="A988" s="35">
        <v>68720</v>
      </c>
      <c r="B988" s="37" t="s">
        <v>1352</v>
      </c>
      <c r="C988" s="37" t="s">
        <v>175</v>
      </c>
      <c r="D988" s="37" t="s">
        <v>172</v>
      </c>
      <c r="E988" s="37" t="s">
        <v>466</v>
      </c>
      <c r="F988" s="38" t="s">
        <v>467</v>
      </c>
    </row>
    <row r="989" spans="1:6">
      <c r="A989" s="35">
        <v>68745</v>
      </c>
      <c r="B989" s="37" t="s">
        <v>1353</v>
      </c>
      <c r="C989" s="37" t="s">
        <v>175</v>
      </c>
      <c r="D989" s="37" t="s">
        <v>172</v>
      </c>
      <c r="E989" s="37" t="s">
        <v>466</v>
      </c>
      <c r="F989" s="38" t="s">
        <v>471</v>
      </c>
    </row>
    <row r="990" spans="1:6">
      <c r="A990" s="35">
        <v>68755</v>
      </c>
      <c r="B990" s="37" t="s">
        <v>1354</v>
      </c>
      <c r="C990" s="37" t="s">
        <v>175</v>
      </c>
      <c r="D990" s="37" t="s">
        <v>172</v>
      </c>
      <c r="E990" s="37" t="s">
        <v>466</v>
      </c>
      <c r="F990" s="38" t="s">
        <v>471</v>
      </c>
    </row>
    <row r="991" spans="1:6">
      <c r="A991" s="35">
        <v>68770</v>
      </c>
      <c r="B991" s="37" t="s">
        <v>1355</v>
      </c>
      <c r="C991" s="37" t="s">
        <v>175</v>
      </c>
      <c r="D991" s="37" t="s">
        <v>172</v>
      </c>
      <c r="E991" s="37" t="s">
        <v>466</v>
      </c>
      <c r="F991" s="38" t="s">
        <v>471</v>
      </c>
    </row>
    <row r="992" spans="1:6">
      <c r="A992" s="35">
        <v>68780</v>
      </c>
      <c r="B992" s="37" t="s">
        <v>1356</v>
      </c>
      <c r="C992" s="37" t="s">
        <v>175</v>
      </c>
      <c r="D992" s="37" t="s">
        <v>172</v>
      </c>
      <c r="E992" s="37" t="s">
        <v>466</v>
      </c>
      <c r="F992" s="38" t="s">
        <v>471</v>
      </c>
    </row>
    <row r="993" spans="1:6">
      <c r="A993" s="35">
        <v>68820</v>
      </c>
      <c r="B993" s="37" t="s">
        <v>1357</v>
      </c>
      <c r="C993" s="37" t="s">
        <v>175</v>
      </c>
      <c r="D993" s="37" t="s">
        <v>172</v>
      </c>
      <c r="E993" s="37" t="s">
        <v>466</v>
      </c>
      <c r="F993" s="38" t="s">
        <v>469</v>
      </c>
    </row>
    <row r="994" spans="1:6">
      <c r="A994" s="35">
        <v>68855</v>
      </c>
      <c r="B994" s="37" t="s">
        <v>1358</v>
      </c>
      <c r="C994" s="37" t="s">
        <v>175</v>
      </c>
      <c r="D994" s="37" t="s">
        <v>172</v>
      </c>
      <c r="E994" s="37" t="s">
        <v>466</v>
      </c>
      <c r="F994" s="38" t="s">
        <v>471</v>
      </c>
    </row>
    <row r="995" spans="1:6">
      <c r="A995" s="35">
        <v>68861</v>
      </c>
      <c r="B995" s="37" t="s">
        <v>1359</v>
      </c>
      <c r="C995" s="37" t="s">
        <v>175</v>
      </c>
      <c r="D995" s="37" t="s">
        <v>147</v>
      </c>
      <c r="E995" s="37" t="s">
        <v>466</v>
      </c>
      <c r="F995" s="38" t="s">
        <v>469</v>
      </c>
    </row>
    <row r="996" spans="1:6">
      <c r="A996" s="35">
        <v>68867</v>
      </c>
      <c r="B996" s="37" t="s">
        <v>1360</v>
      </c>
      <c r="C996" s="37" t="s">
        <v>175</v>
      </c>
      <c r="D996" s="37" t="s">
        <v>275</v>
      </c>
      <c r="E996" s="37" t="s">
        <v>466</v>
      </c>
      <c r="F996" s="38" t="s">
        <v>467</v>
      </c>
    </row>
    <row r="997" spans="1:6">
      <c r="A997" s="35">
        <v>68895</v>
      </c>
      <c r="B997" s="37" t="s">
        <v>1361</v>
      </c>
      <c r="C997" s="37" t="s">
        <v>175</v>
      </c>
      <c r="D997" s="37" t="s">
        <v>172</v>
      </c>
      <c r="E997" s="37" t="s">
        <v>466</v>
      </c>
      <c r="F997" s="38" t="s">
        <v>471</v>
      </c>
    </row>
    <row r="998" spans="1:6">
      <c r="A998" s="35">
        <v>70110</v>
      </c>
      <c r="B998" s="36" t="s">
        <v>667</v>
      </c>
      <c r="C998" s="37" t="s">
        <v>395</v>
      </c>
      <c r="D998" s="37" t="s">
        <v>392</v>
      </c>
      <c r="E998" s="37" t="s">
        <v>466</v>
      </c>
      <c r="F998" s="38" t="s">
        <v>469</v>
      </c>
    </row>
    <row r="999" spans="1:6">
      <c r="A999" s="35">
        <v>70400</v>
      </c>
      <c r="B999" s="36" t="s">
        <v>349</v>
      </c>
      <c r="C999" s="37" t="s">
        <v>395</v>
      </c>
      <c r="D999" s="37" t="s">
        <v>392</v>
      </c>
      <c r="E999" s="37" t="s">
        <v>466</v>
      </c>
      <c r="F999" s="38" t="s">
        <v>469</v>
      </c>
    </row>
    <row r="1000" spans="1:6">
      <c r="A1000" s="35">
        <v>70717</v>
      </c>
      <c r="B1000" s="36" t="s">
        <v>1362</v>
      </c>
      <c r="C1000" s="37" t="s">
        <v>395</v>
      </c>
      <c r="D1000" s="37" t="s">
        <v>392</v>
      </c>
      <c r="E1000" s="37" t="s">
        <v>466</v>
      </c>
      <c r="F1000" s="38" t="s">
        <v>469</v>
      </c>
    </row>
    <row r="1001" spans="1:6">
      <c r="A1001" s="35">
        <v>70771</v>
      </c>
      <c r="B1001" s="36" t="s">
        <v>395</v>
      </c>
      <c r="C1001" s="37" t="s">
        <v>395</v>
      </c>
      <c r="D1001" s="37" t="s">
        <v>392</v>
      </c>
      <c r="E1001" s="37" t="s">
        <v>466</v>
      </c>
      <c r="F1001" s="38" t="s">
        <v>454</v>
      </c>
    </row>
    <row r="1002" spans="1:6">
      <c r="A1002" s="35">
        <v>70124</v>
      </c>
      <c r="B1002" s="37" t="s">
        <v>1363</v>
      </c>
      <c r="C1002" s="37" t="s">
        <v>395</v>
      </c>
      <c r="D1002" s="37" t="s">
        <v>392</v>
      </c>
      <c r="E1002" s="37" t="s">
        <v>466</v>
      </c>
      <c r="F1002" s="38" t="s">
        <v>467</v>
      </c>
    </row>
    <row r="1003" spans="1:6">
      <c r="A1003" s="35">
        <v>70230</v>
      </c>
      <c r="B1003" s="37" t="s">
        <v>1364</v>
      </c>
      <c r="C1003" s="37" t="s">
        <v>395</v>
      </c>
      <c r="D1003" s="37" t="s">
        <v>392</v>
      </c>
      <c r="E1003" s="37" t="s">
        <v>466</v>
      </c>
      <c r="F1003" s="38" t="s">
        <v>471</v>
      </c>
    </row>
    <row r="1004" spans="1:6">
      <c r="A1004" s="35">
        <v>70204</v>
      </c>
      <c r="B1004" s="37" t="s">
        <v>1365</v>
      </c>
      <c r="C1004" s="37" t="s">
        <v>395</v>
      </c>
      <c r="D1004" s="37" t="s">
        <v>392</v>
      </c>
      <c r="E1004" s="37" t="s">
        <v>466</v>
      </c>
      <c r="F1004" s="38" t="s">
        <v>471</v>
      </c>
    </row>
    <row r="1005" spans="1:6">
      <c r="A1005" s="35">
        <v>70215</v>
      </c>
      <c r="B1005" s="37" t="s">
        <v>1366</v>
      </c>
      <c r="C1005" s="37" t="s">
        <v>395</v>
      </c>
      <c r="D1005" s="37" t="s">
        <v>392</v>
      </c>
      <c r="E1005" s="37" t="s">
        <v>466</v>
      </c>
      <c r="F1005" s="38" t="s">
        <v>469</v>
      </c>
    </row>
    <row r="1006" spans="1:6">
      <c r="A1006" s="35">
        <v>70221</v>
      </c>
      <c r="B1006" s="37" t="s">
        <v>1367</v>
      </c>
      <c r="C1006" s="37" t="s">
        <v>395</v>
      </c>
      <c r="D1006" s="37" t="s">
        <v>392</v>
      </c>
      <c r="E1006" s="37" t="s">
        <v>466</v>
      </c>
      <c r="F1006" s="38" t="s">
        <v>469</v>
      </c>
    </row>
    <row r="1007" spans="1:6">
      <c r="A1007" s="35">
        <v>70233</v>
      </c>
      <c r="B1007" s="37" t="s">
        <v>1368</v>
      </c>
      <c r="C1007" s="37" t="s">
        <v>395</v>
      </c>
      <c r="D1007" s="37" t="s">
        <v>392</v>
      </c>
      <c r="E1007" s="37" t="s">
        <v>466</v>
      </c>
      <c r="F1007" s="38" t="s">
        <v>469</v>
      </c>
    </row>
    <row r="1008" spans="1:6">
      <c r="A1008" s="35">
        <v>70235</v>
      </c>
      <c r="B1008" s="37" t="s">
        <v>1369</v>
      </c>
      <c r="C1008" s="37" t="s">
        <v>395</v>
      </c>
      <c r="D1008" s="37" t="s">
        <v>392</v>
      </c>
      <c r="E1008" s="37" t="s">
        <v>466</v>
      </c>
      <c r="F1008" s="38" t="s">
        <v>469</v>
      </c>
    </row>
    <row r="1009" spans="1:6">
      <c r="A1009" s="35">
        <v>70265</v>
      </c>
      <c r="B1009" s="37" t="s">
        <v>1370</v>
      </c>
      <c r="C1009" s="37" t="s">
        <v>395</v>
      </c>
      <c r="D1009" s="37" t="s">
        <v>392</v>
      </c>
      <c r="E1009" s="37" t="s">
        <v>466</v>
      </c>
      <c r="F1009" s="38" t="s">
        <v>467</v>
      </c>
    </row>
    <row r="1010" spans="1:6">
      <c r="A1010" s="35">
        <v>70418</v>
      </c>
      <c r="B1010" s="37" t="s">
        <v>1371</v>
      </c>
      <c r="C1010" s="37" t="s">
        <v>395</v>
      </c>
      <c r="D1010" s="37" t="s">
        <v>392</v>
      </c>
      <c r="E1010" s="37" t="s">
        <v>466</v>
      </c>
      <c r="F1010" s="38" t="s">
        <v>469</v>
      </c>
    </row>
    <row r="1011" spans="1:6">
      <c r="A1011" s="35">
        <v>70429</v>
      </c>
      <c r="B1011" s="37" t="s">
        <v>1372</v>
      </c>
      <c r="C1011" s="37" t="s">
        <v>395</v>
      </c>
      <c r="D1011" s="37" t="s">
        <v>392</v>
      </c>
      <c r="E1011" s="37" t="s">
        <v>547</v>
      </c>
      <c r="F1011" s="38" t="s">
        <v>467</v>
      </c>
    </row>
    <row r="1012" spans="1:6">
      <c r="A1012" s="35">
        <v>70473</v>
      </c>
      <c r="B1012" s="37" t="s">
        <v>1373</v>
      </c>
      <c r="C1012" s="37" t="s">
        <v>395</v>
      </c>
      <c r="D1012" s="37" t="s">
        <v>392</v>
      </c>
      <c r="E1012" s="37" t="s">
        <v>466</v>
      </c>
      <c r="F1012" s="38" t="s">
        <v>469</v>
      </c>
    </row>
    <row r="1013" spans="1:6">
      <c r="A1013" s="35">
        <v>70508</v>
      </c>
      <c r="B1013" s="37" t="s">
        <v>1374</v>
      </c>
      <c r="C1013" s="37" t="s">
        <v>395</v>
      </c>
      <c r="D1013" s="37" t="s">
        <v>392</v>
      </c>
      <c r="E1013" s="37" t="s">
        <v>466</v>
      </c>
      <c r="F1013" s="38" t="s">
        <v>469</v>
      </c>
    </row>
    <row r="1014" spans="1:6">
      <c r="A1014" s="35">
        <v>70523</v>
      </c>
      <c r="B1014" s="37" t="s">
        <v>1375</v>
      </c>
      <c r="C1014" s="37" t="s">
        <v>395</v>
      </c>
      <c r="D1014" s="37" t="s">
        <v>392</v>
      </c>
      <c r="E1014" s="37" t="s">
        <v>466</v>
      </c>
      <c r="F1014" s="38" t="s">
        <v>469</v>
      </c>
    </row>
    <row r="1015" spans="1:6">
      <c r="A1015" s="35">
        <v>70670</v>
      </c>
      <c r="B1015" s="37" t="s">
        <v>1376</v>
      </c>
      <c r="C1015" s="37" t="s">
        <v>395</v>
      </c>
      <c r="D1015" s="37" t="s">
        <v>392</v>
      </c>
      <c r="E1015" s="37" t="s">
        <v>466</v>
      </c>
      <c r="F1015" s="38" t="s">
        <v>469</v>
      </c>
    </row>
    <row r="1016" spans="1:6">
      <c r="A1016" s="35">
        <v>70678</v>
      </c>
      <c r="B1016" s="37" t="s">
        <v>1377</v>
      </c>
      <c r="C1016" s="37" t="s">
        <v>395</v>
      </c>
      <c r="D1016" s="37" t="s">
        <v>392</v>
      </c>
      <c r="E1016" s="37" t="s">
        <v>466</v>
      </c>
      <c r="F1016" s="38" t="s">
        <v>469</v>
      </c>
    </row>
    <row r="1017" spans="1:6">
      <c r="A1017" s="35">
        <v>70702</v>
      </c>
      <c r="B1017" s="37" t="s">
        <v>1378</v>
      </c>
      <c r="C1017" s="37" t="s">
        <v>395</v>
      </c>
      <c r="D1017" s="37" t="s">
        <v>392</v>
      </c>
      <c r="E1017" s="37" t="s">
        <v>466</v>
      </c>
      <c r="F1017" s="38" t="s">
        <v>469</v>
      </c>
    </row>
    <row r="1018" spans="1:6">
      <c r="A1018" s="35">
        <v>70742</v>
      </c>
      <c r="B1018" s="37" t="s">
        <v>1379</v>
      </c>
      <c r="C1018" s="37" t="s">
        <v>395</v>
      </c>
      <c r="D1018" s="37" t="s">
        <v>392</v>
      </c>
      <c r="E1018" s="37" t="s">
        <v>466</v>
      </c>
      <c r="F1018" s="38" t="s">
        <v>469</v>
      </c>
    </row>
    <row r="1019" spans="1:6">
      <c r="A1019" s="35">
        <v>70708</v>
      </c>
      <c r="B1019" s="37" t="s">
        <v>1380</v>
      </c>
      <c r="C1019" s="37" t="s">
        <v>395</v>
      </c>
      <c r="D1019" s="37" t="s">
        <v>392</v>
      </c>
      <c r="E1019" s="37" t="s">
        <v>466</v>
      </c>
      <c r="F1019" s="38" t="s">
        <v>471</v>
      </c>
    </row>
    <row r="1020" spans="1:6">
      <c r="A1020" s="35">
        <v>70713</v>
      </c>
      <c r="B1020" s="37" t="s">
        <v>1381</v>
      </c>
      <c r="C1020" s="37" t="s">
        <v>395</v>
      </c>
      <c r="D1020" s="37" t="s">
        <v>392</v>
      </c>
      <c r="E1020" s="37" t="s">
        <v>466</v>
      </c>
      <c r="F1020" s="38" t="s">
        <v>469</v>
      </c>
    </row>
    <row r="1021" spans="1:6">
      <c r="A1021" s="35">
        <v>70820</v>
      </c>
      <c r="B1021" s="37" t="s">
        <v>1382</v>
      </c>
      <c r="C1021" s="37" t="s">
        <v>395</v>
      </c>
      <c r="D1021" s="37" t="s">
        <v>392</v>
      </c>
      <c r="E1021" s="37" t="s">
        <v>466</v>
      </c>
      <c r="F1021" s="38" t="s">
        <v>469</v>
      </c>
    </row>
    <row r="1022" spans="1:6">
      <c r="A1022" s="35">
        <v>70001</v>
      </c>
      <c r="B1022" s="37" t="s">
        <v>392</v>
      </c>
      <c r="C1022" s="37" t="s">
        <v>395</v>
      </c>
      <c r="D1022" s="37" t="s">
        <v>392</v>
      </c>
      <c r="E1022" s="37" t="s">
        <v>466</v>
      </c>
      <c r="F1022" s="38" t="s">
        <v>474</v>
      </c>
    </row>
    <row r="1023" spans="1:6">
      <c r="A1023" s="35">
        <v>70823</v>
      </c>
      <c r="B1023" s="37" t="s">
        <v>1383</v>
      </c>
      <c r="C1023" s="37" t="s">
        <v>395</v>
      </c>
      <c r="D1023" s="37" t="s">
        <v>392</v>
      </c>
      <c r="E1023" s="37" t="s">
        <v>466</v>
      </c>
      <c r="F1023" s="38" t="s">
        <v>469</v>
      </c>
    </row>
    <row r="1024" spans="1:6">
      <c r="A1024" s="35">
        <v>73678</v>
      </c>
      <c r="B1024" s="36" t="s">
        <v>483</v>
      </c>
      <c r="C1024" s="37" t="s">
        <v>363</v>
      </c>
      <c r="D1024" s="37" t="s">
        <v>360</v>
      </c>
      <c r="E1024" s="37" t="s">
        <v>466</v>
      </c>
      <c r="F1024" s="38" t="s">
        <v>469</v>
      </c>
    </row>
    <row r="1025" spans="1:6">
      <c r="A1025" s="35">
        <v>73770</v>
      </c>
      <c r="B1025" s="36" t="s">
        <v>842</v>
      </c>
      <c r="C1025" s="37" t="s">
        <v>363</v>
      </c>
      <c r="D1025" s="37" t="s">
        <v>360</v>
      </c>
      <c r="E1025" s="37" t="s">
        <v>466</v>
      </c>
      <c r="F1025" s="38" t="s">
        <v>469</v>
      </c>
    </row>
    <row r="1026" spans="1:6">
      <c r="A1026" s="35">
        <v>73024</v>
      </c>
      <c r="B1026" s="37" t="s">
        <v>1384</v>
      </c>
      <c r="C1026" s="37" t="s">
        <v>363</v>
      </c>
      <c r="D1026" s="37" t="s">
        <v>360</v>
      </c>
      <c r="E1026" s="37" t="s">
        <v>466</v>
      </c>
      <c r="F1026" s="38" t="s">
        <v>467</v>
      </c>
    </row>
    <row r="1027" spans="1:6">
      <c r="A1027" s="35">
        <v>73026</v>
      </c>
      <c r="B1027" s="37" t="s">
        <v>1385</v>
      </c>
      <c r="C1027" s="37" t="s">
        <v>363</v>
      </c>
      <c r="D1027" s="37" t="s">
        <v>360</v>
      </c>
      <c r="E1027" s="37" t="s">
        <v>466</v>
      </c>
      <c r="F1027" s="38" t="s">
        <v>469</v>
      </c>
    </row>
    <row r="1028" spans="1:6">
      <c r="A1028" s="35">
        <v>73030</v>
      </c>
      <c r="B1028" s="37" t="s">
        <v>1386</v>
      </c>
      <c r="C1028" s="37" t="s">
        <v>363</v>
      </c>
      <c r="D1028" s="37" t="s">
        <v>360</v>
      </c>
      <c r="E1028" s="37" t="s">
        <v>466</v>
      </c>
      <c r="F1028" s="38" t="s">
        <v>469</v>
      </c>
    </row>
    <row r="1029" spans="1:6">
      <c r="A1029" s="35">
        <v>73043</v>
      </c>
      <c r="B1029" s="37" t="s">
        <v>1387</v>
      </c>
      <c r="C1029" s="37" t="s">
        <v>363</v>
      </c>
      <c r="D1029" s="37" t="s">
        <v>360</v>
      </c>
      <c r="E1029" s="37" t="s">
        <v>466</v>
      </c>
      <c r="F1029" s="38" t="s">
        <v>469</v>
      </c>
    </row>
    <row r="1030" spans="1:6">
      <c r="A1030" s="35">
        <v>73055</v>
      </c>
      <c r="B1030" s="37" t="s">
        <v>1388</v>
      </c>
      <c r="C1030" s="37" t="s">
        <v>363</v>
      </c>
      <c r="D1030" s="37" t="s">
        <v>360</v>
      </c>
      <c r="E1030" s="37" t="s">
        <v>466</v>
      </c>
      <c r="F1030" s="38" t="s">
        <v>469</v>
      </c>
    </row>
    <row r="1031" spans="1:6">
      <c r="A1031" s="35">
        <v>73067</v>
      </c>
      <c r="B1031" s="37" t="s">
        <v>1389</v>
      </c>
      <c r="C1031" s="37" t="s">
        <v>363</v>
      </c>
      <c r="D1031" s="37" t="s">
        <v>360</v>
      </c>
      <c r="E1031" s="37" t="s">
        <v>466</v>
      </c>
      <c r="F1031" s="38" t="s">
        <v>471</v>
      </c>
    </row>
    <row r="1032" spans="1:6">
      <c r="A1032" s="35">
        <v>73124</v>
      </c>
      <c r="B1032" s="37" t="s">
        <v>1390</v>
      </c>
      <c r="C1032" s="37" t="s">
        <v>363</v>
      </c>
      <c r="D1032" s="37" t="s">
        <v>360</v>
      </c>
      <c r="E1032" s="37" t="s">
        <v>466</v>
      </c>
      <c r="F1032" s="38" t="s">
        <v>469</v>
      </c>
    </row>
    <row r="1033" spans="1:6">
      <c r="A1033" s="35">
        <v>73148</v>
      </c>
      <c r="B1033" s="37" t="s">
        <v>1391</v>
      </c>
      <c r="C1033" s="37" t="s">
        <v>363</v>
      </c>
      <c r="D1033" s="37" t="s">
        <v>163</v>
      </c>
      <c r="E1033" s="37" t="s">
        <v>466</v>
      </c>
      <c r="F1033" s="38" t="s">
        <v>469</v>
      </c>
    </row>
    <row r="1034" spans="1:6">
      <c r="A1034" s="35">
        <v>73152</v>
      </c>
      <c r="B1034" s="37" t="s">
        <v>1392</v>
      </c>
      <c r="C1034" s="37" t="s">
        <v>363</v>
      </c>
      <c r="D1034" s="37" t="s">
        <v>360</v>
      </c>
      <c r="E1034" s="37" t="s">
        <v>466</v>
      </c>
      <c r="F1034" s="38" t="s">
        <v>471</v>
      </c>
    </row>
    <row r="1035" spans="1:6">
      <c r="A1035" s="35">
        <v>73168</v>
      </c>
      <c r="B1035" s="37" t="s">
        <v>1393</v>
      </c>
      <c r="C1035" s="37" t="s">
        <v>363</v>
      </c>
      <c r="D1035" s="37" t="s">
        <v>360</v>
      </c>
      <c r="E1035" s="37" t="s">
        <v>466</v>
      </c>
      <c r="F1035" s="38" t="s">
        <v>471</v>
      </c>
    </row>
    <row r="1036" spans="1:6">
      <c r="A1036" s="35">
        <v>73200</v>
      </c>
      <c r="B1036" s="37" t="s">
        <v>1394</v>
      </c>
      <c r="C1036" s="37" t="s">
        <v>363</v>
      </c>
      <c r="D1036" s="37" t="s">
        <v>360</v>
      </c>
      <c r="E1036" s="37" t="s">
        <v>466</v>
      </c>
      <c r="F1036" s="38" t="s">
        <v>469</v>
      </c>
    </row>
    <row r="1037" spans="1:6">
      <c r="A1037" s="35">
        <v>73217</v>
      </c>
      <c r="B1037" s="37" t="s">
        <v>1395</v>
      </c>
      <c r="C1037" s="37" t="s">
        <v>363</v>
      </c>
      <c r="D1037" s="37" t="s">
        <v>360</v>
      </c>
      <c r="E1037" s="37" t="s">
        <v>466</v>
      </c>
      <c r="F1037" s="38" t="s">
        <v>471</v>
      </c>
    </row>
    <row r="1038" spans="1:6">
      <c r="A1038" s="35">
        <v>73226</v>
      </c>
      <c r="B1038" s="37" t="s">
        <v>1396</v>
      </c>
      <c r="C1038" s="37" t="s">
        <v>363</v>
      </c>
      <c r="D1038" s="37" t="s">
        <v>360</v>
      </c>
      <c r="E1038" s="37" t="s">
        <v>466</v>
      </c>
      <c r="F1038" s="38" t="s">
        <v>469</v>
      </c>
    </row>
    <row r="1039" spans="1:6">
      <c r="A1039" s="35">
        <v>73236</v>
      </c>
      <c r="B1039" s="37" t="s">
        <v>1397</v>
      </c>
      <c r="C1039" s="37" t="s">
        <v>363</v>
      </c>
      <c r="D1039" s="37" t="s">
        <v>360</v>
      </c>
      <c r="E1039" s="37" t="s">
        <v>466</v>
      </c>
      <c r="F1039" s="38" t="s">
        <v>467</v>
      </c>
    </row>
    <row r="1040" spans="1:6">
      <c r="A1040" s="35">
        <v>73268</v>
      </c>
      <c r="B1040" s="37" t="s">
        <v>1398</v>
      </c>
      <c r="C1040" s="37" t="s">
        <v>363</v>
      </c>
      <c r="D1040" s="37" t="s">
        <v>360</v>
      </c>
      <c r="E1040" s="37" t="s">
        <v>466</v>
      </c>
      <c r="F1040" s="38" t="s">
        <v>469</v>
      </c>
    </row>
    <row r="1041" spans="1:6">
      <c r="A1041" s="35">
        <v>73270</v>
      </c>
      <c r="B1041" s="37" t="s">
        <v>1399</v>
      </c>
      <c r="C1041" s="37" t="s">
        <v>363</v>
      </c>
      <c r="D1041" s="37" t="s">
        <v>360</v>
      </c>
      <c r="E1041" s="37" t="s">
        <v>466</v>
      </c>
      <c r="F1041" s="38" t="s">
        <v>471</v>
      </c>
    </row>
    <row r="1042" spans="1:6">
      <c r="A1042" s="35">
        <v>73275</v>
      </c>
      <c r="B1042" s="37" t="s">
        <v>1400</v>
      </c>
      <c r="C1042" s="37" t="s">
        <v>363</v>
      </c>
      <c r="D1042" s="37" t="s">
        <v>360</v>
      </c>
      <c r="E1042" s="37" t="s">
        <v>466</v>
      </c>
      <c r="F1042" s="38" t="s">
        <v>469</v>
      </c>
    </row>
    <row r="1043" spans="1:6">
      <c r="A1043" s="35">
        <v>73283</v>
      </c>
      <c r="B1043" s="37" t="s">
        <v>1401</v>
      </c>
      <c r="C1043" s="37" t="s">
        <v>363</v>
      </c>
      <c r="D1043" s="37" t="s">
        <v>360</v>
      </c>
      <c r="E1043" s="37" t="s">
        <v>466</v>
      </c>
      <c r="F1043" s="38" t="s">
        <v>471</v>
      </c>
    </row>
    <row r="1044" spans="1:6">
      <c r="A1044" s="35">
        <v>73319</v>
      </c>
      <c r="B1044" s="37" t="s">
        <v>1402</v>
      </c>
      <c r="C1044" s="37" t="s">
        <v>363</v>
      </c>
      <c r="D1044" s="37" t="s">
        <v>360</v>
      </c>
      <c r="E1044" s="37" t="s">
        <v>466</v>
      </c>
      <c r="F1044" s="38" t="s">
        <v>469</v>
      </c>
    </row>
    <row r="1045" spans="1:6">
      <c r="A1045" s="35">
        <v>73347</v>
      </c>
      <c r="B1045" s="37" t="s">
        <v>1403</v>
      </c>
      <c r="C1045" s="37" t="s">
        <v>363</v>
      </c>
      <c r="D1045" s="37" t="s">
        <v>781</v>
      </c>
      <c r="E1045" s="37" t="s">
        <v>466</v>
      </c>
      <c r="F1045" s="38" t="s">
        <v>471</v>
      </c>
    </row>
    <row r="1046" spans="1:6">
      <c r="A1046" s="35">
        <v>73349</v>
      </c>
      <c r="B1046" s="37" t="s">
        <v>1404</v>
      </c>
      <c r="C1046" s="37" t="s">
        <v>363</v>
      </c>
      <c r="D1046" s="37" t="s">
        <v>360</v>
      </c>
      <c r="E1046" s="37" t="s">
        <v>466</v>
      </c>
      <c r="F1046" s="38" t="s">
        <v>471</v>
      </c>
    </row>
    <row r="1047" spans="1:6">
      <c r="A1047" s="35">
        <v>73001</v>
      </c>
      <c r="B1047" s="37" t="s">
        <v>360</v>
      </c>
      <c r="C1047" s="37" t="s">
        <v>363</v>
      </c>
      <c r="D1047" s="37" t="s">
        <v>360</v>
      </c>
      <c r="E1047" s="37" t="s">
        <v>466</v>
      </c>
      <c r="F1047" s="38" t="s">
        <v>474</v>
      </c>
    </row>
    <row r="1048" spans="1:6">
      <c r="A1048" s="35">
        <v>73352</v>
      </c>
      <c r="B1048" s="37" t="s">
        <v>1405</v>
      </c>
      <c r="C1048" s="37" t="s">
        <v>363</v>
      </c>
      <c r="D1048" s="37" t="s">
        <v>360</v>
      </c>
      <c r="E1048" s="37" t="s">
        <v>466</v>
      </c>
      <c r="F1048" s="38" t="s">
        <v>471</v>
      </c>
    </row>
    <row r="1049" spans="1:6">
      <c r="A1049" s="35">
        <v>73408</v>
      </c>
      <c r="B1049" s="37" t="s">
        <v>1406</v>
      </c>
      <c r="C1049" s="37" t="s">
        <v>363</v>
      </c>
      <c r="D1049" s="37" t="s">
        <v>360</v>
      </c>
      <c r="E1049" s="37" t="s">
        <v>466</v>
      </c>
      <c r="F1049" s="38" t="s">
        <v>469</v>
      </c>
    </row>
    <row r="1050" spans="1:6">
      <c r="A1050" s="35">
        <v>73411</v>
      </c>
      <c r="B1050" s="37" t="s">
        <v>1407</v>
      </c>
      <c r="C1050" s="37" t="s">
        <v>363</v>
      </c>
      <c r="D1050" s="37" t="s">
        <v>360</v>
      </c>
      <c r="E1050" s="37" t="s">
        <v>466</v>
      </c>
      <c r="F1050" s="38" t="s">
        <v>471</v>
      </c>
    </row>
    <row r="1051" spans="1:6">
      <c r="A1051" s="35">
        <v>73443</v>
      </c>
      <c r="B1051" s="37" t="s">
        <v>1408</v>
      </c>
      <c r="C1051" s="37" t="s">
        <v>363</v>
      </c>
      <c r="D1051" s="37" t="s">
        <v>360</v>
      </c>
      <c r="E1051" s="37" t="s">
        <v>466</v>
      </c>
      <c r="F1051" s="38" t="s">
        <v>471</v>
      </c>
    </row>
    <row r="1052" spans="1:6">
      <c r="A1052" s="35">
        <v>73449</v>
      </c>
      <c r="B1052" s="37" t="s">
        <v>1409</v>
      </c>
      <c r="C1052" s="37" t="s">
        <v>363</v>
      </c>
      <c r="D1052" s="37" t="s">
        <v>163</v>
      </c>
      <c r="E1052" s="37" t="s">
        <v>466</v>
      </c>
      <c r="F1052" s="38" t="s">
        <v>469</v>
      </c>
    </row>
    <row r="1053" spans="1:6">
      <c r="A1053" s="35">
        <v>73461</v>
      </c>
      <c r="B1053" s="37" t="s">
        <v>1410</v>
      </c>
      <c r="C1053" s="37" t="s">
        <v>363</v>
      </c>
      <c r="D1053" s="37" t="s">
        <v>360</v>
      </c>
      <c r="E1053" s="37" t="s">
        <v>466</v>
      </c>
      <c r="F1053" s="38" t="s">
        <v>467</v>
      </c>
    </row>
    <row r="1054" spans="1:6">
      <c r="A1054" s="35">
        <v>73483</v>
      </c>
      <c r="B1054" s="37" t="s">
        <v>1411</v>
      </c>
      <c r="C1054" s="37" t="s">
        <v>363</v>
      </c>
      <c r="D1054" s="37" t="s">
        <v>298</v>
      </c>
      <c r="E1054" s="37" t="s">
        <v>466</v>
      </c>
      <c r="F1054" s="38" t="s">
        <v>469</v>
      </c>
    </row>
    <row r="1055" spans="1:6">
      <c r="A1055" s="35">
        <v>73504</v>
      </c>
      <c r="B1055" s="37" t="s">
        <v>1412</v>
      </c>
      <c r="C1055" s="37" t="s">
        <v>363</v>
      </c>
      <c r="D1055" s="37" t="s">
        <v>360</v>
      </c>
      <c r="E1055" s="37" t="s">
        <v>466</v>
      </c>
      <c r="F1055" s="38" t="s">
        <v>471</v>
      </c>
    </row>
    <row r="1056" spans="1:6">
      <c r="A1056" s="35">
        <v>73520</v>
      </c>
      <c r="B1056" s="37" t="s">
        <v>1413</v>
      </c>
      <c r="C1056" s="37" t="s">
        <v>363</v>
      </c>
      <c r="D1056" s="37" t="s">
        <v>360</v>
      </c>
      <c r="E1056" s="37" t="s">
        <v>466</v>
      </c>
      <c r="F1056" s="38" t="s">
        <v>471</v>
      </c>
    </row>
    <row r="1057" spans="1:6">
      <c r="A1057" s="35">
        <v>73547</v>
      </c>
      <c r="B1057" s="37" t="s">
        <v>1414</v>
      </c>
      <c r="C1057" s="37" t="s">
        <v>363</v>
      </c>
      <c r="D1057" s="37" t="s">
        <v>360</v>
      </c>
      <c r="E1057" s="37" t="s">
        <v>466</v>
      </c>
      <c r="F1057" s="38" t="s">
        <v>469</v>
      </c>
    </row>
    <row r="1058" spans="1:6">
      <c r="A1058" s="35">
        <v>73555</v>
      </c>
      <c r="B1058" s="37" t="s">
        <v>1415</v>
      </c>
      <c r="C1058" s="37" t="s">
        <v>363</v>
      </c>
      <c r="D1058" s="37" t="s">
        <v>360</v>
      </c>
      <c r="E1058" s="37" t="s">
        <v>466</v>
      </c>
      <c r="F1058" s="38" t="s">
        <v>467</v>
      </c>
    </row>
    <row r="1059" spans="1:6">
      <c r="A1059" s="35">
        <v>73563</v>
      </c>
      <c r="B1059" s="37" t="s">
        <v>1416</v>
      </c>
      <c r="C1059" s="37" t="s">
        <v>363</v>
      </c>
      <c r="D1059" s="37" t="s">
        <v>360</v>
      </c>
      <c r="E1059" s="37" t="s">
        <v>466</v>
      </c>
      <c r="F1059" s="38" t="s">
        <v>471</v>
      </c>
    </row>
    <row r="1060" spans="1:6">
      <c r="A1060" s="35">
        <v>73585</v>
      </c>
      <c r="B1060" s="37" t="s">
        <v>364</v>
      </c>
      <c r="C1060" s="37" t="s">
        <v>363</v>
      </c>
      <c r="D1060" s="37" t="s">
        <v>360</v>
      </c>
      <c r="E1060" s="37" t="s">
        <v>466</v>
      </c>
      <c r="F1060" s="38" t="s">
        <v>469</v>
      </c>
    </row>
    <row r="1061" spans="1:6">
      <c r="A1061" s="35">
        <v>73616</v>
      </c>
      <c r="B1061" s="37" t="s">
        <v>1417</v>
      </c>
      <c r="C1061" s="37" t="s">
        <v>363</v>
      </c>
      <c r="D1061" s="37" t="s">
        <v>360</v>
      </c>
      <c r="E1061" s="37" t="s">
        <v>466</v>
      </c>
      <c r="F1061" s="38" t="s">
        <v>467</v>
      </c>
    </row>
    <row r="1062" spans="1:6">
      <c r="A1062" s="35">
        <v>73622</v>
      </c>
      <c r="B1062" s="37" t="s">
        <v>1418</v>
      </c>
      <c r="C1062" s="37" t="s">
        <v>363</v>
      </c>
      <c r="D1062" s="37" t="s">
        <v>360</v>
      </c>
      <c r="E1062" s="37" t="s">
        <v>466</v>
      </c>
      <c r="F1062" s="38" t="s">
        <v>467</v>
      </c>
    </row>
    <row r="1063" spans="1:6">
      <c r="A1063" s="35">
        <v>73624</v>
      </c>
      <c r="B1063" s="37" t="s">
        <v>1419</v>
      </c>
      <c r="C1063" s="37" t="s">
        <v>363</v>
      </c>
      <c r="D1063" s="37" t="s">
        <v>360</v>
      </c>
      <c r="E1063" s="37" t="s">
        <v>466</v>
      </c>
      <c r="F1063" s="38" t="s">
        <v>471</v>
      </c>
    </row>
    <row r="1064" spans="1:6">
      <c r="A1064" s="35">
        <v>73671</v>
      </c>
      <c r="B1064" s="37" t="s">
        <v>1420</v>
      </c>
      <c r="C1064" s="37" t="s">
        <v>363</v>
      </c>
      <c r="D1064" s="37" t="s">
        <v>360</v>
      </c>
      <c r="E1064" s="37" t="s">
        <v>466</v>
      </c>
      <c r="F1064" s="38" t="s">
        <v>469</v>
      </c>
    </row>
    <row r="1065" spans="1:6">
      <c r="A1065" s="35">
        <v>73675</v>
      </c>
      <c r="B1065" s="37" t="s">
        <v>1421</v>
      </c>
      <c r="C1065" s="37" t="s">
        <v>363</v>
      </c>
      <c r="D1065" s="37" t="s">
        <v>360</v>
      </c>
      <c r="E1065" s="37" t="s">
        <v>466</v>
      </c>
      <c r="F1065" s="38" t="s">
        <v>467</v>
      </c>
    </row>
    <row r="1066" spans="1:6">
      <c r="A1066" s="35">
        <v>73686</v>
      </c>
      <c r="B1066" s="37" t="s">
        <v>1422</v>
      </c>
      <c r="C1066" s="37" t="s">
        <v>363</v>
      </c>
      <c r="D1066" s="37" t="s">
        <v>360</v>
      </c>
      <c r="E1066" s="37" t="s">
        <v>466</v>
      </c>
      <c r="F1066" s="38" t="s">
        <v>471</v>
      </c>
    </row>
    <row r="1067" spans="1:6">
      <c r="A1067" s="35">
        <v>73854</v>
      </c>
      <c r="B1067" s="37" t="s">
        <v>1423</v>
      </c>
      <c r="C1067" s="37" t="s">
        <v>363</v>
      </c>
      <c r="D1067" s="37" t="s">
        <v>360</v>
      </c>
      <c r="E1067" s="37" t="s">
        <v>466</v>
      </c>
      <c r="F1067" s="38" t="s">
        <v>469</v>
      </c>
    </row>
    <row r="1068" spans="1:6">
      <c r="A1068" s="35">
        <v>73861</v>
      </c>
      <c r="B1068" s="37" t="s">
        <v>1424</v>
      </c>
      <c r="C1068" s="37" t="s">
        <v>363</v>
      </c>
      <c r="D1068" s="37" t="s">
        <v>360</v>
      </c>
      <c r="E1068" s="37" t="s">
        <v>466</v>
      </c>
      <c r="F1068" s="38" t="s">
        <v>469</v>
      </c>
    </row>
    <row r="1069" spans="1:6">
      <c r="A1069" s="35">
        <v>73870</v>
      </c>
      <c r="B1069" s="37" t="s">
        <v>1425</v>
      </c>
      <c r="C1069" s="37" t="s">
        <v>363</v>
      </c>
      <c r="D1069" s="37" t="s">
        <v>360</v>
      </c>
      <c r="E1069" s="37" t="s">
        <v>466</v>
      </c>
      <c r="F1069" s="38" t="s">
        <v>471</v>
      </c>
    </row>
    <row r="1070" spans="1:6">
      <c r="A1070" s="35">
        <v>73873</v>
      </c>
      <c r="B1070" s="37" t="s">
        <v>1426</v>
      </c>
      <c r="C1070" s="37" t="s">
        <v>363</v>
      </c>
      <c r="D1070" s="37" t="s">
        <v>360</v>
      </c>
      <c r="E1070" s="37" t="s">
        <v>466</v>
      </c>
      <c r="F1070" s="38" t="s">
        <v>471</v>
      </c>
    </row>
    <row r="1071" spans="1:6">
      <c r="A1071" s="35">
        <v>76054</v>
      </c>
      <c r="B1071" s="36" t="s">
        <v>465</v>
      </c>
      <c r="C1071" s="37" t="s">
        <v>141</v>
      </c>
      <c r="D1071" s="37" t="s">
        <v>195</v>
      </c>
      <c r="E1071" s="37" t="s">
        <v>466</v>
      </c>
      <c r="F1071" s="38" t="s">
        <v>471</v>
      </c>
    </row>
    <row r="1072" spans="1:6">
      <c r="A1072" s="35">
        <v>76100</v>
      </c>
      <c r="B1072" s="36" t="s">
        <v>618</v>
      </c>
      <c r="C1072" s="37" t="s">
        <v>141</v>
      </c>
      <c r="D1072" s="37" t="s">
        <v>195</v>
      </c>
      <c r="E1072" s="37" t="s">
        <v>466</v>
      </c>
      <c r="F1072" s="38" t="s">
        <v>469</v>
      </c>
    </row>
    <row r="1073" spans="1:6">
      <c r="A1073" s="35">
        <v>76130</v>
      </c>
      <c r="B1073" s="36" t="s">
        <v>596</v>
      </c>
      <c r="C1073" s="37" t="s">
        <v>141</v>
      </c>
      <c r="D1073" s="37" t="s">
        <v>138</v>
      </c>
      <c r="E1073" s="37" t="s">
        <v>466</v>
      </c>
      <c r="F1073" s="38" t="s">
        <v>469</v>
      </c>
    </row>
    <row r="1074" spans="1:6">
      <c r="A1074" s="35">
        <v>76400</v>
      </c>
      <c r="B1074" s="36" t="s">
        <v>349</v>
      </c>
      <c r="C1074" s="37" t="s">
        <v>141</v>
      </c>
      <c r="D1074" s="37" t="s">
        <v>195</v>
      </c>
      <c r="E1074" s="37" t="s">
        <v>466</v>
      </c>
      <c r="F1074" s="38" t="s">
        <v>469</v>
      </c>
    </row>
    <row r="1075" spans="1:6">
      <c r="A1075" s="35">
        <v>76403</v>
      </c>
      <c r="B1075" s="36" t="s">
        <v>451</v>
      </c>
      <c r="C1075" s="37" t="s">
        <v>141</v>
      </c>
      <c r="D1075" s="37" t="s">
        <v>195</v>
      </c>
      <c r="E1075" s="37" t="s">
        <v>466</v>
      </c>
      <c r="F1075" s="38" t="s">
        <v>469</v>
      </c>
    </row>
    <row r="1076" spans="1:6">
      <c r="A1076" s="35">
        <v>76606</v>
      </c>
      <c r="B1076" s="36" t="s">
        <v>1149</v>
      </c>
      <c r="C1076" s="37" t="s">
        <v>141</v>
      </c>
      <c r="D1076" s="37" t="s">
        <v>138</v>
      </c>
      <c r="E1076" s="37" t="s">
        <v>466</v>
      </c>
      <c r="F1076" s="38" t="s">
        <v>469</v>
      </c>
    </row>
    <row r="1077" spans="1:6">
      <c r="A1077" s="35">
        <v>76670</v>
      </c>
      <c r="B1077" s="36" t="s">
        <v>1362</v>
      </c>
      <c r="C1077" s="37" t="s">
        <v>141</v>
      </c>
      <c r="D1077" s="37" t="s">
        <v>138</v>
      </c>
      <c r="E1077" s="37" t="s">
        <v>466</v>
      </c>
      <c r="F1077" s="38" t="s">
        <v>469</v>
      </c>
    </row>
    <row r="1078" spans="1:6">
      <c r="A1078" s="35">
        <v>76020</v>
      </c>
      <c r="B1078" s="37" t="s">
        <v>1427</v>
      </c>
      <c r="C1078" s="37" t="s">
        <v>141</v>
      </c>
      <c r="D1078" s="37" t="s">
        <v>195</v>
      </c>
      <c r="E1078" s="37" t="s">
        <v>466</v>
      </c>
      <c r="F1078" s="38" t="s">
        <v>469</v>
      </c>
    </row>
    <row r="1079" spans="1:6">
      <c r="A1079" s="35">
        <v>76036</v>
      </c>
      <c r="B1079" s="37" t="s">
        <v>1428</v>
      </c>
      <c r="C1079" s="37" t="s">
        <v>141</v>
      </c>
      <c r="D1079" s="37" t="s">
        <v>138</v>
      </c>
      <c r="E1079" s="37" t="s">
        <v>466</v>
      </c>
      <c r="F1079" s="38" t="s">
        <v>469</v>
      </c>
    </row>
    <row r="1080" spans="1:6">
      <c r="A1080" s="35">
        <v>76041</v>
      </c>
      <c r="B1080" s="37" t="s">
        <v>1429</v>
      </c>
      <c r="C1080" s="37" t="s">
        <v>141</v>
      </c>
      <c r="D1080" s="37" t="s">
        <v>195</v>
      </c>
      <c r="E1080" s="37" t="s">
        <v>466</v>
      </c>
      <c r="F1080" s="38" t="s">
        <v>469</v>
      </c>
    </row>
    <row r="1081" spans="1:6">
      <c r="A1081" s="35">
        <v>76109</v>
      </c>
      <c r="B1081" s="37" t="s">
        <v>1430</v>
      </c>
      <c r="C1081" s="37" t="s">
        <v>141</v>
      </c>
      <c r="D1081" s="37" t="s">
        <v>138</v>
      </c>
      <c r="E1081" s="37" t="s">
        <v>466</v>
      </c>
      <c r="F1081" s="38" t="s">
        <v>471</v>
      </c>
    </row>
    <row r="1082" spans="1:6">
      <c r="A1082" s="35">
        <v>76113</v>
      </c>
      <c r="B1082" s="37" t="s">
        <v>1431</v>
      </c>
      <c r="C1082" s="37" t="s">
        <v>141</v>
      </c>
      <c r="D1082" s="37" t="s">
        <v>138</v>
      </c>
      <c r="E1082" s="37" t="s">
        <v>466</v>
      </c>
      <c r="F1082" s="38" t="s">
        <v>469</v>
      </c>
    </row>
    <row r="1083" spans="1:6">
      <c r="A1083" s="35">
        <v>76122</v>
      </c>
      <c r="B1083" s="37" t="s">
        <v>1432</v>
      </c>
      <c r="C1083" s="37" t="s">
        <v>141</v>
      </c>
      <c r="D1083" s="37" t="s">
        <v>195</v>
      </c>
      <c r="E1083" s="37" t="s">
        <v>466</v>
      </c>
      <c r="F1083" s="38" t="s">
        <v>469</v>
      </c>
    </row>
    <row r="1084" spans="1:6">
      <c r="A1084" s="35">
        <v>76001</v>
      </c>
      <c r="B1084" s="37" t="s">
        <v>138</v>
      </c>
      <c r="C1084" s="37" t="s">
        <v>141</v>
      </c>
      <c r="D1084" s="37" t="s">
        <v>138</v>
      </c>
      <c r="E1084" s="37" t="s">
        <v>466</v>
      </c>
      <c r="F1084" s="38" t="s">
        <v>474</v>
      </c>
    </row>
    <row r="1085" spans="1:6">
      <c r="A1085" s="35">
        <v>76126</v>
      </c>
      <c r="B1085" s="37" t="s">
        <v>1433</v>
      </c>
      <c r="C1085" s="37" t="s">
        <v>141</v>
      </c>
      <c r="D1085" s="37" t="s">
        <v>138</v>
      </c>
      <c r="E1085" s="37" t="s">
        <v>466</v>
      </c>
      <c r="F1085" s="38" t="s">
        <v>469</v>
      </c>
    </row>
    <row r="1086" spans="1:6">
      <c r="A1086" s="35">
        <v>76147</v>
      </c>
      <c r="B1086" s="37" t="s">
        <v>1434</v>
      </c>
      <c r="C1086" s="37" t="s">
        <v>141</v>
      </c>
      <c r="D1086" s="37" t="s">
        <v>195</v>
      </c>
      <c r="E1086" s="37" t="s">
        <v>466</v>
      </c>
      <c r="F1086" s="38" t="s">
        <v>474</v>
      </c>
    </row>
    <row r="1087" spans="1:6">
      <c r="A1087" s="35">
        <v>76233</v>
      </c>
      <c r="B1087" s="37" t="s">
        <v>158</v>
      </c>
      <c r="C1087" s="37" t="s">
        <v>141</v>
      </c>
      <c r="D1087" s="37" t="s">
        <v>138</v>
      </c>
      <c r="E1087" s="37" t="s">
        <v>466</v>
      </c>
      <c r="F1087" s="38" t="s">
        <v>469</v>
      </c>
    </row>
    <row r="1088" spans="1:6">
      <c r="A1088" s="35">
        <v>76243</v>
      </c>
      <c r="B1088" s="37" t="s">
        <v>1435</v>
      </c>
      <c r="C1088" s="37" t="s">
        <v>141</v>
      </c>
      <c r="D1088" s="37" t="s">
        <v>195</v>
      </c>
      <c r="E1088" s="37" t="s">
        <v>466</v>
      </c>
      <c r="F1088" s="38" t="s">
        <v>471</v>
      </c>
    </row>
    <row r="1089" spans="1:6">
      <c r="A1089" s="35">
        <v>76246</v>
      </c>
      <c r="B1089" s="37" t="s">
        <v>1436</v>
      </c>
      <c r="C1089" s="37" t="s">
        <v>141</v>
      </c>
      <c r="D1089" s="37" t="s">
        <v>195</v>
      </c>
      <c r="E1089" s="37" t="s">
        <v>466</v>
      </c>
      <c r="F1089" s="38" t="s">
        <v>471</v>
      </c>
    </row>
    <row r="1090" spans="1:6">
      <c r="A1090" s="35">
        <v>76248</v>
      </c>
      <c r="B1090" s="37" t="s">
        <v>383</v>
      </c>
      <c r="C1090" s="37" t="s">
        <v>141</v>
      </c>
      <c r="D1090" s="37" t="s">
        <v>138</v>
      </c>
      <c r="E1090" s="37" t="s">
        <v>466</v>
      </c>
      <c r="F1090" s="38" t="s">
        <v>469</v>
      </c>
    </row>
    <row r="1091" spans="1:6">
      <c r="A1091" s="35">
        <v>76250</v>
      </c>
      <c r="B1091" s="37" t="s">
        <v>1437</v>
      </c>
      <c r="C1091" s="37" t="s">
        <v>141</v>
      </c>
      <c r="D1091" s="37" t="s">
        <v>195</v>
      </c>
      <c r="E1091" s="37" t="s">
        <v>466</v>
      </c>
      <c r="F1091" s="38" t="s">
        <v>469</v>
      </c>
    </row>
    <row r="1092" spans="1:6">
      <c r="A1092" s="35">
        <v>76275</v>
      </c>
      <c r="B1092" s="37" t="s">
        <v>1438</v>
      </c>
      <c r="C1092" s="37" t="s">
        <v>141</v>
      </c>
      <c r="D1092" s="37" t="s">
        <v>138</v>
      </c>
      <c r="E1092" s="37" t="s">
        <v>466</v>
      </c>
      <c r="F1092" s="38" t="s">
        <v>469</v>
      </c>
    </row>
    <row r="1093" spans="1:6">
      <c r="A1093" s="35">
        <v>76306</v>
      </c>
      <c r="B1093" s="37" t="s">
        <v>1439</v>
      </c>
      <c r="C1093" s="37" t="s">
        <v>141</v>
      </c>
      <c r="D1093" s="37" t="s">
        <v>138</v>
      </c>
      <c r="E1093" s="37" t="s">
        <v>466</v>
      </c>
      <c r="F1093" s="38" t="s">
        <v>469</v>
      </c>
    </row>
    <row r="1094" spans="1:6">
      <c r="A1094" s="35">
        <v>76318</v>
      </c>
      <c r="B1094" s="37" t="s">
        <v>142</v>
      </c>
      <c r="C1094" s="37" t="s">
        <v>141</v>
      </c>
      <c r="D1094" s="37" t="s">
        <v>138</v>
      </c>
      <c r="E1094" s="37" t="s">
        <v>466</v>
      </c>
      <c r="F1094" s="38" t="s">
        <v>469</v>
      </c>
    </row>
    <row r="1095" spans="1:6">
      <c r="A1095" s="35">
        <v>76111</v>
      </c>
      <c r="B1095" s="37" t="s">
        <v>182</v>
      </c>
      <c r="C1095" s="37" t="s">
        <v>141</v>
      </c>
      <c r="D1095" s="37" t="s">
        <v>138</v>
      </c>
      <c r="E1095" s="37" t="s">
        <v>466</v>
      </c>
      <c r="F1095" s="38" t="s">
        <v>469</v>
      </c>
    </row>
    <row r="1096" spans="1:6">
      <c r="A1096" s="35">
        <v>76364</v>
      </c>
      <c r="B1096" s="37" t="s">
        <v>1440</v>
      </c>
      <c r="C1096" s="37" t="s">
        <v>141</v>
      </c>
      <c r="D1096" s="37" t="s">
        <v>138</v>
      </c>
      <c r="E1096" s="37" t="s">
        <v>466</v>
      </c>
      <c r="F1096" s="38" t="s">
        <v>469</v>
      </c>
    </row>
    <row r="1097" spans="1:6">
      <c r="A1097" s="35">
        <v>76377</v>
      </c>
      <c r="B1097" s="37" t="s">
        <v>1441</v>
      </c>
      <c r="C1097" s="37" t="s">
        <v>141</v>
      </c>
      <c r="D1097" s="37" t="s">
        <v>138</v>
      </c>
      <c r="E1097" s="37" t="s">
        <v>466</v>
      </c>
      <c r="F1097" s="38" t="s">
        <v>469</v>
      </c>
    </row>
    <row r="1098" spans="1:6">
      <c r="A1098" s="35">
        <v>76497</v>
      </c>
      <c r="B1098" s="37" t="s">
        <v>1442</v>
      </c>
      <c r="C1098" s="37" t="s">
        <v>141</v>
      </c>
      <c r="D1098" s="37" t="s">
        <v>195</v>
      </c>
      <c r="E1098" s="37" t="s">
        <v>466</v>
      </c>
      <c r="F1098" s="38" t="s">
        <v>469</v>
      </c>
    </row>
    <row r="1099" spans="1:6">
      <c r="A1099" s="35">
        <v>76520</v>
      </c>
      <c r="B1099" s="37" t="s">
        <v>1443</v>
      </c>
      <c r="C1099" s="37" t="s">
        <v>141</v>
      </c>
      <c r="D1099" s="37" t="s">
        <v>138</v>
      </c>
      <c r="E1099" s="37" t="s">
        <v>466</v>
      </c>
      <c r="F1099" s="38" t="s">
        <v>474</v>
      </c>
    </row>
    <row r="1100" spans="1:6">
      <c r="A1100" s="35">
        <v>76563</v>
      </c>
      <c r="B1100" s="37" t="s">
        <v>1444</v>
      </c>
      <c r="C1100" s="37" t="s">
        <v>141</v>
      </c>
      <c r="D1100" s="37" t="s">
        <v>138</v>
      </c>
      <c r="E1100" s="37" t="s">
        <v>466</v>
      </c>
      <c r="F1100" s="38" t="s">
        <v>469</v>
      </c>
    </row>
    <row r="1101" spans="1:6">
      <c r="A1101" s="35">
        <v>76616</v>
      </c>
      <c r="B1101" s="37" t="s">
        <v>1445</v>
      </c>
      <c r="C1101" s="37" t="s">
        <v>141</v>
      </c>
      <c r="D1101" s="37" t="s">
        <v>138</v>
      </c>
      <c r="E1101" s="37" t="s">
        <v>466</v>
      </c>
      <c r="F1101" s="38" t="s">
        <v>469</v>
      </c>
    </row>
    <row r="1102" spans="1:6">
      <c r="A1102" s="35">
        <v>76622</v>
      </c>
      <c r="B1102" s="37" t="s">
        <v>1446</v>
      </c>
      <c r="C1102" s="37" t="s">
        <v>141</v>
      </c>
      <c r="D1102" s="37" t="s">
        <v>195</v>
      </c>
      <c r="E1102" s="37" t="s">
        <v>466</v>
      </c>
      <c r="F1102" s="38" t="s">
        <v>471</v>
      </c>
    </row>
    <row r="1103" spans="1:6">
      <c r="A1103" s="35">
        <v>76736</v>
      </c>
      <c r="B1103" s="37" t="s">
        <v>1447</v>
      </c>
      <c r="C1103" s="37" t="s">
        <v>141</v>
      </c>
      <c r="D1103" s="37" t="s">
        <v>195</v>
      </c>
      <c r="E1103" s="37" t="s">
        <v>466</v>
      </c>
      <c r="F1103" s="38" t="s">
        <v>469</v>
      </c>
    </row>
    <row r="1104" spans="1:6">
      <c r="A1104" s="35">
        <v>76823</v>
      </c>
      <c r="B1104" s="37" t="s">
        <v>1448</v>
      </c>
      <c r="C1104" s="37" t="s">
        <v>141</v>
      </c>
      <c r="D1104" s="37" t="s">
        <v>195</v>
      </c>
      <c r="E1104" s="37" t="s">
        <v>466</v>
      </c>
      <c r="F1104" s="38" t="s">
        <v>469</v>
      </c>
    </row>
    <row r="1105" spans="1:6">
      <c r="A1105" s="35">
        <v>76828</v>
      </c>
      <c r="B1105" s="37" t="s">
        <v>1449</v>
      </c>
      <c r="C1105" s="37" t="s">
        <v>141</v>
      </c>
      <c r="D1105" s="37" t="s">
        <v>195</v>
      </c>
      <c r="E1105" s="37" t="s">
        <v>466</v>
      </c>
      <c r="F1105" s="38" t="s">
        <v>469</v>
      </c>
    </row>
    <row r="1106" spans="1:6">
      <c r="A1106" s="35">
        <v>76834</v>
      </c>
      <c r="B1106" s="37" t="s">
        <v>1450</v>
      </c>
      <c r="C1106" s="37" t="s">
        <v>141</v>
      </c>
      <c r="D1106" s="37" t="s">
        <v>138</v>
      </c>
      <c r="E1106" s="37" t="s">
        <v>466</v>
      </c>
      <c r="F1106" s="38" t="s">
        <v>469</v>
      </c>
    </row>
    <row r="1107" spans="1:6">
      <c r="A1107" s="35">
        <v>76845</v>
      </c>
      <c r="B1107" s="37" t="s">
        <v>1451</v>
      </c>
      <c r="C1107" s="37" t="s">
        <v>141</v>
      </c>
      <c r="D1107" s="37" t="s">
        <v>195</v>
      </c>
      <c r="E1107" s="37" t="s">
        <v>466</v>
      </c>
      <c r="F1107" s="38" t="s">
        <v>469</v>
      </c>
    </row>
    <row r="1108" spans="1:6">
      <c r="A1108" s="35">
        <v>76863</v>
      </c>
      <c r="B1108" s="37" t="s">
        <v>1452</v>
      </c>
      <c r="C1108" s="37" t="s">
        <v>141</v>
      </c>
      <c r="D1108" s="37" t="s">
        <v>195</v>
      </c>
      <c r="E1108" s="37" t="s">
        <v>466</v>
      </c>
      <c r="F1108" s="38" t="s">
        <v>471</v>
      </c>
    </row>
    <row r="1109" spans="1:6">
      <c r="A1109" s="35">
        <v>76869</v>
      </c>
      <c r="B1109" s="37" t="s">
        <v>1453</v>
      </c>
      <c r="C1109" s="37" t="s">
        <v>141</v>
      </c>
      <c r="D1109" s="37" t="s">
        <v>138</v>
      </c>
      <c r="E1109" s="37" t="s">
        <v>466</v>
      </c>
      <c r="F1109" s="38" t="s">
        <v>469</v>
      </c>
    </row>
    <row r="1110" spans="1:6">
      <c r="A1110" s="35">
        <v>76890</v>
      </c>
      <c r="B1110" s="37" t="s">
        <v>1454</v>
      </c>
      <c r="C1110" s="37" t="s">
        <v>141</v>
      </c>
      <c r="D1110" s="37" t="s">
        <v>138</v>
      </c>
      <c r="E1110" s="37" t="s">
        <v>466</v>
      </c>
      <c r="F1110" s="38" t="s">
        <v>469</v>
      </c>
    </row>
    <row r="1111" spans="1:6">
      <c r="A1111" s="35">
        <v>76892</v>
      </c>
      <c r="B1111" s="37" t="s">
        <v>1455</v>
      </c>
      <c r="C1111" s="37" t="s">
        <v>141</v>
      </c>
      <c r="D1111" s="37" t="s">
        <v>138</v>
      </c>
      <c r="E1111" s="37" t="s">
        <v>466</v>
      </c>
      <c r="F1111" s="38" t="s">
        <v>474</v>
      </c>
    </row>
    <row r="1112" spans="1:6">
      <c r="A1112" s="35">
        <v>76895</v>
      </c>
      <c r="B1112" s="37" t="s">
        <v>1456</v>
      </c>
      <c r="C1112" s="37" t="s">
        <v>141</v>
      </c>
      <c r="D1112" s="37" t="s">
        <v>195</v>
      </c>
      <c r="E1112" s="37" t="s">
        <v>466</v>
      </c>
      <c r="F1112" s="38" t="s">
        <v>471</v>
      </c>
    </row>
    <row r="1113" spans="1:6">
      <c r="A1113" s="35">
        <v>97161</v>
      </c>
      <c r="B1113" s="37" t="s">
        <v>1457</v>
      </c>
      <c r="C1113" s="37" t="s">
        <v>1458</v>
      </c>
      <c r="D1113" s="37" t="s">
        <v>822</v>
      </c>
      <c r="E1113" s="37" t="s">
        <v>453</v>
      </c>
      <c r="F1113" s="38" t="s">
        <v>454</v>
      </c>
    </row>
    <row r="1114" spans="1:6">
      <c r="A1114" s="35">
        <v>97001</v>
      </c>
      <c r="B1114" s="37" t="s">
        <v>1459</v>
      </c>
      <c r="C1114" s="37" t="s">
        <v>1458</v>
      </c>
      <c r="D1114" s="37" t="s">
        <v>163</v>
      </c>
      <c r="E1114" s="37" t="s">
        <v>453</v>
      </c>
      <c r="F1114" s="38" t="s">
        <v>454</v>
      </c>
    </row>
    <row r="1115" spans="1:6">
      <c r="A1115" s="35">
        <v>97511</v>
      </c>
      <c r="B1115" s="37" t="s">
        <v>1460</v>
      </c>
      <c r="C1115" s="37" t="s">
        <v>1458</v>
      </c>
      <c r="D1115" s="37" t="s">
        <v>822</v>
      </c>
      <c r="E1115" s="37" t="s">
        <v>453</v>
      </c>
      <c r="F1115" s="38" t="s">
        <v>454</v>
      </c>
    </row>
    <row r="1116" spans="1:6">
      <c r="A1116" s="35">
        <v>97777</v>
      </c>
      <c r="B1116" s="37" t="s">
        <v>1461</v>
      </c>
      <c r="C1116" s="37" t="s">
        <v>1458</v>
      </c>
      <c r="D1116" s="37" t="s">
        <v>822</v>
      </c>
      <c r="E1116" s="37" t="s">
        <v>453</v>
      </c>
      <c r="F1116" s="38" t="s">
        <v>454</v>
      </c>
    </row>
    <row r="1117" spans="1:6">
      <c r="A1117" s="35">
        <v>97666</v>
      </c>
      <c r="B1117" s="37" t="s">
        <v>1462</v>
      </c>
      <c r="C1117" s="37" t="s">
        <v>1458</v>
      </c>
      <c r="D1117" s="37" t="s">
        <v>822</v>
      </c>
      <c r="E1117" s="37" t="s">
        <v>453</v>
      </c>
      <c r="F1117" s="38" t="s">
        <v>454</v>
      </c>
    </row>
    <row r="1118" spans="1:6">
      <c r="A1118" s="35">
        <v>97889</v>
      </c>
      <c r="B1118" s="37" t="s">
        <v>1463</v>
      </c>
      <c r="C1118" s="37" t="s">
        <v>1458</v>
      </c>
      <c r="D1118" s="37" t="s">
        <v>822</v>
      </c>
      <c r="E1118" s="37" t="s">
        <v>453</v>
      </c>
      <c r="F1118" s="38" t="s">
        <v>454</v>
      </c>
    </row>
    <row r="1119" spans="1:6">
      <c r="A1119" s="35">
        <v>99773</v>
      </c>
      <c r="B1119" s="37" t="s">
        <v>1464</v>
      </c>
      <c r="C1119" s="37" t="s">
        <v>1465</v>
      </c>
      <c r="D1119" s="37" t="s">
        <v>822</v>
      </c>
      <c r="E1119" s="37" t="s">
        <v>453</v>
      </c>
      <c r="F1119" s="38" t="s">
        <v>454</v>
      </c>
    </row>
    <row r="1120" spans="1:6">
      <c r="A1120" s="35">
        <v>99524</v>
      </c>
      <c r="B1120" s="37" t="s">
        <v>1466</v>
      </c>
      <c r="C1120" s="37" t="s">
        <v>1465</v>
      </c>
      <c r="D1120" s="37" t="s">
        <v>822</v>
      </c>
      <c r="E1120" s="37" t="s">
        <v>453</v>
      </c>
      <c r="F1120" s="38" t="s">
        <v>454</v>
      </c>
    </row>
    <row r="1121" spans="1:6">
      <c r="A1121" s="35">
        <v>99001</v>
      </c>
      <c r="B1121" s="37" t="s">
        <v>1467</v>
      </c>
      <c r="C1121" s="37" t="s">
        <v>1465</v>
      </c>
      <c r="D1121" s="37" t="s">
        <v>163</v>
      </c>
      <c r="E1121" s="37" t="s">
        <v>453</v>
      </c>
      <c r="F1121" s="38" t="s">
        <v>454</v>
      </c>
    </row>
    <row r="1122" spans="1:6">
      <c r="A1122" s="35">
        <v>99624</v>
      </c>
      <c r="B1122" s="37" t="s">
        <v>1468</v>
      </c>
      <c r="C1122" s="37" t="s">
        <v>1465</v>
      </c>
      <c r="D1122" s="37" t="s">
        <v>822</v>
      </c>
      <c r="E1122" s="37" t="s">
        <v>453</v>
      </c>
      <c r="F1122" s="38" t="s">
        <v>454</v>
      </c>
    </row>
    <row r="1123" spans="1:6">
      <c r="A1123" s="35">
        <v>23815</v>
      </c>
      <c r="B1123" s="37" t="s">
        <v>1469</v>
      </c>
      <c r="C1123" s="37" t="s">
        <v>620</v>
      </c>
      <c r="D1123" s="37" t="s">
        <v>500</v>
      </c>
      <c r="E1123" s="37" t="s">
        <v>466</v>
      </c>
      <c r="F1123" s="38" t="s">
        <v>471</v>
      </c>
    </row>
    <row r="1124" spans="1:6">
      <c r="A1124" s="35">
        <v>23682</v>
      </c>
      <c r="B1124" s="37" t="s">
        <v>1470</v>
      </c>
      <c r="C1124" s="37" t="s">
        <v>620</v>
      </c>
      <c r="D1124" s="37" t="s">
        <v>500</v>
      </c>
      <c r="E1124" s="37" t="s">
        <v>466</v>
      </c>
      <c r="F1124" s="38" t="s">
        <v>471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187"/>
  <sheetViews>
    <sheetView topLeftCell="R1" zoomScaleNormal="100" workbookViewId="0">
      <pane ySplit="1" topLeftCell="A170" activePane="bottomLeft" state="frozen"/>
      <selection pane="bottomLeft" activeCell="K1" sqref="K1"/>
    </sheetView>
  </sheetViews>
  <sheetFormatPr defaultColWidth="11.42578125" defaultRowHeight="13.15"/>
  <cols>
    <col min="1" max="1" width="15.42578125" style="101" bestFit="1" customWidth="1"/>
    <col min="2" max="3" width="11.42578125" style="103"/>
    <col min="4" max="5" width="11.7109375" style="101" bestFit="1" customWidth="1"/>
    <col min="6" max="6" width="11.42578125" style="101"/>
    <col min="7" max="7" width="17.5703125" style="101" bestFit="1" customWidth="1"/>
    <col min="8" max="8" width="17.28515625" style="101" customWidth="1"/>
    <col min="9" max="11" width="11.5703125" style="101" bestFit="1" customWidth="1"/>
    <col min="12" max="12" width="11.7109375" style="101" bestFit="1" customWidth="1"/>
    <col min="13" max="13" width="12.7109375" style="103" bestFit="1" customWidth="1"/>
    <col min="14" max="14" width="11.42578125" style="103"/>
    <col min="15" max="16" width="11.42578125" style="101"/>
    <col min="17" max="17" width="12.7109375" style="101" bestFit="1" customWidth="1"/>
    <col min="18" max="18" width="11.42578125" style="101"/>
    <col min="19" max="19" width="11.7109375" style="101" bestFit="1" customWidth="1"/>
    <col min="20" max="21" width="11.42578125" style="101"/>
    <col min="22" max="22" width="11.5703125" style="101" bestFit="1" customWidth="1"/>
    <col min="23" max="26" width="11.42578125" style="101"/>
    <col min="27" max="31" width="11.7109375" style="101" bestFit="1" customWidth="1"/>
    <col min="32" max="33" width="11.42578125" style="103"/>
    <col min="34" max="37" width="11.7109375" style="101" bestFit="1" customWidth="1"/>
    <col min="38" max="38" width="12.5703125" style="101" bestFit="1" customWidth="1"/>
    <col min="39" max="39" width="13.28515625" style="89" bestFit="1" customWidth="1"/>
    <col min="40" max="16384" width="11.42578125" style="89"/>
  </cols>
  <sheetData>
    <row r="1" spans="1:39" s="4" customFormat="1" ht="66">
      <c r="A1" s="76" t="s">
        <v>1471</v>
      </c>
      <c r="B1" s="76" t="s">
        <v>47</v>
      </c>
      <c r="C1" s="76" t="s">
        <v>48</v>
      </c>
      <c r="D1" s="76" t="s">
        <v>1472</v>
      </c>
      <c r="E1" s="76" t="s">
        <v>77</v>
      </c>
      <c r="F1" s="76" t="s">
        <v>78</v>
      </c>
      <c r="G1" s="76" t="s">
        <v>1473</v>
      </c>
      <c r="H1" s="76" t="s">
        <v>1474</v>
      </c>
      <c r="I1" s="76" t="s">
        <v>1475</v>
      </c>
      <c r="J1" s="76" t="s">
        <v>1476</v>
      </c>
      <c r="K1" s="76" t="s">
        <v>1477</v>
      </c>
      <c r="L1" s="76" t="s">
        <v>1478</v>
      </c>
      <c r="M1" s="76" t="s">
        <v>1479</v>
      </c>
      <c r="N1" s="76" t="s">
        <v>1480</v>
      </c>
      <c r="O1" s="76" t="s">
        <v>90</v>
      </c>
      <c r="P1" s="76" t="s">
        <v>91</v>
      </c>
      <c r="Q1" s="76" t="s">
        <v>1481</v>
      </c>
      <c r="R1" s="76" t="s">
        <v>1482</v>
      </c>
      <c r="S1" s="76" t="s">
        <v>1483</v>
      </c>
      <c r="T1" s="76" t="s">
        <v>1484</v>
      </c>
      <c r="U1" s="76" t="s">
        <v>1485</v>
      </c>
      <c r="V1" s="76" t="s">
        <v>1486</v>
      </c>
      <c r="W1" s="76" t="s">
        <v>1487</v>
      </c>
      <c r="X1" s="76" t="s">
        <v>1488</v>
      </c>
      <c r="Y1" s="76" t="s">
        <v>1489</v>
      </c>
      <c r="Z1" s="76" t="s">
        <v>1490</v>
      </c>
      <c r="AA1" s="76" t="s">
        <v>1491</v>
      </c>
      <c r="AB1" s="76" t="s">
        <v>1492</v>
      </c>
      <c r="AC1" s="76" t="s">
        <v>1493</v>
      </c>
      <c r="AD1" s="76" t="s">
        <v>1494</v>
      </c>
      <c r="AE1" s="76" t="s">
        <v>1495</v>
      </c>
      <c r="AF1" s="76" t="s">
        <v>1496</v>
      </c>
      <c r="AG1" s="76" t="s">
        <v>1497</v>
      </c>
      <c r="AH1" s="76" t="s">
        <v>1498</v>
      </c>
      <c r="AI1" s="76" t="s">
        <v>1499</v>
      </c>
      <c r="AJ1" s="76" t="s">
        <v>1500</v>
      </c>
      <c r="AK1" s="76" t="s">
        <v>106</v>
      </c>
      <c r="AL1" s="76" t="s">
        <v>1501</v>
      </c>
      <c r="AM1" s="79" t="s">
        <v>1502</v>
      </c>
    </row>
    <row r="2" spans="1:39" s="4" customFormat="1">
      <c r="A2" s="104" t="s">
        <v>320</v>
      </c>
      <c r="B2" s="56" t="str">
        <f>VLOOKUP(A2,'CENTRO DE COSTOS'!A:D,4,FALSE)</f>
        <v>JOSE MAURICIO HERNANDEZ ROJAS</v>
      </c>
      <c r="C2" s="56" t="str">
        <f>VLOOKUP(A2,'CENTRO DE COSTOS'!A:D,2,FALSE)</f>
        <v>0004-0001</v>
      </c>
      <c r="D2" s="104">
        <v>8433</v>
      </c>
      <c r="E2" s="104">
        <v>2238837</v>
      </c>
      <c r="F2" s="104" t="s">
        <v>1503</v>
      </c>
      <c r="G2" s="105">
        <v>45808.7</v>
      </c>
      <c r="H2" s="105">
        <v>45809.606631944444</v>
      </c>
      <c r="I2" s="104" t="s">
        <v>323</v>
      </c>
      <c r="J2" s="104" t="s">
        <v>603</v>
      </c>
      <c r="K2" s="104" t="s">
        <v>1504</v>
      </c>
      <c r="L2" s="104">
        <v>62426</v>
      </c>
      <c r="M2" s="56" t="s">
        <v>1505</v>
      </c>
      <c r="N2" s="56" t="s">
        <v>119</v>
      </c>
      <c r="O2" s="104" t="s">
        <v>332</v>
      </c>
      <c r="P2" s="56"/>
      <c r="Q2" s="104" t="s">
        <v>1506</v>
      </c>
      <c r="R2" s="106" t="s">
        <v>1507</v>
      </c>
      <c r="S2" s="107" t="s">
        <v>1508</v>
      </c>
      <c r="T2" s="104" t="s">
        <v>1509</v>
      </c>
      <c r="U2" s="107" t="s">
        <v>1510</v>
      </c>
      <c r="V2" s="108" t="s">
        <v>1511</v>
      </c>
      <c r="W2" s="109" t="s">
        <v>1512</v>
      </c>
      <c r="X2" s="109" t="s">
        <v>1513</v>
      </c>
      <c r="Y2" s="109" t="s">
        <v>1514</v>
      </c>
      <c r="Z2" s="109" t="s">
        <v>1515</v>
      </c>
      <c r="AA2" s="109">
        <v>0</v>
      </c>
      <c r="AB2" s="109">
        <v>0</v>
      </c>
      <c r="AC2" s="109">
        <v>0</v>
      </c>
      <c r="AD2" s="109">
        <v>0</v>
      </c>
      <c r="AE2" s="110">
        <v>0</v>
      </c>
      <c r="AF2" s="77" t="str">
        <f>VLOOKUP(D2,TIPOLOGIAS!A:H,6,0)</f>
        <v>TIPO II</v>
      </c>
      <c r="AG2" s="77" t="str">
        <f>VLOOKUP(D2,TIPOLOGIAS!A:H,5,0)</f>
        <v>TERRESTRE</v>
      </c>
      <c r="AH2" s="104">
        <v>1</v>
      </c>
      <c r="AI2" s="104">
        <v>0</v>
      </c>
      <c r="AJ2" s="104">
        <v>0</v>
      </c>
      <c r="AK2" s="104">
        <v>0</v>
      </c>
      <c r="AL2" s="78">
        <f>IF(T2="SOPORTE_TELEFÓNICO",'BASE LIQUIDACION'!$B$10,IF(AF2="TIPO I",'BASE LIQUIDACION'!$C$3,IF(AF2="TIPO II",'BASE LIQUIDACION'!$C$4,IF(AF2="TIPO III",'BASE LIQUIDACION'!$C$5,'BASE LIQUIDACION'!$C$7))))</f>
        <v>163813.55812</v>
      </c>
      <c r="AM2" s="80">
        <f>IF(T2="SOPORTE_TELEFÓNICO",'BASE LIQUIDACION'!$B$10,(AH2*AL2+AI2*'BASE LIQUIDACION'!$B$12+AJ2*'BASE LIQUIDACION'!$B$11+INCIDENTES!AK2*'BASE LIQUIDACION'!$B$13))</f>
        <v>163813.55812</v>
      </c>
    </row>
    <row r="3" spans="1:39" s="4" customFormat="1">
      <c r="A3" s="104" t="s">
        <v>338</v>
      </c>
      <c r="B3" s="56" t="str">
        <f>VLOOKUP(A3,'CENTRO DE COSTOS'!A:D,4,FALSE)</f>
        <v>DIEGO FERNANDO HENAO CARDONA</v>
      </c>
      <c r="C3" s="56" t="str">
        <f>VLOOKUP(A3,'CENTRO DE COSTOS'!A:D,2,FALSE)</f>
        <v>0004-0003</v>
      </c>
      <c r="D3" s="104">
        <v>86001</v>
      </c>
      <c r="E3" s="104">
        <v>2243676</v>
      </c>
      <c r="F3" s="104" t="s">
        <v>1516</v>
      </c>
      <c r="G3" s="105">
        <v>45811.42083333333</v>
      </c>
      <c r="H3" s="105">
        <v>45811.548993055556</v>
      </c>
      <c r="I3" s="104" t="s">
        <v>1260</v>
      </c>
      <c r="J3" s="104" t="s">
        <v>1263</v>
      </c>
      <c r="K3" s="104" t="s">
        <v>1517</v>
      </c>
      <c r="L3" s="104">
        <v>45950</v>
      </c>
      <c r="M3" s="56" t="s">
        <v>1505</v>
      </c>
      <c r="N3" s="56" t="s">
        <v>119</v>
      </c>
      <c r="O3" s="104" t="s">
        <v>425</v>
      </c>
      <c r="P3" s="56"/>
      <c r="Q3" s="104" t="s">
        <v>1506</v>
      </c>
      <c r="R3" s="106" t="s">
        <v>1518</v>
      </c>
      <c r="S3" s="107" t="s">
        <v>1519</v>
      </c>
      <c r="T3" s="104" t="s">
        <v>1520</v>
      </c>
      <c r="U3" s="107">
        <v>0</v>
      </c>
      <c r="V3" s="108" t="s">
        <v>1511</v>
      </c>
      <c r="W3" s="109" t="s">
        <v>1512</v>
      </c>
      <c r="X3" s="109" t="s">
        <v>1513</v>
      </c>
      <c r="Y3" s="109" t="s">
        <v>1521</v>
      </c>
      <c r="Z3" s="109" t="s">
        <v>1515</v>
      </c>
      <c r="AA3" s="109">
        <v>0</v>
      </c>
      <c r="AB3" s="109">
        <v>0</v>
      </c>
      <c r="AC3" s="109">
        <v>0</v>
      </c>
      <c r="AD3" s="109">
        <v>0</v>
      </c>
      <c r="AE3" s="110">
        <v>0</v>
      </c>
      <c r="AF3" s="77" t="str">
        <f>VLOOKUP(D3,TIPOLOGIAS!A:H,6,0)</f>
        <v>TIPO IV</v>
      </c>
      <c r="AG3" s="77" t="str">
        <f>VLOOKUP(D3,TIPOLOGIAS!A:H,5,0)</f>
        <v>TERRESTRE</v>
      </c>
      <c r="AH3" s="104">
        <v>0</v>
      </c>
      <c r="AI3" s="104">
        <v>0</v>
      </c>
      <c r="AJ3" s="104">
        <v>0</v>
      </c>
      <c r="AK3" s="104">
        <v>0</v>
      </c>
      <c r="AL3" s="78">
        <f>IF(T3="SOPORTE_TELEFÓNICO",'BASE LIQUIDACION'!$B$10,IF(AF3="TIPO I",'BASE LIQUIDACION'!$C$3,IF(AF3="TIPO II",'BASE LIQUIDACION'!$C$4,IF(AF3="TIPO III",'BASE LIQUIDACION'!$C$5,'BASE LIQUIDACION'!$C$7))))</f>
        <v>37904.65408</v>
      </c>
      <c r="AM3" s="80">
        <f>IF(T3="SOPORTE_TELEFÓNICO",'BASE LIQUIDACION'!$B$10,(AH3*AL3+AI3*'BASE LIQUIDACION'!$B$12+AJ3*'BASE LIQUIDACION'!$B$11+INCIDENTES!AK3*'BASE LIQUIDACION'!$B$13))</f>
        <v>37904.65408</v>
      </c>
    </row>
    <row r="4" spans="1:39" s="4" customFormat="1">
      <c r="A4" s="104" t="s">
        <v>360</v>
      </c>
      <c r="B4" s="56" t="str">
        <f>VLOOKUP(A4,'CENTRO DE COSTOS'!A:D,4,FALSE)</f>
        <v>KEVIN ALEXIS CORZO BUSTOS</v>
      </c>
      <c r="C4" s="56" t="str">
        <f>VLOOKUP(A4,'CENTRO DE COSTOS'!A:D,2,FALSE)</f>
        <v>0004-0007</v>
      </c>
      <c r="D4" s="104">
        <v>73001</v>
      </c>
      <c r="E4" s="104">
        <v>2238476</v>
      </c>
      <c r="F4" s="104" t="s">
        <v>1522</v>
      </c>
      <c r="G4" s="105">
        <v>45808.547222222223</v>
      </c>
      <c r="H4" s="105">
        <v>45811.631249999999</v>
      </c>
      <c r="I4" s="104" t="s">
        <v>363</v>
      </c>
      <c r="J4" s="104" t="s">
        <v>360</v>
      </c>
      <c r="K4" s="104" t="s">
        <v>1523</v>
      </c>
      <c r="L4" s="104">
        <v>73076</v>
      </c>
      <c r="M4" s="56" t="s">
        <v>1505</v>
      </c>
      <c r="N4" s="56" t="s">
        <v>119</v>
      </c>
      <c r="O4" s="104" t="s">
        <v>1524</v>
      </c>
      <c r="P4" s="56"/>
      <c r="Q4" s="104" t="s">
        <v>1506</v>
      </c>
      <c r="R4" s="106" t="s">
        <v>1525</v>
      </c>
      <c r="S4" s="107" t="s">
        <v>1526</v>
      </c>
      <c r="T4" s="104" t="s">
        <v>1509</v>
      </c>
      <c r="U4" s="107" t="s">
        <v>1527</v>
      </c>
      <c r="V4" s="108" t="s">
        <v>1511</v>
      </c>
      <c r="W4" s="109" t="s">
        <v>1512</v>
      </c>
      <c r="X4" s="109" t="s">
        <v>1513</v>
      </c>
      <c r="Y4" s="109" t="s">
        <v>1521</v>
      </c>
      <c r="Z4" s="109" t="s">
        <v>1515</v>
      </c>
      <c r="AA4" s="109">
        <v>0</v>
      </c>
      <c r="AB4" s="109">
        <v>0</v>
      </c>
      <c r="AC4" s="109">
        <v>0</v>
      </c>
      <c r="AD4" s="109">
        <v>0</v>
      </c>
      <c r="AE4" s="110">
        <v>0</v>
      </c>
      <c r="AF4" s="77" t="str">
        <f>VLOOKUP(D4,TIPOLOGIAS!A:H,6,0)</f>
        <v>TIPO I</v>
      </c>
      <c r="AG4" s="77" t="str">
        <f>VLOOKUP(D4,TIPOLOGIAS!A:H,5,0)</f>
        <v>TERRESTRE</v>
      </c>
      <c r="AH4" s="104">
        <v>1</v>
      </c>
      <c r="AI4" s="104">
        <v>0</v>
      </c>
      <c r="AJ4" s="104">
        <v>0</v>
      </c>
      <c r="AK4" s="104">
        <v>0</v>
      </c>
      <c r="AL4" s="78">
        <f>IF(T4="SOPORTE_TELEFÓNICO",'BASE LIQUIDACION'!$B$10,IF(AF4="TIPO I",'BASE LIQUIDACION'!$C$3,IF(AF4="TIPO II",'BASE LIQUIDACION'!$C$4,IF(AF4="TIPO III",'BASE LIQUIDACION'!$C$5,'BASE LIQUIDACION'!$C$7))))</f>
        <v>65960.473639999997</v>
      </c>
      <c r="AM4" s="80">
        <f>IF(T4="SOPORTE_TELEFÓNICO",'BASE LIQUIDACION'!$B$10,(AH4*AL4+AI4*'BASE LIQUIDACION'!$B$12+AJ4*'BASE LIQUIDACION'!$B$11+INCIDENTES!AK4*'BASE LIQUIDACION'!$B$13))</f>
        <v>65960.473639999997</v>
      </c>
    </row>
    <row r="5" spans="1:39" s="4" customFormat="1">
      <c r="A5" s="104" t="s">
        <v>111</v>
      </c>
      <c r="B5" s="56" t="str">
        <f>VLOOKUP(A5,'CENTRO DE COSTOS'!A:D,4,FALSE)</f>
        <v>JUAN SEBASTIÁN RÍOS CASTRILLÓN</v>
      </c>
      <c r="C5" s="56" t="str">
        <f>VLOOKUP(A5,'CENTRO DE COSTOS'!A:D,2,FALSE)</f>
        <v>0004-0005</v>
      </c>
      <c r="D5" s="104">
        <v>5001</v>
      </c>
      <c r="E5" s="104">
        <v>2242577</v>
      </c>
      <c r="F5" s="104" t="s">
        <v>1528</v>
      </c>
      <c r="G5" s="105">
        <v>45811.371527777781</v>
      </c>
      <c r="H5" s="105">
        <v>45811.636805555558</v>
      </c>
      <c r="I5" s="104" t="s">
        <v>131</v>
      </c>
      <c r="J5" s="104" t="s">
        <v>111</v>
      </c>
      <c r="K5" s="104" t="s">
        <v>1529</v>
      </c>
      <c r="L5" s="104">
        <v>29112</v>
      </c>
      <c r="M5" s="56" t="s">
        <v>1505</v>
      </c>
      <c r="N5" s="56" t="s">
        <v>119</v>
      </c>
      <c r="O5" s="104" t="s">
        <v>425</v>
      </c>
      <c r="P5" s="56"/>
      <c r="Q5" s="104" t="s">
        <v>1506</v>
      </c>
      <c r="R5" s="106" t="s">
        <v>1530</v>
      </c>
      <c r="S5" s="107" t="s">
        <v>1531</v>
      </c>
      <c r="T5" s="104" t="s">
        <v>1509</v>
      </c>
      <c r="U5" s="107" t="s">
        <v>1532</v>
      </c>
      <c r="V5" s="108" t="s">
        <v>1511</v>
      </c>
      <c r="W5" s="109" t="s">
        <v>1512</v>
      </c>
      <c r="X5" s="109" t="s">
        <v>1533</v>
      </c>
      <c r="Y5" s="109" t="s">
        <v>1534</v>
      </c>
      <c r="Z5" s="109" t="s">
        <v>1515</v>
      </c>
      <c r="AA5" s="109">
        <v>0</v>
      </c>
      <c r="AB5" s="109">
        <v>0</v>
      </c>
      <c r="AC5" s="109">
        <v>0</v>
      </c>
      <c r="AD5" s="109">
        <v>0</v>
      </c>
      <c r="AE5" s="110">
        <v>0</v>
      </c>
      <c r="AF5" s="77" t="str">
        <f>VLOOKUP(D5,TIPOLOGIAS!A:H,6,0)</f>
        <v>TIPO I</v>
      </c>
      <c r="AG5" s="77" t="str">
        <f>VLOOKUP(D5,TIPOLOGIAS!A:H,5,0)</f>
        <v>TERRESTRE</v>
      </c>
      <c r="AH5" s="104">
        <v>1</v>
      </c>
      <c r="AI5" s="104">
        <v>0</v>
      </c>
      <c r="AJ5" s="104">
        <v>0</v>
      </c>
      <c r="AK5" s="104">
        <v>0</v>
      </c>
      <c r="AL5" s="78">
        <f>IF(T5="SOPORTE_TELEFÓNICO",'BASE LIQUIDACION'!$B$10,IF(AF5="TIPO I",'BASE LIQUIDACION'!$C$3,IF(AF5="TIPO II",'BASE LIQUIDACION'!$C$4,IF(AF5="TIPO III",'BASE LIQUIDACION'!$C$5,'BASE LIQUIDACION'!$C$7))))</f>
        <v>65960.473639999997</v>
      </c>
      <c r="AM5" s="80">
        <f>IF(T5="SOPORTE_TELEFÓNICO",'BASE LIQUIDACION'!$B$10,(AH5*AL5+AI5*'BASE LIQUIDACION'!$B$12+AJ5*'BASE LIQUIDACION'!$B$11+INCIDENTES!AK5*'BASE LIQUIDACION'!$B$13))</f>
        <v>65960.473639999997</v>
      </c>
    </row>
    <row r="6" spans="1:39" s="4" customFormat="1">
      <c r="A6" s="104" t="s">
        <v>138</v>
      </c>
      <c r="B6" s="56" t="str">
        <f>VLOOKUP(A6,'CENTRO DE COSTOS'!A:D,4,FALSE)</f>
        <v>DIEGO FERNANDO HENAO CARDONA</v>
      </c>
      <c r="C6" s="56" t="str">
        <f>VLOOKUP(A6,'CENTRO DE COSTOS'!A:D,2,FALSE)</f>
        <v>0004-0003</v>
      </c>
      <c r="D6" s="104">
        <v>76001</v>
      </c>
      <c r="E6" s="104">
        <v>2244482</v>
      </c>
      <c r="F6" s="104" t="s">
        <v>1535</v>
      </c>
      <c r="G6" s="105">
        <v>45811.455555555556</v>
      </c>
      <c r="H6" s="105">
        <v>45811.670219907406</v>
      </c>
      <c r="I6" s="104" t="s">
        <v>141</v>
      </c>
      <c r="J6" s="104" t="s">
        <v>138</v>
      </c>
      <c r="K6" s="104" t="s">
        <v>1536</v>
      </c>
      <c r="L6" s="104">
        <v>57564</v>
      </c>
      <c r="M6" s="56" t="s">
        <v>1505</v>
      </c>
      <c r="N6" s="56" t="s">
        <v>119</v>
      </c>
      <c r="O6" s="104" t="s">
        <v>1524</v>
      </c>
      <c r="P6" s="56"/>
      <c r="Q6" s="104" t="s">
        <v>1506</v>
      </c>
      <c r="R6" s="106" t="s">
        <v>1537</v>
      </c>
      <c r="S6" s="107" t="s">
        <v>1538</v>
      </c>
      <c r="T6" s="104" t="s">
        <v>1509</v>
      </c>
      <c r="U6" s="107" t="s">
        <v>1539</v>
      </c>
      <c r="V6" s="108" t="s">
        <v>1511</v>
      </c>
      <c r="W6" s="109" t="s">
        <v>1512</v>
      </c>
      <c r="X6" s="109" t="s">
        <v>1513</v>
      </c>
      <c r="Y6" s="109" t="s">
        <v>1521</v>
      </c>
      <c r="Z6" s="109" t="s">
        <v>1515</v>
      </c>
      <c r="AA6" s="109">
        <v>0</v>
      </c>
      <c r="AB6" s="109">
        <v>0</v>
      </c>
      <c r="AC6" s="109">
        <v>0</v>
      </c>
      <c r="AD6" s="109">
        <v>0</v>
      </c>
      <c r="AE6" s="110">
        <v>0</v>
      </c>
      <c r="AF6" s="77" t="str">
        <f>VLOOKUP(D6,TIPOLOGIAS!A:H,6,0)</f>
        <v>TIPO I</v>
      </c>
      <c r="AG6" s="77" t="str">
        <f>VLOOKUP(D6,TIPOLOGIAS!A:H,5,0)</f>
        <v>TERRESTRE</v>
      </c>
      <c r="AH6" s="104">
        <v>1</v>
      </c>
      <c r="AI6" s="104">
        <v>0</v>
      </c>
      <c r="AJ6" s="104">
        <v>0</v>
      </c>
      <c r="AK6" s="104">
        <v>0</v>
      </c>
      <c r="AL6" s="78">
        <f>IF(T6="SOPORTE_TELEFÓNICO",'BASE LIQUIDACION'!$B$10,IF(AF6="TIPO I",'BASE LIQUIDACION'!$C$3,IF(AF6="TIPO II",'BASE LIQUIDACION'!$C$4,IF(AF6="TIPO III",'BASE LIQUIDACION'!$C$5,'BASE LIQUIDACION'!$C$7))))</f>
        <v>65960.473639999997</v>
      </c>
      <c r="AM6" s="80">
        <f>IF(T6="SOPORTE_TELEFÓNICO",'BASE LIQUIDACION'!$B$10,(AH6*AL6+AI6*'BASE LIQUIDACION'!$B$12+AJ6*'BASE LIQUIDACION'!$B$11+INCIDENTES!AK6*'BASE LIQUIDACION'!$B$13))</f>
        <v>65960.473639999997</v>
      </c>
    </row>
    <row r="7" spans="1:39" s="4" customFormat="1">
      <c r="A7" s="104" t="s">
        <v>111</v>
      </c>
      <c r="B7" s="56" t="str">
        <f>VLOOKUP(A7,'CENTRO DE COSTOS'!A:D,4,FALSE)</f>
        <v>JUAN SEBASTIÁN RÍOS CASTRILLÓN</v>
      </c>
      <c r="C7" s="56" t="str">
        <f>VLOOKUP(A7,'CENTRO DE COSTOS'!A:D,2,FALSE)</f>
        <v>0004-0005</v>
      </c>
      <c r="D7" s="104">
        <v>5091</v>
      </c>
      <c r="E7" s="104">
        <v>2239287</v>
      </c>
      <c r="F7" s="104" t="s">
        <v>1540</v>
      </c>
      <c r="G7" s="105">
        <v>45809.442361111112</v>
      </c>
      <c r="H7" s="105">
        <v>45812.343321759261</v>
      </c>
      <c r="I7" s="104" t="s">
        <v>131</v>
      </c>
      <c r="J7" s="104" t="s">
        <v>503</v>
      </c>
      <c r="K7" s="104" t="s">
        <v>1541</v>
      </c>
      <c r="L7" s="104">
        <v>66548</v>
      </c>
      <c r="M7" s="56" t="s">
        <v>1505</v>
      </c>
      <c r="N7" s="56" t="s">
        <v>119</v>
      </c>
      <c r="O7" s="104" t="s">
        <v>1524</v>
      </c>
      <c r="P7" s="56"/>
      <c r="Q7" s="104" t="s">
        <v>1506</v>
      </c>
      <c r="R7" s="106" t="s">
        <v>1542</v>
      </c>
      <c r="S7" s="107" t="s">
        <v>260</v>
      </c>
      <c r="T7" s="104" t="s">
        <v>1520</v>
      </c>
      <c r="U7" s="107">
        <v>0</v>
      </c>
      <c r="V7" s="108" t="s">
        <v>1511</v>
      </c>
      <c r="W7" s="109" t="s">
        <v>1512</v>
      </c>
      <c r="X7" s="109" t="s">
        <v>1513</v>
      </c>
      <c r="Y7" s="109" t="s">
        <v>1514</v>
      </c>
      <c r="Z7" s="109" t="s">
        <v>1515</v>
      </c>
      <c r="AA7" s="109">
        <v>0</v>
      </c>
      <c r="AB7" s="109">
        <v>0</v>
      </c>
      <c r="AC7" s="109">
        <v>0</v>
      </c>
      <c r="AD7" s="109">
        <v>0</v>
      </c>
      <c r="AE7" s="110">
        <v>0</v>
      </c>
      <c r="AF7" s="77" t="str">
        <f>VLOOKUP(D7,TIPOLOGIAS!A:H,6,0)</f>
        <v>TIPO III</v>
      </c>
      <c r="AG7" s="77" t="str">
        <f>VLOOKUP(D7,TIPOLOGIAS!A:H,5,0)</f>
        <v>TERRESTRE</v>
      </c>
      <c r="AH7" s="104">
        <v>0</v>
      </c>
      <c r="AI7" s="104">
        <v>0</v>
      </c>
      <c r="AJ7" s="104">
        <v>0</v>
      </c>
      <c r="AK7" s="104">
        <v>0</v>
      </c>
      <c r="AL7" s="78">
        <f>IF(T7="SOPORTE_TELEFÓNICO",'BASE LIQUIDACION'!$B$10,IF(AF7="TIPO I",'BASE LIQUIDACION'!$C$3,IF(AF7="TIPO II",'BASE LIQUIDACION'!$C$4,IF(AF7="TIPO III",'BASE LIQUIDACION'!$C$5,'BASE LIQUIDACION'!$C$7))))</f>
        <v>37904.65408</v>
      </c>
      <c r="AM7" s="80">
        <f>IF(T7="SOPORTE_TELEFÓNICO",'BASE LIQUIDACION'!$B$10,(AH7*AL7+AI7*'BASE LIQUIDACION'!$B$12+AJ7*'BASE LIQUIDACION'!$B$11+INCIDENTES!AK7*'BASE LIQUIDACION'!$B$13))</f>
        <v>37904.65408</v>
      </c>
    </row>
    <row r="8" spans="1:39" s="4" customFormat="1">
      <c r="A8" s="104" t="s">
        <v>622</v>
      </c>
      <c r="B8" s="56" t="str">
        <f>VLOOKUP(A8,'CENTRO DE COSTOS'!A:D,4,FALSE)</f>
        <v>JOSE MAURICIO HERNANDEZ ROJAS</v>
      </c>
      <c r="C8" s="56" t="str">
        <f>VLOOKUP(A8,'CENTRO DE COSTOS'!A:D,2,FALSE)</f>
        <v>0004-0001</v>
      </c>
      <c r="D8" s="104">
        <v>20383</v>
      </c>
      <c r="E8" s="104">
        <v>2249361</v>
      </c>
      <c r="F8" s="104" t="s">
        <v>1543</v>
      </c>
      <c r="G8" s="105">
        <v>45812.333333333336</v>
      </c>
      <c r="H8" s="105">
        <v>45812.363043981481</v>
      </c>
      <c r="I8" s="104" t="s">
        <v>874</v>
      </c>
      <c r="J8" s="104" t="s">
        <v>889</v>
      </c>
      <c r="K8" s="104" t="s">
        <v>1544</v>
      </c>
      <c r="L8" s="104">
        <v>75732</v>
      </c>
      <c r="M8" s="56" t="s">
        <v>1505</v>
      </c>
      <c r="N8" s="56" t="s">
        <v>119</v>
      </c>
      <c r="O8" s="104" t="s">
        <v>1524</v>
      </c>
      <c r="P8" s="56"/>
      <c r="Q8" s="104" t="s">
        <v>1506</v>
      </c>
      <c r="R8" s="106" t="s">
        <v>1545</v>
      </c>
      <c r="S8" s="107">
        <v>0</v>
      </c>
      <c r="T8" s="104" t="s">
        <v>1520</v>
      </c>
      <c r="U8" s="107">
        <v>0</v>
      </c>
      <c r="V8" s="108" t="s">
        <v>1511</v>
      </c>
      <c r="W8" s="109" t="s">
        <v>1512</v>
      </c>
      <c r="X8" s="109" t="s">
        <v>1513</v>
      </c>
      <c r="Y8" s="109" t="s">
        <v>1521</v>
      </c>
      <c r="Z8" s="109" t="s">
        <v>1515</v>
      </c>
      <c r="AA8" s="109">
        <v>0</v>
      </c>
      <c r="AB8" s="109">
        <v>0</v>
      </c>
      <c r="AC8" s="109">
        <v>0</v>
      </c>
      <c r="AD8" s="109">
        <v>0</v>
      </c>
      <c r="AE8" s="110">
        <v>0</v>
      </c>
      <c r="AF8" s="77" t="str">
        <f>VLOOKUP(D8,TIPOLOGIAS!A:H,6,0)</f>
        <v>TIPO IV</v>
      </c>
      <c r="AG8" s="77" t="str">
        <f>VLOOKUP(D8,TIPOLOGIAS!A:H,5,0)</f>
        <v>TERRESTRE</v>
      </c>
      <c r="AH8" s="104">
        <v>0</v>
      </c>
      <c r="AI8" s="104">
        <v>0</v>
      </c>
      <c r="AJ8" s="104">
        <v>0</v>
      </c>
      <c r="AK8" s="104">
        <v>0</v>
      </c>
      <c r="AL8" s="78">
        <f>IF(T8="SOPORTE_TELEFÓNICO",'BASE LIQUIDACION'!$B$10,IF(AF8="TIPO I",'BASE LIQUIDACION'!$C$3,IF(AF8="TIPO II",'BASE LIQUIDACION'!$C$4,IF(AF8="TIPO III",'BASE LIQUIDACION'!$C$5,'BASE LIQUIDACION'!$C$7))))</f>
        <v>37904.65408</v>
      </c>
      <c r="AM8" s="80">
        <f>IF(T8="SOPORTE_TELEFÓNICO",'BASE LIQUIDACION'!$B$10,(AH8*AL8+AI8*'BASE LIQUIDACION'!$B$12+AJ8*'BASE LIQUIDACION'!$B$11+INCIDENTES!AK8*'BASE LIQUIDACION'!$B$13))</f>
        <v>37904.65408</v>
      </c>
    </row>
    <row r="9" spans="1:39" s="4" customFormat="1">
      <c r="A9" s="104" t="s">
        <v>128</v>
      </c>
      <c r="B9" s="56" t="str">
        <f>VLOOKUP(A9,'CENTRO DE COSTOS'!A:D,4,FALSE)</f>
        <v>JUAN SEBASTIÁN RÍOS CASTRILLÓN</v>
      </c>
      <c r="C9" s="56" t="str">
        <f>VLOOKUP(A9,'CENTRO DE COSTOS'!A:D,2,FALSE)</f>
        <v>0004-0005</v>
      </c>
      <c r="D9" s="104">
        <v>5045</v>
      </c>
      <c r="E9" s="104">
        <v>2245980</v>
      </c>
      <c r="F9" s="104" t="s">
        <v>1546</v>
      </c>
      <c r="G9" s="105">
        <v>45811.532094907408</v>
      </c>
      <c r="H9" s="105">
        <v>45812.383333333331</v>
      </c>
      <c r="I9" s="104" t="s">
        <v>131</v>
      </c>
      <c r="J9" s="104" t="s">
        <v>128</v>
      </c>
      <c r="K9" s="104" t="s">
        <v>1547</v>
      </c>
      <c r="L9" s="104">
        <v>70794</v>
      </c>
      <c r="M9" s="56" t="s">
        <v>1505</v>
      </c>
      <c r="N9" s="56" t="s">
        <v>119</v>
      </c>
      <c r="O9" s="104" t="s">
        <v>332</v>
      </c>
      <c r="P9" s="56"/>
      <c r="Q9" s="104" t="s">
        <v>1506</v>
      </c>
      <c r="R9" s="106" t="s">
        <v>1548</v>
      </c>
      <c r="S9" s="107" t="s">
        <v>1549</v>
      </c>
      <c r="T9" s="104" t="s">
        <v>1509</v>
      </c>
      <c r="U9" s="107" t="s">
        <v>1550</v>
      </c>
      <c r="V9" s="108" t="s">
        <v>1511</v>
      </c>
      <c r="W9" s="109" t="s">
        <v>1512</v>
      </c>
      <c r="X9" s="109" t="s">
        <v>1533</v>
      </c>
      <c r="Y9" s="109" t="s">
        <v>1534</v>
      </c>
      <c r="Z9" s="109" t="s">
        <v>1515</v>
      </c>
      <c r="AA9" s="109">
        <v>0</v>
      </c>
      <c r="AB9" s="109">
        <v>0</v>
      </c>
      <c r="AC9" s="109">
        <v>0</v>
      </c>
      <c r="AD9" s="109">
        <v>0</v>
      </c>
      <c r="AE9" s="110">
        <v>0</v>
      </c>
      <c r="AF9" s="77" t="str">
        <f>VLOOKUP(D9,TIPOLOGIAS!A:H,6,0)</f>
        <v>TIPO I</v>
      </c>
      <c r="AG9" s="77" t="str">
        <f>VLOOKUP(D9,TIPOLOGIAS!A:H,5,0)</f>
        <v>TERRESTRE</v>
      </c>
      <c r="AH9" s="104">
        <v>1</v>
      </c>
      <c r="AI9" s="104">
        <v>0</v>
      </c>
      <c r="AJ9" s="104">
        <v>0</v>
      </c>
      <c r="AK9" s="104">
        <v>0</v>
      </c>
      <c r="AL9" s="78">
        <f>IF(T9="SOPORTE_TELEFÓNICO",'BASE LIQUIDACION'!$B$10,IF(AF9="TIPO I",'BASE LIQUIDACION'!$C$3,IF(AF9="TIPO II",'BASE LIQUIDACION'!$C$4,IF(AF9="TIPO III",'BASE LIQUIDACION'!$C$5,'BASE LIQUIDACION'!$C$7))))</f>
        <v>65960.473639999997</v>
      </c>
      <c r="AM9" s="80">
        <f>IF(T9="SOPORTE_TELEFÓNICO",'BASE LIQUIDACION'!$B$10,(AH9*AL9+AI9*'BASE LIQUIDACION'!$B$12+AJ9*'BASE LIQUIDACION'!$B$11+INCIDENTES!AK9*'BASE LIQUIDACION'!$B$13))</f>
        <v>65960.473639999997</v>
      </c>
    </row>
    <row r="10" spans="1:39" s="4" customFormat="1">
      <c r="A10" s="104" t="s">
        <v>163</v>
      </c>
      <c r="B10" s="56" t="str">
        <f>VLOOKUP(A10,'CENTRO DE COSTOS'!A:D,4,FALSE)</f>
        <v>WILLIAM ASDRUBAL ROZO ROZO</v>
      </c>
      <c r="C10" s="56" t="str">
        <f>VLOOKUP(A10,'CENTRO DE COSTOS'!A:D,2,FALSE)</f>
        <v>0004-0004</v>
      </c>
      <c r="D10" s="104">
        <v>11001</v>
      </c>
      <c r="E10" s="104">
        <v>2247152</v>
      </c>
      <c r="F10" s="104" t="s">
        <v>1551</v>
      </c>
      <c r="G10" s="105">
        <v>45811.613194444442</v>
      </c>
      <c r="H10" s="105">
        <v>45812.488506944443</v>
      </c>
      <c r="I10" s="104" t="s">
        <v>166</v>
      </c>
      <c r="J10" s="104" t="s">
        <v>163</v>
      </c>
      <c r="K10" s="104" t="s">
        <v>1552</v>
      </c>
      <c r="L10" s="104">
        <v>49043</v>
      </c>
      <c r="M10" s="56" t="s">
        <v>1505</v>
      </c>
      <c r="N10" s="56" t="s">
        <v>119</v>
      </c>
      <c r="O10" s="104" t="s">
        <v>332</v>
      </c>
      <c r="P10" s="56"/>
      <c r="Q10" s="104" t="s">
        <v>1506</v>
      </c>
      <c r="R10" s="106" t="s">
        <v>1553</v>
      </c>
      <c r="S10" s="107" t="s">
        <v>1554</v>
      </c>
      <c r="T10" s="104" t="s">
        <v>1509</v>
      </c>
      <c r="U10" s="107" t="s">
        <v>1555</v>
      </c>
      <c r="V10" s="108" t="s">
        <v>1511</v>
      </c>
      <c r="W10" s="109" t="s">
        <v>1512</v>
      </c>
      <c r="X10" s="109" t="s">
        <v>1556</v>
      </c>
      <c r="Y10" s="109" t="s">
        <v>1557</v>
      </c>
      <c r="Z10" s="109" t="s">
        <v>1515</v>
      </c>
      <c r="AA10" s="109">
        <v>0</v>
      </c>
      <c r="AB10" s="109">
        <v>0</v>
      </c>
      <c r="AC10" s="109">
        <v>0</v>
      </c>
      <c r="AD10" s="109">
        <v>0</v>
      </c>
      <c r="AE10" s="110">
        <v>0</v>
      </c>
      <c r="AF10" s="77" t="str">
        <f>VLOOKUP(D10,TIPOLOGIAS!A:H,6,0)</f>
        <v>TIPO I</v>
      </c>
      <c r="AG10" s="77" t="str">
        <f>VLOOKUP(D10,TIPOLOGIAS!A:H,5,0)</f>
        <v>TERRESTRE</v>
      </c>
      <c r="AH10" s="104">
        <v>1</v>
      </c>
      <c r="AI10" s="104">
        <v>0</v>
      </c>
      <c r="AJ10" s="104">
        <v>0</v>
      </c>
      <c r="AK10" s="104">
        <v>0</v>
      </c>
      <c r="AL10" s="78">
        <f>IF(T10="SOPORTE_TELEFÓNICO",'BASE LIQUIDACION'!$B$10,IF(AF10="TIPO I",'BASE LIQUIDACION'!$C$3,IF(AF10="TIPO II",'BASE LIQUIDACION'!$C$4,IF(AF10="TIPO III",'BASE LIQUIDACION'!$C$5,'BASE LIQUIDACION'!$C$7))))</f>
        <v>65960.473639999997</v>
      </c>
      <c r="AM10" s="80">
        <f>IF(T10="SOPORTE_TELEFÓNICO",'BASE LIQUIDACION'!$B$10,(AH10*AL10+AI10*'BASE LIQUIDACION'!$B$12+AJ10*'BASE LIQUIDACION'!$B$11+INCIDENTES!AK10*'BASE LIQUIDACION'!$B$13))</f>
        <v>65960.473639999997</v>
      </c>
    </row>
    <row r="11" spans="1:39" s="4" customFormat="1">
      <c r="A11" s="104" t="s">
        <v>111</v>
      </c>
      <c r="B11" s="56" t="str">
        <f>VLOOKUP(A11,'CENTRO DE COSTOS'!A:D,4,FALSE)</f>
        <v>JUAN SEBASTIÁN RÍOS CASTRILLÓN</v>
      </c>
      <c r="C11" s="56" t="str">
        <f>VLOOKUP(A11,'CENTRO DE COSTOS'!A:D,2,FALSE)</f>
        <v>0004-0005</v>
      </c>
      <c r="D11" s="104">
        <v>5001</v>
      </c>
      <c r="E11" s="104">
        <v>2249086</v>
      </c>
      <c r="F11" s="104" t="s">
        <v>1558</v>
      </c>
      <c r="G11" s="105">
        <v>45811.730555555558</v>
      </c>
      <c r="H11" s="105">
        <v>45812.508842592593</v>
      </c>
      <c r="I11" s="104" t="s">
        <v>131</v>
      </c>
      <c r="J11" s="104" t="s">
        <v>111</v>
      </c>
      <c r="K11" s="104" t="s">
        <v>1559</v>
      </c>
      <c r="L11" s="104">
        <v>23659</v>
      </c>
      <c r="M11" s="56" t="s">
        <v>1505</v>
      </c>
      <c r="N11" s="56" t="s">
        <v>119</v>
      </c>
      <c r="O11" s="104" t="s">
        <v>332</v>
      </c>
      <c r="P11" s="56"/>
      <c r="Q11" s="104" t="s">
        <v>1506</v>
      </c>
      <c r="R11" s="106" t="s">
        <v>1560</v>
      </c>
      <c r="S11" s="107" t="s">
        <v>1561</v>
      </c>
      <c r="T11" s="104" t="s">
        <v>1509</v>
      </c>
      <c r="U11" s="107" t="s">
        <v>1562</v>
      </c>
      <c r="V11" s="108" t="s">
        <v>1511</v>
      </c>
      <c r="W11" s="109" t="s">
        <v>1512</v>
      </c>
      <c r="X11" s="109" t="s">
        <v>1533</v>
      </c>
      <c r="Y11" s="109" t="s">
        <v>1534</v>
      </c>
      <c r="Z11" s="109" t="s">
        <v>1515</v>
      </c>
      <c r="AA11" s="109">
        <v>0</v>
      </c>
      <c r="AB11" s="109">
        <v>0</v>
      </c>
      <c r="AC11" s="109">
        <v>0</v>
      </c>
      <c r="AD11" s="109">
        <v>0</v>
      </c>
      <c r="AE11" s="110">
        <v>0</v>
      </c>
      <c r="AF11" s="77" t="str">
        <f>VLOOKUP(D11,TIPOLOGIAS!A:H,6,0)</f>
        <v>TIPO I</v>
      </c>
      <c r="AG11" s="77" t="str">
        <f>VLOOKUP(D11,TIPOLOGIAS!A:H,5,0)</f>
        <v>TERRESTRE</v>
      </c>
      <c r="AH11" s="104">
        <v>1</v>
      </c>
      <c r="AI11" s="104">
        <v>0</v>
      </c>
      <c r="AJ11" s="104">
        <v>0</v>
      </c>
      <c r="AK11" s="104">
        <v>0</v>
      </c>
      <c r="AL11" s="78">
        <f>IF(T11="SOPORTE_TELEFÓNICO",'BASE LIQUIDACION'!$B$10,IF(AF11="TIPO I",'BASE LIQUIDACION'!$C$3,IF(AF11="TIPO II",'BASE LIQUIDACION'!$C$4,IF(AF11="TIPO III",'BASE LIQUIDACION'!$C$5,'BASE LIQUIDACION'!$C$7))))</f>
        <v>65960.473639999997</v>
      </c>
      <c r="AM11" s="80">
        <f>IF(T11="SOPORTE_TELEFÓNICO",'BASE LIQUIDACION'!$B$10,(AH11*AL11+AI11*'BASE LIQUIDACION'!$B$12+AJ11*'BASE LIQUIDACION'!$B$11+INCIDENTES!AK11*'BASE LIQUIDACION'!$B$13))</f>
        <v>65960.473639999997</v>
      </c>
    </row>
    <row r="12" spans="1:39" s="4" customFormat="1">
      <c r="A12" s="104" t="s">
        <v>147</v>
      </c>
      <c r="B12" s="56" t="str">
        <f>VLOOKUP(A12,'CENTRO DE COSTOS'!A:D,4,FALSE)</f>
        <v>MIGUEL JULIÁN HERNÁNDEZ GUARÍN</v>
      </c>
      <c r="C12" s="56" t="str">
        <f>VLOOKUP(A12,'CENTRO DE COSTOS'!A:D,2,FALSE)</f>
        <v>0004-0008</v>
      </c>
      <c r="D12" s="104">
        <v>15001</v>
      </c>
      <c r="E12" s="104">
        <v>2249070</v>
      </c>
      <c r="F12" s="104" t="s">
        <v>1563</v>
      </c>
      <c r="G12" s="105">
        <v>45811.726388888892</v>
      </c>
      <c r="H12" s="105">
        <v>45812.517581018517</v>
      </c>
      <c r="I12" s="104" t="s">
        <v>150</v>
      </c>
      <c r="J12" s="104" t="s">
        <v>147</v>
      </c>
      <c r="K12" s="104" t="s">
        <v>1564</v>
      </c>
      <c r="L12" s="104">
        <v>79424</v>
      </c>
      <c r="M12" s="56" t="s">
        <v>1505</v>
      </c>
      <c r="N12" s="56" t="s">
        <v>119</v>
      </c>
      <c r="O12" s="104" t="s">
        <v>1524</v>
      </c>
      <c r="P12" s="56"/>
      <c r="Q12" s="104" t="s">
        <v>1506</v>
      </c>
      <c r="R12" s="106" t="s">
        <v>1565</v>
      </c>
      <c r="S12" s="107" t="s">
        <v>154</v>
      </c>
      <c r="T12" s="104" t="s">
        <v>1509</v>
      </c>
      <c r="U12" s="107" t="s">
        <v>1566</v>
      </c>
      <c r="V12" s="108" t="s">
        <v>1511</v>
      </c>
      <c r="W12" s="109" t="s">
        <v>1512</v>
      </c>
      <c r="X12" s="109" t="s">
        <v>1567</v>
      </c>
      <c r="Y12" s="109" t="s">
        <v>1568</v>
      </c>
      <c r="Z12" s="109" t="s">
        <v>1515</v>
      </c>
      <c r="AA12" s="109">
        <v>0</v>
      </c>
      <c r="AB12" s="109">
        <v>0</v>
      </c>
      <c r="AC12" s="109">
        <v>0</v>
      </c>
      <c r="AD12" s="109">
        <v>0</v>
      </c>
      <c r="AE12" s="110">
        <v>0</v>
      </c>
      <c r="AF12" s="77" t="str">
        <f>VLOOKUP(D12,TIPOLOGIAS!A:H,6,0)</f>
        <v>TIPO I</v>
      </c>
      <c r="AG12" s="77" t="str">
        <f>VLOOKUP(D12,TIPOLOGIAS!A:H,5,0)</f>
        <v>TERRESTRE</v>
      </c>
      <c r="AH12" s="104">
        <v>1</v>
      </c>
      <c r="AI12" s="104">
        <v>0</v>
      </c>
      <c r="AJ12" s="104">
        <v>0</v>
      </c>
      <c r="AK12" s="104">
        <v>0</v>
      </c>
      <c r="AL12" s="78">
        <f>IF(T12="SOPORTE_TELEFÓNICO",'BASE LIQUIDACION'!$B$10,IF(AF12="TIPO I",'BASE LIQUIDACION'!$C$3,IF(AF12="TIPO II",'BASE LIQUIDACION'!$C$4,IF(AF12="TIPO III",'BASE LIQUIDACION'!$C$5,'BASE LIQUIDACION'!$C$7))))</f>
        <v>65960.473639999997</v>
      </c>
      <c r="AM12" s="80">
        <f>IF(T12="SOPORTE_TELEFÓNICO",'BASE LIQUIDACION'!$B$10,(AH12*AL12+AI12*'BASE LIQUIDACION'!$B$12+AJ12*'BASE LIQUIDACION'!$B$11+INCIDENTES!AK12*'BASE LIQUIDACION'!$B$13))</f>
        <v>65960.473639999997</v>
      </c>
    </row>
    <row r="13" spans="1:39" s="4" customFormat="1">
      <c r="A13" s="104" t="s">
        <v>111</v>
      </c>
      <c r="B13" s="56" t="str">
        <f>VLOOKUP(A13,'CENTRO DE COSTOS'!A:D,4,FALSE)</f>
        <v>JUAN SEBASTIÁN RÍOS CASTRILLÓN</v>
      </c>
      <c r="C13" s="56" t="str">
        <f>VLOOKUP(A13,'CENTRO DE COSTOS'!A:D,2,FALSE)</f>
        <v>0004-0005</v>
      </c>
      <c r="D13" s="104">
        <v>5001</v>
      </c>
      <c r="E13" s="104">
        <v>2251343</v>
      </c>
      <c r="F13" s="104" t="s">
        <v>1569</v>
      </c>
      <c r="G13" s="105">
        <v>45812.400694444441</v>
      </c>
      <c r="H13" s="105">
        <v>45812.557870370372</v>
      </c>
      <c r="I13" s="104" t="s">
        <v>131</v>
      </c>
      <c r="J13" s="104" t="s">
        <v>111</v>
      </c>
      <c r="K13" s="104" t="s">
        <v>1570</v>
      </c>
      <c r="L13" s="104">
        <v>47724</v>
      </c>
      <c r="M13" s="56" t="s">
        <v>1505</v>
      </c>
      <c r="N13" s="56" t="s">
        <v>119</v>
      </c>
      <c r="O13" s="104" t="s">
        <v>1524</v>
      </c>
      <c r="P13" s="56"/>
      <c r="Q13" s="104" t="s">
        <v>1506</v>
      </c>
      <c r="R13" s="106" t="s">
        <v>1571</v>
      </c>
      <c r="S13" s="107" t="s">
        <v>1561</v>
      </c>
      <c r="T13" s="104" t="s">
        <v>1509</v>
      </c>
      <c r="U13" s="107" t="s">
        <v>1572</v>
      </c>
      <c r="V13" s="108" t="s">
        <v>1511</v>
      </c>
      <c r="W13" s="109" t="s">
        <v>1512</v>
      </c>
      <c r="X13" s="109" t="s">
        <v>1533</v>
      </c>
      <c r="Y13" s="109" t="s">
        <v>1534</v>
      </c>
      <c r="Z13" s="109" t="s">
        <v>1515</v>
      </c>
      <c r="AA13" s="109">
        <v>0</v>
      </c>
      <c r="AB13" s="109">
        <v>0</v>
      </c>
      <c r="AC13" s="109">
        <v>0</v>
      </c>
      <c r="AD13" s="109">
        <v>0</v>
      </c>
      <c r="AE13" s="110" t="s">
        <v>1573</v>
      </c>
      <c r="AF13" s="77" t="str">
        <f>VLOOKUP(D13,TIPOLOGIAS!A:H,6,0)</f>
        <v>TIPO I</v>
      </c>
      <c r="AG13" s="77" t="str">
        <f>VLOOKUP(D13,TIPOLOGIAS!A:H,5,0)</f>
        <v>TERRESTRE</v>
      </c>
      <c r="AH13" s="104">
        <v>1</v>
      </c>
      <c r="AI13" s="104">
        <v>0</v>
      </c>
      <c r="AJ13" s="104">
        <v>0</v>
      </c>
      <c r="AK13" s="104">
        <v>0</v>
      </c>
      <c r="AL13" s="78">
        <f>IF(T13="SOPORTE_TELEFÓNICO",'BASE LIQUIDACION'!$B$10,IF(AF13="TIPO I",'BASE LIQUIDACION'!$C$3,IF(AF13="TIPO II",'BASE LIQUIDACION'!$C$4,IF(AF13="TIPO III",'BASE LIQUIDACION'!$C$5,'BASE LIQUIDACION'!$C$7))))</f>
        <v>65960.473639999997</v>
      </c>
      <c r="AM13" s="80">
        <f>IF(T13="SOPORTE_TELEFÓNICO",'BASE LIQUIDACION'!$B$10,(AH13*AL13+AI13*'BASE LIQUIDACION'!$B$12+AJ13*'BASE LIQUIDACION'!$B$11+INCIDENTES!AK13*'BASE LIQUIDACION'!$B$13))</f>
        <v>65960.473639999997</v>
      </c>
    </row>
    <row r="14" spans="1:39" s="4" customFormat="1">
      <c r="A14" s="104" t="s">
        <v>111</v>
      </c>
      <c r="B14" s="56" t="str">
        <f>VLOOKUP(A14,'CENTRO DE COSTOS'!A:D,4,FALSE)</f>
        <v>JUAN SEBASTIÁN RÍOS CASTRILLÓN</v>
      </c>
      <c r="C14" s="56" t="str">
        <f>VLOOKUP(A14,'CENTRO DE COSTOS'!A:D,2,FALSE)</f>
        <v>0004-0005</v>
      </c>
      <c r="D14" s="104">
        <v>5001</v>
      </c>
      <c r="E14" s="104">
        <v>2253135</v>
      </c>
      <c r="F14" s="104" t="s">
        <v>1574</v>
      </c>
      <c r="G14" s="105">
        <v>45812.510416666664</v>
      </c>
      <c r="H14" s="105">
        <v>45812.657916666663</v>
      </c>
      <c r="I14" s="104" t="s">
        <v>131</v>
      </c>
      <c r="J14" s="104" t="s">
        <v>111</v>
      </c>
      <c r="K14" s="104" t="s">
        <v>1575</v>
      </c>
      <c r="L14" s="104">
        <v>43256</v>
      </c>
      <c r="M14" s="56" t="s">
        <v>1505</v>
      </c>
      <c r="N14" s="56" t="s">
        <v>119</v>
      </c>
      <c r="O14" s="104" t="s">
        <v>1524</v>
      </c>
      <c r="P14" s="56"/>
      <c r="Q14" s="104" t="s">
        <v>1506</v>
      </c>
      <c r="R14" s="106" t="s">
        <v>1576</v>
      </c>
      <c r="S14" s="107" t="s">
        <v>1561</v>
      </c>
      <c r="T14" s="104" t="s">
        <v>1509</v>
      </c>
      <c r="U14" s="107" t="s">
        <v>1577</v>
      </c>
      <c r="V14" s="108" t="s">
        <v>1511</v>
      </c>
      <c r="W14" s="109" t="s">
        <v>1512</v>
      </c>
      <c r="X14" s="109" t="s">
        <v>1533</v>
      </c>
      <c r="Y14" s="109" t="s">
        <v>1534</v>
      </c>
      <c r="Z14" s="109" t="s">
        <v>1515</v>
      </c>
      <c r="AA14" s="109">
        <v>0</v>
      </c>
      <c r="AB14" s="109">
        <v>0</v>
      </c>
      <c r="AC14" s="109">
        <v>0</v>
      </c>
      <c r="AD14" s="109">
        <v>0</v>
      </c>
      <c r="AE14" s="110">
        <v>0</v>
      </c>
      <c r="AF14" s="77" t="str">
        <f>VLOOKUP(D14,TIPOLOGIAS!A:H,6,0)</f>
        <v>TIPO I</v>
      </c>
      <c r="AG14" s="77" t="str">
        <f>VLOOKUP(D14,TIPOLOGIAS!A:H,5,0)</f>
        <v>TERRESTRE</v>
      </c>
      <c r="AH14" s="104">
        <v>1</v>
      </c>
      <c r="AI14" s="104">
        <v>0</v>
      </c>
      <c r="AJ14" s="104">
        <v>0</v>
      </c>
      <c r="AK14" s="104">
        <v>0</v>
      </c>
      <c r="AL14" s="78">
        <f>IF(T14="SOPORTE_TELEFÓNICO",'BASE LIQUIDACION'!$B$10,IF(AF14="TIPO I",'BASE LIQUIDACION'!$C$3,IF(AF14="TIPO II",'BASE LIQUIDACION'!$C$4,IF(AF14="TIPO III",'BASE LIQUIDACION'!$C$5,'BASE LIQUIDACION'!$C$7))))</f>
        <v>65960.473639999997</v>
      </c>
      <c r="AM14" s="80">
        <f>IF(T14="SOPORTE_TELEFÓNICO",'BASE LIQUIDACION'!$B$10,(AH14*AL14+AI14*'BASE LIQUIDACION'!$B$12+AJ14*'BASE LIQUIDACION'!$B$11+INCIDENTES!AK14*'BASE LIQUIDACION'!$B$13))</f>
        <v>65960.473639999997</v>
      </c>
    </row>
    <row r="15" spans="1:39" s="4" customFormat="1">
      <c r="A15" s="104" t="s">
        <v>147</v>
      </c>
      <c r="B15" s="56" t="str">
        <f>VLOOKUP(A15,'CENTRO DE COSTOS'!A:D,4,FALSE)</f>
        <v>MIGUEL JULIÁN HERNÁNDEZ GUARÍN</v>
      </c>
      <c r="C15" s="56" t="str">
        <f>VLOOKUP(A15,'CENTRO DE COSTOS'!A:D,2,FALSE)</f>
        <v>0004-0008</v>
      </c>
      <c r="D15" s="104">
        <v>15001</v>
      </c>
      <c r="E15" s="104">
        <v>2244959</v>
      </c>
      <c r="F15" s="104" t="s">
        <v>1578</v>
      </c>
      <c r="G15" s="105">
        <v>45811.46875</v>
      </c>
      <c r="H15" s="105">
        <v>45812.675219907411</v>
      </c>
      <c r="I15" s="104" t="s">
        <v>150</v>
      </c>
      <c r="J15" s="104" t="s">
        <v>147</v>
      </c>
      <c r="K15" s="104" t="s">
        <v>1579</v>
      </c>
      <c r="L15" s="104">
        <v>71303</v>
      </c>
      <c r="M15" s="56" t="s">
        <v>1505</v>
      </c>
      <c r="N15" s="56" t="s">
        <v>119</v>
      </c>
      <c r="O15" s="104" t="s">
        <v>1524</v>
      </c>
      <c r="P15" s="56"/>
      <c r="Q15" s="104" t="s">
        <v>1506</v>
      </c>
      <c r="R15" s="106" t="s">
        <v>1580</v>
      </c>
      <c r="S15" s="107" t="s">
        <v>154</v>
      </c>
      <c r="T15" s="104" t="s">
        <v>1509</v>
      </c>
      <c r="U15" s="107" t="s">
        <v>1581</v>
      </c>
      <c r="V15" s="108" t="s">
        <v>1511</v>
      </c>
      <c r="W15" s="109" t="s">
        <v>1512</v>
      </c>
      <c r="X15" s="109" t="s">
        <v>1513</v>
      </c>
      <c r="Y15" s="109" t="s">
        <v>1514</v>
      </c>
      <c r="Z15" s="109" t="s">
        <v>1515</v>
      </c>
      <c r="AA15" s="109">
        <v>0</v>
      </c>
      <c r="AB15" s="109">
        <v>0</v>
      </c>
      <c r="AC15" s="109">
        <v>0</v>
      </c>
      <c r="AD15" s="109">
        <v>0</v>
      </c>
      <c r="AE15" s="110">
        <v>0</v>
      </c>
      <c r="AF15" s="77" t="str">
        <f>VLOOKUP(D15,TIPOLOGIAS!A:H,6,0)</f>
        <v>TIPO I</v>
      </c>
      <c r="AG15" s="77" t="str">
        <f>VLOOKUP(D15,TIPOLOGIAS!A:H,5,0)</f>
        <v>TERRESTRE</v>
      </c>
      <c r="AH15" s="104">
        <v>1</v>
      </c>
      <c r="AI15" s="104">
        <v>0</v>
      </c>
      <c r="AJ15" s="104">
        <v>0</v>
      </c>
      <c r="AK15" s="104">
        <v>0</v>
      </c>
      <c r="AL15" s="78">
        <f>IF(T15="SOPORTE_TELEFÓNICO",'BASE LIQUIDACION'!$B$10,IF(AF15="TIPO I",'BASE LIQUIDACION'!$C$3,IF(AF15="TIPO II",'BASE LIQUIDACION'!$C$4,IF(AF15="TIPO III",'BASE LIQUIDACION'!$C$5,'BASE LIQUIDACION'!$C$7))))</f>
        <v>65960.473639999997</v>
      </c>
      <c r="AM15" s="80">
        <f>IF(T15="SOPORTE_TELEFÓNICO",'BASE LIQUIDACION'!$B$10,(AH15*AL15+AI15*'BASE LIQUIDACION'!$B$12+AJ15*'BASE LIQUIDACION'!$B$11+INCIDENTES!AK15*'BASE LIQUIDACION'!$B$13))</f>
        <v>65960.473639999997</v>
      </c>
    </row>
    <row r="16" spans="1:39" s="4" customFormat="1">
      <c r="A16" s="104" t="s">
        <v>338</v>
      </c>
      <c r="B16" s="56" t="str">
        <f>VLOOKUP(A16,'CENTRO DE COSTOS'!A:D,4,FALSE)</f>
        <v>DIEGO FERNANDO HENAO CARDONA</v>
      </c>
      <c r="C16" s="56" t="str">
        <f>VLOOKUP(A16,'CENTRO DE COSTOS'!A:D,2,FALSE)</f>
        <v>0004-0003</v>
      </c>
      <c r="D16" s="104">
        <v>52001</v>
      </c>
      <c r="E16" s="104">
        <v>2253326</v>
      </c>
      <c r="F16" s="104" t="s">
        <v>1582</v>
      </c>
      <c r="G16" s="105">
        <v>45812.527361111112</v>
      </c>
      <c r="H16" s="105">
        <v>45812.676122685189</v>
      </c>
      <c r="I16" s="104" t="s">
        <v>341</v>
      </c>
      <c r="J16" s="104" t="s">
        <v>338</v>
      </c>
      <c r="K16" s="104" t="s">
        <v>1583</v>
      </c>
      <c r="L16" s="104">
        <v>76097</v>
      </c>
      <c r="M16" s="56" t="s">
        <v>1505</v>
      </c>
      <c r="N16" s="56" t="s">
        <v>119</v>
      </c>
      <c r="O16" s="104" t="s">
        <v>1524</v>
      </c>
      <c r="P16" s="56"/>
      <c r="Q16" s="104" t="s">
        <v>1506</v>
      </c>
      <c r="R16" s="106" t="s">
        <v>1584</v>
      </c>
      <c r="S16" s="107" t="s">
        <v>1585</v>
      </c>
      <c r="T16" s="104" t="s">
        <v>1509</v>
      </c>
      <c r="U16" s="107" t="s">
        <v>1586</v>
      </c>
      <c r="V16" s="108" t="s">
        <v>1511</v>
      </c>
      <c r="W16" s="109" t="s">
        <v>1512</v>
      </c>
      <c r="X16" s="109" t="s">
        <v>1513</v>
      </c>
      <c r="Y16" s="109" t="s">
        <v>1514</v>
      </c>
      <c r="Z16" s="109" t="s">
        <v>1515</v>
      </c>
      <c r="AA16" s="109">
        <v>0</v>
      </c>
      <c r="AB16" s="109">
        <v>0</v>
      </c>
      <c r="AC16" s="109">
        <v>0</v>
      </c>
      <c r="AD16" s="109">
        <v>0</v>
      </c>
      <c r="AE16" s="110">
        <v>0</v>
      </c>
      <c r="AF16" s="77" t="str">
        <f>VLOOKUP(D16,TIPOLOGIAS!A:H,6,0)</f>
        <v>TIPO I</v>
      </c>
      <c r="AG16" s="77" t="str">
        <f>VLOOKUP(D16,TIPOLOGIAS!A:H,5,0)</f>
        <v>TERRESTRE</v>
      </c>
      <c r="AH16" s="104">
        <v>1</v>
      </c>
      <c r="AI16" s="104">
        <v>0</v>
      </c>
      <c r="AJ16" s="104">
        <v>0</v>
      </c>
      <c r="AK16" s="104">
        <v>0</v>
      </c>
      <c r="AL16" s="78">
        <f>IF(T16="SOPORTE_TELEFÓNICO",'BASE LIQUIDACION'!$B$10,IF(AF16="TIPO I",'BASE LIQUIDACION'!$C$3,IF(AF16="TIPO II",'BASE LIQUIDACION'!$C$4,IF(AF16="TIPO III",'BASE LIQUIDACION'!$C$5,'BASE LIQUIDACION'!$C$7))))</f>
        <v>65960.473639999997</v>
      </c>
      <c r="AM16" s="80">
        <f>IF(T16="SOPORTE_TELEFÓNICO",'BASE LIQUIDACION'!$B$10,(AH16*AL16+AI16*'BASE LIQUIDACION'!$B$12+AJ16*'BASE LIQUIDACION'!$B$11+INCIDENTES!AK16*'BASE LIQUIDACION'!$B$13))</f>
        <v>65960.473639999997</v>
      </c>
    </row>
    <row r="17" spans="1:39" s="4" customFormat="1">
      <c r="A17" s="104" t="s">
        <v>138</v>
      </c>
      <c r="B17" s="56" t="str">
        <f>VLOOKUP(A17,'CENTRO DE COSTOS'!A:D,4,FALSE)</f>
        <v>DIEGO FERNANDO HENAO CARDONA</v>
      </c>
      <c r="C17" s="56" t="str">
        <f>VLOOKUP(A17,'CENTRO DE COSTOS'!A:D,2,FALSE)</f>
        <v>0004-0003</v>
      </c>
      <c r="D17" s="104">
        <v>19110</v>
      </c>
      <c r="E17" s="104">
        <v>2245754</v>
      </c>
      <c r="F17" s="104" t="s">
        <v>1587</v>
      </c>
      <c r="G17" s="105">
        <v>45811.509722222225</v>
      </c>
      <c r="H17" s="105">
        <v>45812.712604166663</v>
      </c>
      <c r="I17" s="104" t="s">
        <v>285</v>
      </c>
      <c r="J17" s="104" t="s">
        <v>844</v>
      </c>
      <c r="K17" s="104" t="s">
        <v>1588</v>
      </c>
      <c r="L17" s="104">
        <v>44111</v>
      </c>
      <c r="M17" s="56" t="s">
        <v>1505</v>
      </c>
      <c r="N17" s="56" t="s">
        <v>119</v>
      </c>
      <c r="O17" s="104" t="s">
        <v>332</v>
      </c>
      <c r="P17" s="56"/>
      <c r="Q17" s="104" t="s">
        <v>1506</v>
      </c>
      <c r="R17" s="106" t="s">
        <v>1589</v>
      </c>
      <c r="S17" s="107" t="s">
        <v>1519</v>
      </c>
      <c r="T17" s="104" t="s">
        <v>1520</v>
      </c>
      <c r="U17" s="107">
        <v>0</v>
      </c>
      <c r="V17" s="108" t="s">
        <v>1511</v>
      </c>
      <c r="W17" s="109" t="s">
        <v>1512</v>
      </c>
      <c r="X17" s="109" t="s">
        <v>1513</v>
      </c>
      <c r="Y17" s="109" t="s">
        <v>1514</v>
      </c>
      <c r="Z17" s="109" t="s">
        <v>1515</v>
      </c>
      <c r="AA17" s="109">
        <v>0</v>
      </c>
      <c r="AB17" s="109">
        <v>0</v>
      </c>
      <c r="AC17" s="109">
        <v>0</v>
      </c>
      <c r="AD17" s="109">
        <v>0</v>
      </c>
      <c r="AE17" s="110">
        <v>0</v>
      </c>
      <c r="AF17" s="77" t="str">
        <f>VLOOKUP(D17,TIPOLOGIAS!A:H,6,0)</f>
        <v>TIPO II</v>
      </c>
      <c r="AG17" s="77" t="str">
        <f>VLOOKUP(D17,TIPOLOGIAS!A:H,5,0)</f>
        <v>TERRESTRE</v>
      </c>
      <c r="AH17" s="104">
        <v>0</v>
      </c>
      <c r="AI17" s="104">
        <v>0</v>
      </c>
      <c r="AJ17" s="104">
        <v>0</v>
      </c>
      <c r="AK17" s="104">
        <v>0</v>
      </c>
      <c r="AL17" s="78">
        <f>IF(T17="SOPORTE_TELEFÓNICO",'BASE LIQUIDACION'!$B$10,IF(AF17="TIPO I",'BASE LIQUIDACION'!$C$3,IF(AF17="TIPO II",'BASE LIQUIDACION'!$C$4,IF(AF17="TIPO III",'BASE LIQUIDACION'!$C$5,'BASE LIQUIDACION'!$C$7))))</f>
        <v>37904.65408</v>
      </c>
      <c r="AM17" s="80">
        <f>IF(T17="SOPORTE_TELEFÓNICO",'BASE LIQUIDACION'!$B$10,(AH17*AL17+AI17*'BASE LIQUIDACION'!$B$12+AJ17*'BASE LIQUIDACION'!$B$11+INCIDENTES!AK17*'BASE LIQUIDACION'!$B$13))</f>
        <v>37904.65408</v>
      </c>
    </row>
    <row r="18" spans="1:39" s="4" customFormat="1">
      <c r="A18" s="104" t="s">
        <v>275</v>
      </c>
      <c r="B18" s="56" t="str">
        <f>VLOOKUP(A18,'CENTRO DE COSTOS'!A:D,4,FALSE)</f>
        <v>MIGUEL JULIÁN HERNÁNDEZ GUARÍN</v>
      </c>
      <c r="C18" s="56" t="str">
        <f>VLOOKUP(A18,'CENTRO DE COSTOS'!A:D,2,FALSE)</f>
        <v>0004-0008</v>
      </c>
      <c r="D18" s="104">
        <v>54874</v>
      </c>
      <c r="E18" s="104">
        <v>2251383</v>
      </c>
      <c r="F18" s="104" t="s">
        <v>1590</v>
      </c>
      <c r="G18" s="105">
        <v>45812.407638888886</v>
      </c>
      <c r="H18" s="105">
        <v>45812.78564814815</v>
      </c>
      <c r="I18" s="104" t="s">
        <v>278</v>
      </c>
      <c r="J18" s="104" t="s">
        <v>1259</v>
      </c>
      <c r="K18" s="104" t="s">
        <v>1591</v>
      </c>
      <c r="L18" s="104">
        <v>75547</v>
      </c>
      <c r="M18" s="56" t="s">
        <v>1505</v>
      </c>
      <c r="N18" s="56" t="s">
        <v>119</v>
      </c>
      <c r="O18" s="104" t="s">
        <v>332</v>
      </c>
      <c r="P18" s="56"/>
      <c r="Q18" s="104" t="s">
        <v>1506</v>
      </c>
      <c r="R18" s="106" t="s">
        <v>1592</v>
      </c>
      <c r="S18" s="107" t="s">
        <v>1593</v>
      </c>
      <c r="T18" s="104" t="s">
        <v>1509</v>
      </c>
      <c r="U18" s="107" t="s">
        <v>1594</v>
      </c>
      <c r="V18" s="108" t="s">
        <v>1511</v>
      </c>
      <c r="W18" s="109" t="s">
        <v>1512</v>
      </c>
      <c r="X18" s="109" t="s">
        <v>1533</v>
      </c>
      <c r="Y18" s="109" t="s">
        <v>1534</v>
      </c>
      <c r="Z18" s="109" t="s">
        <v>1515</v>
      </c>
      <c r="AA18" s="109">
        <v>0</v>
      </c>
      <c r="AB18" s="109">
        <v>0</v>
      </c>
      <c r="AC18" s="109">
        <v>0</v>
      </c>
      <c r="AD18" s="109">
        <v>0</v>
      </c>
      <c r="AE18" s="110">
        <v>0</v>
      </c>
      <c r="AF18" s="77" t="str">
        <f>VLOOKUP(D18,TIPOLOGIAS!A:H,6,0)</f>
        <v>TIPO I</v>
      </c>
      <c r="AG18" s="77" t="str">
        <f>VLOOKUP(D18,TIPOLOGIAS!A:H,5,0)</f>
        <v>TERRESTRE</v>
      </c>
      <c r="AH18" s="104">
        <v>1</v>
      </c>
      <c r="AI18" s="104">
        <v>0</v>
      </c>
      <c r="AJ18" s="104">
        <v>0</v>
      </c>
      <c r="AK18" s="104">
        <v>0</v>
      </c>
      <c r="AL18" s="78">
        <f>IF(T18="SOPORTE_TELEFÓNICO",'BASE LIQUIDACION'!$B$10,IF(AF18="TIPO I",'BASE LIQUIDACION'!$C$3,IF(AF18="TIPO II",'BASE LIQUIDACION'!$C$4,IF(AF18="TIPO III",'BASE LIQUIDACION'!$C$5,'BASE LIQUIDACION'!$C$7))))</f>
        <v>65960.473639999997</v>
      </c>
      <c r="AM18" s="80">
        <f>IF(T18="SOPORTE_TELEFÓNICO",'BASE LIQUIDACION'!$B$10,(AH18*AL18+AI18*'BASE LIQUIDACION'!$B$12+AJ18*'BASE LIQUIDACION'!$B$11+INCIDENTES!AK18*'BASE LIQUIDACION'!$B$13))</f>
        <v>65960.473639999997</v>
      </c>
    </row>
    <row r="19" spans="1:39" s="4" customFormat="1">
      <c r="A19" s="104" t="s">
        <v>622</v>
      </c>
      <c r="B19" s="56" t="str">
        <f>VLOOKUP(A19,'CENTRO DE COSTOS'!A:D,4,FALSE)</f>
        <v>JOSE MAURICIO HERNANDEZ ROJAS</v>
      </c>
      <c r="C19" s="56" t="str">
        <f>VLOOKUP(A19,'CENTRO DE COSTOS'!A:D,2,FALSE)</f>
        <v>0004-0001</v>
      </c>
      <c r="D19" s="104">
        <v>20001</v>
      </c>
      <c r="E19" s="104">
        <v>2250781</v>
      </c>
      <c r="F19" s="104" t="s">
        <v>1595</v>
      </c>
      <c r="G19" s="105">
        <v>45812.375</v>
      </c>
      <c r="H19" s="105">
        <v>45813.356249999997</v>
      </c>
      <c r="I19" s="104" t="s">
        <v>874</v>
      </c>
      <c r="J19" s="104" t="s">
        <v>622</v>
      </c>
      <c r="K19" s="104" t="s">
        <v>1596</v>
      </c>
      <c r="L19" s="104">
        <v>68355</v>
      </c>
      <c r="M19" s="56" t="s">
        <v>1505</v>
      </c>
      <c r="N19" s="56" t="s">
        <v>119</v>
      </c>
      <c r="O19" s="104" t="s">
        <v>1524</v>
      </c>
      <c r="P19" s="56"/>
      <c r="Q19" s="104" t="s">
        <v>1506</v>
      </c>
      <c r="R19" s="106" t="s">
        <v>1597</v>
      </c>
      <c r="S19" s="107" t="s">
        <v>1598</v>
      </c>
      <c r="T19" s="104" t="s">
        <v>1509</v>
      </c>
      <c r="U19" s="107" t="s">
        <v>1599</v>
      </c>
      <c r="V19" s="108" t="s">
        <v>1511</v>
      </c>
      <c r="W19" s="109" t="s">
        <v>1512</v>
      </c>
      <c r="X19" s="109" t="s">
        <v>1600</v>
      </c>
      <c r="Y19" s="109" t="s">
        <v>1601</v>
      </c>
      <c r="Z19" s="109" t="s">
        <v>1515</v>
      </c>
      <c r="AA19" s="109">
        <v>0</v>
      </c>
      <c r="AB19" s="109">
        <v>0</v>
      </c>
      <c r="AC19" s="109">
        <v>0</v>
      </c>
      <c r="AD19" s="109">
        <v>0</v>
      </c>
      <c r="AE19" s="110">
        <v>0</v>
      </c>
      <c r="AF19" s="77" t="str">
        <f>VLOOKUP(D19,TIPOLOGIAS!A:H,6,0)</f>
        <v>TIPO I</v>
      </c>
      <c r="AG19" s="77" t="str">
        <f>VLOOKUP(D19,TIPOLOGIAS!A:H,5,0)</f>
        <v>TERRESTRE</v>
      </c>
      <c r="AH19" s="104">
        <v>1</v>
      </c>
      <c r="AI19" s="104">
        <v>0</v>
      </c>
      <c r="AJ19" s="104">
        <v>0</v>
      </c>
      <c r="AK19" s="104">
        <v>0</v>
      </c>
      <c r="AL19" s="78">
        <f>IF(T19="SOPORTE_TELEFÓNICO",'BASE LIQUIDACION'!$B$10,IF(AF19="TIPO I",'BASE LIQUIDACION'!$C$3,IF(AF19="TIPO II",'BASE LIQUIDACION'!$C$4,IF(AF19="TIPO III",'BASE LIQUIDACION'!$C$5,'BASE LIQUIDACION'!$C$7))))</f>
        <v>65960.473639999997</v>
      </c>
      <c r="AM19" s="80">
        <f>IF(T19="SOPORTE_TELEFÓNICO",'BASE LIQUIDACION'!$B$10,(AH19*AL19+AI19*'BASE LIQUIDACION'!$B$12+AJ19*'BASE LIQUIDACION'!$B$11+INCIDENTES!AK19*'BASE LIQUIDACION'!$B$13))</f>
        <v>65960.473639999997</v>
      </c>
    </row>
    <row r="20" spans="1:39" s="4" customFormat="1">
      <c r="A20" s="104" t="s">
        <v>111</v>
      </c>
      <c r="B20" s="56" t="str">
        <f>VLOOKUP(A20,'CENTRO DE COSTOS'!A:D,4,FALSE)</f>
        <v>JUAN SEBASTIÁN RÍOS CASTRILLÓN</v>
      </c>
      <c r="C20" s="56" t="str">
        <f>VLOOKUP(A20,'CENTRO DE COSTOS'!A:D,2,FALSE)</f>
        <v>0004-0005</v>
      </c>
      <c r="D20" s="104">
        <v>5088</v>
      </c>
      <c r="E20" s="104">
        <v>2251354</v>
      </c>
      <c r="F20" s="104" t="s">
        <v>1602</v>
      </c>
      <c r="G20" s="105">
        <v>45812.402777777781</v>
      </c>
      <c r="H20" s="105">
        <v>45813.378472222219</v>
      </c>
      <c r="I20" s="104" t="s">
        <v>131</v>
      </c>
      <c r="J20" s="104" t="s">
        <v>501</v>
      </c>
      <c r="K20" s="104" t="s">
        <v>1603</v>
      </c>
      <c r="L20" s="104">
        <v>56825</v>
      </c>
      <c r="M20" s="56" t="s">
        <v>1505</v>
      </c>
      <c r="N20" s="56" t="s">
        <v>119</v>
      </c>
      <c r="O20" s="104" t="s">
        <v>1524</v>
      </c>
      <c r="P20" s="56"/>
      <c r="Q20" s="104" t="s">
        <v>1506</v>
      </c>
      <c r="R20" s="106" t="s">
        <v>1604</v>
      </c>
      <c r="S20" s="107" t="s">
        <v>1605</v>
      </c>
      <c r="T20" s="104" t="s">
        <v>1520</v>
      </c>
      <c r="U20" s="107">
        <v>0</v>
      </c>
      <c r="V20" s="108" t="s">
        <v>1511</v>
      </c>
      <c r="W20" s="109" t="s">
        <v>1512</v>
      </c>
      <c r="X20" s="109" t="s">
        <v>1513</v>
      </c>
      <c r="Y20" s="109" t="s">
        <v>1521</v>
      </c>
      <c r="Z20" s="109" t="s">
        <v>1515</v>
      </c>
      <c r="AA20" s="109">
        <v>0</v>
      </c>
      <c r="AB20" s="109">
        <v>0</v>
      </c>
      <c r="AC20" s="109">
        <v>0</v>
      </c>
      <c r="AD20" s="109">
        <v>0</v>
      </c>
      <c r="AE20" s="110">
        <v>0</v>
      </c>
      <c r="AF20" s="77" t="str">
        <f>VLOOKUP(D20,TIPOLOGIAS!A:H,6,0)</f>
        <v>TIPO I</v>
      </c>
      <c r="AG20" s="77" t="str">
        <f>VLOOKUP(D20,TIPOLOGIAS!A:H,5,0)</f>
        <v>TERRESTRE</v>
      </c>
      <c r="AH20" s="104">
        <v>0</v>
      </c>
      <c r="AI20" s="104">
        <v>0</v>
      </c>
      <c r="AJ20" s="104">
        <v>0</v>
      </c>
      <c r="AK20" s="104">
        <v>0</v>
      </c>
      <c r="AL20" s="78">
        <f>IF(T20="SOPORTE_TELEFÓNICO",'BASE LIQUIDACION'!$B$10,IF(AF20="TIPO I",'BASE LIQUIDACION'!$C$3,IF(AF20="TIPO II",'BASE LIQUIDACION'!$C$4,IF(AF20="TIPO III",'BASE LIQUIDACION'!$C$5,'BASE LIQUIDACION'!$C$7))))</f>
        <v>37904.65408</v>
      </c>
      <c r="AM20" s="80">
        <f>IF(T20="SOPORTE_TELEFÓNICO",'BASE LIQUIDACION'!$B$10,(AH20*AL20+AI20*'BASE LIQUIDACION'!$B$12+AJ20*'BASE LIQUIDACION'!$B$11+INCIDENTES!AK20*'BASE LIQUIDACION'!$B$13))</f>
        <v>37904.65408</v>
      </c>
    </row>
    <row r="21" spans="1:39" s="4" customFormat="1">
      <c r="A21" s="104" t="s">
        <v>111</v>
      </c>
      <c r="B21" s="56" t="str">
        <f>VLOOKUP(A21,'CENTRO DE COSTOS'!A:D,4,FALSE)</f>
        <v>JUAN SEBASTIÁN RÍOS CASTRILLÓN</v>
      </c>
      <c r="C21" s="56" t="str">
        <f>VLOOKUP(A21,'CENTRO DE COSTOS'!A:D,2,FALSE)</f>
        <v>0004-0005</v>
      </c>
      <c r="D21" s="104">
        <v>5360</v>
      </c>
      <c r="E21" s="104">
        <v>2253177</v>
      </c>
      <c r="F21" s="104" t="s">
        <v>1606</v>
      </c>
      <c r="G21" s="105">
        <v>45812.525324074071</v>
      </c>
      <c r="H21" s="105">
        <v>45813.414641203701</v>
      </c>
      <c r="I21" s="104" t="s">
        <v>131</v>
      </c>
      <c r="J21" s="104" t="s">
        <v>536</v>
      </c>
      <c r="K21" s="104" t="s">
        <v>1607</v>
      </c>
      <c r="L21" s="104">
        <v>31145</v>
      </c>
      <c r="M21" s="56" t="s">
        <v>1505</v>
      </c>
      <c r="N21" s="56" t="s">
        <v>119</v>
      </c>
      <c r="O21" s="104" t="s">
        <v>332</v>
      </c>
      <c r="P21" s="56"/>
      <c r="Q21" s="104" t="s">
        <v>1506</v>
      </c>
      <c r="R21" s="106" t="s">
        <v>1608</v>
      </c>
      <c r="S21" s="107" t="s">
        <v>1531</v>
      </c>
      <c r="T21" s="104" t="s">
        <v>1509</v>
      </c>
      <c r="U21" s="107" t="s">
        <v>1609</v>
      </c>
      <c r="V21" s="108" t="s">
        <v>1511</v>
      </c>
      <c r="W21" s="109" t="s">
        <v>1512</v>
      </c>
      <c r="X21" s="109" t="s">
        <v>1610</v>
      </c>
      <c r="Y21" s="109" t="s">
        <v>1611</v>
      </c>
      <c r="Z21" s="109" t="s">
        <v>1515</v>
      </c>
      <c r="AA21" s="109">
        <v>0</v>
      </c>
      <c r="AB21" s="109">
        <v>0</v>
      </c>
      <c r="AC21" s="109">
        <v>0</v>
      </c>
      <c r="AD21" s="109">
        <v>0</v>
      </c>
      <c r="AE21" s="110">
        <v>0</v>
      </c>
      <c r="AF21" s="77" t="str">
        <f>VLOOKUP(D21,TIPOLOGIAS!A:H,6,0)</f>
        <v>TIPO I</v>
      </c>
      <c r="AG21" s="77" t="str">
        <f>VLOOKUP(D21,TIPOLOGIAS!A:H,5,0)</f>
        <v>TERRESTRE</v>
      </c>
      <c r="AH21" s="104">
        <v>1</v>
      </c>
      <c r="AI21" s="104">
        <v>0</v>
      </c>
      <c r="AJ21" s="104">
        <v>0</v>
      </c>
      <c r="AK21" s="104">
        <v>0</v>
      </c>
      <c r="AL21" s="78">
        <f>IF(T21="SOPORTE_TELEFÓNICO",'BASE LIQUIDACION'!$B$10,IF(AF21="TIPO I",'BASE LIQUIDACION'!$C$3,IF(AF21="TIPO II",'BASE LIQUIDACION'!$C$4,IF(AF21="TIPO III",'BASE LIQUIDACION'!$C$5,'BASE LIQUIDACION'!$C$7))))</f>
        <v>65960.473639999997</v>
      </c>
      <c r="AM21" s="80">
        <f>IF(T21="SOPORTE_TELEFÓNICO",'BASE LIQUIDACION'!$B$10,(AH21*AL21+AI21*'BASE LIQUIDACION'!$B$12+AJ21*'BASE LIQUIDACION'!$B$11+INCIDENTES!AK21*'BASE LIQUIDACION'!$B$13))</f>
        <v>65960.473639999997</v>
      </c>
    </row>
    <row r="22" spans="1:39" s="4" customFormat="1">
      <c r="A22" s="104" t="s">
        <v>619</v>
      </c>
      <c r="B22" s="56" t="str">
        <f>VLOOKUP(A22,'CENTRO DE COSTOS'!A:D,4,FALSE)</f>
        <v>JOSE MAURICIO HERNANDEZ ROJAS</v>
      </c>
      <c r="C22" s="56" t="str">
        <f>VLOOKUP(A22,'CENTRO DE COSTOS'!A:D,2,FALSE)</f>
        <v>0004-0001</v>
      </c>
      <c r="D22" s="104">
        <v>13873</v>
      </c>
      <c r="E22" s="104">
        <v>2245774</v>
      </c>
      <c r="F22" s="104" t="s">
        <v>1612</v>
      </c>
      <c r="G22" s="105">
        <v>45811.515277777777</v>
      </c>
      <c r="H22" s="105">
        <v>45813.425370370373</v>
      </c>
      <c r="I22" s="104" t="s">
        <v>618</v>
      </c>
      <c r="J22" s="104" t="s">
        <v>627</v>
      </c>
      <c r="K22" s="104" t="s">
        <v>1613</v>
      </c>
      <c r="L22" s="104">
        <v>74954</v>
      </c>
      <c r="M22" s="56" t="s">
        <v>1505</v>
      </c>
      <c r="N22" s="56" t="s">
        <v>119</v>
      </c>
      <c r="O22" s="104" t="s">
        <v>1524</v>
      </c>
      <c r="P22" s="56"/>
      <c r="Q22" s="104" t="s">
        <v>1506</v>
      </c>
      <c r="R22" s="106" t="s">
        <v>1614</v>
      </c>
      <c r="S22" s="107" t="s">
        <v>1615</v>
      </c>
      <c r="T22" s="104" t="s">
        <v>1509</v>
      </c>
      <c r="U22" s="107" t="s">
        <v>1616</v>
      </c>
      <c r="V22" s="108" t="s">
        <v>1511</v>
      </c>
      <c r="W22" s="109" t="s">
        <v>1512</v>
      </c>
      <c r="X22" s="109" t="s">
        <v>1610</v>
      </c>
      <c r="Y22" s="109" t="s">
        <v>1611</v>
      </c>
      <c r="Z22" s="109" t="s">
        <v>1515</v>
      </c>
      <c r="AA22" s="109">
        <v>0</v>
      </c>
      <c r="AB22" s="109">
        <v>0</v>
      </c>
      <c r="AC22" s="109">
        <v>0</v>
      </c>
      <c r="AD22" s="109">
        <v>0</v>
      </c>
      <c r="AE22" s="110">
        <v>0</v>
      </c>
      <c r="AF22" s="77" t="str">
        <f>VLOOKUP(D22,TIPOLOGIAS!A:H,6,0)</f>
        <v>TIPO II</v>
      </c>
      <c r="AG22" s="77" t="str">
        <f>VLOOKUP(D22,TIPOLOGIAS!A:H,5,0)</f>
        <v>TERRESTRE</v>
      </c>
      <c r="AH22" s="104">
        <v>1</v>
      </c>
      <c r="AI22" s="104">
        <v>0</v>
      </c>
      <c r="AJ22" s="104">
        <v>0</v>
      </c>
      <c r="AK22" s="104">
        <v>0</v>
      </c>
      <c r="AL22" s="78">
        <f>IF(T22="SOPORTE_TELEFÓNICO",'BASE LIQUIDACION'!$B$10,IF(AF22="TIPO I",'BASE LIQUIDACION'!$C$3,IF(AF22="TIPO II",'BASE LIQUIDACION'!$C$4,IF(AF22="TIPO III",'BASE LIQUIDACION'!$C$5,'BASE LIQUIDACION'!$C$7))))</f>
        <v>163813.55812</v>
      </c>
      <c r="AM22" s="80">
        <f>IF(T22="SOPORTE_TELEFÓNICO",'BASE LIQUIDACION'!$B$10,(AH22*AL22+AI22*'BASE LIQUIDACION'!$B$12+AJ22*'BASE LIQUIDACION'!$B$11+INCIDENTES!AK22*'BASE LIQUIDACION'!$B$13))</f>
        <v>163813.55812</v>
      </c>
    </row>
    <row r="23" spans="1:39" s="4" customFormat="1">
      <c r="A23" s="104" t="s">
        <v>128</v>
      </c>
      <c r="B23" s="56" t="str">
        <f>VLOOKUP(A23,'CENTRO DE COSTOS'!A:D,4,FALSE)</f>
        <v>JUAN SEBASTIÁN RÍOS CASTRILLÓN</v>
      </c>
      <c r="C23" s="56" t="str">
        <f>VLOOKUP(A23,'CENTRO DE COSTOS'!A:D,2,FALSE)</f>
        <v>0004-0005</v>
      </c>
      <c r="D23" s="104">
        <v>5147</v>
      </c>
      <c r="E23" s="104">
        <v>2255738</v>
      </c>
      <c r="F23" s="104" t="s">
        <v>1617</v>
      </c>
      <c r="G23" s="105">
        <v>45812.733518518522</v>
      </c>
      <c r="H23" s="105">
        <v>45813.428541666668</v>
      </c>
      <c r="I23" s="104" t="s">
        <v>131</v>
      </c>
      <c r="J23" s="104" t="s">
        <v>511</v>
      </c>
      <c r="K23" s="104" t="s">
        <v>1618</v>
      </c>
      <c r="L23" s="104">
        <v>40705</v>
      </c>
      <c r="M23" s="56" t="s">
        <v>1505</v>
      </c>
      <c r="N23" s="56" t="s">
        <v>119</v>
      </c>
      <c r="O23" s="104" t="s">
        <v>332</v>
      </c>
      <c r="P23" s="56"/>
      <c r="Q23" s="104" t="s">
        <v>1506</v>
      </c>
      <c r="R23" s="106" t="s">
        <v>1619</v>
      </c>
      <c r="S23" s="107" t="s">
        <v>1620</v>
      </c>
      <c r="T23" s="104" t="s">
        <v>1520</v>
      </c>
      <c r="U23" s="107">
        <v>0</v>
      </c>
      <c r="V23" s="108" t="s">
        <v>1511</v>
      </c>
      <c r="W23" s="109" t="s">
        <v>1512</v>
      </c>
      <c r="X23" s="109" t="s">
        <v>1621</v>
      </c>
      <c r="Y23" s="109" t="s">
        <v>1521</v>
      </c>
      <c r="Z23" s="109" t="s">
        <v>1515</v>
      </c>
      <c r="AA23" s="109">
        <v>0</v>
      </c>
      <c r="AB23" s="109">
        <v>0</v>
      </c>
      <c r="AC23" s="109">
        <v>0</v>
      </c>
      <c r="AD23" s="109">
        <v>0</v>
      </c>
      <c r="AE23" s="110">
        <v>0</v>
      </c>
      <c r="AF23" s="77" t="str">
        <f>VLOOKUP(D23,TIPOLOGIAS!A:H,6,0)</f>
        <v>TIPO I</v>
      </c>
      <c r="AG23" s="77" t="str">
        <f>VLOOKUP(D23,TIPOLOGIAS!A:H,5,0)</f>
        <v>TERRESTRE</v>
      </c>
      <c r="AH23" s="104">
        <v>0</v>
      </c>
      <c r="AI23" s="104">
        <v>0</v>
      </c>
      <c r="AJ23" s="104">
        <v>0</v>
      </c>
      <c r="AK23" s="104">
        <v>0</v>
      </c>
      <c r="AL23" s="78">
        <f>IF(T23="SOPORTE_TELEFÓNICO",'BASE LIQUIDACION'!$B$10,IF(AF23="TIPO I",'BASE LIQUIDACION'!$C$3,IF(AF23="TIPO II",'BASE LIQUIDACION'!$C$4,IF(AF23="TIPO III",'BASE LIQUIDACION'!$C$5,'BASE LIQUIDACION'!$C$7))))</f>
        <v>37904.65408</v>
      </c>
      <c r="AM23" s="80">
        <f>IF(T23="SOPORTE_TELEFÓNICO",'BASE LIQUIDACION'!$B$10,(AH23*AL23+AI23*'BASE LIQUIDACION'!$B$12+AJ23*'BASE LIQUIDACION'!$B$11+INCIDENTES!AK23*'BASE LIQUIDACION'!$B$13))</f>
        <v>37904.65408</v>
      </c>
    </row>
    <row r="24" spans="1:39" s="4" customFormat="1">
      <c r="A24" s="104" t="s">
        <v>822</v>
      </c>
      <c r="B24" s="56" t="str">
        <f>VLOOKUP(A24,'CENTRO DE COSTOS'!A:D,4,FALSE)</f>
        <v>KEVIN ALEXIS CORZO BUSTOS</v>
      </c>
      <c r="C24" s="56" t="str">
        <f>VLOOKUP(A24,'CENTRO DE COSTOS'!A:D,2,FALSE)</f>
        <v>0004-0007</v>
      </c>
      <c r="D24" s="104">
        <v>50006</v>
      </c>
      <c r="E24" s="104">
        <v>2249363</v>
      </c>
      <c r="F24" s="104" t="s">
        <v>1622</v>
      </c>
      <c r="G24" s="105">
        <v>45812.333333333336</v>
      </c>
      <c r="H24" s="105">
        <v>45813.440879629627</v>
      </c>
      <c r="I24" s="104" t="s">
        <v>1148</v>
      </c>
      <c r="J24" s="104" t="s">
        <v>1150</v>
      </c>
      <c r="K24" s="104" t="s">
        <v>1623</v>
      </c>
      <c r="L24" s="104">
        <v>67760</v>
      </c>
      <c r="M24" s="56" t="s">
        <v>1505</v>
      </c>
      <c r="N24" s="56" t="s">
        <v>119</v>
      </c>
      <c r="O24" s="104" t="s">
        <v>1524</v>
      </c>
      <c r="P24" s="56"/>
      <c r="Q24" s="104" t="s">
        <v>1506</v>
      </c>
      <c r="R24" s="106" t="s">
        <v>1624</v>
      </c>
      <c r="S24" s="107" t="s">
        <v>1625</v>
      </c>
      <c r="T24" s="104" t="s">
        <v>1520</v>
      </c>
      <c r="U24" s="107">
        <v>0</v>
      </c>
      <c r="V24" s="108" t="s">
        <v>1511</v>
      </c>
      <c r="W24" s="109" t="s">
        <v>1512</v>
      </c>
      <c r="X24" s="109" t="s">
        <v>1600</v>
      </c>
      <c r="Y24" s="109" t="s">
        <v>1626</v>
      </c>
      <c r="Z24" s="109" t="s">
        <v>1515</v>
      </c>
      <c r="AA24" s="109">
        <v>0</v>
      </c>
      <c r="AB24" s="109">
        <v>0</v>
      </c>
      <c r="AC24" s="109">
        <v>0</v>
      </c>
      <c r="AD24" s="109">
        <v>0</v>
      </c>
      <c r="AE24" s="110">
        <v>0</v>
      </c>
      <c r="AF24" s="77" t="str">
        <f>VLOOKUP(D24,TIPOLOGIAS!A:H,6,0)</f>
        <v>TIPO II</v>
      </c>
      <c r="AG24" s="77" t="str">
        <f>VLOOKUP(D24,TIPOLOGIAS!A:H,5,0)</f>
        <v>TERRESTRE</v>
      </c>
      <c r="AH24" s="104">
        <v>0</v>
      </c>
      <c r="AI24" s="104">
        <v>0</v>
      </c>
      <c r="AJ24" s="104">
        <v>0</v>
      </c>
      <c r="AK24" s="104">
        <v>0</v>
      </c>
      <c r="AL24" s="78">
        <f>IF(T24="SOPORTE_TELEFÓNICO",'BASE LIQUIDACION'!$B$10,IF(AF24="TIPO I",'BASE LIQUIDACION'!$C$3,IF(AF24="TIPO II",'BASE LIQUIDACION'!$C$4,IF(AF24="TIPO III",'BASE LIQUIDACION'!$C$5,'BASE LIQUIDACION'!$C$7))))</f>
        <v>37904.65408</v>
      </c>
      <c r="AM24" s="80">
        <f>IF(T24="SOPORTE_TELEFÓNICO",'BASE LIQUIDACION'!$B$10,(AH24*AL24+AI24*'BASE LIQUIDACION'!$B$12+AJ24*'BASE LIQUIDACION'!$B$11+INCIDENTES!AK24*'BASE LIQUIDACION'!$B$13))</f>
        <v>37904.65408</v>
      </c>
    </row>
    <row r="25" spans="1:39" s="4" customFormat="1">
      <c r="A25" s="104" t="s">
        <v>111</v>
      </c>
      <c r="B25" s="56" t="str">
        <f>VLOOKUP(A25,'CENTRO DE COSTOS'!A:D,4,FALSE)</f>
        <v>JUAN SEBASTIÁN RÍOS CASTRILLÓN</v>
      </c>
      <c r="C25" s="56" t="str">
        <f>VLOOKUP(A25,'CENTRO DE COSTOS'!A:D,2,FALSE)</f>
        <v>0004-0005</v>
      </c>
      <c r="D25" s="104">
        <v>5001</v>
      </c>
      <c r="E25" s="104">
        <v>2257315</v>
      </c>
      <c r="F25" s="104" t="s">
        <v>1627</v>
      </c>
      <c r="G25" s="105">
        <v>45813.377083333333</v>
      </c>
      <c r="H25" s="105">
        <v>45813.456817129627</v>
      </c>
      <c r="I25" s="104" t="s">
        <v>131</v>
      </c>
      <c r="J25" s="104" t="s">
        <v>111</v>
      </c>
      <c r="K25" s="104" t="s">
        <v>1628</v>
      </c>
      <c r="L25" s="104">
        <v>76332</v>
      </c>
      <c r="M25" s="56" t="s">
        <v>1505</v>
      </c>
      <c r="N25" s="56" t="s">
        <v>119</v>
      </c>
      <c r="O25" s="104" t="s">
        <v>1524</v>
      </c>
      <c r="P25" s="56"/>
      <c r="Q25" s="104" t="s">
        <v>1506</v>
      </c>
      <c r="R25" s="106" t="s">
        <v>1629</v>
      </c>
      <c r="S25" s="107" t="s">
        <v>1531</v>
      </c>
      <c r="T25" s="104" t="s">
        <v>1509</v>
      </c>
      <c r="U25" s="107" t="s">
        <v>1630</v>
      </c>
      <c r="V25" s="108" t="s">
        <v>1511</v>
      </c>
      <c r="W25" s="109" t="s">
        <v>1512</v>
      </c>
      <c r="X25" s="109" t="s">
        <v>1533</v>
      </c>
      <c r="Y25" s="109" t="s">
        <v>1534</v>
      </c>
      <c r="Z25" s="109" t="s">
        <v>1515</v>
      </c>
      <c r="AA25" s="109">
        <v>0</v>
      </c>
      <c r="AB25" s="109">
        <v>0</v>
      </c>
      <c r="AC25" s="109">
        <v>0</v>
      </c>
      <c r="AD25" s="109">
        <v>0</v>
      </c>
      <c r="AE25" s="110">
        <v>0</v>
      </c>
      <c r="AF25" s="77" t="str">
        <f>VLOOKUP(D25,TIPOLOGIAS!A:H,6,0)</f>
        <v>TIPO I</v>
      </c>
      <c r="AG25" s="77" t="str">
        <f>VLOOKUP(D25,TIPOLOGIAS!A:H,5,0)</f>
        <v>TERRESTRE</v>
      </c>
      <c r="AH25" s="104">
        <v>1</v>
      </c>
      <c r="AI25" s="104">
        <v>0</v>
      </c>
      <c r="AJ25" s="104">
        <v>0</v>
      </c>
      <c r="AK25" s="104">
        <v>0</v>
      </c>
      <c r="AL25" s="78">
        <f>IF(T25="SOPORTE_TELEFÓNICO",'BASE LIQUIDACION'!$B$10,IF(AF25="TIPO I",'BASE LIQUIDACION'!$C$3,IF(AF25="TIPO II",'BASE LIQUIDACION'!$C$4,IF(AF25="TIPO III",'BASE LIQUIDACION'!$C$5,'BASE LIQUIDACION'!$C$7))))</f>
        <v>65960.473639999997</v>
      </c>
      <c r="AM25" s="80">
        <f>IF(T25="SOPORTE_TELEFÓNICO",'BASE LIQUIDACION'!$B$10,(AH25*AL25+AI25*'BASE LIQUIDACION'!$B$12+AJ25*'BASE LIQUIDACION'!$B$11+INCIDENTES!AK25*'BASE LIQUIDACION'!$B$13))</f>
        <v>65960.473639999997</v>
      </c>
    </row>
    <row r="26" spans="1:39" s="4" customFormat="1">
      <c r="A26" s="104" t="s">
        <v>111</v>
      </c>
      <c r="B26" s="56" t="str">
        <f>VLOOKUP(A26,'CENTRO DE COSTOS'!A:D,4,FALSE)</f>
        <v>JUAN SEBASTIÁN RÍOS CASTRILLÓN</v>
      </c>
      <c r="C26" s="56" t="str">
        <f>VLOOKUP(A26,'CENTRO DE COSTOS'!A:D,2,FALSE)</f>
        <v>0004-0005</v>
      </c>
      <c r="D26" s="104">
        <v>5001</v>
      </c>
      <c r="E26" s="104">
        <v>2253155</v>
      </c>
      <c r="F26" s="104" t="s">
        <v>1631</v>
      </c>
      <c r="G26" s="105">
        <v>45812.515972222223</v>
      </c>
      <c r="H26" s="105">
        <v>45813.512442129628</v>
      </c>
      <c r="I26" s="104" t="s">
        <v>131</v>
      </c>
      <c r="J26" s="104" t="s">
        <v>111</v>
      </c>
      <c r="K26" s="104" t="s">
        <v>1632</v>
      </c>
      <c r="L26" s="104">
        <v>27547</v>
      </c>
      <c r="M26" s="56" t="s">
        <v>1505</v>
      </c>
      <c r="N26" s="56" t="s">
        <v>119</v>
      </c>
      <c r="O26" s="104" t="s">
        <v>332</v>
      </c>
      <c r="P26" s="56"/>
      <c r="Q26" s="104" t="s">
        <v>1506</v>
      </c>
      <c r="R26" s="106" t="s">
        <v>1633</v>
      </c>
      <c r="S26" s="107" t="s">
        <v>1561</v>
      </c>
      <c r="T26" s="104" t="s">
        <v>1509</v>
      </c>
      <c r="U26" s="107" t="s">
        <v>1634</v>
      </c>
      <c r="V26" s="108" t="s">
        <v>1511</v>
      </c>
      <c r="W26" s="109" t="s">
        <v>1512</v>
      </c>
      <c r="X26" s="109" t="s">
        <v>1533</v>
      </c>
      <c r="Y26" s="109" t="s">
        <v>1534</v>
      </c>
      <c r="Z26" s="109" t="s">
        <v>1515</v>
      </c>
      <c r="AA26" s="109">
        <v>0</v>
      </c>
      <c r="AB26" s="109">
        <v>0</v>
      </c>
      <c r="AC26" s="109">
        <v>0</v>
      </c>
      <c r="AD26" s="109">
        <v>0</v>
      </c>
      <c r="AE26" s="110">
        <v>0</v>
      </c>
      <c r="AF26" s="77" t="str">
        <f>VLOOKUP(D26,TIPOLOGIAS!A:H,6,0)</f>
        <v>TIPO I</v>
      </c>
      <c r="AG26" s="77" t="str">
        <f>VLOOKUP(D26,TIPOLOGIAS!A:H,5,0)</f>
        <v>TERRESTRE</v>
      </c>
      <c r="AH26" s="104">
        <v>1</v>
      </c>
      <c r="AI26" s="104">
        <v>0</v>
      </c>
      <c r="AJ26" s="104">
        <v>0</v>
      </c>
      <c r="AK26" s="104">
        <v>0</v>
      </c>
      <c r="AL26" s="78">
        <f>IF(T26="SOPORTE_TELEFÓNICO",'BASE LIQUIDACION'!$B$10,IF(AF26="TIPO I",'BASE LIQUIDACION'!$C$3,IF(AF26="TIPO II",'BASE LIQUIDACION'!$C$4,IF(AF26="TIPO III",'BASE LIQUIDACION'!$C$5,'BASE LIQUIDACION'!$C$7))))</f>
        <v>65960.473639999997</v>
      </c>
      <c r="AM26" s="80">
        <f>IF(T26="SOPORTE_TELEFÓNICO",'BASE LIQUIDACION'!$B$10,(AH26*AL26+AI26*'BASE LIQUIDACION'!$B$12+AJ26*'BASE LIQUIDACION'!$B$11+INCIDENTES!AK26*'BASE LIQUIDACION'!$B$13))</f>
        <v>65960.473639999997</v>
      </c>
    </row>
    <row r="27" spans="1:39" s="4" customFormat="1">
      <c r="A27" s="104" t="s">
        <v>111</v>
      </c>
      <c r="B27" s="56" t="str">
        <f>VLOOKUP(A27,'CENTRO DE COSTOS'!A:D,4,FALSE)</f>
        <v>JUAN SEBASTIÁN RÍOS CASTRILLÓN</v>
      </c>
      <c r="C27" s="56" t="str">
        <f>VLOOKUP(A27,'CENTRO DE COSTOS'!A:D,2,FALSE)</f>
        <v>0004-0005</v>
      </c>
      <c r="D27" s="104">
        <v>5088</v>
      </c>
      <c r="E27" s="104">
        <v>2240557</v>
      </c>
      <c r="F27" s="104" t="s">
        <v>1635</v>
      </c>
      <c r="G27" s="105">
        <v>45810.490277777775</v>
      </c>
      <c r="H27" s="105">
        <v>45813.533101851855</v>
      </c>
      <c r="I27" s="104" t="s">
        <v>131</v>
      </c>
      <c r="J27" s="104" t="s">
        <v>501</v>
      </c>
      <c r="K27" s="104" t="s">
        <v>1636</v>
      </c>
      <c r="L27" s="104">
        <v>69093</v>
      </c>
      <c r="M27" s="56" t="s">
        <v>1505</v>
      </c>
      <c r="N27" s="56" t="s">
        <v>119</v>
      </c>
      <c r="O27" s="104" t="s">
        <v>332</v>
      </c>
      <c r="P27" s="56"/>
      <c r="Q27" s="104" t="s">
        <v>1506</v>
      </c>
      <c r="R27" s="106" t="s">
        <v>1637</v>
      </c>
      <c r="S27" s="107" t="s">
        <v>1638</v>
      </c>
      <c r="T27" s="104" t="s">
        <v>1509</v>
      </c>
      <c r="U27" s="107" t="s">
        <v>1639</v>
      </c>
      <c r="V27" s="108" t="s">
        <v>1511</v>
      </c>
      <c r="W27" s="109" t="s">
        <v>1512</v>
      </c>
      <c r="X27" s="109" t="s">
        <v>1610</v>
      </c>
      <c r="Y27" s="109" t="s">
        <v>1611</v>
      </c>
      <c r="Z27" s="109" t="s">
        <v>1515</v>
      </c>
      <c r="AA27" s="109">
        <v>0</v>
      </c>
      <c r="AB27" s="109">
        <v>0</v>
      </c>
      <c r="AC27" s="109">
        <v>0</v>
      </c>
      <c r="AD27" s="109">
        <v>0</v>
      </c>
      <c r="AE27" s="110">
        <v>0</v>
      </c>
      <c r="AF27" s="77" t="str">
        <f>VLOOKUP(D27,TIPOLOGIAS!A:H,6,0)</f>
        <v>TIPO I</v>
      </c>
      <c r="AG27" s="77" t="str">
        <f>VLOOKUP(D27,TIPOLOGIAS!A:H,5,0)</f>
        <v>TERRESTRE</v>
      </c>
      <c r="AH27" s="104">
        <v>1</v>
      </c>
      <c r="AI27" s="104">
        <v>0</v>
      </c>
      <c r="AJ27" s="104">
        <v>0</v>
      </c>
      <c r="AK27" s="104">
        <v>0</v>
      </c>
      <c r="AL27" s="78">
        <f>IF(T27="SOPORTE_TELEFÓNICO",'BASE LIQUIDACION'!$B$10,IF(AF27="TIPO I",'BASE LIQUIDACION'!$C$3,IF(AF27="TIPO II",'BASE LIQUIDACION'!$C$4,IF(AF27="TIPO III",'BASE LIQUIDACION'!$C$5,'BASE LIQUIDACION'!$C$7))))</f>
        <v>65960.473639999997</v>
      </c>
      <c r="AM27" s="80">
        <f>IF(T27="SOPORTE_TELEFÓNICO",'BASE LIQUIDACION'!$B$10,(AH27*AL27+AI27*'BASE LIQUIDACION'!$B$12+AJ27*'BASE LIQUIDACION'!$B$11+INCIDENTES!AK27*'BASE LIQUIDACION'!$B$13))</f>
        <v>65960.473639999997</v>
      </c>
    </row>
    <row r="28" spans="1:39" s="4" customFormat="1">
      <c r="A28" s="104" t="s">
        <v>111</v>
      </c>
      <c r="B28" s="56" t="str">
        <f>VLOOKUP(A28,'CENTRO DE COSTOS'!A:D,4,FALSE)</f>
        <v>JUAN SEBASTIÁN RÍOS CASTRILLÓN</v>
      </c>
      <c r="C28" s="56" t="str">
        <f>VLOOKUP(A28,'CENTRO DE COSTOS'!A:D,2,FALSE)</f>
        <v>0004-0005</v>
      </c>
      <c r="D28" s="104">
        <v>5088</v>
      </c>
      <c r="E28" s="104">
        <v>2257980</v>
      </c>
      <c r="F28" s="104" t="s">
        <v>1640</v>
      </c>
      <c r="G28" s="105">
        <v>45813.418749999997</v>
      </c>
      <c r="H28" s="105">
        <v>45813.548437500001</v>
      </c>
      <c r="I28" s="104" t="s">
        <v>131</v>
      </c>
      <c r="J28" s="104" t="s">
        <v>501</v>
      </c>
      <c r="K28" s="104" t="s">
        <v>1641</v>
      </c>
      <c r="L28" s="104">
        <v>31253</v>
      </c>
      <c r="M28" s="56" t="s">
        <v>1505</v>
      </c>
      <c r="N28" s="56" t="s">
        <v>119</v>
      </c>
      <c r="O28" s="104" t="s">
        <v>425</v>
      </c>
      <c r="P28" s="56"/>
      <c r="Q28" s="104" t="s">
        <v>1506</v>
      </c>
      <c r="R28" s="106" t="s">
        <v>1642</v>
      </c>
      <c r="S28" s="107" t="s">
        <v>1638</v>
      </c>
      <c r="T28" s="104" t="s">
        <v>1509</v>
      </c>
      <c r="U28" s="107" t="s">
        <v>1643</v>
      </c>
      <c r="V28" s="108" t="s">
        <v>1511</v>
      </c>
      <c r="W28" s="109" t="s">
        <v>1512</v>
      </c>
      <c r="X28" s="109" t="s">
        <v>1610</v>
      </c>
      <c r="Y28" s="109" t="s">
        <v>1611</v>
      </c>
      <c r="Z28" s="109" t="s">
        <v>1515</v>
      </c>
      <c r="AA28" s="109">
        <v>0</v>
      </c>
      <c r="AB28" s="109">
        <v>0</v>
      </c>
      <c r="AC28" s="109">
        <v>0</v>
      </c>
      <c r="AD28" s="109">
        <v>0</v>
      </c>
      <c r="AE28" s="110">
        <v>0</v>
      </c>
      <c r="AF28" s="77" t="str">
        <f>VLOOKUP(D28,TIPOLOGIAS!A:H,6,0)</f>
        <v>TIPO I</v>
      </c>
      <c r="AG28" s="77" t="str">
        <f>VLOOKUP(D28,TIPOLOGIAS!A:H,5,0)</f>
        <v>TERRESTRE</v>
      </c>
      <c r="AH28" s="104">
        <v>1</v>
      </c>
      <c r="AI28" s="104">
        <v>0</v>
      </c>
      <c r="AJ28" s="104">
        <v>0</v>
      </c>
      <c r="AK28" s="104">
        <v>0</v>
      </c>
      <c r="AL28" s="78">
        <f>IF(T28="SOPORTE_TELEFÓNICO",'BASE LIQUIDACION'!$B$10,IF(AF28="TIPO I",'BASE LIQUIDACION'!$C$3,IF(AF28="TIPO II",'BASE LIQUIDACION'!$C$4,IF(AF28="TIPO III",'BASE LIQUIDACION'!$C$5,'BASE LIQUIDACION'!$C$7))))</f>
        <v>65960.473639999997</v>
      </c>
      <c r="AM28" s="80">
        <f>IF(T28="SOPORTE_TELEFÓNICO",'BASE LIQUIDACION'!$B$10,(AH28*AL28+AI28*'BASE LIQUIDACION'!$B$12+AJ28*'BASE LIQUIDACION'!$B$11+INCIDENTES!AK28*'BASE LIQUIDACION'!$B$13))</f>
        <v>65960.473639999997</v>
      </c>
    </row>
    <row r="29" spans="1:39" s="4" customFormat="1">
      <c r="A29" s="104" t="s">
        <v>619</v>
      </c>
      <c r="B29" s="56" t="str">
        <f>VLOOKUP(A29,'CENTRO DE COSTOS'!A:D,4,FALSE)</f>
        <v>JOSE MAURICIO HERNANDEZ ROJAS</v>
      </c>
      <c r="C29" s="56" t="str">
        <f>VLOOKUP(A29,'CENTRO DE COSTOS'!A:D,2,FALSE)</f>
        <v>0004-0001</v>
      </c>
      <c r="D29" s="104">
        <v>13001</v>
      </c>
      <c r="E29" s="104">
        <v>2247140</v>
      </c>
      <c r="F29" s="104" t="s">
        <v>1644</v>
      </c>
      <c r="G29" s="105">
        <v>45811.611111111109</v>
      </c>
      <c r="H29" s="105">
        <v>45813.557708333334</v>
      </c>
      <c r="I29" s="104" t="s">
        <v>618</v>
      </c>
      <c r="J29" s="104" t="s">
        <v>619</v>
      </c>
      <c r="K29" s="104" t="s">
        <v>1645</v>
      </c>
      <c r="L29" s="104">
        <v>79072</v>
      </c>
      <c r="M29" s="56" t="s">
        <v>1505</v>
      </c>
      <c r="N29" s="56" t="s">
        <v>119</v>
      </c>
      <c r="O29" s="104" t="s">
        <v>1524</v>
      </c>
      <c r="P29" s="56"/>
      <c r="Q29" s="104" t="s">
        <v>1506</v>
      </c>
      <c r="R29" s="106" t="s">
        <v>1646</v>
      </c>
      <c r="S29" s="107" t="s">
        <v>1647</v>
      </c>
      <c r="T29" s="104" t="s">
        <v>1509</v>
      </c>
      <c r="U29" s="107" t="s">
        <v>1648</v>
      </c>
      <c r="V29" s="108" t="s">
        <v>1511</v>
      </c>
      <c r="W29" s="109" t="s">
        <v>1512</v>
      </c>
      <c r="X29" s="109" t="s">
        <v>1567</v>
      </c>
      <c r="Y29" s="109" t="s">
        <v>1649</v>
      </c>
      <c r="Z29" s="109" t="s">
        <v>1515</v>
      </c>
      <c r="AA29" s="109">
        <v>0</v>
      </c>
      <c r="AB29" s="109">
        <v>0</v>
      </c>
      <c r="AC29" s="109">
        <v>0</v>
      </c>
      <c r="AD29" s="109">
        <v>0</v>
      </c>
      <c r="AE29" s="110">
        <v>0</v>
      </c>
      <c r="AF29" s="77" t="str">
        <f>VLOOKUP(D29,TIPOLOGIAS!A:H,6,0)</f>
        <v>TIPO I</v>
      </c>
      <c r="AG29" s="77" t="str">
        <f>VLOOKUP(D29,TIPOLOGIAS!A:H,5,0)</f>
        <v>TERRESTRE</v>
      </c>
      <c r="AH29" s="104">
        <v>1</v>
      </c>
      <c r="AI29" s="104">
        <v>0</v>
      </c>
      <c r="AJ29" s="104">
        <v>0</v>
      </c>
      <c r="AK29" s="104">
        <v>0</v>
      </c>
      <c r="AL29" s="78">
        <f>IF(T29="SOPORTE_TELEFÓNICO",'BASE LIQUIDACION'!$B$10,IF(AF29="TIPO I",'BASE LIQUIDACION'!$C$3,IF(AF29="TIPO II",'BASE LIQUIDACION'!$C$4,IF(AF29="TIPO III",'BASE LIQUIDACION'!$C$5,'BASE LIQUIDACION'!$C$7))))</f>
        <v>65960.473639999997</v>
      </c>
      <c r="AM29" s="80">
        <f>IF(T29="SOPORTE_TELEFÓNICO",'BASE LIQUIDACION'!$B$10,(AH29*AL29+AI29*'BASE LIQUIDACION'!$B$12+AJ29*'BASE LIQUIDACION'!$B$11+INCIDENTES!AK29*'BASE LIQUIDACION'!$B$13))</f>
        <v>65960.473639999997</v>
      </c>
    </row>
    <row r="30" spans="1:39" s="4" customFormat="1">
      <c r="A30" s="104" t="s">
        <v>138</v>
      </c>
      <c r="B30" s="56" t="str">
        <f>VLOOKUP(A30,'CENTRO DE COSTOS'!A:D,4,FALSE)</f>
        <v>DIEGO FERNANDO HENAO CARDONA</v>
      </c>
      <c r="C30" s="56" t="str">
        <f>VLOOKUP(A30,'CENTRO DE COSTOS'!A:D,2,FALSE)</f>
        <v>0004-0003</v>
      </c>
      <c r="D30" s="104">
        <v>76001</v>
      </c>
      <c r="E30" s="104">
        <v>2257374</v>
      </c>
      <c r="F30" s="104" t="s">
        <v>1650</v>
      </c>
      <c r="G30" s="105">
        <v>45813.384722222225</v>
      </c>
      <c r="H30" s="105">
        <v>45813.606006944443</v>
      </c>
      <c r="I30" s="104" t="s">
        <v>141</v>
      </c>
      <c r="J30" s="104" t="s">
        <v>138</v>
      </c>
      <c r="K30" s="104" t="s">
        <v>1651</v>
      </c>
      <c r="L30" s="104">
        <v>73730</v>
      </c>
      <c r="M30" s="56" t="s">
        <v>1505</v>
      </c>
      <c r="N30" s="56" t="s">
        <v>119</v>
      </c>
      <c r="O30" s="104" t="s">
        <v>1524</v>
      </c>
      <c r="P30" s="56"/>
      <c r="Q30" s="104" t="s">
        <v>1506</v>
      </c>
      <c r="R30" s="106" t="s">
        <v>1652</v>
      </c>
      <c r="S30" s="107" t="s">
        <v>1538</v>
      </c>
      <c r="T30" s="104" t="s">
        <v>1520</v>
      </c>
      <c r="U30" s="107">
        <v>0</v>
      </c>
      <c r="V30" s="108" t="s">
        <v>1511</v>
      </c>
      <c r="W30" s="109" t="s">
        <v>1512</v>
      </c>
      <c r="X30" s="109" t="s">
        <v>1513</v>
      </c>
      <c r="Y30" s="109" t="s">
        <v>1521</v>
      </c>
      <c r="Z30" s="109" t="s">
        <v>1515</v>
      </c>
      <c r="AA30" s="109">
        <v>0</v>
      </c>
      <c r="AB30" s="109">
        <v>0</v>
      </c>
      <c r="AC30" s="109">
        <v>0</v>
      </c>
      <c r="AD30" s="109">
        <v>0</v>
      </c>
      <c r="AE30" s="110">
        <v>0</v>
      </c>
      <c r="AF30" s="77" t="str">
        <f>VLOOKUP(D30,TIPOLOGIAS!A:H,6,0)</f>
        <v>TIPO I</v>
      </c>
      <c r="AG30" s="77" t="str">
        <f>VLOOKUP(D30,TIPOLOGIAS!A:H,5,0)</f>
        <v>TERRESTRE</v>
      </c>
      <c r="AH30" s="104">
        <v>0</v>
      </c>
      <c r="AI30" s="104">
        <v>0</v>
      </c>
      <c r="AJ30" s="104">
        <v>0</v>
      </c>
      <c r="AK30" s="104">
        <v>0</v>
      </c>
      <c r="AL30" s="78">
        <f>IF(T30="SOPORTE_TELEFÓNICO",'BASE LIQUIDACION'!$B$10,IF(AF30="TIPO I",'BASE LIQUIDACION'!$C$3,IF(AF30="TIPO II",'BASE LIQUIDACION'!$C$4,IF(AF30="TIPO III",'BASE LIQUIDACION'!$C$5,'BASE LIQUIDACION'!$C$7))))</f>
        <v>37904.65408</v>
      </c>
      <c r="AM30" s="80">
        <f>IF(T30="SOPORTE_TELEFÓNICO",'BASE LIQUIDACION'!$B$10,(AH30*AL30+AI30*'BASE LIQUIDACION'!$B$12+AJ30*'BASE LIQUIDACION'!$B$11+INCIDENTES!AK30*'BASE LIQUIDACION'!$B$13))</f>
        <v>37904.65408</v>
      </c>
    </row>
    <row r="31" spans="1:39" s="4" customFormat="1">
      <c r="A31" s="104" t="s">
        <v>275</v>
      </c>
      <c r="B31" s="56" t="str">
        <f>VLOOKUP(A31,'CENTRO DE COSTOS'!A:D,4,FALSE)</f>
        <v>MIGUEL JULIÁN HERNÁNDEZ GUARÍN</v>
      </c>
      <c r="C31" s="56" t="str">
        <f>VLOOKUP(A31,'CENTRO DE COSTOS'!A:D,2,FALSE)</f>
        <v>0004-0008</v>
      </c>
      <c r="D31" s="104">
        <v>54001</v>
      </c>
      <c r="E31" s="104">
        <v>2259951</v>
      </c>
      <c r="F31" s="104" t="s">
        <v>1653</v>
      </c>
      <c r="G31" s="105">
        <v>45813.557638888888</v>
      </c>
      <c r="H31" s="105">
        <v>45813.640277777777</v>
      </c>
      <c r="I31" s="104" t="s">
        <v>278</v>
      </c>
      <c r="J31" s="104" t="s">
        <v>275</v>
      </c>
      <c r="K31" s="104" t="s">
        <v>1654</v>
      </c>
      <c r="L31" s="104">
        <v>58678</v>
      </c>
      <c r="M31" s="56" t="s">
        <v>1505</v>
      </c>
      <c r="N31" s="56" t="s">
        <v>119</v>
      </c>
      <c r="O31" s="104" t="s">
        <v>1524</v>
      </c>
      <c r="P31" s="56"/>
      <c r="Q31" s="104" t="s">
        <v>1506</v>
      </c>
      <c r="R31" s="106" t="s">
        <v>1655</v>
      </c>
      <c r="S31" s="107" t="s">
        <v>1656</v>
      </c>
      <c r="T31" s="104" t="s">
        <v>1509</v>
      </c>
      <c r="U31" s="107" t="s">
        <v>1657</v>
      </c>
      <c r="V31" s="108" t="s">
        <v>1511</v>
      </c>
      <c r="W31" s="109" t="s">
        <v>1512</v>
      </c>
      <c r="X31" s="109" t="s">
        <v>1533</v>
      </c>
      <c r="Y31" s="109" t="s">
        <v>1534</v>
      </c>
      <c r="Z31" s="109" t="s">
        <v>1515</v>
      </c>
      <c r="AA31" s="109">
        <v>0</v>
      </c>
      <c r="AB31" s="109">
        <v>0</v>
      </c>
      <c r="AC31" s="109">
        <v>0</v>
      </c>
      <c r="AD31" s="109">
        <v>0</v>
      </c>
      <c r="AE31" s="110">
        <v>0</v>
      </c>
      <c r="AF31" s="77" t="str">
        <f>VLOOKUP(D31,TIPOLOGIAS!A:H,6,0)</f>
        <v>TIPO I</v>
      </c>
      <c r="AG31" s="77" t="str">
        <f>VLOOKUP(D31,TIPOLOGIAS!A:H,5,0)</f>
        <v>TERRESTRE</v>
      </c>
      <c r="AH31" s="104">
        <v>1</v>
      </c>
      <c r="AI31" s="104">
        <v>0</v>
      </c>
      <c r="AJ31" s="104">
        <v>0</v>
      </c>
      <c r="AK31" s="104">
        <v>0</v>
      </c>
      <c r="AL31" s="78">
        <f>IF(T31="SOPORTE_TELEFÓNICO",'BASE LIQUIDACION'!$B$10,IF(AF31="TIPO I",'BASE LIQUIDACION'!$C$3,IF(AF31="TIPO II",'BASE LIQUIDACION'!$C$4,IF(AF31="TIPO III",'BASE LIQUIDACION'!$C$5,'BASE LIQUIDACION'!$C$7))))</f>
        <v>65960.473639999997</v>
      </c>
      <c r="AM31" s="80">
        <f>IF(T31="SOPORTE_TELEFÓNICO",'BASE LIQUIDACION'!$B$10,(AH31*AL31+AI31*'BASE LIQUIDACION'!$B$12+AJ31*'BASE LIQUIDACION'!$B$11+INCIDENTES!AK31*'BASE LIQUIDACION'!$B$13))</f>
        <v>65960.473639999997</v>
      </c>
    </row>
    <row r="32" spans="1:39" s="4" customFormat="1">
      <c r="A32" s="104" t="s">
        <v>172</v>
      </c>
      <c r="B32" s="56" t="str">
        <f>VLOOKUP(A32,'CENTRO DE COSTOS'!A:D,4,FALSE)</f>
        <v>MIGUEL JULIÁN HERNÁNDEZ GUARÍN</v>
      </c>
      <c r="C32" s="56" t="str">
        <f>VLOOKUP(A32,'CENTRO DE COSTOS'!A:D,2,FALSE)</f>
        <v>0004-0008</v>
      </c>
      <c r="D32" s="104">
        <v>68406</v>
      </c>
      <c r="E32" s="104">
        <v>2257993</v>
      </c>
      <c r="F32" s="104" t="s">
        <v>1658</v>
      </c>
      <c r="G32" s="105">
        <v>45813.421527777777</v>
      </c>
      <c r="H32" s="105">
        <v>45813.642361111109</v>
      </c>
      <c r="I32" s="104" t="s">
        <v>175</v>
      </c>
      <c r="J32" s="104" t="s">
        <v>1330</v>
      </c>
      <c r="K32" s="104" t="s">
        <v>1659</v>
      </c>
      <c r="L32" s="104">
        <v>39413</v>
      </c>
      <c r="M32" s="56" t="s">
        <v>1505</v>
      </c>
      <c r="N32" s="56" t="s">
        <v>119</v>
      </c>
      <c r="O32" s="104" t="s">
        <v>1524</v>
      </c>
      <c r="P32" s="56"/>
      <c r="Q32" s="104" t="s">
        <v>1506</v>
      </c>
      <c r="R32" s="106" t="s">
        <v>1660</v>
      </c>
      <c r="S32" s="107" t="s">
        <v>178</v>
      </c>
      <c r="T32" s="104" t="s">
        <v>1509</v>
      </c>
      <c r="U32" s="107" t="s">
        <v>1661</v>
      </c>
      <c r="V32" s="108" t="s">
        <v>1511</v>
      </c>
      <c r="W32" s="109" t="s">
        <v>1512</v>
      </c>
      <c r="X32" s="109" t="s">
        <v>1600</v>
      </c>
      <c r="Y32" s="109" t="s">
        <v>1626</v>
      </c>
      <c r="Z32" s="109" t="s">
        <v>1515</v>
      </c>
      <c r="AA32" s="109">
        <v>0</v>
      </c>
      <c r="AB32" s="109">
        <v>0</v>
      </c>
      <c r="AC32" s="109">
        <v>0</v>
      </c>
      <c r="AD32" s="109">
        <v>0</v>
      </c>
      <c r="AE32" s="110">
        <v>0</v>
      </c>
      <c r="AF32" s="77" t="str">
        <f>VLOOKUP(D32,TIPOLOGIAS!A:H,6,0)</f>
        <v>TIPO II</v>
      </c>
      <c r="AG32" s="77" t="str">
        <f>VLOOKUP(D32,TIPOLOGIAS!A:H,5,0)</f>
        <v>TERRESTRE</v>
      </c>
      <c r="AH32" s="104">
        <v>1</v>
      </c>
      <c r="AI32" s="104">
        <v>0</v>
      </c>
      <c r="AJ32" s="104">
        <v>0</v>
      </c>
      <c r="AK32" s="104">
        <v>0</v>
      </c>
      <c r="AL32" s="78">
        <f>IF(T32="SOPORTE_TELEFÓNICO",'BASE LIQUIDACION'!$B$10,IF(AF32="TIPO I",'BASE LIQUIDACION'!$C$3,IF(AF32="TIPO II",'BASE LIQUIDACION'!$C$4,IF(AF32="TIPO III",'BASE LIQUIDACION'!$C$5,'BASE LIQUIDACION'!$C$7))))</f>
        <v>163813.55812</v>
      </c>
      <c r="AM32" s="80">
        <f>IF(T32="SOPORTE_TELEFÓNICO",'BASE LIQUIDACION'!$B$10,(AH32*AL32+AI32*'BASE LIQUIDACION'!$B$12+AJ32*'BASE LIQUIDACION'!$B$11+INCIDENTES!AK32*'BASE LIQUIDACION'!$B$13))</f>
        <v>163813.55812</v>
      </c>
    </row>
    <row r="33" spans="1:39" s="4" customFormat="1">
      <c r="A33" s="104" t="s">
        <v>111</v>
      </c>
      <c r="B33" s="56" t="str">
        <f>VLOOKUP(A33,'CENTRO DE COSTOS'!A:D,4,FALSE)</f>
        <v>JUAN SEBASTIÁN RÍOS CASTRILLÓN</v>
      </c>
      <c r="C33" s="56" t="str">
        <f>VLOOKUP(A33,'CENTRO DE COSTOS'!A:D,2,FALSE)</f>
        <v>0004-0005</v>
      </c>
      <c r="D33" s="104">
        <v>27361</v>
      </c>
      <c r="E33" s="104">
        <v>2242568</v>
      </c>
      <c r="F33" s="104" t="s">
        <v>1662</v>
      </c>
      <c r="G33" s="105">
        <v>45811.370138888888</v>
      </c>
      <c r="H33" s="105">
        <v>45814.329861111109</v>
      </c>
      <c r="I33" s="104" t="s">
        <v>114</v>
      </c>
      <c r="J33" s="104" t="s">
        <v>115</v>
      </c>
      <c r="K33" s="104" t="s">
        <v>1663</v>
      </c>
      <c r="L33" s="104">
        <v>33856</v>
      </c>
      <c r="M33" s="56" t="s">
        <v>1505</v>
      </c>
      <c r="N33" s="56" t="s">
        <v>119</v>
      </c>
      <c r="O33" s="104" t="s">
        <v>1524</v>
      </c>
      <c r="P33" s="56"/>
      <c r="Q33" s="104" t="s">
        <v>1506</v>
      </c>
      <c r="R33" s="106" t="s">
        <v>1664</v>
      </c>
      <c r="S33" s="107" t="s">
        <v>123</v>
      </c>
      <c r="T33" s="104" t="s">
        <v>1509</v>
      </c>
      <c r="U33" s="107" t="s">
        <v>1665</v>
      </c>
      <c r="V33" s="108" t="s">
        <v>1511</v>
      </c>
      <c r="W33" s="109" t="s">
        <v>1512</v>
      </c>
      <c r="X33" s="109" t="s">
        <v>1513</v>
      </c>
      <c r="Y33" s="109" t="s">
        <v>1514</v>
      </c>
      <c r="Z33" s="109" t="s">
        <v>1515</v>
      </c>
      <c r="AA33" s="109">
        <v>0</v>
      </c>
      <c r="AB33" s="109">
        <v>0</v>
      </c>
      <c r="AC33" s="109">
        <v>0</v>
      </c>
      <c r="AD33" s="109">
        <v>0</v>
      </c>
      <c r="AE33" s="110">
        <v>0</v>
      </c>
      <c r="AF33" s="77" t="str">
        <f>VLOOKUP(D33,TIPOLOGIAS!A:H,6,0)</f>
        <v>TIPO IV ESPECIAL</v>
      </c>
      <c r="AG33" s="77" t="str">
        <f>VLOOKUP(D33,TIPOLOGIAS!A:H,5,0)</f>
        <v>AEREO</v>
      </c>
      <c r="AH33" s="104">
        <v>1</v>
      </c>
      <c r="AI33" s="104">
        <v>0</v>
      </c>
      <c r="AJ33" s="104">
        <v>0</v>
      </c>
      <c r="AK33" s="104">
        <v>0</v>
      </c>
      <c r="AL33" s="78">
        <f>IF(T33="SOPORTE_TELEFÓNICO",'BASE LIQUIDACION'!$B$10,IF(AF33="TIPO I",'BASE LIQUIDACION'!$C$3,IF(AF33="TIPO II",'BASE LIQUIDACION'!$C$4,IF(AF33="TIPO III",'BASE LIQUIDACION'!$C$5,'BASE LIQUIDACION'!$C$7))))</f>
        <v>479589.73656000005</v>
      </c>
      <c r="AM33" s="80">
        <f>IF(T33="SOPORTE_TELEFÓNICO",'BASE LIQUIDACION'!$B$10,(AH33*AL33+AI33*'BASE LIQUIDACION'!$B$12+AJ33*'BASE LIQUIDACION'!$B$11+INCIDENTES!AK33*'BASE LIQUIDACION'!$B$13))</f>
        <v>479589.73656000005</v>
      </c>
    </row>
    <row r="34" spans="1:39" s="4" customFormat="1">
      <c r="A34" s="104" t="s">
        <v>275</v>
      </c>
      <c r="B34" s="56" t="str">
        <f>VLOOKUP(A34,'CENTRO DE COSTOS'!A:D,4,FALSE)</f>
        <v>MIGUEL JULIÁN HERNÁNDEZ GUARÍN</v>
      </c>
      <c r="C34" s="56" t="str">
        <f>VLOOKUP(A34,'CENTRO DE COSTOS'!A:D,2,FALSE)</f>
        <v>0004-0008</v>
      </c>
      <c r="D34" s="104">
        <v>54405</v>
      </c>
      <c r="E34" s="104">
        <v>2258236</v>
      </c>
      <c r="F34" s="104" t="s">
        <v>1666</v>
      </c>
      <c r="G34" s="105">
        <v>45813.428472222222</v>
      </c>
      <c r="H34" s="105">
        <v>45814.347916666666</v>
      </c>
      <c r="I34" s="104" t="s">
        <v>278</v>
      </c>
      <c r="J34" s="104" t="s">
        <v>1246</v>
      </c>
      <c r="K34" s="104" t="s">
        <v>1667</v>
      </c>
      <c r="L34" s="104">
        <v>76013</v>
      </c>
      <c r="M34" s="56" t="s">
        <v>1505</v>
      </c>
      <c r="N34" s="56" t="s">
        <v>119</v>
      </c>
      <c r="O34" s="104" t="s">
        <v>1524</v>
      </c>
      <c r="P34" s="56"/>
      <c r="Q34" s="104" t="s">
        <v>1506</v>
      </c>
      <c r="R34" s="106" t="s">
        <v>1668</v>
      </c>
      <c r="S34" s="107" t="s">
        <v>1669</v>
      </c>
      <c r="T34" s="104" t="s">
        <v>1520</v>
      </c>
      <c r="U34" s="107">
        <v>0</v>
      </c>
      <c r="V34" s="108" t="s">
        <v>1511</v>
      </c>
      <c r="W34" s="109" t="s">
        <v>1512</v>
      </c>
      <c r="X34" s="109" t="s">
        <v>1600</v>
      </c>
      <c r="Y34" s="109" t="s">
        <v>1601</v>
      </c>
      <c r="Z34" s="109" t="s">
        <v>1515</v>
      </c>
      <c r="AA34" s="109">
        <v>0</v>
      </c>
      <c r="AB34" s="109">
        <v>0</v>
      </c>
      <c r="AC34" s="109">
        <v>0</v>
      </c>
      <c r="AD34" s="109">
        <v>0</v>
      </c>
      <c r="AE34" s="110">
        <v>0</v>
      </c>
      <c r="AF34" s="77" t="str">
        <f>VLOOKUP(D34,TIPOLOGIAS!A:H,6,0)</f>
        <v>TIPO I</v>
      </c>
      <c r="AG34" s="77" t="str">
        <f>VLOOKUP(D34,TIPOLOGIAS!A:H,5,0)</f>
        <v>TERRESTRE</v>
      </c>
      <c r="AH34" s="104">
        <v>0</v>
      </c>
      <c r="AI34" s="104">
        <v>0</v>
      </c>
      <c r="AJ34" s="104">
        <v>0</v>
      </c>
      <c r="AK34" s="104">
        <v>0</v>
      </c>
      <c r="AL34" s="78">
        <f>IF(T34="SOPORTE_TELEFÓNICO",'BASE LIQUIDACION'!$B$10,IF(AF34="TIPO I",'BASE LIQUIDACION'!$C$3,IF(AF34="TIPO II",'BASE LIQUIDACION'!$C$4,IF(AF34="TIPO III",'BASE LIQUIDACION'!$C$5,'BASE LIQUIDACION'!$C$7))))</f>
        <v>37904.65408</v>
      </c>
      <c r="AM34" s="80">
        <f>IF(T34="SOPORTE_TELEFÓNICO",'BASE LIQUIDACION'!$B$10,(AH34*AL34+AI34*'BASE LIQUIDACION'!$B$12+AJ34*'BASE LIQUIDACION'!$B$11+INCIDENTES!AK34*'BASE LIQUIDACION'!$B$13))</f>
        <v>37904.65408</v>
      </c>
    </row>
    <row r="35" spans="1:39" s="4" customFormat="1">
      <c r="A35" s="104" t="s">
        <v>163</v>
      </c>
      <c r="B35" s="56" t="str">
        <f>VLOOKUP(A35,'CENTRO DE COSTOS'!A:D,4,FALSE)</f>
        <v>WILLIAM ASDRUBAL ROZO ROZO</v>
      </c>
      <c r="C35" s="56" t="str">
        <f>VLOOKUP(A35,'CENTRO DE COSTOS'!A:D,2,FALSE)</f>
        <v>0004-0004</v>
      </c>
      <c r="D35" s="104">
        <v>11001</v>
      </c>
      <c r="E35" s="104">
        <v>2262247</v>
      </c>
      <c r="F35" s="104" t="s">
        <v>1670</v>
      </c>
      <c r="G35" s="105">
        <v>45814.333333333336</v>
      </c>
      <c r="H35" s="105">
        <v>45814.64471064815</v>
      </c>
      <c r="I35" s="104" t="s">
        <v>166</v>
      </c>
      <c r="J35" s="104" t="s">
        <v>163</v>
      </c>
      <c r="K35" s="104" t="s">
        <v>1671</v>
      </c>
      <c r="L35" s="104">
        <v>53571</v>
      </c>
      <c r="M35" s="56" t="s">
        <v>1505</v>
      </c>
      <c r="N35" s="56" t="s">
        <v>119</v>
      </c>
      <c r="O35" s="104" t="s">
        <v>332</v>
      </c>
      <c r="P35" s="56"/>
      <c r="Q35" s="104" t="s">
        <v>1506</v>
      </c>
      <c r="R35" s="106" t="s">
        <v>1672</v>
      </c>
      <c r="S35" s="107" t="s">
        <v>1673</v>
      </c>
      <c r="T35" s="104" t="s">
        <v>1509</v>
      </c>
      <c r="U35" s="107" t="s">
        <v>1674</v>
      </c>
      <c r="V35" s="108" t="s">
        <v>1511</v>
      </c>
      <c r="W35" s="109" t="s">
        <v>1512</v>
      </c>
      <c r="X35" s="109" t="s">
        <v>1533</v>
      </c>
      <c r="Y35" s="109" t="s">
        <v>1534</v>
      </c>
      <c r="Z35" s="109" t="s">
        <v>1515</v>
      </c>
      <c r="AA35" s="109">
        <v>0</v>
      </c>
      <c r="AB35" s="109">
        <v>0</v>
      </c>
      <c r="AC35" s="109">
        <v>0</v>
      </c>
      <c r="AD35" s="109">
        <v>0</v>
      </c>
      <c r="AE35" s="110">
        <v>0</v>
      </c>
      <c r="AF35" s="77" t="str">
        <f>VLOOKUP(D35,TIPOLOGIAS!A:H,6,0)</f>
        <v>TIPO I</v>
      </c>
      <c r="AG35" s="77" t="str">
        <f>VLOOKUP(D35,TIPOLOGIAS!A:H,5,0)</f>
        <v>TERRESTRE</v>
      </c>
      <c r="AH35" s="104">
        <v>1</v>
      </c>
      <c r="AI35" s="104">
        <v>0</v>
      </c>
      <c r="AJ35" s="104">
        <v>0</v>
      </c>
      <c r="AK35" s="104">
        <v>0</v>
      </c>
      <c r="AL35" s="78">
        <f>IF(T35="SOPORTE_TELEFÓNICO",'BASE LIQUIDACION'!$B$10,IF(AF35="TIPO I",'BASE LIQUIDACION'!$C$3,IF(AF35="TIPO II",'BASE LIQUIDACION'!$C$4,IF(AF35="TIPO III",'BASE LIQUIDACION'!$C$5,'BASE LIQUIDACION'!$C$7))))</f>
        <v>65960.473639999997</v>
      </c>
      <c r="AM35" s="80">
        <f>IF(T35="SOPORTE_TELEFÓNICO",'BASE LIQUIDACION'!$B$10,(AH35*AL35+AI35*'BASE LIQUIDACION'!$B$12+AJ35*'BASE LIQUIDACION'!$B$11+INCIDENTES!AK35*'BASE LIQUIDACION'!$B$13))</f>
        <v>65960.473639999997</v>
      </c>
    </row>
    <row r="36" spans="1:39" s="4" customFormat="1">
      <c r="A36" s="104" t="s">
        <v>195</v>
      </c>
      <c r="B36" s="56" t="str">
        <f>VLOOKUP(A36,'CENTRO DE COSTOS'!A:D,4,FALSE)</f>
        <v>DIEGO FERNANDO HENAO CARDONA</v>
      </c>
      <c r="C36" s="56" t="str">
        <f>VLOOKUP(A36,'CENTRO DE COSTOS'!A:D,2,FALSE)</f>
        <v>0004-0002</v>
      </c>
      <c r="D36" s="104">
        <v>63001</v>
      </c>
      <c r="E36" s="104">
        <v>2262511</v>
      </c>
      <c r="F36" s="104" t="s">
        <v>1675</v>
      </c>
      <c r="G36" s="105">
        <v>45814.333333333336</v>
      </c>
      <c r="H36" s="105">
        <v>45815.433831018519</v>
      </c>
      <c r="I36" s="104" t="s">
        <v>1271</v>
      </c>
      <c r="J36" s="104" t="s">
        <v>468</v>
      </c>
      <c r="K36" s="104" t="s">
        <v>1676</v>
      </c>
      <c r="L36" s="104">
        <v>67674</v>
      </c>
      <c r="M36" s="56" t="s">
        <v>1505</v>
      </c>
      <c r="N36" s="56" t="s">
        <v>119</v>
      </c>
      <c r="O36" s="104" t="s">
        <v>1524</v>
      </c>
      <c r="P36" s="56"/>
      <c r="Q36" s="104" t="s">
        <v>1506</v>
      </c>
      <c r="R36" s="106" t="s">
        <v>1677</v>
      </c>
      <c r="S36" s="107" t="s">
        <v>1678</v>
      </c>
      <c r="T36" s="104" t="s">
        <v>1509</v>
      </c>
      <c r="U36" s="107" t="s">
        <v>1679</v>
      </c>
      <c r="V36" s="108" t="s">
        <v>1511</v>
      </c>
      <c r="W36" s="109" t="s">
        <v>1512</v>
      </c>
      <c r="X36" s="109" t="s">
        <v>1533</v>
      </c>
      <c r="Y36" s="109" t="s">
        <v>1534</v>
      </c>
      <c r="Z36" s="109" t="s">
        <v>1515</v>
      </c>
      <c r="AA36" s="109">
        <v>0</v>
      </c>
      <c r="AB36" s="109">
        <v>0</v>
      </c>
      <c r="AC36" s="109">
        <v>0</v>
      </c>
      <c r="AD36" s="109">
        <v>0</v>
      </c>
      <c r="AE36" s="110">
        <v>0</v>
      </c>
      <c r="AF36" s="77" t="str">
        <f>VLOOKUP(D36,TIPOLOGIAS!A:H,6,0)</f>
        <v>TIPO II</v>
      </c>
      <c r="AG36" s="77" t="str">
        <f>VLOOKUP(D36,TIPOLOGIAS!A:H,5,0)</f>
        <v>TERRESTRE</v>
      </c>
      <c r="AH36" s="104">
        <v>1</v>
      </c>
      <c r="AI36" s="104">
        <v>0</v>
      </c>
      <c r="AJ36" s="104">
        <v>0</v>
      </c>
      <c r="AK36" s="104">
        <v>0</v>
      </c>
      <c r="AL36" s="78">
        <f>IF(T36="SOPORTE_TELEFÓNICO",'BASE LIQUIDACION'!$B$10,IF(AF36="TIPO I",'BASE LIQUIDACION'!$C$3,IF(AF36="TIPO II",'BASE LIQUIDACION'!$C$4,IF(AF36="TIPO III",'BASE LIQUIDACION'!$C$5,'BASE LIQUIDACION'!$C$7))))</f>
        <v>163813.55812</v>
      </c>
      <c r="AM36" s="80">
        <f>IF(T36="SOPORTE_TELEFÓNICO",'BASE LIQUIDACION'!$B$10,(AH36*AL36+AI36*'BASE LIQUIDACION'!$B$12+AJ36*'BASE LIQUIDACION'!$B$11+INCIDENTES!AK36*'BASE LIQUIDACION'!$B$13))</f>
        <v>163813.55812</v>
      </c>
    </row>
    <row r="37" spans="1:39" s="4" customFormat="1">
      <c r="A37" s="104" t="s">
        <v>163</v>
      </c>
      <c r="B37" s="56" t="str">
        <f>VLOOKUP(A37,'CENTRO DE COSTOS'!A:D,4,FALSE)</f>
        <v>WILLIAM ASDRUBAL ROZO ROZO</v>
      </c>
      <c r="C37" s="56" t="str">
        <f>VLOOKUP(A37,'CENTRO DE COSTOS'!A:D,2,FALSE)</f>
        <v>0004-0004</v>
      </c>
      <c r="D37" s="104">
        <v>11001</v>
      </c>
      <c r="E37" s="104">
        <v>2265056</v>
      </c>
      <c r="F37" s="104" t="s">
        <v>1680</v>
      </c>
      <c r="G37" s="105">
        <v>45814.476388888892</v>
      </c>
      <c r="H37" s="105">
        <v>45815.459027777775</v>
      </c>
      <c r="I37" s="104" t="s">
        <v>166</v>
      </c>
      <c r="J37" s="104" t="s">
        <v>163</v>
      </c>
      <c r="K37" s="104" t="s">
        <v>1681</v>
      </c>
      <c r="L37" s="104">
        <v>79607</v>
      </c>
      <c r="M37" s="56" t="s">
        <v>1505</v>
      </c>
      <c r="N37" s="56" t="s">
        <v>119</v>
      </c>
      <c r="O37" s="104" t="s">
        <v>1524</v>
      </c>
      <c r="P37" s="56"/>
      <c r="Q37" s="104" t="s">
        <v>1506</v>
      </c>
      <c r="R37" s="106" t="s">
        <v>1682</v>
      </c>
      <c r="S37" s="107" t="s">
        <v>439</v>
      </c>
      <c r="T37" s="104" t="s">
        <v>1509</v>
      </c>
      <c r="U37" s="107" t="s">
        <v>1683</v>
      </c>
      <c r="V37" s="108" t="s">
        <v>1684</v>
      </c>
      <c r="W37" s="109" t="s">
        <v>1512</v>
      </c>
      <c r="X37" s="109" t="s">
        <v>1513</v>
      </c>
      <c r="Y37" s="109" t="s">
        <v>1521</v>
      </c>
      <c r="Z37" s="109" t="s">
        <v>1515</v>
      </c>
      <c r="AA37" s="109">
        <v>0</v>
      </c>
      <c r="AB37" s="109">
        <v>0</v>
      </c>
      <c r="AC37" s="109">
        <v>0</v>
      </c>
      <c r="AD37" s="109">
        <v>0</v>
      </c>
      <c r="AE37" s="110" t="s">
        <v>1573</v>
      </c>
      <c r="AF37" s="77" t="str">
        <f>VLOOKUP(D37,TIPOLOGIAS!A:H,6,0)</f>
        <v>TIPO I</v>
      </c>
      <c r="AG37" s="77" t="str">
        <f>VLOOKUP(D37,TIPOLOGIAS!A:H,5,0)</f>
        <v>TERRESTRE</v>
      </c>
      <c r="AH37" s="104">
        <v>1</v>
      </c>
      <c r="AI37" s="104">
        <v>8</v>
      </c>
      <c r="AJ37" s="104">
        <v>0</v>
      </c>
      <c r="AK37" s="104">
        <v>0</v>
      </c>
      <c r="AL37" s="78">
        <f>IF(T37="SOPORTE_TELEFÓNICO",'BASE LIQUIDACION'!$B$10,IF(AF37="TIPO I",'BASE LIQUIDACION'!$C$3,IF(AF37="TIPO II",'BASE LIQUIDACION'!$C$4,IF(AF37="TIPO III",'BASE LIQUIDACION'!$C$5,'BASE LIQUIDACION'!$C$7))))</f>
        <v>65960.473639999997</v>
      </c>
      <c r="AM37" s="80">
        <f>IF(T37="SOPORTE_TELEFÓNICO",'BASE LIQUIDACION'!$B$10,(AH37*AL37+AI37*'BASE LIQUIDACION'!$B$12+AJ37*'BASE LIQUIDACION'!$B$11+INCIDENTES!AK37*'BASE LIQUIDACION'!$B$13))</f>
        <v>195838.03716000001</v>
      </c>
    </row>
    <row r="38" spans="1:39" s="4" customFormat="1">
      <c r="A38" s="104" t="s">
        <v>138</v>
      </c>
      <c r="B38" s="56" t="str">
        <f>VLOOKUP(A38,'CENTRO DE COSTOS'!A:D,4,FALSE)</f>
        <v>DIEGO FERNANDO HENAO CARDONA</v>
      </c>
      <c r="C38" s="56" t="str">
        <f>VLOOKUP(A38,'CENTRO DE COSTOS'!A:D,2,FALSE)</f>
        <v>0004-0003</v>
      </c>
      <c r="D38" s="104">
        <v>76001</v>
      </c>
      <c r="E38" s="104">
        <v>2268464</v>
      </c>
      <c r="F38" s="104" t="s">
        <v>1685</v>
      </c>
      <c r="G38" s="105">
        <v>45815.427777777775</v>
      </c>
      <c r="H38" s="105">
        <v>45815.530416666668</v>
      </c>
      <c r="I38" s="104" t="s">
        <v>141</v>
      </c>
      <c r="J38" s="104" t="s">
        <v>138</v>
      </c>
      <c r="K38" s="104" t="s">
        <v>1686</v>
      </c>
      <c r="L38" s="104">
        <v>45396</v>
      </c>
      <c r="M38" s="56" t="s">
        <v>1505</v>
      </c>
      <c r="N38" s="56" t="s">
        <v>119</v>
      </c>
      <c r="O38" s="104" t="s">
        <v>332</v>
      </c>
      <c r="P38" s="56"/>
      <c r="Q38" s="104" t="s">
        <v>1506</v>
      </c>
      <c r="R38" s="106" t="s">
        <v>1687</v>
      </c>
      <c r="S38" s="107" t="s">
        <v>1538</v>
      </c>
      <c r="T38" s="104" t="s">
        <v>1509</v>
      </c>
      <c r="U38" s="107" t="s">
        <v>1688</v>
      </c>
      <c r="V38" s="108" t="s">
        <v>1511</v>
      </c>
      <c r="W38" s="109" t="s">
        <v>1512</v>
      </c>
      <c r="X38" s="109" t="s">
        <v>1533</v>
      </c>
      <c r="Y38" s="109" t="s">
        <v>1534</v>
      </c>
      <c r="Z38" s="109" t="s">
        <v>1515</v>
      </c>
      <c r="AA38" s="109">
        <v>0</v>
      </c>
      <c r="AB38" s="109">
        <v>0</v>
      </c>
      <c r="AC38" s="109">
        <v>0</v>
      </c>
      <c r="AD38" s="109">
        <v>0</v>
      </c>
      <c r="AE38" s="110">
        <v>0</v>
      </c>
      <c r="AF38" s="77" t="str">
        <f>VLOOKUP(D38,TIPOLOGIAS!A:H,6,0)</f>
        <v>TIPO I</v>
      </c>
      <c r="AG38" s="77" t="str">
        <f>VLOOKUP(D38,TIPOLOGIAS!A:H,5,0)</f>
        <v>TERRESTRE</v>
      </c>
      <c r="AH38" s="104">
        <v>1</v>
      </c>
      <c r="AI38" s="104">
        <v>0</v>
      </c>
      <c r="AJ38" s="104">
        <v>0</v>
      </c>
      <c r="AK38" s="104">
        <v>0</v>
      </c>
      <c r="AL38" s="78">
        <f>IF(T38="SOPORTE_TELEFÓNICO",'BASE LIQUIDACION'!$B$10,IF(AF38="TIPO I",'BASE LIQUIDACION'!$C$3,IF(AF38="TIPO II",'BASE LIQUIDACION'!$C$4,IF(AF38="TIPO III",'BASE LIQUIDACION'!$C$5,'BASE LIQUIDACION'!$C$7))))</f>
        <v>65960.473639999997</v>
      </c>
      <c r="AM38" s="80">
        <f>IF(T38="SOPORTE_TELEFÓNICO",'BASE LIQUIDACION'!$B$10,(AH38*AL38+AI38*'BASE LIQUIDACION'!$B$12+AJ38*'BASE LIQUIDACION'!$B$11+INCIDENTES!AK38*'BASE LIQUIDACION'!$B$13))</f>
        <v>65960.473639999997</v>
      </c>
    </row>
    <row r="39" spans="1:39" s="4" customFormat="1">
      <c r="A39" s="104" t="s">
        <v>781</v>
      </c>
      <c r="B39" s="56" t="str">
        <f>VLOOKUP(A39,'CENTRO DE COSTOS'!A:D,4,FALSE)</f>
        <v>DIEGO FERNANDO HENAO CARDONA</v>
      </c>
      <c r="C39" s="56" t="str">
        <f>VLOOKUP(A39,'CENTRO DE COSTOS'!A:D,2,FALSE)</f>
        <v>0004-0002</v>
      </c>
      <c r="D39" s="104">
        <v>17001</v>
      </c>
      <c r="E39" s="104">
        <v>2268488</v>
      </c>
      <c r="F39" s="104" t="s">
        <v>1689</v>
      </c>
      <c r="G39" s="105">
        <v>45815.443749999999</v>
      </c>
      <c r="H39" s="105">
        <v>45815.510416666664</v>
      </c>
      <c r="I39" s="104" t="s">
        <v>473</v>
      </c>
      <c r="J39" s="104" t="s">
        <v>781</v>
      </c>
      <c r="K39" s="104" t="s">
        <v>1690</v>
      </c>
      <c r="L39" s="104">
        <v>75659</v>
      </c>
      <c r="M39" s="56" t="s">
        <v>1505</v>
      </c>
      <c r="N39" s="56" t="s">
        <v>119</v>
      </c>
      <c r="O39" s="104" t="s">
        <v>1524</v>
      </c>
      <c r="P39" s="56"/>
      <c r="Q39" s="104" t="s">
        <v>1506</v>
      </c>
      <c r="R39" s="106" t="s">
        <v>1691</v>
      </c>
      <c r="S39" s="107" t="s">
        <v>1519</v>
      </c>
      <c r="T39" s="104" t="s">
        <v>1520</v>
      </c>
      <c r="U39" s="107">
        <v>0</v>
      </c>
      <c r="V39" s="108" t="s">
        <v>1511</v>
      </c>
      <c r="W39" s="109" t="s">
        <v>1512</v>
      </c>
      <c r="X39" s="109" t="s">
        <v>1556</v>
      </c>
      <c r="Y39" s="109" t="s">
        <v>1557</v>
      </c>
      <c r="Z39" s="109" t="s">
        <v>1515</v>
      </c>
      <c r="AA39" s="109">
        <v>0</v>
      </c>
      <c r="AB39" s="109">
        <v>0</v>
      </c>
      <c r="AC39" s="109">
        <v>0</v>
      </c>
      <c r="AD39" s="109">
        <v>0</v>
      </c>
      <c r="AE39" s="110">
        <v>0</v>
      </c>
      <c r="AF39" s="77" t="str">
        <f>VLOOKUP(D39,TIPOLOGIAS!A:H,6,0)</f>
        <v>TIPO I</v>
      </c>
      <c r="AG39" s="77" t="str">
        <f>VLOOKUP(D39,TIPOLOGIAS!A:H,5,0)</f>
        <v>TERRESTRE</v>
      </c>
      <c r="AH39" s="104">
        <v>0</v>
      </c>
      <c r="AI39" s="104">
        <v>0</v>
      </c>
      <c r="AJ39" s="104">
        <v>0</v>
      </c>
      <c r="AK39" s="104">
        <v>0</v>
      </c>
      <c r="AL39" s="78">
        <f>IF(T39="SOPORTE_TELEFÓNICO",'BASE LIQUIDACION'!$B$10,IF(AF39="TIPO I",'BASE LIQUIDACION'!$C$3,IF(AF39="TIPO II",'BASE LIQUIDACION'!$C$4,IF(AF39="TIPO III",'BASE LIQUIDACION'!$C$5,'BASE LIQUIDACION'!$C$7))))</f>
        <v>37904.65408</v>
      </c>
      <c r="AM39" s="80">
        <f>IF(T39="SOPORTE_TELEFÓNICO",'BASE LIQUIDACION'!$B$10,(AH39*AL39+AI39*'BASE LIQUIDACION'!$B$12+AJ39*'BASE LIQUIDACION'!$B$11+INCIDENTES!AK39*'BASE LIQUIDACION'!$B$13))</f>
        <v>37904.65408</v>
      </c>
    </row>
    <row r="40" spans="1:39" s="4" customFormat="1">
      <c r="A40" s="104" t="s">
        <v>111</v>
      </c>
      <c r="B40" s="56" t="str">
        <f>VLOOKUP(A40,'CENTRO DE COSTOS'!A:D,4,FALSE)</f>
        <v>JUAN SEBASTIÁN RÍOS CASTRILLÓN</v>
      </c>
      <c r="C40" s="56" t="str">
        <f>VLOOKUP(A40,'CENTRO DE COSTOS'!A:D,2,FALSE)</f>
        <v>0004-0005</v>
      </c>
      <c r="D40" s="104">
        <v>5001</v>
      </c>
      <c r="E40" s="104">
        <v>2268558</v>
      </c>
      <c r="F40" s="104" t="s">
        <v>1692</v>
      </c>
      <c r="G40" s="105">
        <v>45815.529861111114</v>
      </c>
      <c r="H40" s="105">
        <v>45816.419548611113</v>
      </c>
      <c r="I40" s="104" t="s">
        <v>131</v>
      </c>
      <c r="J40" s="104" t="s">
        <v>111</v>
      </c>
      <c r="K40" s="104" t="s">
        <v>1693</v>
      </c>
      <c r="L40" s="104">
        <v>50309</v>
      </c>
      <c r="M40" s="56" t="s">
        <v>1505</v>
      </c>
      <c r="N40" s="56" t="s">
        <v>119</v>
      </c>
      <c r="O40" s="104" t="s">
        <v>1524</v>
      </c>
      <c r="P40" s="56"/>
      <c r="Q40" s="104" t="s">
        <v>1506</v>
      </c>
      <c r="R40" s="106" t="s">
        <v>1694</v>
      </c>
      <c r="S40" s="107" t="s">
        <v>1638</v>
      </c>
      <c r="T40" s="104" t="s">
        <v>1509</v>
      </c>
      <c r="U40" s="107" t="s">
        <v>1695</v>
      </c>
      <c r="V40" s="108" t="s">
        <v>1511</v>
      </c>
      <c r="W40" s="109" t="s">
        <v>1512</v>
      </c>
      <c r="X40" s="109" t="s">
        <v>1610</v>
      </c>
      <c r="Y40" s="109" t="s">
        <v>1611</v>
      </c>
      <c r="Z40" s="109" t="s">
        <v>1515</v>
      </c>
      <c r="AA40" s="109">
        <v>0</v>
      </c>
      <c r="AB40" s="109">
        <v>0</v>
      </c>
      <c r="AC40" s="109">
        <v>0</v>
      </c>
      <c r="AD40" s="109">
        <v>0</v>
      </c>
      <c r="AE40" s="110">
        <v>0</v>
      </c>
      <c r="AF40" s="77" t="str">
        <f>VLOOKUP(D40,TIPOLOGIAS!A:H,6,0)</f>
        <v>TIPO I</v>
      </c>
      <c r="AG40" s="77" t="str">
        <f>VLOOKUP(D40,TIPOLOGIAS!A:H,5,0)</f>
        <v>TERRESTRE</v>
      </c>
      <c r="AH40" s="104">
        <v>1</v>
      </c>
      <c r="AI40" s="104">
        <v>0</v>
      </c>
      <c r="AJ40" s="104">
        <v>0</v>
      </c>
      <c r="AK40" s="104">
        <v>0</v>
      </c>
      <c r="AL40" s="78">
        <f>IF(T40="SOPORTE_TELEFÓNICO",'BASE LIQUIDACION'!$B$10,IF(AF40="TIPO I",'BASE LIQUIDACION'!$C$3,IF(AF40="TIPO II",'BASE LIQUIDACION'!$C$4,IF(AF40="TIPO III",'BASE LIQUIDACION'!$C$5,'BASE LIQUIDACION'!$C$7))))</f>
        <v>65960.473639999997</v>
      </c>
      <c r="AM40" s="80">
        <f>IF(T40="SOPORTE_TELEFÓNICO",'BASE LIQUIDACION'!$B$10,(AH40*AL40+AI40*'BASE LIQUIDACION'!$B$12+AJ40*'BASE LIQUIDACION'!$B$11+INCIDENTES!AK40*'BASE LIQUIDACION'!$B$13))</f>
        <v>65960.473639999997</v>
      </c>
    </row>
    <row r="41" spans="1:39" s="4" customFormat="1">
      <c r="A41" s="104" t="s">
        <v>275</v>
      </c>
      <c r="B41" s="56" t="str">
        <f>VLOOKUP(A41,'CENTRO DE COSTOS'!A:D,4,FALSE)</f>
        <v>MIGUEL JULIÁN HERNÁNDEZ GUARÍN</v>
      </c>
      <c r="C41" s="56" t="str">
        <f>VLOOKUP(A41,'CENTRO DE COSTOS'!A:D,2,FALSE)</f>
        <v>0004-0008</v>
      </c>
      <c r="D41" s="104">
        <v>54099</v>
      </c>
      <c r="E41" s="104">
        <v>2268565</v>
      </c>
      <c r="F41" s="104" t="s">
        <v>1696</v>
      </c>
      <c r="G41" s="105">
        <v>45815.55</v>
      </c>
      <c r="H41" s="105">
        <v>45817.490277777775</v>
      </c>
      <c r="I41" s="104" t="s">
        <v>278</v>
      </c>
      <c r="J41" s="104" t="s">
        <v>1228</v>
      </c>
      <c r="K41" s="104" t="s">
        <v>1697</v>
      </c>
      <c r="L41" s="104">
        <v>57278</v>
      </c>
      <c r="M41" s="56" t="s">
        <v>1505</v>
      </c>
      <c r="N41" s="56" t="s">
        <v>119</v>
      </c>
      <c r="O41" s="104" t="s">
        <v>1524</v>
      </c>
      <c r="P41" s="56"/>
      <c r="Q41" s="104" t="s">
        <v>1506</v>
      </c>
      <c r="R41" s="106" t="s">
        <v>1698</v>
      </c>
      <c r="S41" s="107" t="s">
        <v>1656</v>
      </c>
      <c r="T41" s="104" t="s">
        <v>1509</v>
      </c>
      <c r="U41" s="107" t="s">
        <v>1699</v>
      </c>
      <c r="V41" s="108" t="s">
        <v>1511</v>
      </c>
      <c r="W41" s="109" t="s">
        <v>1512</v>
      </c>
      <c r="X41" s="109" t="s">
        <v>1533</v>
      </c>
      <c r="Y41" s="109" t="s">
        <v>1534</v>
      </c>
      <c r="Z41" s="109" t="s">
        <v>1515</v>
      </c>
      <c r="AA41" s="109">
        <v>0</v>
      </c>
      <c r="AB41" s="109">
        <v>0</v>
      </c>
      <c r="AC41" s="109">
        <v>0</v>
      </c>
      <c r="AD41" s="109">
        <v>0</v>
      </c>
      <c r="AE41" s="110">
        <v>0</v>
      </c>
      <c r="AF41" s="77" t="str">
        <f>VLOOKUP(D41,TIPOLOGIAS!A:H,6,0)</f>
        <v>TIPO II</v>
      </c>
      <c r="AG41" s="77" t="str">
        <f>VLOOKUP(D41,TIPOLOGIAS!A:H,5,0)</f>
        <v>TERRESTRE</v>
      </c>
      <c r="AH41" s="104">
        <v>1</v>
      </c>
      <c r="AI41" s="104">
        <v>0</v>
      </c>
      <c r="AJ41" s="104">
        <v>0</v>
      </c>
      <c r="AK41" s="104">
        <v>0</v>
      </c>
      <c r="AL41" s="78">
        <f>IF(T41="SOPORTE_TELEFÓNICO",'BASE LIQUIDACION'!$B$10,IF(AF41="TIPO I",'BASE LIQUIDACION'!$C$3,IF(AF41="TIPO II",'BASE LIQUIDACION'!$C$4,IF(AF41="TIPO III",'BASE LIQUIDACION'!$C$5,'BASE LIQUIDACION'!$C$7))))</f>
        <v>163813.55812</v>
      </c>
      <c r="AM41" s="80">
        <f>IF(T41="SOPORTE_TELEFÓNICO",'BASE LIQUIDACION'!$B$10,(AH41*AL41+AI41*'BASE LIQUIDACION'!$B$12+AJ41*'BASE LIQUIDACION'!$B$11+INCIDENTES!AK41*'BASE LIQUIDACION'!$B$13))</f>
        <v>163813.55812</v>
      </c>
    </row>
    <row r="42" spans="1:39" s="4" customFormat="1">
      <c r="A42" s="104" t="s">
        <v>128</v>
      </c>
      <c r="B42" s="56" t="str">
        <f>VLOOKUP(A42,'CENTRO DE COSTOS'!A:D,4,FALSE)</f>
        <v>JUAN SEBASTIÁN RÍOS CASTRILLÓN</v>
      </c>
      <c r="C42" s="56" t="str">
        <f>VLOOKUP(A42,'CENTRO DE COSTOS'!A:D,2,FALSE)</f>
        <v>0004-0005</v>
      </c>
      <c r="D42" s="104">
        <v>5045</v>
      </c>
      <c r="E42" s="104">
        <v>2271509</v>
      </c>
      <c r="F42" s="104" t="s">
        <v>1700</v>
      </c>
      <c r="G42" s="105">
        <v>45817.387499999997</v>
      </c>
      <c r="H42" s="105">
        <v>45817.493055555555</v>
      </c>
      <c r="I42" s="104" t="s">
        <v>131</v>
      </c>
      <c r="J42" s="104" t="s">
        <v>128</v>
      </c>
      <c r="K42" s="104" t="s">
        <v>1701</v>
      </c>
      <c r="L42" s="104">
        <v>35610</v>
      </c>
      <c r="M42" s="56" t="s">
        <v>1505</v>
      </c>
      <c r="N42" s="56" t="s">
        <v>119</v>
      </c>
      <c r="O42" s="104" t="s">
        <v>332</v>
      </c>
      <c r="P42" s="56"/>
      <c r="Q42" s="104" t="s">
        <v>1506</v>
      </c>
      <c r="R42" s="106" t="s">
        <v>1702</v>
      </c>
      <c r="S42" s="107" t="s">
        <v>1549</v>
      </c>
      <c r="T42" s="104" t="s">
        <v>1509</v>
      </c>
      <c r="U42" s="107" t="s">
        <v>1703</v>
      </c>
      <c r="V42" s="108" t="s">
        <v>1511</v>
      </c>
      <c r="W42" s="109" t="s">
        <v>1512</v>
      </c>
      <c r="X42" s="109" t="s">
        <v>1533</v>
      </c>
      <c r="Y42" s="109" t="s">
        <v>1534</v>
      </c>
      <c r="Z42" s="109" t="s">
        <v>1515</v>
      </c>
      <c r="AA42" s="109">
        <v>0</v>
      </c>
      <c r="AB42" s="109">
        <v>0</v>
      </c>
      <c r="AC42" s="109">
        <v>0</v>
      </c>
      <c r="AD42" s="109">
        <v>0</v>
      </c>
      <c r="AE42" s="110">
        <v>0</v>
      </c>
      <c r="AF42" s="77" t="str">
        <f>VLOOKUP(D42,TIPOLOGIAS!A:H,6,0)</f>
        <v>TIPO I</v>
      </c>
      <c r="AG42" s="77" t="str">
        <f>VLOOKUP(D42,TIPOLOGIAS!A:H,5,0)</f>
        <v>TERRESTRE</v>
      </c>
      <c r="AH42" s="104">
        <v>1</v>
      </c>
      <c r="AI42" s="104">
        <v>0</v>
      </c>
      <c r="AJ42" s="104">
        <v>0</v>
      </c>
      <c r="AK42" s="104">
        <v>0</v>
      </c>
      <c r="AL42" s="78">
        <f>IF(T42="SOPORTE_TELEFÓNICO",'BASE LIQUIDACION'!$B$10,IF(AF42="TIPO I",'BASE LIQUIDACION'!$C$3,IF(AF42="TIPO II",'BASE LIQUIDACION'!$C$4,IF(AF42="TIPO III",'BASE LIQUIDACION'!$C$5,'BASE LIQUIDACION'!$C$7))))</f>
        <v>65960.473639999997</v>
      </c>
      <c r="AM42" s="80">
        <f>IF(T42="SOPORTE_TELEFÓNICO",'BASE LIQUIDACION'!$B$10,(AH42*AL42+AI42*'BASE LIQUIDACION'!$B$12+AJ42*'BASE LIQUIDACION'!$B$11+INCIDENTES!AK42*'BASE LIQUIDACION'!$B$13))</f>
        <v>65960.473639999997</v>
      </c>
    </row>
    <row r="43" spans="1:39" s="4" customFormat="1">
      <c r="A43" s="104" t="s">
        <v>163</v>
      </c>
      <c r="B43" s="56" t="str">
        <f>VLOOKUP(A43,'CENTRO DE COSTOS'!A:D,4,FALSE)</f>
        <v>WILLIAM ASDRUBAL ROZO ROZO</v>
      </c>
      <c r="C43" s="56" t="str">
        <f>VLOOKUP(A43,'CENTRO DE COSTOS'!A:D,2,FALSE)</f>
        <v>0004-0004</v>
      </c>
      <c r="D43" s="104">
        <v>11001</v>
      </c>
      <c r="E43" s="104">
        <v>2268418</v>
      </c>
      <c r="F43" s="104" t="s">
        <v>1704</v>
      </c>
      <c r="G43" s="105">
        <v>45815.400694444441</v>
      </c>
      <c r="H43" s="105">
        <v>45817.541666666664</v>
      </c>
      <c r="I43" s="104" t="s">
        <v>166</v>
      </c>
      <c r="J43" s="104" t="s">
        <v>163</v>
      </c>
      <c r="K43" s="104" t="s">
        <v>1705</v>
      </c>
      <c r="L43" s="104">
        <v>49448</v>
      </c>
      <c r="M43" s="56" t="s">
        <v>1505</v>
      </c>
      <c r="N43" s="56" t="s">
        <v>119</v>
      </c>
      <c r="O43" s="104" t="s">
        <v>1524</v>
      </c>
      <c r="P43" s="56"/>
      <c r="Q43" s="104" t="s">
        <v>1506</v>
      </c>
      <c r="R43" s="106" t="s">
        <v>1706</v>
      </c>
      <c r="S43" s="107" t="s">
        <v>1707</v>
      </c>
      <c r="T43" s="104" t="s">
        <v>1509</v>
      </c>
      <c r="U43" s="107" t="s">
        <v>1708</v>
      </c>
      <c r="V43" s="108" t="s">
        <v>1511</v>
      </c>
      <c r="W43" s="109" t="s">
        <v>1709</v>
      </c>
      <c r="X43" s="109" t="s">
        <v>1710</v>
      </c>
      <c r="Y43" s="109" t="s">
        <v>1711</v>
      </c>
      <c r="Z43" s="109" t="s">
        <v>1515</v>
      </c>
      <c r="AA43" s="109">
        <v>0</v>
      </c>
      <c r="AB43" s="109">
        <v>0</v>
      </c>
      <c r="AC43" s="109">
        <v>0</v>
      </c>
      <c r="AD43" s="109">
        <v>0</v>
      </c>
      <c r="AE43" s="110">
        <v>0</v>
      </c>
      <c r="AF43" s="77" t="str">
        <f>VLOOKUP(D43,TIPOLOGIAS!A:H,6,0)</f>
        <v>TIPO I</v>
      </c>
      <c r="AG43" s="77" t="str">
        <f>VLOOKUP(D43,TIPOLOGIAS!A:H,5,0)</f>
        <v>TERRESTRE</v>
      </c>
      <c r="AH43" s="104">
        <v>1</v>
      </c>
      <c r="AI43" s="104">
        <v>0</v>
      </c>
      <c r="AJ43" s="104">
        <v>0</v>
      </c>
      <c r="AK43" s="104">
        <v>0</v>
      </c>
      <c r="AL43" s="78">
        <f>IF(T43="SOPORTE_TELEFÓNICO",'BASE LIQUIDACION'!$B$10,IF(AF43="TIPO I",'BASE LIQUIDACION'!$C$3,IF(AF43="TIPO II",'BASE LIQUIDACION'!$C$4,IF(AF43="TIPO III",'BASE LIQUIDACION'!$C$5,'BASE LIQUIDACION'!$C$7))))</f>
        <v>65960.473639999997</v>
      </c>
      <c r="AM43" s="80">
        <f>IF(T43="SOPORTE_TELEFÓNICO",'BASE LIQUIDACION'!$B$10,(AH43*AL43+AI43*'BASE LIQUIDACION'!$B$12+AJ43*'BASE LIQUIDACION'!$B$11+INCIDENTES!AK43*'BASE LIQUIDACION'!$B$13))</f>
        <v>65960.473639999997</v>
      </c>
    </row>
    <row r="44" spans="1:39" s="4" customFormat="1">
      <c r="A44" s="104" t="s">
        <v>128</v>
      </c>
      <c r="B44" s="56" t="str">
        <f>VLOOKUP(A44,'CENTRO DE COSTOS'!A:D,4,FALSE)</f>
        <v>JUAN SEBASTIÁN RÍOS CASTRILLÓN</v>
      </c>
      <c r="C44" s="56" t="str">
        <f>VLOOKUP(A44,'CENTRO DE COSTOS'!A:D,2,FALSE)</f>
        <v>0004-0005</v>
      </c>
      <c r="D44" s="104">
        <v>5045</v>
      </c>
      <c r="E44" s="104">
        <v>2268612</v>
      </c>
      <c r="F44" s="104" t="s">
        <v>1712</v>
      </c>
      <c r="G44" s="105">
        <v>45815.459722222222</v>
      </c>
      <c r="H44" s="105">
        <v>45817.54583333333</v>
      </c>
      <c r="I44" s="104" t="s">
        <v>131</v>
      </c>
      <c r="J44" s="104" t="s">
        <v>128</v>
      </c>
      <c r="K44" s="104" t="s">
        <v>1713</v>
      </c>
      <c r="L44" s="104">
        <v>44405</v>
      </c>
      <c r="M44" s="56" t="s">
        <v>1505</v>
      </c>
      <c r="N44" s="56" t="s">
        <v>119</v>
      </c>
      <c r="O44" s="104" t="s">
        <v>332</v>
      </c>
      <c r="P44" s="56"/>
      <c r="Q44" s="104" t="s">
        <v>1506</v>
      </c>
      <c r="R44" s="106" t="s">
        <v>1714</v>
      </c>
      <c r="S44" s="107" t="s">
        <v>1549</v>
      </c>
      <c r="T44" s="104" t="s">
        <v>1509</v>
      </c>
      <c r="U44" s="107" t="s">
        <v>1715</v>
      </c>
      <c r="V44" s="108" t="s">
        <v>1511</v>
      </c>
      <c r="W44" s="109" t="s">
        <v>1512</v>
      </c>
      <c r="X44" s="109" t="s">
        <v>1556</v>
      </c>
      <c r="Y44" s="109" t="s">
        <v>1557</v>
      </c>
      <c r="Z44" s="109" t="s">
        <v>1515</v>
      </c>
      <c r="AA44" s="109">
        <v>0</v>
      </c>
      <c r="AB44" s="109">
        <v>0</v>
      </c>
      <c r="AC44" s="109">
        <v>0</v>
      </c>
      <c r="AD44" s="109">
        <v>0</v>
      </c>
      <c r="AE44" s="110">
        <v>0</v>
      </c>
      <c r="AF44" s="77" t="str">
        <f>VLOOKUP(D44,TIPOLOGIAS!A:H,6,0)</f>
        <v>TIPO I</v>
      </c>
      <c r="AG44" s="77" t="str">
        <f>VLOOKUP(D44,TIPOLOGIAS!A:H,5,0)</f>
        <v>TERRESTRE</v>
      </c>
      <c r="AH44" s="104">
        <v>1</v>
      </c>
      <c r="AI44" s="104">
        <v>0</v>
      </c>
      <c r="AJ44" s="104">
        <v>0</v>
      </c>
      <c r="AK44" s="104">
        <v>0</v>
      </c>
      <c r="AL44" s="78">
        <f>IF(T44="SOPORTE_TELEFÓNICO",'BASE LIQUIDACION'!$B$10,IF(AF44="TIPO I",'BASE LIQUIDACION'!$C$3,IF(AF44="TIPO II",'BASE LIQUIDACION'!$C$4,IF(AF44="TIPO III",'BASE LIQUIDACION'!$C$5,'BASE LIQUIDACION'!$C$7))))</f>
        <v>65960.473639999997</v>
      </c>
      <c r="AM44" s="80">
        <f>IF(T44="SOPORTE_TELEFÓNICO",'BASE LIQUIDACION'!$B$10,(AH44*AL44+AI44*'BASE LIQUIDACION'!$B$12+AJ44*'BASE LIQUIDACION'!$B$11+INCIDENTES!AK44*'BASE LIQUIDACION'!$B$13))</f>
        <v>65960.473639999997</v>
      </c>
    </row>
    <row r="45" spans="1:39" s="4" customFormat="1">
      <c r="A45" s="104" t="s">
        <v>111</v>
      </c>
      <c r="B45" s="56" t="str">
        <f>VLOOKUP(A45,'CENTRO DE COSTOS'!A:D,4,FALSE)</f>
        <v>JUAN SEBASTIÁN RÍOS CASTRILLÓN</v>
      </c>
      <c r="C45" s="56" t="str">
        <f>VLOOKUP(A45,'CENTRO DE COSTOS'!A:D,2,FALSE)</f>
        <v>0004-0005</v>
      </c>
      <c r="D45" s="104">
        <v>5120</v>
      </c>
      <c r="E45" s="104">
        <v>2260533</v>
      </c>
      <c r="F45" s="104" t="s">
        <v>1716</v>
      </c>
      <c r="G45" s="105">
        <v>45813.609027777777</v>
      </c>
      <c r="H45" s="105">
        <v>45817.601759259262</v>
      </c>
      <c r="I45" s="104" t="s">
        <v>131</v>
      </c>
      <c r="J45" s="104" t="s">
        <v>505</v>
      </c>
      <c r="K45" s="104" t="s">
        <v>1717</v>
      </c>
      <c r="L45" s="104">
        <v>66858</v>
      </c>
      <c r="M45" s="56" t="s">
        <v>1505</v>
      </c>
      <c r="N45" s="56" t="s">
        <v>119</v>
      </c>
      <c r="O45" s="104" t="s">
        <v>332</v>
      </c>
      <c r="P45" s="56"/>
      <c r="Q45" s="104" t="s">
        <v>1506</v>
      </c>
      <c r="R45" s="106" t="s">
        <v>1718</v>
      </c>
      <c r="S45" s="107" t="s">
        <v>1719</v>
      </c>
      <c r="T45" s="104" t="s">
        <v>1509</v>
      </c>
      <c r="U45" s="107" t="s">
        <v>1720</v>
      </c>
      <c r="V45" s="108" t="s">
        <v>1511</v>
      </c>
      <c r="W45" s="109" t="s">
        <v>1512</v>
      </c>
      <c r="X45" s="109" t="s">
        <v>1513</v>
      </c>
      <c r="Y45" s="109" t="s">
        <v>1514</v>
      </c>
      <c r="Z45" s="109" t="s">
        <v>1515</v>
      </c>
      <c r="AA45" s="109">
        <v>0</v>
      </c>
      <c r="AB45" s="109">
        <v>0</v>
      </c>
      <c r="AC45" s="109">
        <v>0</v>
      </c>
      <c r="AD45" s="109">
        <v>0</v>
      </c>
      <c r="AE45" s="110">
        <v>0</v>
      </c>
      <c r="AF45" s="77" t="str">
        <f>VLOOKUP(D45,TIPOLOGIAS!A:H,6,0)</f>
        <v>TIPO IV</v>
      </c>
      <c r="AG45" s="77" t="str">
        <f>VLOOKUP(D45,TIPOLOGIAS!A:H,5,0)</f>
        <v>TERRESTRE</v>
      </c>
      <c r="AH45" s="104">
        <v>1</v>
      </c>
      <c r="AI45" s="104">
        <v>0</v>
      </c>
      <c r="AJ45" s="104">
        <v>0</v>
      </c>
      <c r="AK45" s="104">
        <v>0</v>
      </c>
      <c r="AL45" s="78">
        <f>IF(T45="SOPORTE_TELEFÓNICO",'BASE LIQUIDACION'!$B$10,IF(AF45="TIPO I",'BASE LIQUIDACION'!$C$3,IF(AF45="TIPO II",'BASE LIQUIDACION'!$C$4,IF(AF45="TIPO III",'BASE LIQUIDACION'!$C$5,'BASE LIQUIDACION'!$C$7))))</f>
        <v>479589.73656000005</v>
      </c>
      <c r="AM45" s="80">
        <f>IF(T45="SOPORTE_TELEFÓNICO",'BASE LIQUIDACION'!$B$10,(AH45*AL45+AI45*'BASE LIQUIDACION'!$B$12+AJ45*'BASE LIQUIDACION'!$B$11+INCIDENTES!AK45*'BASE LIQUIDACION'!$B$13))</f>
        <v>479589.73656000005</v>
      </c>
    </row>
    <row r="46" spans="1:39" s="4" customFormat="1">
      <c r="A46" s="104" t="s">
        <v>111</v>
      </c>
      <c r="B46" s="56" t="str">
        <f>VLOOKUP(A46,'CENTRO DE COSTOS'!A:D,4,FALSE)</f>
        <v>JUAN SEBASTIÁN RÍOS CASTRILLÓN</v>
      </c>
      <c r="C46" s="56" t="str">
        <f>VLOOKUP(A46,'CENTRO DE COSTOS'!A:D,2,FALSE)</f>
        <v>0004-0005</v>
      </c>
      <c r="D46" s="104">
        <v>5400</v>
      </c>
      <c r="E46" s="104">
        <v>2269488</v>
      </c>
      <c r="F46" s="104" t="s">
        <v>1721</v>
      </c>
      <c r="G46" s="105">
        <v>45816.633333333331</v>
      </c>
      <c r="H46" s="105">
        <v>45817.620138888888</v>
      </c>
      <c r="I46" s="104" t="s">
        <v>131</v>
      </c>
      <c r="J46" s="104" t="s">
        <v>349</v>
      </c>
      <c r="K46" s="104" t="s">
        <v>1722</v>
      </c>
      <c r="L46" s="104">
        <v>69294</v>
      </c>
      <c r="M46" s="56" t="s">
        <v>1505</v>
      </c>
      <c r="N46" s="56" t="s">
        <v>119</v>
      </c>
      <c r="O46" s="104" t="s">
        <v>1524</v>
      </c>
      <c r="P46" s="56"/>
      <c r="Q46" s="104" t="s">
        <v>1506</v>
      </c>
      <c r="R46" s="106" t="s">
        <v>1723</v>
      </c>
      <c r="S46" s="107" t="s">
        <v>1638</v>
      </c>
      <c r="T46" s="104" t="s">
        <v>1520</v>
      </c>
      <c r="U46" s="107">
        <v>0</v>
      </c>
      <c r="V46" s="108" t="s">
        <v>1511</v>
      </c>
      <c r="W46" s="109" t="s">
        <v>1512</v>
      </c>
      <c r="X46" s="109" t="s">
        <v>1600</v>
      </c>
      <c r="Y46" s="109" t="s">
        <v>1601</v>
      </c>
      <c r="Z46" s="109" t="s">
        <v>1515</v>
      </c>
      <c r="AA46" s="109">
        <v>0</v>
      </c>
      <c r="AB46" s="109">
        <v>0</v>
      </c>
      <c r="AC46" s="109">
        <v>0</v>
      </c>
      <c r="AD46" s="109">
        <v>0</v>
      </c>
      <c r="AE46" s="110">
        <v>0</v>
      </c>
      <c r="AF46" s="77" t="str">
        <f>VLOOKUP(D46,TIPOLOGIAS!A:H,6,0)</f>
        <v>TIPO II</v>
      </c>
      <c r="AG46" s="77" t="str">
        <f>VLOOKUP(D46,TIPOLOGIAS!A:H,5,0)</f>
        <v>TERRESTRE</v>
      </c>
      <c r="AH46" s="104">
        <v>0</v>
      </c>
      <c r="AI46" s="104">
        <v>0</v>
      </c>
      <c r="AJ46" s="104">
        <v>0</v>
      </c>
      <c r="AK46" s="104">
        <v>0</v>
      </c>
      <c r="AL46" s="78">
        <f>IF(T46="SOPORTE_TELEFÓNICO",'BASE LIQUIDACION'!$B$10,IF(AF46="TIPO I",'BASE LIQUIDACION'!$C$3,IF(AF46="TIPO II",'BASE LIQUIDACION'!$C$4,IF(AF46="TIPO III",'BASE LIQUIDACION'!$C$5,'BASE LIQUIDACION'!$C$7))))</f>
        <v>37904.65408</v>
      </c>
      <c r="AM46" s="80">
        <f>IF(T46="SOPORTE_TELEFÓNICO",'BASE LIQUIDACION'!$B$10,(AH46*AL46+AI46*'BASE LIQUIDACION'!$B$12+AJ46*'BASE LIQUIDACION'!$B$11+INCIDENTES!AK46*'BASE LIQUIDACION'!$B$13))</f>
        <v>37904.65408</v>
      </c>
    </row>
    <row r="47" spans="1:39" s="4" customFormat="1">
      <c r="A47" s="104" t="s">
        <v>392</v>
      </c>
      <c r="B47" s="56" t="str">
        <f>VLOOKUP(A47,'CENTRO DE COSTOS'!A:D,4,FALSE)</f>
        <v>JOSE MAURICIO HERNANDEZ ROJAS</v>
      </c>
      <c r="C47" s="56" t="str">
        <f>VLOOKUP(A47,'CENTRO DE COSTOS'!A:D,2,FALSE)</f>
        <v>0004-0001</v>
      </c>
      <c r="D47" s="104">
        <v>70001</v>
      </c>
      <c r="E47" s="104">
        <v>2268175</v>
      </c>
      <c r="F47" s="104" t="s">
        <v>1724</v>
      </c>
      <c r="G47" s="105">
        <v>45815.372916666667</v>
      </c>
      <c r="H47" s="105">
        <v>45817.676388888889</v>
      </c>
      <c r="I47" s="104" t="s">
        <v>395</v>
      </c>
      <c r="J47" s="104" t="s">
        <v>392</v>
      </c>
      <c r="K47" s="104" t="s">
        <v>1725</v>
      </c>
      <c r="L47" s="104">
        <v>77185</v>
      </c>
      <c r="M47" s="56" t="s">
        <v>1505</v>
      </c>
      <c r="N47" s="56" t="s">
        <v>119</v>
      </c>
      <c r="O47" s="104" t="s">
        <v>1524</v>
      </c>
      <c r="P47" s="56"/>
      <c r="Q47" s="104" t="s">
        <v>1506</v>
      </c>
      <c r="R47" s="106" t="s">
        <v>1726</v>
      </c>
      <c r="S47" s="107" t="s">
        <v>1727</v>
      </c>
      <c r="T47" s="104" t="s">
        <v>1509</v>
      </c>
      <c r="U47" s="107" t="s">
        <v>1728</v>
      </c>
      <c r="V47" s="108" t="s">
        <v>1511</v>
      </c>
      <c r="W47" s="109" t="s">
        <v>1709</v>
      </c>
      <c r="X47" s="109" t="s">
        <v>1710</v>
      </c>
      <c r="Y47" s="109" t="s">
        <v>1711</v>
      </c>
      <c r="Z47" s="109" t="s">
        <v>1515</v>
      </c>
      <c r="AA47" s="109">
        <v>0</v>
      </c>
      <c r="AB47" s="109">
        <v>0</v>
      </c>
      <c r="AC47" s="109">
        <v>0</v>
      </c>
      <c r="AD47" s="109">
        <v>0</v>
      </c>
      <c r="AE47" s="110">
        <v>0</v>
      </c>
      <c r="AF47" s="77" t="str">
        <f>VLOOKUP(D47,TIPOLOGIAS!A:H,6,0)</f>
        <v>TIPO I</v>
      </c>
      <c r="AG47" s="77" t="str">
        <f>VLOOKUP(D47,TIPOLOGIAS!A:H,5,0)</f>
        <v>TERRESTRE</v>
      </c>
      <c r="AH47" s="104">
        <v>2</v>
      </c>
      <c r="AI47" s="104">
        <v>0</v>
      </c>
      <c r="AJ47" s="104">
        <v>0</v>
      </c>
      <c r="AK47" s="104">
        <v>0</v>
      </c>
      <c r="AL47" s="78">
        <f>IF(T47="SOPORTE_TELEFÓNICO",'BASE LIQUIDACION'!$B$10,IF(AF47="TIPO I",'BASE LIQUIDACION'!$C$3,IF(AF47="TIPO II",'BASE LIQUIDACION'!$C$4,IF(AF47="TIPO III",'BASE LIQUIDACION'!$C$5,'BASE LIQUIDACION'!$C$7))))</f>
        <v>65960.473639999997</v>
      </c>
      <c r="AM47" s="80">
        <f>IF(T47="SOPORTE_TELEFÓNICO",'BASE LIQUIDACION'!$B$10,(AH47*AL47+AI47*'BASE LIQUIDACION'!$B$12+AJ47*'BASE LIQUIDACION'!$B$11+INCIDENTES!AK47*'BASE LIQUIDACION'!$B$13))</f>
        <v>131920.94727999999</v>
      </c>
    </row>
    <row r="48" spans="1:39" s="4" customFormat="1">
      <c r="A48" s="104" t="s">
        <v>195</v>
      </c>
      <c r="B48" s="56" t="str">
        <f>VLOOKUP(A48,'CENTRO DE COSTOS'!A:D,4,FALSE)</f>
        <v>DIEGO FERNANDO HENAO CARDONA</v>
      </c>
      <c r="C48" s="56" t="str">
        <f>VLOOKUP(A48,'CENTRO DE COSTOS'!A:D,2,FALSE)</f>
        <v>0004-0002</v>
      </c>
      <c r="D48" s="104">
        <v>63001</v>
      </c>
      <c r="E48" s="104">
        <v>2272102</v>
      </c>
      <c r="F48" s="104" t="s">
        <v>1729</v>
      </c>
      <c r="G48" s="105">
        <v>45817.411111111112</v>
      </c>
      <c r="H48" s="105">
        <v>45817.699305555558</v>
      </c>
      <c r="I48" s="104" t="s">
        <v>1271</v>
      </c>
      <c r="J48" s="104" t="s">
        <v>468</v>
      </c>
      <c r="K48" s="104" t="s">
        <v>1730</v>
      </c>
      <c r="L48" s="104">
        <v>79275</v>
      </c>
      <c r="M48" s="56" t="s">
        <v>1505</v>
      </c>
      <c r="N48" s="56" t="s">
        <v>119</v>
      </c>
      <c r="O48" s="104" t="s">
        <v>1524</v>
      </c>
      <c r="P48" s="56"/>
      <c r="Q48" s="104" t="s">
        <v>1506</v>
      </c>
      <c r="R48" s="106" t="s">
        <v>1731</v>
      </c>
      <c r="S48" s="107" t="s">
        <v>1678</v>
      </c>
      <c r="T48" s="104" t="s">
        <v>1509</v>
      </c>
      <c r="U48" s="107" t="s">
        <v>1732</v>
      </c>
      <c r="V48" s="108" t="s">
        <v>1511</v>
      </c>
      <c r="W48" s="109" t="s">
        <v>1512</v>
      </c>
      <c r="X48" s="109" t="s">
        <v>1513</v>
      </c>
      <c r="Y48" s="109" t="s">
        <v>1521</v>
      </c>
      <c r="Z48" s="109" t="s">
        <v>1515</v>
      </c>
      <c r="AA48" s="109">
        <v>0</v>
      </c>
      <c r="AB48" s="109">
        <v>0</v>
      </c>
      <c r="AC48" s="109">
        <v>0</v>
      </c>
      <c r="AD48" s="109">
        <v>0</v>
      </c>
      <c r="AE48" s="110">
        <v>0</v>
      </c>
      <c r="AF48" s="77" t="str">
        <f>VLOOKUP(D48,TIPOLOGIAS!A:H,6,0)</f>
        <v>TIPO II</v>
      </c>
      <c r="AG48" s="77" t="str">
        <f>VLOOKUP(D48,TIPOLOGIAS!A:H,5,0)</f>
        <v>TERRESTRE</v>
      </c>
      <c r="AH48" s="104">
        <v>1</v>
      </c>
      <c r="AI48" s="104">
        <v>0</v>
      </c>
      <c r="AJ48" s="104">
        <v>0</v>
      </c>
      <c r="AK48" s="104">
        <v>0</v>
      </c>
      <c r="AL48" s="78">
        <f>IF(T48="SOPORTE_TELEFÓNICO",'BASE LIQUIDACION'!$B$10,IF(AF48="TIPO I",'BASE LIQUIDACION'!$C$3,IF(AF48="TIPO II",'BASE LIQUIDACION'!$C$4,IF(AF48="TIPO III",'BASE LIQUIDACION'!$C$5,'BASE LIQUIDACION'!$C$7))))</f>
        <v>163813.55812</v>
      </c>
      <c r="AM48" s="80">
        <f>IF(T48="SOPORTE_TELEFÓNICO",'BASE LIQUIDACION'!$B$10,(AH48*AL48+AI48*'BASE LIQUIDACION'!$B$12+AJ48*'BASE LIQUIDACION'!$B$11+INCIDENTES!AK48*'BASE LIQUIDACION'!$B$13))</f>
        <v>163813.55812</v>
      </c>
    </row>
    <row r="49" spans="1:39" s="4" customFormat="1">
      <c r="A49" s="104" t="s">
        <v>275</v>
      </c>
      <c r="B49" s="56" t="str">
        <f>VLOOKUP(A49,'CENTRO DE COSTOS'!A:D,4,FALSE)</f>
        <v>MIGUEL JULIÁN HERNÁNDEZ GUARÍN</v>
      </c>
      <c r="C49" s="56" t="str">
        <f>VLOOKUP(A49,'CENTRO DE COSTOS'!A:D,2,FALSE)</f>
        <v>0004-0008</v>
      </c>
      <c r="D49" s="104">
        <v>54001</v>
      </c>
      <c r="E49" s="104">
        <v>2274080</v>
      </c>
      <c r="F49" s="104" t="s">
        <v>1733</v>
      </c>
      <c r="G49" s="105">
        <v>45817.530555555553</v>
      </c>
      <c r="H49" s="105">
        <v>45818.436805555553</v>
      </c>
      <c r="I49" s="104" t="s">
        <v>278</v>
      </c>
      <c r="J49" s="104" t="s">
        <v>275</v>
      </c>
      <c r="K49" s="104" t="s">
        <v>1734</v>
      </c>
      <c r="L49" s="104">
        <v>78626</v>
      </c>
      <c r="M49" s="56" t="s">
        <v>1505</v>
      </c>
      <c r="N49" s="56" t="s">
        <v>119</v>
      </c>
      <c r="O49" s="104" t="s">
        <v>1524</v>
      </c>
      <c r="P49" s="56"/>
      <c r="Q49" s="104" t="s">
        <v>1506</v>
      </c>
      <c r="R49" s="106" t="s">
        <v>1735</v>
      </c>
      <c r="S49" s="107" t="s">
        <v>1593</v>
      </c>
      <c r="T49" s="104" t="s">
        <v>1509</v>
      </c>
      <c r="U49" s="107">
        <v>0</v>
      </c>
      <c r="V49" s="108" t="s">
        <v>1511</v>
      </c>
      <c r="W49" s="109" t="s">
        <v>1512</v>
      </c>
      <c r="X49" s="109" t="s">
        <v>1513</v>
      </c>
      <c r="Y49" s="109" t="s">
        <v>1514</v>
      </c>
      <c r="Z49" s="109" t="s">
        <v>1515</v>
      </c>
      <c r="AA49" s="109">
        <v>0</v>
      </c>
      <c r="AB49" s="109">
        <v>0</v>
      </c>
      <c r="AC49" s="109">
        <v>0</v>
      </c>
      <c r="AD49" s="109">
        <v>0</v>
      </c>
      <c r="AE49" s="110">
        <v>0</v>
      </c>
      <c r="AF49" s="77" t="str">
        <f>VLOOKUP(D49,TIPOLOGIAS!A:H,6,0)</f>
        <v>TIPO I</v>
      </c>
      <c r="AG49" s="77" t="str">
        <f>VLOOKUP(D49,TIPOLOGIAS!A:H,5,0)</f>
        <v>TERRESTRE</v>
      </c>
      <c r="AH49" s="104">
        <v>1</v>
      </c>
      <c r="AI49" s="104">
        <v>0</v>
      </c>
      <c r="AJ49" s="104">
        <v>0</v>
      </c>
      <c r="AK49" s="104">
        <v>0</v>
      </c>
      <c r="AL49" s="78">
        <f>IF(T49="SOPORTE_TELEFÓNICO",'BASE LIQUIDACION'!$B$10,IF(AF49="TIPO I",'BASE LIQUIDACION'!$C$3,IF(AF49="TIPO II",'BASE LIQUIDACION'!$C$4,IF(AF49="TIPO III",'BASE LIQUIDACION'!$C$5,'BASE LIQUIDACION'!$C$7))))</f>
        <v>65960.473639999997</v>
      </c>
      <c r="AM49" s="80">
        <f>IF(T49="SOPORTE_TELEFÓNICO",'BASE LIQUIDACION'!$B$10,(AH49*AL49+AI49*'BASE LIQUIDACION'!$B$12+AJ49*'BASE LIQUIDACION'!$B$11+INCIDENTES!AK49*'BASE LIQUIDACION'!$B$13))</f>
        <v>65960.473639999997</v>
      </c>
    </row>
    <row r="50" spans="1:39" s="4" customFormat="1">
      <c r="A50" s="104" t="s">
        <v>138</v>
      </c>
      <c r="B50" s="56" t="str">
        <f>VLOOKUP(A50,'CENTRO DE COSTOS'!A:D,4,FALSE)</f>
        <v>DIEGO FERNANDO HENAO CARDONA</v>
      </c>
      <c r="C50" s="56" t="str">
        <f>VLOOKUP(A50,'CENTRO DE COSTOS'!A:D,2,FALSE)</f>
        <v>0004-0003</v>
      </c>
      <c r="D50" s="104">
        <v>19824</v>
      </c>
      <c r="E50" s="104">
        <v>2279311</v>
      </c>
      <c r="F50" s="104" t="s">
        <v>1736</v>
      </c>
      <c r="G50" s="105">
        <v>45818.386805555558</v>
      </c>
      <c r="H50" s="105">
        <v>45818.462500000001</v>
      </c>
      <c r="I50" s="104" t="s">
        <v>285</v>
      </c>
      <c r="J50" s="104" t="s">
        <v>871</v>
      </c>
      <c r="K50" s="104" t="s">
        <v>1737</v>
      </c>
      <c r="L50" s="104">
        <v>69035</v>
      </c>
      <c r="M50" s="56" t="s">
        <v>1505</v>
      </c>
      <c r="N50" s="56" t="s">
        <v>119</v>
      </c>
      <c r="O50" s="104" t="s">
        <v>1524</v>
      </c>
      <c r="P50" s="56"/>
      <c r="Q50" s="104" t="s">
        <v>1506</v>
      </c>
      <c r="R50" s="106" t="s">
        <v>1738</v>
      </c>
      <c r="S50" s="107" t="s">
        <v>1519</v>
      </c>
      <c r="T50" s="104" t="s">
        <v>1520</v>
      </c>
      <c r="U50" s="107">
        <v>0</v>
      </c>
      <c r="V50" s="108" t="s">
        <v>1511</v>
      </c>
      <c r="W50" s="109" t="s">
        <v>1512</v>
      </c>
      <c r="X50" s="109" t="s">
        <v>1513</v>
      </c>
      <c r="Y50" s="109" t="s">
        <v>1514</v>
      </c>
      <c r="Z50" s="109" t="s">
        <v>1515</v>
      </c>
      <c r="AA50" s="109">
        <v>0</v>
      </c>
      <c r="AB50" s="109">
        <v>0</v>
      </c>
      <c r="AC50" s="109">
        <v>0</v>
      </c>
      <c r="AD50" s="109">
        <v>0</v>
      </c>
      <c r="AE50" s="110">
        <v>0</v>
      </c>
      <c r="AF50" s="77" t="str">
        <f>VLOOKUP(D50,TIPOLOGIAS!A:H,6,0)</f>
        <v>TIPO III</v>
      </c>
      <c r="AG50" s="77" t="str">
        <f>VLOOKUP(D50,TIPOLOGIAS!A:H,5,0)</f>
        <v>TERRESTRE</v>
      </c>
      <c r="AH50" s="104">
        <v>0</v>
      </c>
      <c r="AI50" s="104">
        <v>0</v>
      </c>
      <c r="AJ50" s="104">
        <v>0</v>
      </c>
      <c r="AK50" s="104">
        <v>0</v>
      </c>
      <c r="AL50" s="78">
        <f>IF(T50="SOPORTE_TELEFÓNICO",'BASE LIQUIDACION'!$B$10,IF(AF50="TIPO I",'BASE LIQUIDACION'!$C$3,IF(AF50="TIPO II",'BASE LIQUIDACION'!$C$4,IF(AF50="TIPO III",'BASE LIQUIDACION'!$C$5,'BASE LIQUIDACION'!$C$7))))</f>
        <v>37904.65408</v>
      </c>
      <c r="AM50" s="80">
        <f>IF(T50="SOPORTE_TELEFÓNICO",'BASE LIQUIDACION'!$B$10,(AH50*AL50+AI50*'BASE LIQUIDACION'!$B$12+AJ50*'BASE LIQUIDACION'!$B$11+INCIDENTES!AK50*'BASE LIQUIDACION'!$B$13))</f>
        <v>37904.65408</v>
      </c>
    </row>
    <row r="51" spans="1:39" s="4" customFormat="1">
      <c r="A51" s="104" t="s">
        <v>138</v>
      </c>
      <c r="B51" s="56" t="str">
        <f>VLOOKUP(A51,'CENTRO DE COSTOS'!A:D,4,FALSE)</f>
        <v>DIEGO FERNANDO HENAO CARDONA</v>
      </c>
      <c r="C51" s="56" t="str">
        <f>VLOOKUP(A51,'CENTRO DE COSTOS'!A:D,2,FALSE)</f>
        <v>0004-0003</v>
      </c>
      <c r="D51" s="104">
        <v>19392</v>
      </c>
      <c r="E51" s="104">
        <v>2279305</v>
      </c>
      <c r="F51" s="104" t="s">
        <v>1739</v>
      </c>
      <c r="G51" s="105">
        <v>45818.386111111111</v>
      </c>
      <c r="H51" s="105">
        <v>45818.465277777781</v>
      </c>
      <c r="I51" s="104" t="s">
        <v>285</v>
      </c>
      <c r="J51" s="104" t="s">
        <v>853</v>
      </c>
      <c r="K51" s="104" t="s">
        <v>1740</v>
      </c>
      <c r="L51" s="104">
        <v>76459</v>
      </c>
      <c r="M51" s="56" t="s">
        <v>1505</v>
      </c>
      <c r="N51" s="56" t="s">
        <v>119</v>
      </c>
      <c r="O51" s="104" t="s">
        <v>1524</v>
      </c>
      <c r="P51" s="56"/>
      <c r="Q51" s="104" t="s">
        <v>1506</v>
      </c>
      <c r="R51" s="106" t="s">
        <v>1741</v>
      </c>
      <c r="S51" s="107" t="s">
        <v>1519</v>
      </c>
      <c r="T51" s="104" t="s">
        <v>1520</v>
      </c>
      <c r="U51" s="107">
        <v>0</v>
      </c>
      <c r="V51" s="108" t="s">
        <v>1511</v>
      </c>
      <c r="W51" s="109" t="s">
        <v>1512</v>
      </c>
      <c r="X51" s="109" t="s">
        <v>1513</v>
      </c>
      <c r="Y51" s="109" t="s">
        <v>1514</v>
      </c>
      <c r="Z51" s="109" t="s">
        <v>1515</v>
      </c>
      <c r="AA51" s="109">
        <v>0</v>
      </c>
      <c r="AB51" s="109">
        <v>0</v>
      </c>
      <c r="AC51" s="109">
        <v>0</v>
      </c>
      <c r="AD51" s="109">
        <v>0</v>
      </c>
      <c r="AE51" s="110">
        <v>0</v>
      </c>
      <c r="AF51" s="77" t="str">
        <f>VLOOKUP(D51,TIPOLOGIAS!A:H,6,0)</f>
        <v>TIPO III</v>
      </c>
      <c r="AG51" s="77" t="str">
        <f>VLOOKUP(D51,TIPOLOGIAS!A:H,5,0)</f>
        <v>TERRESTRE</v>
      </c>
      <c r="AH51" s="104">
        <v>0</v>
      </c>
      <c r="AI51" s="104">
        <v>0</v>
      </c>
      <c r="AJ51" s="104">
        <v>0</v>
      </c>
      <c r="AK51" s="104">
        <v>0</v>
      </c>
      <c r="AL51" s="78">
        <f>IF(T51="SOPORTE_TELEFÓNICO",'BASE LIQUIDACION'!$B$10,IF(AF51="TIPO I",'BASE LIQUIDACION'!$C$3,IF(AF51="TIPO II",'BASE LIQUIDACION'!$C$4,IF(AF51="TIPO III",'BASE LIQUIDACION'!$C$5,'BASE LIQUIDACION'!$C$7))))</f>
        <v>37904.65408</v>
      </c>
      <c r="AM51" s="80">
        <f>IF(T51="SOPORTE_TELEFÓNICO",'BASE LIQUIDACION'!$B$10,(AH51*AL51+AI51*'BASE LIQUIDACION'!$B$12+AJ51*'BASE LIQUIDACION'!$B$11+INCIDENTES!AK51*'BASE LIQUIDACION'!$B$13))</f>
        <v>37904.65408</v>
      </c>
    </row>
    <row r="52" spans="1:39" s="4" customFormat="1">
      <c r="A52" s="104" t="s">
        <v>111</v>
      </c>
      <c r="B52" s="56" t="str">
        <f>VLOOKUP(A52,'CENTRO DE COSTOS'!A:D,4,FALSE)</f>
        <v>JUAN SEBASTIÁN RÍOS CASTRILLÓN</v>
      </c>
      <c r="C52" s="56" t="str">
        <f>VLOOKUP(A52,'CENTRO DE COSTOS'!A:D,2,FALSE)</f>
        <v>0004-0005</v>
      </c>
      <c r="D52" s="104">
        <v>5088</v>
      </c>
      <c r="E52" s="104">
        <v>2275410</v>
      </c>
      <c r="F52" s="104" t="s">
        <v>1742</v>
      </c>
      <c r="G52" s="105">
        <v>45817.627083333333</v>
      </c>
      <c r="H52" s="105">
        <v>45818.524305555555</v>
      </c>
      <c r="I52" s="104" t="s">
        <v>131</v>
      </c>
      <c r="J52" s="104" t="s">
        <v>501</v>
      </c>
      <c r="K52" s="104" t="s">
        <v>1743</v>
      </c>
      <c r="L52" s="104">
        <v>56388</v>
      </c>
      <c r="M52" s="56" t="s">
        <v>1505</v>
      </c>
      <c r="N52" s="56" t="s">
        <v>119</v>
      </c>
      <c r="O52" s="104" t="s">
        <v>1524</v>
      </c>
      <c r="P52" s="56"/>
      <c r="Q52" s="104" t="s">
        <v>1506</v>
      </c>
      <c r="R52" s="106" t="s">
        <v>1744</v>
      </c>
      <c r="S52" s="107" t="s">
        <v>1531</v>
      </c>
      <c r="T52" s="104" t="s">
        <v>1509</v>
      </c>
      <c r="U52" s="107" t="s">
        <v>1745</v>
      </c>
      <c r="V52" s="108" t="s">
        <v>1511</v>
      </c>
      <c r="W52" s="109" t="s">
        <v>1512</v>
      </c>
      <c r="X52" s="109" t="s">
        <v>1533</v>
      </c>
      <c r="Y52" s="109" t="s">
        <v>1534</v>
      </c>
      <c r="Z52" s="109" t="s">
        <v>1515</v>
      </c>
      <c r="AA52" s="109">
        <v>0</v>
      </c>
      <c r="AB52" s="109">
        <v>0</v>
      </c>
      <c r="AC52" s="109">
        <v>0</v>
      </c>
      <c r="AD52" s="109">
        <v>0</v>
      </c>
      <c r="AE52" s="110">
        <v>0</v>
      </c>
      <c r="AF52" s="77" t="str">
        <f>VLOOKUP(D52,TIPOLOGIAS!A:H,6,0)</f>
        <v>TIPO I</v>
      </c>
      <c r="AG52" s="77" t="str">
        <f>VLOOKUP(D52,TIPOLOGIAS!A:H,5,0)</f>
        <v>TERRESTRE</v>
      </c>
      <c r="AH52" s="104">
        <v>1</v>
      </c>
      <c r="AI52" s="104">
        <v>0</v>
      </c>
      <c r="AJ52" s="104">
        <v>0</v>
      </c>
      <c r="AK52" s="104">
        <v>0</v>
      </c>
      <c r="AL52" s="78">
        <f>IF(T52="SOPORTE_TELEFÓNICO",'BASE LIQUIDACION'!$B$10,IF(AF52="TIPO I",'BASE LIQUIDACION'!$C$3,IF(AF52="TIPO II",'BASE LIQUIDACION'!$C$4,IF(AF52="TIPO III",'BASE LIQUIDACION'!$C$5,'BASE LIQUIDACION'!$C$7))))</f>
        <v>65960.473639999997</v>
      </c>
      <c r="AM52" s="80">
        <f>IF(T52="SOPORTE_TELEFÓNICO",'BASE LIQUIDACION'!$B$10,(AH52*AL52+AI52*'BASE LIQUIDACION'!$B$12+AJ52*'BASE LIQUIDACION'!$B$11+INCIDENTES!AK52*'BASE LIQUIDACION'!$B$13))</f>
        <v>65960.473639999997</v>
      </c>
    </row>
    <row r="53" spans="1:39" s="4" customFormat="1">
      <c r="A53" s="104" t="s">
        <v>111</v>
      </c>
      <c r="B53" s="56" t="str">
        <f>VLOOKUP(A53,'CENTRO DE COSTOS'!A:D,4,FALSE)</f>
        <v>JUAN SEBASTIÁN RÍOS CASTRILLÓN</v>
      </c>
      <c r="C53" s="56" t="str">
        <f>VLOOKUP(A53,'CENTRO DE COSTOS'!A:D,2,FALSE)</f>
        <v>0004-0005</v>
      </c>
      <c r="D53" s="104">
        <v>5440</v>
      </c>
      <c r="E53" s="104">
        <v>2275844</v>
      </c>
      <c r="F53" s="104" t="s">
        <v>1746</v>
      </c>
      <c r="G53" s="105">
        <v>45817.648611111108</v>
      </c>
      <c r="H53" s="105">
        <v>45818.617361111108</v>
      </c>
      <c r="I53" s="104" t="s">
        <v>131</v>
      </c>
      <c r="J53" s="104" t="s">
        <v>544</v>
      </c>
      <c r="K53" s="104" t="s">
        <v>1747</v>
      </c>
      <c r="L53" s="104">
        <v>20726</v>
      </c>
      <c r="M53" s="56" t="s">
        <v>1505</v>
      </c>
      <c r="N53" s="56" t="s">
        <v>119</v>
      </c>
      <c r="O53" s="104" t="s">
        <v>425</v>
      </c>
      <c r="P53" s="56"/>
      <c r="Q53" s="104" t="s">
        <v>1506</v>
      </c>
      <c r="R53" s="106" t="s">
        <v>1748</v>
      </c>
      <c r="S53" s="107" t="s">
        <v>1749</v>
      </c>
      <c r="T53" s="104" t="s">
        <v>1509</v>
      </c>
      <c r="U53" s="107" t="s">
        <v>1750</v>
      </c>
      <c r="V53" s="108" t="s">
        <v>1511</v>
      </c>
      <c r="W53" s="109" t="s">
        <v>1512</v>
      </c>
      <c r="X53" s="109" t="s">
        <v>1533</v>
      </c>
      <c r="Y53" s="109" t="s">
        <v>1534</v>
      </c>
      <c r="Z53" s="109" t="s">
        <v>1515</v>
      </c>
      <c r="AA53" s="109">
        <v>0</v>
      </c>
      <c r="AB53" s="109">
        <v>0</v>
      </c>
      <c r="AC53" s="109">
        <v>0</v>
      </c>
      <c r="AD53" s="109">
        <v>0</v>
      </c>
      <c r="AE53" s="110">
        <v>0</v>
      </c>
      <c r="AF53" s="77" t="str">
        <f>VLOOKUP(D53,TIPOLOGIAS!A:H,6,0)</f>
        <v>TIPO II</v>
      </c>
      <c r="AG53" s="77" t="str">
        <f>VLOOKUP(D53,TIPOLOGIAS!A:H,5,0)</f>
        <v>TERRESTRE</v>
      </c>
      <c r="AH53" s="104">
        <v>1</v>
      </c>
      <c r="AI53" s="104">
        <v>0</v>
      </c>
      <c r="AJ53" s="104">
        <v>0</v>
      </c>
      <c r="AK53" s="104">
        <v>0</v>
      </c>
      <c r="AL53" s="78">
        <f>IF(T53="SOPORTE_TELEFÓNICO",'BASE LIQUIDACION'!$B$10,IF(AF53="TIPO I",'BASE LIQUIDACION'!$C$3,IF(AF53="TIPO II",'BASE LIQUIDACION'!$C$4,IF(AF53="TIPO III",'BASE LIQUIDACION'!$C$5,'BASE LIQUIDACION'!$C$7))))</f>
        <v>163813.55812</v>
      </c>
      <c r="AM53" s="80">
        <f>IF(T53="SOPORTE_TELEFÓNICO",'BASE LIQUIDACION'!$B$10,(AH53*AL53+AI53*'BASE LIQUIDACION'!$B$12+AJ53*'BASE LIQUIDACION'!$B$11+INCIDENTES!AK53*'BASE LIQUIDACION'!$B$13))</f>
        <v>163813.55812</v>
      </c>
    </row>
    <row r="54" spans="1:39" s="4" customFormat="1">
      <c r="A54" s="104" t="s">
        <v>111</v>
      </c>
      <c r="B54" s="56" t="str">
        <f>VLOOKUP(A54,'CENTRO DE COSTOS'!A:D,4,FALSE)</f>
        <v>JUAN SEBASTIÁN RÍOS CASTRILLÓN</v>
      </c>
      <c r="C54" s="56" t="str">
        <f>VLOOKUP(A54,'CENTRO DE COSTOS'!A:D,2,FALSE)</f>
        <v>0004-0005</v>
      </c>
      <c r="D54" s="104">
        <v>5209</v>
      </c>
      <c r="E54" s="104">
        <v>2268754</v>
      </c>
      <c r="F54" s="104" t="s">
        <v>1751</v>
      </c>
      <c r="G54" s="105">
        <v>45815.588888888888</v>
      </c>
      <c r="H54" s="105">
        <v>45818.619444444441</v>
      </c>
      <c r="I54" s="104" t="s">
        <v>131</v>
      </c>
      <c r="J54" s="104" t="s">
        <v>476</v>
      </c>
      <c r="K54" s="104" t="s">
        <v>1752</v>
      </c>
      <c r="L54" s="104">
        <v>14866</v>
      </c>
      <c r="M54" s="56" t="s">
        <v>1505</v>
      </c>
      <c r="N54" s="56" t="s">
        <v>119</v>
      </c>
      <c r="O54" s="104" t="s">
        <v>1524</v>
      </c>
      <c r="P54" s="56"/>
      <c r="Q54" s="104" t="s">
        <v>1506</v>
      </c>
      <c r="R54" s="106" t="s">
        <v>1753</v>
      </c>
      <c r="S54" s="107" t="s">
        <v>1638</v>
      </c>
      <c r="T54" s="104" t="s">
        <v>1509</v>
      </c>
      <c r="U54" s="107" t="s">
        <v>1754</v>
      </c>
      <c r="V54" s="108" t="s">
        <v>1511</v>
      </c>
      <c r="W54" s="109" t="s">
        <v>1512</v>
      </c>
      <c r="X54" s="109" t="s">
        <v>1513</v>
      </c>
      <c r="Y54" s="109" t="s">
        <v>1514</v>
      </c>
      <c r="Z54" s="109" t="s">
        <v>1515</v>
      </c>
      <c r="AA54" s="109">
        <v>0</v>
      </c>
      <c r="AB54" s="109">
        <v>0</v>
      </c>
      <c r="AC54" s="109">
        <v>0</v>
      </c>
      <c r="AD54" s="109">
        <v>0</v>
      </c>
      <c r="AE54" s="110">
        <v>0</v>
      </c>
      <c r="AF54" s="77" t="str">
        <f>VLOOKUP(D54,TIPOLOGIAS!A:H,6,0)</f>
        <v>TIPO III</v>
      </c>
      <c r="AG54" s="77" t="str">
        <f>VLOOKUP(D54,TIPOLOGIAS!A:H,5,0)</f>
        <v>TERRESTRE</v>
      </c>
      <c r="AH54" s="104">
        <v>1</v>
      </c>
      <c r="AI54" s="104">
        <v>0</v>
      </c>
      <c r="AJ54" s="104">
        <v>0</v>
      </c>
      <c r="AK54" s="104">
        <v>0</v>
      </c>
      <c r="AL54" s="78">
        <f>IF(T54="SOPORTE_TELEFÓNICO",'BASE LIQUIDACION'!$B$10,IF(AF54="TIPO I",'BASE LIQUIDACION'!$C$3,IF(AF54="TIPO II",'BASE LIQUIDACION'!$C$4,IF(AF54="TIPO III",'BASE LIQUIDACION'!$C$5,'BASE LIQUIDACION'!$C$7))))</f>
        <v>275728.37943999999</v>
      </c>
      <c r="AM54" s="80">
        <f>IF(T54="SOPORTE_TELEFÓNICO",'BASE LIQUIDACION'!$B$10,(AH54*AL54+AI54*'BASE LIQUIDACION'!$B$12+AJ54*'BASE LIQUIDACION'!$B$11+INCIDENTES!AK54*'BASE LIQUIDACION'!$B$13))</f>
        <v>275728.37943999999</v>
      </c>
    </row>
    <row r="55" spans="1:39" s="4" customFormat="1">
      <c r="A55" s="104" t="s">
        <v>147</v>
      </c>
      <c r="B55" s="56" t="str">
        <f>VLOOKUP(A55,'CENTRO DE COSTOS'!A:D,4,FALSE)</f>
        <v>MIGUEL JULIÁN HERNÁNDEZ GUARÍN</v>
      </c>
      <c r="C55" s="56" t="str">
        <f>VLOOKUP(A55,'CENTRO DE COSTOS'!A:D,2,FALSE)</f>
        <v>0004-0008</v>
      </c>
      <c r="D55" s="104">
        <v>15759</v>
      </c>
      <c r="E55" s="104">
        <v>2275102</v>
      </c>
      <c r="F55" s="104" t="s">
        <v>1755</v>
      </c>
      <c r="G55" s="105">
        <v>45817.607638888891</v>
      </c>
      <c r="H55" s="105">
        <v>45818.623611111114</v>
      </c>
      <c r="I55" s="104" t="s">
        <v>150</v>
      </c>
      <c r="J55" s="104" t="s">
        <v>309</v>
      </c>
      <c r="K55" s="104" t="s">
        <v>1756</v>
      </c>
      <c r="L55" s="104">
        <v>77977</v>
      </c>
      <c r="M55" s="56" t="s">
        <v>1505</v>
      </c>
      <c r="N55" s="56" t="s">
        <v>119</v>
      </c>
      <c r="O55" s="104" t="s">
        <v>1524</v>
      </c>
      <c r="P55" s="56"/>
      <c r="Q55" s="104" t="s">
        <v>1506</v>
      </c>
      <c r="R55" s="106" t="s">
        <v>1757</v>
      </c>
      <c r="S55" s="107" t="s">
        <v>1758</v>
      </c>
      <c r="T55" s="104" t="s">
        <v>1520</v>
      </c>
      <c r="U55" s="107">
        <v>0</v>
      </c>
      <c r="V55" s="108" t="s">
        <v>1511</v>
      </c>
      <c r="W55" s="109" t="s">
        <v>1512</v>
      </c>
      <c r="X55" s="109" t="s">
        <v>1533</v>
      </c>
      <c r="Y55" s="109" t="s">
        <v>1534</v>
      </c>
      <c r="Z55" s="109" t="s">
        <v>1515</v>
      </c>
      <c r="AA55" s="109">
        <v>0</v>
      </c>
      <c r="AB55" s="109">
        <v>0</v>
      </c>
      <c r="AC55" s="109">
        <v>0</v>
      </c>
      <c r="AD55" s="109">
        <v>0</v>
      </c>
      <c r="AE55" s="110">
        <v>0</v>
      </c>
      <c r="AF55" s="77" t="str">
        <f>VLOOKUP(D55,TIPOLOGIAS!A:H,6,0)</f>
        <v>TIPO II</v>
      </c>
      <c r="AG55" s="77" t="str">
        <f>VLOOKUP(D55,TIPOLOGIAS!A:H,5,0)</f>
        <v>TERRESTRE</v>
      </c>
      <c r="AH55" s="104">
        <v>0</v>
      </c>
      <c r="AI55" s="104">
        <v>0</v>
      </c>
      <c r="AJ55" s="104">
        <v>0</v>
      </c>
      <c r="AK55" s="104">
        <v>0</v>
      </c>
      <c r="AL55" s="78">
        <f>IF(T55="SOPORTE_TELEFÓNICO",'BASE LIQUIDACION'!$B$10,IF(AF55="TIPO I",'BASE LIQUIDACION'!$C$3,IF(AF55="TIPO II",'BASE LIQUIDACION'!$C$4,IF(AF55="TIPO III",'BASE LIQUIDACION'!$C$5,'BASE LIQUIDACION'!$C$7))))</f>
        <v>37904.65408</v>
      </c>
      <c r="AM55" s="80">
        <f>IF(T55="SOPORTE_TELEFÓNICO",'BASE LIQUIDACION'!$B$10,(AH55*AL55+AI55*'BASE LIQUIDACION'!$B$12+AJ55*'BASE LIQUIDACION'!$B$11+INCIDENTES!AK55*'BASE LIQUIDACION'!$B$13))</f>
        <v>37904.65408</v>
      </c>
    </row>
    <row r="56" spans="1:39" s="4" customFormat="1">
      <c r="A56" s="104" t="s">
        <v>111</v>
      </c>
      <c r="B56" s="56" t="str">
        <f>VLOOKUP(A56,'CENTRO DE COSTOS'!A:D,4,FALSE)</f>
        <v>JUAN SEBASTIÁN RÍOS CASTRILLÓN</v>
      </c>
      <c r="C56" s="56" t="str">
        <f>VLOOKUP(A56,'CENTRO DE COSTOS'!A:D,2,FALSE)</f>
        <v>0004-0005</v>
      </c>
      <c r="D56" s="104">
        <v>5887</v>
      </c>
      <c r="E56" s="104">
        <v>2277281</v>
      </c>
      <c r="F56" s="104" t="s">
        <v>1759</v>
      </c>
      <c r="G56" s="105">
        <v>45818.333333333336</v>
      </c>
      <c r="H56" s="105">
        <v>45818.625289351854</v>
      </c>
      <c r="I56" s="104" t="s">
        <v>131</v>
      </c>
      <c r="J56" s="104" t="s">
        <v>585</v>
      </c>
      <c r="K56" s="104" t="s">
        <v>1760</v>
      </c>
      <c r="L56" s="104">
        <v>17989</v>
      </c>
      <c r="M56" s="56" t="s">
        <v>1505</v>
      </c>
      <c r="N56" s="56" t="s">
        <v>119</v>
      </c>
      <c r="O56" s="104" t="s">
        <v>1524</v>
      </c>
      <c r="P56" s="56"/>
      <c r="Q56" s="104" t="s">
        <v>1506</v>
      </c>
      <c r="R56" s="106" t="s">
        <v>1761</v>
      </c>
      <c r="S56" s="107" t="s">
        <v>1762</v>
      </c>
      <c r="T56" s="104" t="s">
        <v>1509</v>
      </c>
      <c r="U56" s="107" t="s">
        <v>1763</v>
      </c>
      <c r="V56" s="108" t="s">
        <v>1511</v>
      </c>
      <c r="W56" s="109" t="s">
        <v>1512</v>
      </c>
      <c r="X56" s="109" t="s">
        <v>1533</v>
      </c>
      <c r="Y56" s="109" t="s">
        <v>1534</v>
      </c>
      <c r="Z56" s="109" t="s">
        <v>1515</v>
      </c>
      <c r="AA56" s="109">
        <v>0</v>
      </c>
      <c r="AB56" s="109">
        <v>0</v>
      </c>
      <c r="AC56" s="109">
        <v>0</v>
      </c>
      <c r="AD56" s="109">
        <v>0</v>
      </c>
      <c r="AE56" s="110">
        <v>0</v>
      </c>
      <c r="AF56" s="77" t="str">
        <f>VLOOKUP(D56,TIPOLOGIAS!A:H,6,0)</f>
        <v>TIPO III</v>
      </c>
      <c r="AG56" s="77" t="str">
        <f>VLOOKUP(D56,TIPOLOGIAS!A:H,5,0)</f>
        <v>TERRESTRE</v>
      </c>
      <c r="AH56" s="104">
        <v>1</v>
      </c>
      <c r="AI56" s="104">
        <v>0</v>
      </c>
      <c r="AJ56" s="104">
        <v>0</v>
      </c>
      <c r="AK56" s="104">
        <v>0</v>
      </c>
      <c r="AL56" s="78">
        <f>IF(T56="SOPORTE_TELEFÓNICO",'BASE LIQUIDACION'!$B$10,IF(AF56="TIPO I",'BASE LIQUIDACION'!$C$3,IF(AF56="TIPO II",'BASE LIQUIDACION'!$C$4,IF(AF56="TIPO III",'BASE LIQUIDACION'!$C$5,'BASE LIQUIDACION'!$C$7))))</f>
        <v>275728.37943999999</v>
      </c>
      <c r="AM56" s="80">
        <f>IF(T56="SOPORTE_TELEFÓNICO",'BASE LIQUIDACION'!$B$10,(AH56*AL56+AI56*'BASE LIQUIDACION'!$B$12+AJ56*'BASE LIQUIDACION'!$B$11+INCIDENTES!AK56*'BASE LIQUIDACION'!$B$13))</f>
        <v>275728.37943999999</v>
      </c>
    </row>
    <row r="57" spans="1:39" s="4" customFormat="1">
      <c r="A57" s="104" t="s">
        <v>822</v>
      </c>
      <c r="B57" s="56" t="str">
        <f>VLOOKUP(A57,'CENTRO DE COSTOS'!A:D,4,FALSE)</f>
        <v>KEVIN ALEXIS CORZO BUSTOS</v>
      </c>
      <c r="C57" s="56" t="str">
        <f>VLOOKUP(A57,'CENTRO DE COSTOS'!A:D,2,FALSE)</f>
        <v>0004-0007</v>
      </c>
      <c r="D57" s="104">
        <v>50001</v>
      </c>
      <c r="E57" s="104">
        <v>2275836</v>
      </c>
      <c r="F57" s="104" t="s">
        <v>1764</v>
      </c>
      <c r="G57" s="105">
        <v>45817.647222222222</v>
      </c>
      <c r="H57" s="105">
        <v>45818.640277777777</v>
      </c>
      <c r="I57" s="104" t="s">
        <v>1148</v>
      </c>
      <c r="J57" s="104" t="s">
        <v>822</v>
      </c>
      <c r="K57" s="104" t="s">
        <v>1765</v>
      </c>
      <c r="L57" s="104">
        <v>74210</v>
      </c>
      <c r="M57" s="56" t="s">
        <v>1505</v>
      </c>
      <c r="N57" s="56" t="s">
        <v>119</v>
      </c>
      <c r="O57" s="104" t="s">
        <v>1524</v>
      </c>
      <c r="P57" s="56"/>
      <c r="Q57" s="104" t="s">
        <v>1506</v>
      </c>
      <c r="R57" s="106" t="s">
        <v>1766</v>
      </c>
      <c r="S57" s="107" t="s">
        <v>1625</v>
      </c>
      <c r="T57" s="104" t="s">
        <v>1509</v>
      </c>
      <c r="U57" s="107">
        <v>0</v>
      </c>
      <c r="V57" s="108" t="s">
        <v>1511</v>
      </c>
      <c r="W57" s="109" t="s">
        <v>1512</v>
      </c>
      <c r="X57" s="109" t="s">
        <v>1567</v>
      </c>
      <c r="Y57" s="109" t="s">
        <v>1649</v>
      </c>
      <c r="Z57" s="109" t="s">
        <v>1515</v>
      </c>
      <c r="AA57" s="109">
        <v>0</v>
      </c>
      <c r="AB57" s="109">
        <v>0</v>
      </c>
      <c r="AC57" s="109">
        <v>0</v>
      </c>
      <c r="AD57" s="109">
        <v>0</v>
      </c>
      <c r="AE57" s="110">
        <v>0</v>
      </c>
      <c r="AF57" s="77" t="str">
        <f>VLOOKUP(D57,TIPOLOGIAS!A:H,6,0)</f>
        <v>TIPO I</v>
      </c>
      <c r="AG57" s="77" t="str">
        <f>VLOOKUP(D57,TIPOLOGIAS!A:H,5,0)</f>
        <v>TERRESTRE</v>
      </c>
      <c r="AH57" s="104">
        <v>1</v>
      </c>
      <c r="AI57" s="104">
        <v>0</v>
      </c>
      <c r="AJ57" s="104">
        <v>0</v>
      </c>
      <c r="AK57" s="104">
        <v>0</v>
      </c>
      <c r="AL57" s="78">
        <f>IF(T57="SOPORTE_TELEFÓNICO",'BASE LIQUIDACION'!$B$10,IF(AF57="TIPO I",'BASE LIQUIDACION'!$C$3,IF(AF57="TIPO II",'BASE LIQUIDACION'!$C$4,IF(AF57="TIPO III",'BASE LIQUIDACION'!$C$5,'BASE LIQUIDACION'!$C$7))))</f>
        <v>65960.473639999997</v>
      </c>
      <c r="AM57" s="80">
        <f>IF(T57="SOPORTE_TELEFÓNICO",'BASE LIQUIDACION'!$B$10,(AH57*AL57+AI57*'BASE LIQUIDACION'!$B$12+AJ57*'BASE LIQUIDACION'!$B$11+INCIDENTES!AK57*'BASE LIQUIDACION'!$B$13))</f>
        <v>65960.473639999997</v>
      </c>
    </row>
    <row r="58" spans="1:39" s="4" customFormat="1">
      <c r="A58" s="104" t="s">
        <v>138</v>
      </c>
      <c r="B58" s="56" t="str">
        <f>VLOOKUP(A58,'CENTRO DE COSTOS'!A:D,4,FALSE)</f>
        <v>DIEGO FERNANDO HENAO CARDONA</v>
      </c>
      <c r="C58" s="56" t="str">
        <f>VLOOKUP(A58,'CENTRO DE COSTOS'!A:D,2,FALSE)</f>
        <v>0004-0003</v>
      </c>
      <c r="D58" s="104">
        <v>19473</v>
      </c>
      <c r="E58" s="104">
        <v>2278861</v>
      </c>
      <c r="F58" s="104" t="s">
        <v>1767</v>
      </c>
      <c r="G58" s="105">
        <v>45818.376388888886</v>
      </c>
      <c r="H58" s="105">
        <v>45818.651388888888</v>
      </c>
      <c r="I58" s="104" t="s">
        <v>285</v>
      </c>
      <c r="J58" s="104" t="s">
        <v>623</v>
      </c>
      <c r="K58" s="104" t="s">
        <v>1768</v>
      </c>
      <c r="L58" s="104">
        <v>60816</v>
      </c>
      <c r="M58" s="56" t="s">
        <v>1505</v>
      </c>
      <c r="N58" s="56" t="s">
        <v>119</v>
      </c>
      <c r="O58" s="104" t="s">
        <v>1524</v>
      </c>
      <c r="P58" s="56"/>
      <c r="Q58" s="104" t="s">
        <v>1506</v>
      </c>
      <c r="R58" s="106" t="s">
        <v>1769</v>
      </c>
      <c r="S58" s="107" t="s">
        <v>1519</v>
      </c>
      <c r="T58" s="104" t="s">
        <v>1520</v>
      </c>
      <c r="U58" s="107">
        <v>0</v>
      </c>
      <c r="V58" s="108" t="s">
        <v>1511</v>
      </c>
      <c r="W58" s="109" t="s">
        <v>1512</v>
      </c>
      <c r="X58" s="109" t="s">
        <v>1513</v>
      </c>
      <c r="Y58" s="109" t="s">
        <v>1514</v>
      </c>
      <c r="Z58" s="109" t="s">
        <v>1515</v>
      </c>
      <c r="AA58" s="109">
        <v>0</v>
      </c>
      <c r="AB58" s="109">
        <v>0</v>
      </c>
      <c r="AC58" s="109">
        <v>0</v>
      </c>
      <c r="AD58" s="109">
        <v>0</v>
      </c>
      <c r="AE58" s="110">
        <v>0</v>
      </c>
      <c r="AF58" s="77" t="str">
        <f>VLOOKUP(D58,TIPOLOGIAS!A:H,6,0)</f>
        <v>TIPO III</v>
      </c>
      <c r="AG58" s="77" t="str">
        <f>VLOOKUP(D58,TIPOLOGIAS!A:H,5,0)</f>
        <v>TERRESTRE</v>
      </c>
      <c r="AH58" s="104">
        <v>0</v>
      </c>
      <c r="AI58" s="104">
        <v>0</v>
      </c>
      <c r="AJ58" s="104">
        <v>0</v>
      </c>
      <c r="AK58" s="104">
        <v>0</v>
      </c>
      <c r="AL58" s="78">
        <f>IF(T58="SOPORTE_TELEFÓNICO",'BASE LIQUIDACION'!$B$10,IF(AF58="TIPO I",'BASE LIQUIDACION'!$C$3,IF(AF58="TIPO II",'BASE LIQUIDACION'!$C$4,IF(AF58="TIPO III",'BASE LIQUIDACION'!$C$5,'BASE LIQUIDACION'!$C$7))))</f>
        <v>37904.65408</v>
      </c>
      <c r="AM58" s="80">
        <f>IF(T58="SOPORTE_TELEFÓNICO",'BASE LIQUIDACION'!$B$10,(AH58*AL58+AI58*'BASE LIQUIDACION'!$B$12+AJ58*'BASE LIQUIDACION'!$B$11+INCIDENTES!AK58*'BASE LIQUIDACION'!$B$13))</f>
        <v>37904.65408</v>
      </c>
    </row>
    <row r="59" spans="1:39" s="4" customFormat="1" ht="15" customHeight="1">
      <c r="A59" s="104" t="s">
        <v>111</v>
      </c>
      <c r="B59" s="56" t="str">
        <f>VLOOKUP(A59,'CENTRO DE COSTOS'!A:D,4,FALSE)</f>
        <v>JUAN SEBASTIÁN RÍOS CASTRILLÓN</v>
      </c>
      <c r="C59" s="56" t="str">
        <f>VLOOKUP(A59,'CENTRO DE COSTOS'!A:D,2,FALSE)</f>
        <v>0004-0005</v>
      </c>
      <c r="D59" s="104">
        <v>5368</v>
      </c>
      <c r="E59" s="104">
        <v>2277286</v>
      </c>
      <c r="F59" s="104" t="s">
        <v>1770</v>
      </c>
      <c r="G59" s="105">
        <v>45818.333333333336</v>
      </c>
      <c r="H59" s="105">
        <v>45818.680555555555</v>
      </c>
      <c r="I59" s="104" t="s">
        <v>131</v>
      </c>
      <c r="J59" s="104" t="s">
        <v>479</v>
      </c>
      <c r="K59" s="104" t="s">
        <v>1771</v>
      </c>
      <c r="L59" s="104">
        <v>58393</v>
      </c>
      <c r="M59" s="56" t="s">
        <v>1505</v>
      </c>
      <c r="N59" s="56" t="s">
        <v>119</v>
      </c>
      <c r="O59" s="104" t="s">
        <v>1524</v>
      </c>
      <c r="P59" s="56"/>
      <c r="Q59" s="104" t="s">
        <v>1506</v>
      </c>
      <c r="R59" s="106" t="s">
        <v>1772</v>
      </c>
      <c r="S59" s="107" t="s">
        <v>1638</v>
      </c>
      <c r="T59" s="104" t="s">
        <v>1509</v>
      </c>
      <c r="U59" s="107" t="s">
        <v>1773</v>
      </c>
      <c r="V59" s="108" t="s">
        <v>1511</v>
      </c>
      <c r="W59" s="109" t="s">
        <v>1512</v>
      </c>
      <c r="X59" s="109" t="s">
        <v>1556</v>
      </c>
      <c r="Y59" s="109" t="s">
        <v>1557</v>
      </c>
      <c r="Z59" s="109" t="s">
        <v>1515</v>
      </c>
      <c r="AA59" s="109">
        <v>0</v>
      </c>
      <c r="AB59" s="109">
        <v>0</v>
      </c>
      <c r="AC59" s="109">
        <v>0</v>
      </c>
      <c r="AD59" s="109">
        <v>0</v>
      </c>
      <c r="AE59" s="110">
        <v>0</v>
      </c>
      <c r="AF59" s="77" t="str">
        <f>VLOOKUP(D59,TIPOLOGIAS!A:H,6,0)</f>
        <v>TIPO III</v>
      </c>
      <c r="AG59" s="77" t="str">
        <f>VLOOKUP(D59,TIPOLOGIAS!A:H,5,0)</f>
        <v>TERRESTRE</v>
      </c>
      <c r="AH59" s="104">
        <v>1</v>
      </c>
      <c r="AI59" s="104">
        <v>0</v>
      </c>
      <c r="AJ59" s="104">
        <v>0</v>
      </c>
      <c r="AK59" s="104">
        <v>0</v>
      </c>
      <c r="AL59" s="78">
        <f>IF(T59="SOPORTE_TELEFÓNICO",'BASE LIQUIDACION'!$B$10,IF(AF59="TIPO I",'BASE LIQUIDACION'!$C$3,IF(AF59="TIPO II",'BASE LIQUIDACION'!$C$4,IF(AF59="TIPO III",'BASE LIQUIDACION'!$C$5,'BASE LIQUIDACION'!$C$7))))</f>
        <v>275728.37943999999</v>
      </c>
      <c r="AM59" s="80">
        <f>IF(T59="SOPORTE_TELEFÓNICO",'BASE LIQUIDACION'!$B$10,(AH59*AL59+AI59*'BASE LIQUIDACION'!$B$12+AJ59*'BASE LIQUIDACION'!$B$11+INCIDENTES!AK59*'BASE LIQUIDACION'!$B$13))</f>
        <v>275728.37943999999</v>
      </c>
    </row>
    <row r="60" spans="1:39" s="4" customFormat="1">
      <c r="A60" s="104" t="s">
        <v>138</v>
      </c>
      <c r="B60" s="56" t="str">
        <f>VLOOKUP(A60,'CENTRO DE COSTOS'!A:D,4,FALSE)</f>
        <v>DIEGO FERNANDO HENAO CARDONA</v>
      </c>
      <c r="C60" s="56" t="str">
        <f>VLOOKUP(A60,'CENTRO DE COSTOS'!A:D,2,FALSE)</f>
        <v>0004-0003</v>
      </c>
      <c r="D60" s="104">
        <v>19050</v>
      </c>
      <c r="E60" s="104">
        <v>2278813</v>
      </c>
      <c r="F60" s="104" t="s">
        <v>1774</v>
      </c>
      <c r="G60" s="105">
        <v>45818.366666666669</v>
      </c>
      <c r="H60" s="105">
        <v>45819.374502314815</v>
      </c>
      <c r="I60" s="104" t="s">
        <v>285</v>
      </c>
      <c r="J60" s="104" t="s">
        <v>465</v>
      </c>
      <c r="K60" s="104" t="s">
        <v>1775</v>
      </c>
      <c r="L60" s="104">
        <v>66182</v>
      </c>
      <c r="M60" s="56" t="s">
        <v>1505</v>
      </c>
      <c r="N60" s="56" t="s">
        <v>119</v>
      </c>
      <c r="O60" s="104" t="s">
        <v>332</v>
      </c>
      <c r="P60" s="56"/>
      <c r="Q60" s="104" t="s">
        <v>1506</v>
      </c>
      <c r="R60" s="106" t="s">
        <v>1776</v>
      </c>
      <c r="S60" s="107" t="s">
        <v>1519</v>
      </c>
      <c r="T60" s="104" t="s">
        <v>1520</v>
      </c>
      <c r="U60" s="107">
        <v>0</v>
      </c>
      <c r="V60" s="108" t="s">
        <v>1511</v>
      </c>
      <c r="W60" s="109" t="s">
        <v>1512</v>
      </c>
      <c r="X60" s="109" t="s">
        <v>1513</v>
      </c>
      <c r="Y60" s="109" t="s">
        <v>1514</v>
      </c>
      <c r="Z60" s="109" t="s">
        <v>1515</v>
      </c>
      <c r="AA60" s="109">
        <v>0</v>
      </c>
      <c r="AB60" s="109">
        <v>0</v>
      </c>
      <c r="AC60" s="109">
        <v>0</v>
      </c>
      <c r="AD60" s="109">
        <v>0</v>
      </c>
      <c r="AE60" s="110">
        <v>0</v>
      </c>
      <c r="AF60" s="77" t="str">
        <f>VLOOKUP(D60,TIPOLOGIAS!A:H,6,0)</f>
        <v>TIPO IV</v>
      </c>
      <c r="AG60" s="77" t="str">
        <f>VLOOKUP(D60,TIPOLOGIAS!A:H,5,0)</f>
        <v>TERRESTRE</v>
      </c>
      <c r="AH60" s="104">
        <v>0</v>
      </c>
      <c r="AI60" s="104">
        <v>0</v>
      </c>
      <c r="AJ60" s="104">
        <v>0</v>
      </c>
      <c r="AK60" s="104">
        <v>0</v>
      </c>
      <c r="AL60" s="78">
        <f>IF(T60="SOPORTE_TELEFÓNICO",'BASE LIQUIDACION'!$B$10,IF(AF60="TIPO I",'BASE LIQUIDACION'!$C$3,IF(AF60="TIPO II",'BASE LIQUIDACION'!$C$4,IF(AF60="TIPO III",'BASE LIQUIDACION'!$C$5,'BASE LIQUIDACION'!$C$7))))</f>
        <v>37904.65408</v>
      </c>
      <c r="AM60" s="80">
        <f>IF(T60="SOPORTE_TELEFÓNICO",'BASE LIQUIDACION'!$B$10,(AH60*AL60+AI60*'BASE LIQUIDACION'!$B$12+AJ60*'BASE LIQUIDACION'!$B$11+INCIDENTES!AK60*'BASE LIQUIDACION'!$B$13))</f>
        <v>37904.65408</v>
      </c>
    </row>
    <row r="61" spans="1:39" s="4" customFormat="1">
      <c r="A61" s="104" t="s">
        <v>111</v>
      </c>
      <c r="B61" s="56" t="str">
        <f>VLOOKUP(A61,'CENTRO DE COSTOS'!A:D,4,FALSE)</f>
        <v>JUAN SEBASTIÁN RÍOS CASTRILLÓN</v>
      </c>
      <c r="C61" s="56" t="str">
        <f>VLOOKUP(A61,'CENTRO DE COSTOS'!A:D,2,FALSE)</f>
        <v>0004-0005</v>
      </c>
      <c r="D61" s="104">
        <v>5001</v>
      </c>
      <c r="E61" s="104">
        <v>2282464</v>
      </c>
      <c r="F61" s="104" t="s">
        <v>1777</v>
      </c>
      <c r="G61" s="105">
        <v>45818.616666666669</v>
      </c>
      <c r="H61" s="105">
        <v>45819.412453703706</v>
      </c>
      <c r="I61" s="104" t="s">
        <v>131</v>
      </c>
      <c r="J61" s="104" t="s">
        <v>111</v>
      </c>
      <c r="K61" s="104" t="s">
        <v>1778</v>
      </c>
      <c r="L61" s="104">
        <v>50147</v>
      </c>
      <c r="M61" s="56" t="s">
        <v>1505</v>
      </c>
      <c r="N61" s="56" t="s">
        <v>119</v>
      </c>
      <c r="O61" s="104" t="s">
        <v>332</v>
      </c>
      <c r="P61" s="56"/>
      <c r="Q61" s="104" t="s">
        <v>1506</v>
      </c>
      <c r="R61" s="106" t="s">
        <v>1779</v>
      </c>
      <c r="S61" s="107" t="s">
        <v>1531</v>
      </c>
      <c r="T61" s="104" t="s">
        <v>1520</v>
      </c>
      <c r="U61" s="107">
        <v>0</v>
      </c>
      <c r="V61" s="108" t="s">
        <v>1511</v>
      </c>
      <c r="W61" s="109" t="s">
        <v>1512</v>
      </c>
      <c r="X61" s="109" t="s">
        <v>1533</v>
      </c>
      <c r="Y61" s="109" t="s">
        <v>1534</v>
      </c>
      <c r="Z61" s="109" t="s">
        <v>1515</v>
      </c>
      <c r="AA61" s="109">
        <v>0</v>
      </c>
      <c r="AB61" s="109">
        <v>0</v>
      </c>
      <c r="AC61" s="109">
        <v>0</v>
      </c>
      <c r="AD61" s="109">
        <v>0</v>
      </c>
      <c r="AE61" s="110">
        <v>0</v>
      </c>
      <c r="AF61" s="77" t="str">
        <f>VLOOKUP(D61,TIPOLOGIAS!A:H,6,0)</f>
        <v>TIPO I</v>
      </c>
      <c r="AG61" s="77" t="str">
        <f>VLOOKUP(D61,TIPOLOGIAS!A:H,5,0)</f>
        <v>TERRESTRE</v>
      </c>
      <c r="AH61" s="104">
        <v>0</v>
      </c>
      <c r="AI61" s="104">
        <v>0</v>
      </c>
      <c r="AJ61" s="104">
        <v>0</v>
      </c>
      <c r="AK61" s="104">
        <v>0</v>
      </c>
      <c r="AL61" s="78">
        <f>IF(T61="SOPORTE_TELEFÓNICO",'BASE LIQUIDACION'!$B$10,IF(AF61="TIPO I",'BASE LIQUIDACION'!$C$3,IF(AF61="TIPO II",'BASE LIQUIDACION'!$C$4,IF(AF61="TIPO III",'BASE LIQUIDACION'!$C$5,'BASE LIQUIDACION'!$C$7))))</f>
        <v>37904.65408</v>
      </c>
      <c r="AM61" s="80">
        <f>IF(T61="SOPORTE_TELEFÓNICO",'BASE LIQUIDACION'!$B$10,(AH61*AL61+AI61*'BASE LIQUIDACION'!$B$12+AJ61*'BASE LIQUIDACION'!$B$11+INCIDENTES!AK61*'BASE LIQUIDACION'!$B$13))</f>
        <v>37904.65408</v>
      </c>
    </row>
    <row r="62" spans="1:39" s="4" customFormat="1">
      <c r="A62" s="104" t="s">
        <v>163</v>
      </c>
      <c r="B62" s="56" t="str">
        <f>VLOOKUP(A62,'CENTRO DE COSTOS'!A:D,4,FALSE)</f>
        <v>WILLIAM ASDRUBAL ROZO ROZO</v>
      </c>
      <c r="C62" s="56" t="str">
        <f>VLOOKUP(A62,'CENTRO DE COSTOS'!A:D,2,FALSE)</f>
        <v>0004-0004</v>
      </c>
      <c r="D62" s="104">
        <v>11001</v>
      </c>
      <c r="E62" s="104">
        <v>2286870</v>
      </c>
      <c r="F62" s="104" t="s">
        <v>1780</v>
      </c>
      <c r="G62" s="105">
        <v>45819.401388888888</v>
      </c>
      <c r="H62" s="105">
        <v>45819.521527777775</v>
      </c>
      <c r="I62" s="104" t="s">
        <v>166</v>
      </c>
      <c r="J62" s="104" t="s">
        <v>163</v>
      </c>
      <c r="K62" s="104" t="s">
        <v>1781</v>
      </c>
      <c r="L62" s="104">
        <v>12232</v>
      </c>
      <c r="M62" s="56" t="s">
        <v>1505</v>
      </c>
      <c r="N62" s="56" t="s">
        <v>119</v>
      </c>
      <c r="O62" s="104" t="s">
        <v>1524</v>
      </c>
      <c r="P62" s="56"/>
      <c r="Q62" s="104" t="s">
        <v>1506</v>
      </c>
      <c r="R62" s="106" t="s">
        <v>1782</v>
      </c>
      <c r="S62" s="107" t="s">
        <v>1554</v>
      </c>
      <c r="T62" s="104" t="s">
        <v>1509</v>
      </c>
      <c r="U62" s="107" t="s">
        <v>1783</v>
      </c>
      <c r="V62" s="108" t="s">
        <v>1511</v>
      </c>
      <c r="W62" s="109" t="s">
        <v>1512</v>
      </c>
      <c r="X62" s="109" t="s">
        <v>1513</v>
      </c>
      <c r="Y62" s="109" t="s">
        <v>1521</v>
      </c>
      <c r="Z62" s="109" t="s">
        <v>1515</v>
      </c>
      <c r="AA62" s="109">
        <v>0</v>
      </c>
      <c r="AB62" s="109">
        <v>0</v>
      </c>
      <c r="AC62" s="109">
        <v>0</v>
      </c>
      <c r="AD62" s="109">
        <v>0</v>
      </c>
      <c r="AE62" s="110">
        <v>0</v>
      </c>
      <c r="AF62" s="77" t="str">
        <f>VLOOKUP(D62,TIPOLOGIAS!A:H,6,0)</f>
        <v>TIPO I</v>
      </c>
      <c r="AG62" s="77" t="str">
        <f>VLOOKUP(D62,TIPOLOGIAS!A:H,5,0)</f>
        <v>TERRESTRE</v>
      </c>
      <c r="AH62" s="104">
        <v>1</v>
      </c>
      <c r="AI62" s="104">
        <v>0</v>
      </c>
      <c r="AJ62" s="104">
        <v>0</v>
      </c>
      <c r="AK62" s="104">
        <v>0</v>
      </c>
      <c r="AL62" s="78">
        <f>IF(T62="SOPORTE_TELEFÓNICO",'BASE LIQUIDACION'!$B$10,IF(AF62="TIPO I",'BASE LIQUIDACION'!$C$3,IF(AF62="TIPO II",'BASE LIQUIDACION'!$C$4,IF(AF62="TIPO III",'BASE LIQUIDACION'!$C$5,'BASE LIQUIDACION'!$C$7))))</f>
        <v>65960.473639999997</v>
      </c>
      <c r="AM62" s="80">
        <f>IF(T62="SOPORTE_TELEFÓNICO",'BASE LIQUIDACION'!$B$10,(AH62*AL62+AI62*'BASE LIQUIDACION'!$B$12+AJ62*'BASE LIQUIDACION'!$B$11+INCIDENTES!AK62*'BASE LIQUIDACION'!$B$13))</f>
        <v>65960.473639999997</v>
      </c>
    </row>
    <row r="63" spans="1:39" s="4" customFormat="1">
      <c r="A63" s="104" t="s">
        <v>111</v>
      </c>
      <c r="B63" s="56" t="str">
        <f>VLOOKUP(A63,'CENTRO DE COSTOS'!A:D,4,FALSE)</f>
        <v>JUAN SEBASTIÁN RÍOS CASTRILLÓN</v>
      </c>
      <c r="C63" s="56" t="str">
        <f>VLOOKUP(A63,'CENTRO DE COSTOS'!A:D,2,FALSE)</f>
        <v>0004-0005</v>
      </c>
      <c r="D63" s="104">
        <v>5001</v>
      </c>
      <c r="E63" s="104">
        <v>2284400</v>
      </c>
      <c r="F63" s="104" t="s">
        <v>1784</v>
      </c>
      <c r="G63" s="105">
        <v>45818.724305555559</v>
      </c>
      <c r="H63" s="105">
        <v>45819.584050925929</v>
      </c>
      <c r="I63" s="104" t="s">
        <v>131</v>
      </c>
      <c r="J63" s="104" t="s">
        <v>111</v>
      </c>
      <c r="K63" s="104" t="s">
        <v>1785</v>
      </c>
      <c r="L63" s="104">
        <v>36971</v>
      </c>
      <c r="M63" s="56" t="s">
        <v>1505</v>
      </c>
      <c r="N63" s="56" t="s">
        <v>119</v>
      </c>
      <c r="O63" s="104" t="s">
        <v>1524</v>
      </c>
      <c r="P63" s="56"/>
      <c r="Q63" s="104" t="s">
        <v>1506</v>
      </c>
      <c r="R63" s="106" t="s">
        <v>1786</v>
      </c>
      <c r="S63" s="107" t="s">
        <v>1561</v>
      </c>
      <c r="T63" s="104" t="s">
        <v>1509</v>
      </c>
      <c r="U63" s="107" t="s">
        <v>1787</v>
      </c>
      <c r="V63" s="108" t="s">
        <v>1511</v>
      </c>
      <c r="W63" s="109" t="s">
        <v>1512</v>
      </c>
      <c r="X63" s="109" t="s">
        <v>1533</v>
      </c>
      <c r="Y63" s="109" t="s">
        <v>1534</v>
      </c>
      <c r="Z63" s="109" t="s">
        <v>1515</v>
      </c>
      <c r="AA63" s="109">
        <v>0</v>
      </c>
      <c r="AB63" s="109">
        <v>0</v>
      </c>
      <c r="AC63" s="109">
        <v>0</v>
      </c>
      <c r="AD63" s="109">
        <v>0</v>
      </c>
      <c r="AE63" s="110">
        <v>0</v>
      </c>
      <c r="AF63" s="77" t="str">
        <f>VLOOKUP(D63,TIPOLOGIAS!A:H,6,0)</f>
        <v>TIPO I</v>
      </c>
      <c r="AG63" s="77" t="str">
        <f>VLOOKUP(D63,TIPOLOGIAS!A:H,5,0)</f>
        <v>TERRESTRE</v>
      </c>
      <c r="AH63" s="104">
        <v>1</v>
      </c>
      <c r="AI63" s="104">
        <v>0</v>
      </c>
      <c r="AJ63" s="104">
        <v>0</v>
      </c>
      <c r="AK63" s="104">
        <v>0</v>
      </c>
      <c r="AL63" s="78">
        <f>IF(T63="SOPORTE_TELEFÓNICO",'BASE LIQUIDACION'!$B$10,IF(AF63="TIPO I",'BASE LIQUIDACION'!$C$3,IF(AF63="TIPO II",'BASE LIQUIDACION'!$C$4,IF(AF63="TIPO III",'BASE LIQUIDACION'!$C$5,'BASE LIQUIDACION'!$C$7))))</f>
        <v>65960.473639999997</v>
      </c>
      <c r="AM63" s="80">
        <f>IF(T63="SOPORTE_TELEFÓNICO",'BASE LIQUIDACION'!$B$10,(AH63*AL63+AI63*'BASE LIQUIDACION'!$B$12+AJ63*'BASE LIQUIDACION'!$B$11+INCIDENTES!AK63*'BASE LIQUIDACION'!$B$13))</f>
        <v>65960.473639999997</v>
      </c>
    </row>
    <row r="64" spans="1:39" s="4" customFormat="1">
      <c r="A64" s="104" t="s">
        <v>298</v>
      </c>
      <c r="B64" s="56" t="str">
        <f>VLOOKUP(A64,'CENTRO DE COSTOS'!A:D,4,FALSE)</f>
        <v>KEVIN ALEXIS CORZO BUSTOS</v>
      </c>
      <c r="C64" s="56" t="str">
        <f>VLOOKUP(A64,'CENTRO DE COSTOS'!A:D,2,FALSE)</f>
        <v>0004-0007</v>
      </c>
      <c r="D64" s="104">
        <v>41797</v>
      </c>
      <c r="E64" s="104">
        <v>2278833</v>
      </c>
      <c r="F64" s="104" t="s">
        <v>1788</v>
      </c>
      <c r="G64" s="105">
        <v>45818.371527777781</v>
      </c>
      <c r="H64" s="105">
        <v>45819.619050925925</v>
      </c>
      <c r="I64" s="104" t="s">
        <v>1073</v>
      </c>
      <c r="J64" s="104" t="s">
        <v>1103</v>
      </c>
      <c r="K64" s="104" t="s">
        <v>1789</v>
      </c>
      <c r="L64" s="104">
        <v>54453</v>
      </c>
      <c r="M64" s="56" t="s">
        <v>1505</v>
      </c>
      <c r="N64" s="56" t="s">
        <v>119</v>
      </c>
      <c r="O64" s="104" t="s">
        <v>1524</v>
      </c>
      <c r="P64" s="56"/>
      <c r="Q64" s="104" t="s">
        <v>1506</v>
      </c>
      <c r="R64" s="106" t="s">
        <v>1790</v>
      </c>
      <c r="S64" s="107" t="s">
        <v>1791</v>
      </c>
      <c r="T64" s="104" t="s">
        <v>1509</v>
      </c>
      <c r="U64" s="107" t="s">
        <v>1792</v>
      </c>
      <c r="V64" s="108" t="s">
        <v>1511</v>
      </c>
      <c r="W64" s="109" t="s">
        <v>1512</v>
      </c>
      <c r="X64" s="109" t="s">
        <v>1513</v>
      </c>
      <c r="Y64" s="109" t="s">
        <v>1521</v>
      </c>
      <c r="Z64" s="109" t="s">
        <v>1515</v>
      </c>
      <c r="AA64" s="109">
        <v>0</v>
      </c>
      <c r="AB64" s="109">
        <v>0</v>
      </c>
      <c r="AC64" s="109">
        <v>0</v>
      </c>
      <c r="AD64" s="109">
        <v>0</v>
      </c>
      <c r="AE64" s="110">
        <v>0</v>
      </c>
      <c r="AF64" s="77" t="str">
        <f>VLOOKUP(D64,TIPOLOGIAS!A:H,6,0)</f>
        <v>TIPO II</v>
      </c>
      <c r="AG64" s="77" t="str">
        <f>VLOOKUP(D64,TIPOLOGIAS!A:H,5,0)</f>
        <v>TERRESTRE</v>
      </c>
      <c r="AH64" s="104">
        <v>1</v>
      </c>
      <c r="AI64" s="104">
        <v>0</v>
      </c>
      <c r="AJ64" s="104">
        <v>0</v>
      </c>
      <c r="AK64" s="104">
        <v>0</v>
      </c>
      <c r="AL64" s="78">
        <f>IF(T64="SOPORTE_TELEFÓNICO",'BASE LIQUIDACION'!$B$10,IF(AF64="TIPO I",'BASE LIQUIDACION'!$C$3,IF(AF64="TIPO II",'BASE LIQUIDACION'!$C$4,IF(AF64="TIPO III",'BASE LIQUIDACION'!$C$5,'BASE LIQUIDACION'!$C$7))))</f>
        <v>163813.55812</v>
      </c>
      <c r="AM64" s="80">
        <f>IF(T64="SOPORTE_TELEFÓNICO",'BASE LIQUIDACION'!$B$10,(AH64*AL64+AI64*'BASE LIQUIDACION'!$B$12+AJ64*'BASE LIQUIDACION'!$B$11+INCIDENTES!AK64*'BASE LIQUIDACION'!$B$13))</f>
        <v>163813.55812</v>
      </c>
    </row>
    <row r="65" spans="1:39" s="4" customFormat="1">
      <c r="A65" s="104" t="s">
        <v>275</v>
      </c>
      <c r="B65" s="56" t="str">
        <f>VLOOKUP(A65,'CENTRO DE COSTOS'!A:D,4,FALSE)</f>
        <v>MIGUEL JULIÁN HERNÁNDEZ GUARÍN</v>
      </c>
      <c r="C65" s="56" t="str">
        <f>VLOOKUP(A65,'CENTRO DE COSTOS'!A:D,2,FALSE)</f>
        <v>0004-0008</v>
      </c>
      <c r="D65" s="104">
        <v>54874</v>
      </c>
      <c r="E65" s="104">
        <v>2284339</v>
      </c>
      <c r="F65" s="104" t="s">
        <v>1793</v>
      </c>
      <c r="G65" s="105">
        <v>45818.73541666667</v>
      </c>
      <c r="H65" s="105">
        <v>45819.667430555557</v>
      </c>
      <c r="I65" s="104" t="s">
        <v>278</v>
      </c>
      <c r="J65" s="104" t="s">
        <v>1259</v>
      </c>
      <c r="K65" s="104" t="s">
        <v>1794</v>
      </c>
      <c r="L65" s="104">
        <v>78996</v>
      </c>
      <c r="M65" s="56" t="s">
        <v>1505</v>
      </c>
      <c r="N65" s="56" t="s">
        <v>119</v>
      </c>
      <c r="O65" s="104" t="s">
        <v>332</v>
      </c>
      <c r="P65" s="56"/>
      <c r="Q65" s="104" t="s">
        <v>1506</v>
      </c>
      <c r="R65" s="106" t="s">
        <v>1795</v>
      </c>
      <c r="S65" s="107" t="s">
        <v>1669</v>
      </c>
      <c r="T65" s="104" t="s">
        <v>1509</v>
      </c>
      <c r="U65" s="107" t="s">
        <v>1796</v>
      </c>
      <c r="V65" s="108" t="s">
        <v>1511</v>
      </c>
      <c r="W65" s="109" t="s">
        <v>1512</v>
      </c>
      <c r="X65" s="109" t="s">
        <v>1513</v>
      </c>
      <c r="Y65" s="109" t="s">
        <v>1521</v>
      </c>
      <c r="Z65" s="109" t="s">
        <v>1515</v>
      </c>
      <c r="AA65" s="109">
        <v>0</v>
      </c>
      <c r="AB65" s="109">
        <v>0</v>
      </c>
      <c r="AC65" s="109">
        <v>0</v>
      </c>
      <c r="AD65" s="109">
        <v>0</v>
      </c>
      <c r="AE65" s="110">
        <v>0</v>
      </c>
      <c r="AF65" s="77" t="str">
        <f>VLOOKUP(D65,TIPOLOGIAS!A:H,6,0)</f>
        <v>TIPO I</v>
      </c>
      <c r="AG65" s="77" t="str">
        <f>VLOOKUP(D65,TIPOLOGIAS!A:H,5,0)</f>
        <v>TERRESTRE</v>
      </c>
      <c r="AH65" s="104">
        <v>1</v>
      </c>
      <c r="AI65" s="104">
        <v>0</v>
      </c>
      <c r="AJ65" s="104">
        <v>0</v>
      </c>
      <c r="AK65" s="104">
        <v>0</v>
      </c>
      <c r="AL65" s="78">
        <f>IF(T65="SOPORTE_TELEFÓNICO",'BASE LIQUIDACION'!$B$10,IF(AF65="TIPO I",'BASE LIQUIDACION'!$C$3,IF(AF65="TIPO II",'BASE LIQUIDACION'!$C$4,IF(AF65="TIPO III",'BASE LIQUIDACION'!$C$5,'BASE LIQUIDACION'!$C$7))))</f>
        <v>65960.473639999997</v>
      </c>
      <c r="AM65" s="80">
        <f>IF(T65="SOPORTE_TELEFÓNICO",'BASE LIQUIDACION'!$B$10,(AH65*AL65+AI65*'BASE LIQUIDACION'!$B$12+AJ65*'BASE LIQUIDACION'!$B$11+INCIDENTES!AK65*'BASE LIQUIDACION'!$B$13))</f>
        <v>65960.473639999997</v>
      </c>
    </row>
    <row r="66" spans="1:39" s="4" customFormat="1">
      <c r="A66" s="104" t="s">
        <v>111</v>
      </c>
      <c r="B66" s="56" t="str">
        <f>VLOOKUP(A66,'CENTRO DE COSTOS'!A:D,4,FALSE)</f>
        <v>JUAN SEBASTIÁN RÍOS CASTRILLÓN</v>
      </c>
      <c r="C66" s="56" t="str">
        <f>VLOOKUP(A66,'CENTRO DE COSTOS'!A:D,2,FALSE)</f>
        <v>0004-0005</v>
      </c>
      <c r="D66" s="104">
        <v>27001</v>
      </c>
      <c r="E66" s="104">
        <v>2268184</v>
      </c>
      <c r="F66" s="104" t="s">
        <v>1797</v>
      </c>
      <c r="G66" s="105">
        <v>45815.381249999999</v>
      </c>
      <c r="H66" s="105">
        <v>45819.746527777781</v>
      </c>
      <c r="I66" s="104" t="s">
        <v>114</v>
      </c>
      <c r="J66" s="104" t="s">
        <v>920</v>
      </c>
      <c r="K66" s="104" t="s">
        <v>1798</v>
      </c>
      <c r="L66" s="104">
        <v>66808</v>
      </c>
      <c r="M66" s="56" t="s">
        <v>1505</v>
      </c>
      <c r="N66" s="56" t="s">
        <v>119</v>
      </c>
      <c r="O66" s="104" t="s">
        <v>1524</v>
      </c>
      <c r="P66" s="56"/>
      <c r="Q66" s="104" t="s">
        <v>1506</v>
      </c>
      <c r="R66" s="106" t="s">
        <v>1799</v>
      </c>
      <c r="S66" s="107" t="s">
        <v>1800</v>
      </c>
      <c r="T66" s="104" t="s">
        <v>1509</v>
      </c>
      <c r="U66" s="107" t="s">
        <v>1801</v>
      </c>
      <c r="V66" s="108" t="s">
        <v>1511</v>
      </c>
      <c r="W66" s="109" t="s">
        <v>1512</v>
      </c>
      <c r="X66" s="109" t="s">
        <v>1513</v>
      </c>
      <c r="Y66" s="109" t="s">
        <v>1514</v>
      </c>
      <c r="Z66" s="109" t="s">
        <v>1515</v>
      </c>
      <c r="AA66" s="109">
        <v>0</v>
      </c>
      <c r="AB66" s="109">
        <v>0</v>
      </c>
      <c r="AC66" s="109">
        <v>0</v>
      </c>
      <c r="AD66" s="109">
        <v>0</v>
      </c>
      <c r="AE66" s="110">
        <v>0</v>
      </c>
      <c r="AF66" s="77" t="str">
        <f>VLOOKUP(D66,TIPOLOGIAS!A:H,6,0)</f>
        <v>TIPO IV ESPECIAL</v>
      </c>
      <c r="AG66" s="77" t="str">
        <f>VLOOKUP(D66,TIPOLOGIAS!A:H,5,0)</f>
        <v>AEREO</v>
      </c>
      <c r="AH66" s="104">
        <v>1</v>
      </c>
      <c r="AI66" s="104">
        <v>0</v>
      </c>
      <c r="AJ66" s="104">
        <v>0</v>
      </c>
      <c r="AK66" s="104">
        <v>0</v>
      </c>
      <c r="AL66" s="78">
        <f>IF(T66="SOPORTE_TELEFÓNICO",'BASE LIQUIDACION'!$B$10,IF(AF66="TIPO I",'BASE LIQUIDACION'!$C$3,IF(AF66="TIPO II",'BASE LIQUIDACION'!$C$4,IF(AF66="TIPO III",'BASE LIQUIDACION'!$C$5,'BASE LIQUIDACION'!$C$7))))</f>
        <v>479589.73656000005</v>
      </c>
      <c r="AM66" s="80">
        <f>IF(T66="SOPORTE_TELEFÓNICO",'BASE LIQUIDACION'!$B$10,(AH66*AL66+AI66*'BASE LIQUIDACION'!$B$12+AJ66*'BASE LIQUIDACION'!$B$11+INCIDENTES!AK66*'BASE LIQUIDACION'!$B$13))</f>
        <v>479589.73656000005</v>
      </c>
    </row>
    <row r="67" spans="1:39" s="4" customFormat="1">
      <c r="A67" s="104" t="s">
        <v>392</v>
      </c>
      <c r="B67" s="56" t="str">
        <f>VLOOKUP(A67,'CENTRO DE COSTOS'!A:D,4,FALSE)</f>
        <v>JOSE MAURICIO HERNANDEZ ROJAS</v>
      </c>
      <c r="C67" s="56" t="str">
        <f>VLOOKUP(A67,'CENTRO DE COSTOS'!A:D,2,FALSE)</f>
        <v>0004-0001</v>
      </c>
      <c r="D67" s="104">
        <v>70001</v>
      </c>
      <c r="E67" s="104">
        <v>2286271</v>
      </c>
      <c r="F67" s="104" t="s">
        <v>1802</v>
      </c>
      <c r="G67" s="105">
        <v>45819.372916666667</v>
      </c>
      <c r="H67" s="105">
        <v>45820.316828703704</v>
      </c>
      <c r="I67" s="104" t="s">
        <v>395</v>
      </c>
      <c r="J67" s="104" t="s">
        <v>392</v>
      </c>
      <c r="K67" s="104" t="s">
        <v>1725</v>
      </c>
      <c r="L67" s="104">
        <v>77185</v>
      </c>
      <c r="M67" s="56" t="s">
        <v>1505</v>
      </c>
      <c r="N67" s="56" t="s">
        <v>119</v>
      </c>
      <c r="O67" s="104" t="s">
        <v>1524</v>
      </c>
      <c r="P67" s="56"/>
      <c r="Q67" s="104" t="s">
        <v>1506</v>
      </c>
      <c r="R67" s="106" t="s">
        <v>1803</v>
      </c>
      <c r="S67" s="107" t="s">
        <v>1727</v>
      </c>
      <c r="T67" s="104" t="s">
        <v>1509</v>
      </c>
      <c r="U67" s="107" t="s">
        <v>1728</v>
      </c>
      <c r="V67" s="108" t="s">
        <v>1511</v>
      </c>
      <c r="W67" s="109" t="s">
        <v>1709</v>
      </c>
      <c r="X67" s="109" t="s">
        <v>1710</v>
      </c>
      <c r="Y67" s="109" t="s">
        <v>1711</v>
      </c>
      <c r="Z67" s="109" t="s">
        <v>1515</v>
      </c>
      <c r="AA67" s="109">
        <v>0</v>
      </c>
      <c r="AB67" s="109">
        <v>0</v>
      </c>
      <c r="AC67" s="109">
        <v>0</v>
      </c>
      <c r="AD67" s="109">
        <v>0</v>
      </c>
      <c r="AE67" s="110">
        <v>0</v>
      </c>
      <c r="AF67" s="77" t="str">
        <f>VLOOKUP(D67,TIPOLOGIAS!A:H,6,0)</f>
        <v>TIPO I</v>
      </c>
      <c r="AG67" s="77" t="str">
        <f>VLOOKUP(D67,TIPOLOGIAS!A:H,5,0)</f>
        <v>TERRESTRE</v>
      </c>
      <c r="AH67" s="104">
        <v>1</v>
      </c>
      <c r="AI67" s="104">
        <v>0</v>
      </c>
      <c r="AJ67" s="104">
        <v>0</v>
      </c>
      <c r="AK67" s="104">
        <v>0</v>
      </c>
      <c r="AL67" s="78">
        <f>IF(T67="SOPORTE_TELEFÓNICO",'BASE LIQUIDACION'!$B$10,IF(AF67="TIPO I",'BASE LIQUIDACION'!$C$3,IF(AF67="TIPO II",'BASE LIQUIDACION'!$C$4,IF(AF67="TIPO III",'BASE LIQUIDACION'!$C$5,'BASE LIQUIDACION'!$C$7))))</f>
        <v>65960.473639999997</v>
      </c>
      <c r="AM67" s="80">
        <f>IF(T67="SOPORTE_TELEFÓNICO",'BASE LIQUIDACION'!$B$10,(AH67*AL67+AI67*'BASE LIQUIDACION'!$B$12+AJ67*'BASE LIQUIDACION'!$B$11+INCIDENTES!AK67*'BASE LIQUIDACION'!$B$13))</f>
        <v>65960.473639999997</v>
      </c>
    </row>
    <row r="68" spans="1:39" s="4" customFormat="1">
      <c r="A68" s="104" t="s">
        <v>822</v>
      </c>
      <c r="B68" s="56" t="str">
        <f>VLOOKUP(A68,'CENTRO DE COSTOS'!A:D,4,FALSE)</f>
        <v>KEVIN ALEXIS CORZO BUSTOS</v>
      </c>
      <c r="C68" s="56" t="str">
        <f>VLOOKUP(A68,'CENTRO DE COSTOS'!A:D,2,FALSE)</f>
        <v>0004-0007</v>
      </c>
      <c r="D68" s="104">
        <v>50001</v>
      </c>
      <c r="E68" s="104">
        <v>2290866</v>
      </c>
      <c r="F68" s="104" t="s">
        <v>1804</v>
      </c>
      <c r="G68" s="105">
        <v>45819.679861111108</v>
      </c>
      <c r="H68" s="105">
        <v>45820.48541666667</v>
      </c>
      <c r="I68" s="104" t="s">
        <v>1148</v>
      </c>
      <c r="J68" s="104" t="s">
        <v>822</v>
      </c>
      <c r="K68" s="104" t="s">
        <v>1805</v>
      </c>
      <c r="L68" s="104">
        <v>75353</v>
      </c>
      <c r="M68" s="56" t="s">
        <v>1505</v>
      </c>
      <c r="N68" s="56" t="s">
        <v>119</v>
      </c>
      <c r="O68" s="104" t="s">
        <v>1524</v>
      </c>
      <c r="P68" s="56"/>
      <c r="Q68" s="104" t="s">
        <v>1506</v>
      </c>
      <c r="R68" s="106" t="s">
        <v>1806</v>
      </c>
      <c r="S68" s="107" t="s">
        <v>1625</v>
      </c>
      <c r="T68" s="104" t="s">
        <v>1520</v>
      </c>
      <c r="U68" s="107">
        <v>0</v>
      </c>
      <c r="V68" s="108" t="s">
        <v>1511</v>
      </c>
      <c r="W68" s="109" t="s">
        <v>1512</v>
      </c>
      <c r="X68" s="109" t="s">
        <v>1513</v>
      </c>
      <c r="Y68" s="109" t="s">
        <v>1514</v>
      </c>
      <c r="Z68" s="109" t="s">
        <v>1515</v>
      </c>
      <c r="AA68" s="109">
        <v>0</v>
      </c>
      <c r="AB68" s="109">
        <v>0</v>
      </c>
      <c r="AC68" s="109">
        <v>0</v>
      </c>
      <c r="AD68" s="109">
        <v>0</v>
      </c>
      <c r="AE68" s="110">
        <v>0</v>
      </c>
      <c r="AF68" s="77" t="str">
        <f>VLOOKUP(D68,TIPOLOGIAS!A:H,6,0)</f>
        <v>TIPO I</v>
      </c>
      <c r="AG68" s="77" t="str">
        <f>VLOOKUP(D68,TIPOLOGIAS!A:H,5,0)</f>
        <v>TERRESTRE</v>
      </c>
      <c r="AH68" s="104">
        <v>0</v>
      </c>
      <c r="AI68" s="104">
        <v>0</v>
      </c>
      <c r="AJ68" s="104">
        <v>0</v>
      </c>
      <c r="AK68" s="104">
        <v>0</v>
      </c>
      <c r="AL68" s="78">
        <f>IF(T68="SOPORTE_TELEFÓNICO",'BASE LIQUIDACION'!$B$10,IF(AF68="TIPO I",'BASE LIQUIDACION'!$C$3,IF(AF68="TIPO II",'BASE LIQUIDACION'!$C$4,IF(AF68="TIPO III",'BASE LIQUIDACION'!$C$5,'BASE LIQUIDACION'!$C$7))))</f>
        <v>37904.65408</v>
      </c>
      <c r="AM68" s="80">
        <f>IF(T68="SOPORTE_TELEFÓNICO",'BASE LIQUIDACION'!$B$10,(AH68*AL68+AI68*'BASE LIQUIDACION'!$B$12+AJ68*'BASE LIQUIDACION'!$B$11+INCIDENTES!AK68*'BASE LIQUIDACION'!$B$13))</f>
        <v>37904.65408</v>
      </c>
    </row>
    <row r="69" spans="1:39" s="4" customFormat="1">
      <c r="A69" s="104" t="s">
        <v>320</v>
      </c>
      <c r="B69" s="56" t="str">
        <f>VLOOKUP(A69,'CENTRO DE COSTOS'!A:D,4,FALSE)</f>
        <v>JOSE MAURICIO HERNANDEZ ROJAS</v>
      </c>
      <c r="C69" s="56" t="str">
        <f>VLOOKUP(A69,'CENTRO DE COSTOS'!A:D,2,FALSE)</f>
        <v>0004-0001</v>
      </c>
      <c r="D69" s="104">
        <v>8560</v>
      </c>
      <c r="E69" s="104">
        <v>2288579</v>
      </c>
      <c r="F69" s="104" t="s">
        <v>1807</v>
      </c>
      <c r="G69" s="105">
        <v>45819.496527777781</v>
      </c>
      <c r="H69" s="105">
        <v>45820.518055555556</v>
      </c>
      <c r="I69" s="104" t="s">
        <v>323</v>
      </c>
      <c r="J69" s="104" t="s">
        <v>608</v>
      </c>
      <c r="K69" s="104" t="s">
        <v>1808</v>
      </c>
      <c r="L69" s="104">
        <v>56886</v>
      </c>
      <c r="M69" s="56" t="s">
        <v>1505</v>
      </c>
      <c r="N69" s="56" t="s">
        <v>119</v>
      </c>
      <c r="O69" s="104" t="s">
        <v>332</v>
      </c>
      <c r="P69" s="56"/>
      <c r="Q69" s="104" t="s">
        <v>1506</v>
      </c>
      <c r="R69" s="106" t="s">
        <v>1809</v>
      </c>
      <c r="S69" s="107" t="s">
        <v>1508</v>
      </c>
      <c r="T69" s="104" t="s">
        <v>1509</v>
      </c>
      <c r="U69" s="107" t="s">
        <v>1810</v>
      </c>
      <c r="V69" s="108" t="s">
        <v>1511</v>
      </c>
      <c r="W69" s="109" t="s">
        <v>1512</v>
      </c>
      <c r="X69" s="109" t="s">
        <v>1567</v>
      </c>
      <c r="Y69" s="109" t="s">
        <v>1649</v>
      </c>
      <c r="Z69" s="109" t="s">
        <v>1515</v>
      </c>
      <c r="AA69" s="109">
        <v>0</v>
      </c>
      <c r="AB69" s="109">
        <v>0</v>
      </c>
      <c r="AC69" s="109">
        <v>0</v>
      </c>
      <c r="AD69" s="109">
        <v>0</v>
      </c>
      <c r="AE69" s="110">
        <v>0</v>
      </c>
      <c r="AF69" s="77" t="str">
        <f>VLOOKUP(D69,TIPOLOGIAS!A:H,6,0)</f>
        <v>TIPO II</v>
      </c>
      <c r="AG69" s="77" t="str">
        <f>VLOOKUP(D69,TIPOLOGIAS!A:H,5,0)</f>
        <v>TERRESTRE</v>
      </c>
      <c r="AH69" s="104">
        <v>1</v>
      </c>
      <c r="AI69" s="104">
        <v>0</v>
      </c>
      <c r="AJ69" s="104">
        <v>0</v>
      </c>
      <c r="AK69" s="104">
        <v>0</v>
      </c>
      <c r="AL69" s="78">
        <f>IF(T69="SOPORTE_TELEFÓNICO",'BASE LIQUIDACION'!$B$10,IF(AF69="TIPO I",'BASE LIQUIDACION'!$C$3,IF(AF69="TIPO II",'BASE LIQUIDACION'!$C$4,IF(AF69="TIPO III",'BASE LIQUIDACION'!$C$5,'BASE LIQUIDACION'!$C$7))))</f>
        <v>163813.55812</v>
      </c>
      <c r="AM69" s="80">
        <f>IF(T69="SOPORTE_TELEFÓNICO",'BASE LIQUIDACION'!$B$10,(AH69*AL69+AI69*'BASE LIQUIDACION'!$B$12+AJ69*'BASE LIQUIDACION'!$B$11+INCIDENTES!AK69*'BASE LIQUIDACION'!$B$13))</f>
        <v>163813.55812</v>
      </c>
    </row>
    <row r="70" spans="1:39" s="4" customFormat="1">
      <c r="A70" s="104" t="s">
        <v>138</v>
      </c>
      <c r="B70" s="56" t="str">
        <f>VLOOKUP(A70,'CENTRO DE COSTOS'!A:D,4,FALSE)</f>
        <v>DIEGO FERNANDO HENAO CARDONA</v>
      </c>
      <c r="C70" s="56" t="str">
        <f>VLOOKUP(A70,'CENTRO DE COSTOS'!A:D,2,FALSE)</f>
        <v>0004-0003</v>
      </c>
      <c r="D70" s="104">
        <v>76111</v>
      </c>
      <c r="E70" s="104">
        <v>2287072</v>
      </c>
      <c r="F70" s="104" t="s">
        <v>1811</v>
      </c>
      <c r="G70" s="105">
        <v>45819.413888888892</v>
      </c>
      <c r="H70" s="105">
        <v>45820.56527777778</v>
      </c>
      <c r="I70" s="104" t="s">
        <v>141</v>
      </c>
      <c r="J70" s="104" t="s">
        <v>182</v>
      </c>
      <c r="K70" s="104" t="s">
        <v>1812</v>
      </c>
      <c r="L70" s="104">
        <v>67292</v>
      </c>
      <c r="M70" s="56" t="s">
        <v>1505</v>
      </c>
      <c r="N70" s="56" t="s">
        <v>119</v>
      </c>
      <c r="O70" s="104" t="s">
        <v>1524</v>
      </c>
      <c r="P70" s="56"/>
      <c r="Q70" s="104" t="s">
        <v>1506</v>
      </c>
      <c r="R70" s="106" t="s">
        <v>1813</v>
      </c>
      <c r="S70" s="107" t="s">
        <v>185</v>
      </c>
      <c r="T70" s="104" t="s">
        <v>1509</v>
      </c>
      <c r="U70" s="107" t="s">
        <v>1814</v>
      </c>
      <c r="V70" s="108" t="s">
        <v>1511</v>
      </c>
      <c r="W70" s="109" t="s">
        <v>1512</v>
      </c>
      <c r="X70" s="109" t="s">
        <v>1533</v>
      </c>
      <c r="Y70" s="109" t="s">
        <v>1534</v>
      </c>
      <c r="Z70" s="109" t="s">
        <v>1515</v>
      </c>
      <c r="AA70" s="109">
        <v>0</v>
      </c>
      <c r="AB70" s="109">
        <v>0</v>
      </c>
      <c r="AC70" s="109">
        <v>0</v>
      </c>
      <c r="AD70" s="109">
        <v>0</v>
      </c>
      <c r="AE70" s="110">
        <v>0</v>
      </c>
      <c r="AF70" s="77" t="str">
        <f>VLOOKUP(D70,TIPOLOGIAS!A:H,6,0)</f>
        <v>TIPO II</v>
      </c>
      <c r="AG70" s="77" t="str">
        <f>VLOOKUP(D70,TIPOLOGIAS!A:H,5,0)</f>
        <v>TERRESTRE</v>
      </c>
      <c r="AH70" s="104">
        <v>1</v>
      </c>
      <c r="AI70" s="104">
        <v>0</v>
      </c>
      <c r="AJ70" s="104">
        <v>0</v>
      </c>
      <c r="AK70" s="104">
        <v>0</v>
      </c>
      <c r="AL70" s="78">
        <f>IF(T70="SOPORTE_TELEFÓNICO",'BASE LIQUIDACION'!$B$10,IF(AF70="TIPO I",'BASE LIQUIDACION'!$C$3,IF(AF70="TIPO II",'BASE LIQUIDACION'!$C$4,IF(AF70="TIPO III",'BASE LIQUIDACION'!$C$5,'BASE LIQUIDACION'!$C$7))))</f>
        <v>163813.55812</v>
      </c>
      <c r="AM70" s="80">
        <f>IF(T70="SOPORTE_TELEFÓNICO",'BASE LIQUIDACION'!$B$10,(AH70*AL70+AI70*'BASE LIQUIDACION'!$B$12+AJ70*'BASE LIQUIDACION'!$B$11+INCIDENTES!AK70*'BASE LIQUIDACION'!$B$13))</f>
        <v>163813.55812</v>
      </c>
    </row>
    <row r="71" spans="1:39" s="4" customFormat="1">
      <c r="A71" s="104" t="s">
        <v>163</v>
      </c>
      <c r="B71" s="56" t="str">
        <f>VLOOKUP(A71,'CENTRO DE COSTOS'!A:D,4,FALSE)</f>
        <v>WILLIAM ASDRUBAL ROZO ROZO</v>
      </c>
      <c r="C71" s="56" t="str">
        <f>VLOOKUP(A71,'CENTRO DE COSTOS'!A:D,2,FALSE)</f>
        <v>0004-0004</v>
      </c>
      <c r="D71" s="104">
        <v>25486</v>
      </c>
      <c r="E71" s="104">
        <v>2288553</v>
      </c>
      <c r="F71" s="104" t="s">
        <v>1815</v>
      </c>
      <c r="G71" s="105">
        <v>45819.493055555555</v>
      </c>
      <c r="H71" s="105">
        <v>45820.567361111112</v>
      </c>
      <c r="I71" s="104" t="s">
        <v>166</v>
      </c>
      <c r="J71" s="104" t="s">
        <v>1010</v>
      </c>
      <c r="K71" s="104" t="s">
        <v>1816</v>
      </c>
      <c r="L71" s="104">
        <v>77905</v>
      </c>
      <c r="M71" s="56" t="s">
        <v>1505</v>
      </c>
      <c r="N71" s="56" t="s">
        <v>119</v>
      </c>
      <c r="O71" s="104" t="s">
        <v>1524</v>
      </c>
      <c r="P71" s="56"/>
      <c r="Q71" s="104" t="s">
        <v>1506</v>
      </c>
      <c r="R71" s="106" t="s">
        <v>1817</v>
      </c>
      <c r="S71" s="107" t="s">
        <v>411</v>
      </c>
      <c r="T71" s="104" t="s">
        <v>1509</v>
      </c>
      <c r="U71" s="107" t="s">
        <v>1818</v>
      </c>
      <c r="V71" s="108" t="s">
        <v>1511</v>
      </c>
      <c r="W71" s="109" t="s">
        <v>1512</v>
      </c>
      <c r="X71" s="109" t="s">
        <v>1533</v>
      </c>
      <c r="Y71" s="109" t="s">
        <v>1534</v>
      </c>
      <c r="Z71" s="109" t="s">
        <v>1515</v>
      </c>
      <c r="AA71" s="109">
        <v>0</v>
      </c>
      <c r="AB71" s="109">
        <v>0</v>
      </c>
      <c r="AC71" s="109">
        <v>0</v>
      </c>
      <c r="AD71" s="109">
        <v>0</v>
      </c>
      <c r="AE71" s="110">
        <v>0</v>
      </c>
      <c r="AF71" s="77" t="str">
        <f>VLOOKUP(D71,TIPOLOGIAS!A:H,6,0)</f>
        <v>TIPO II</v>
      </c>
      <c r="AG71" s="77" t="str">
        <f>VLOOKUP(D71,TIPOLOGIAS!A:H,5,0)</f>
        <v>TERRESTRE</v>
      </c>
      <c r="AH71" s="104">
        <v>1</v>
      </c>
      <c r="AI71" s="104">
        <v>0</v>
      </c>
      <c r="AJ71" s="104">
        <v>0</v>
      </c>
      <c r="AK71" s="104">
        <v>0</v>
      </c>
      <c r="AL71" s="78">
        <f>IF(T71="SOPORTE_TELEFÓNICO",'BASE LIQUIDACION'!$B$10,IF(AF71="TIPO I",'BASE LIQUIDACION'!$C$3,IF(AF71="TIPO II",'BASE LIQUIDACION'!$C$4,IF(AF71="TIPO III",'BASE LIQUIDACION'!$C$5,'BASE LIQUIDACION'!$C$7))))</f>
        <v>163813.55812</v>
      </c>
      <c r="AM71" s="80">
        <f>IF(T71="SOPORTE_TELEFÓNICO",'BASE LIQUIDACION'!$B$10,(AH71*AL71+AI71*'BASE LIQUIDACION'!$B$12+AJ71*'BASE LIQUIDACION'!$B$11+INCIDENTES!AK71*'BASE LIQUIDACION'!$B$13))</f>
        <v>163813.55812</v>
      </c>
    </row>
    <row r="72" spans="1:39" s="4" customFormat="1">
      <c r="A72" s="104" t="s">
        <v>163</v>
      </c>
      <c r="B72" s="56" t="str">
        <f>VLOOKUP(A72,'CENTRO DE COSTOS'!A:D,4,FALSE)</f>
        <v>WILLIAM ASDRUBAL ROZO ROZO</v>
      </c>
      <c r="C72" s="56" t="str">
        <f>VLOOKUP(A72,'CENTRO DE COSTOS'!A:D,2,FALSE)</f>
        <v>0004-0004</v>
      </c>
      <c r="D72" s="104">
        <v>25777</v>
      </c>
      <c r="E72" s="104">
        <v>2295174</v>
      </c>
      <c r="F72" s="104" t="s">
        <v>1819</v>
      </c>
      <c r="G72" s="105">
        <v>45820.496527777781</v>
      </c>
      <c r="H72" s="105">
        <v>45820.576365740744</v>
      </c>
      <c r="I72" s="104" t="s">
        <v>166</v>
      </c>
      <c r="J72" s="104" t="s">
        <v>1035</v>
      </c>
      <c r="K72" s="104" t="s">
        <v>1820</v>
      </c>
      <c r="L72" s="104">
        <v>26368</v>
      </c>
      <c r="M72" s="56" t="s">
        <v>1505</v>
      </c>
      <c r="N72" s="56" t="s">
        <v>119</v>
      </c>
      <c r="O72" s="104" t="s">
        <v>1524</v>
      </c>
      <c r="P72" s="56"/>
      <c r="Q72" s="104" t="s">
        <v>1506</v>
      </c>
      <c r="R72" s="106" t="s">
        <v>1821</v>
      </c>
      <c r="S72" s="107">
        <v>0</v>
      </c>
      <c r="T72" s="104" t="s">
        <v>1520</v>
      </c>
      <c r="U72" s="107">
        <v>0</v>
      </c>
      <c r="V72" s="108" t="s">
        <v>1511</v>
      </c>
      <c r="W72" s="109" t="s">
        <v>1512</v>
      </c>
      <c r="X72" s="109" t="s">
        <v>1533</v>
      </c>
      <c r="Y72" s="109" t="s">
        <v>1534</v>
      </c>
      <c r="Z72" s="109" t="s">
        <v>1515</v>
      </c>
      <c r="AA72" s="109">
        <v>0</v>
      </c>
      <c r="AB72" s="109">
        <v>0</v>
      </c>
      <c r="AC72" s="109">
        <v>0</v>
      </c>
      <c r="AD72" s="109">
        <v>0</v>
      </c>
      <c r="AE72" s="110">
        <v>0</v>
      </c>
      <c r="AF72" s="77" t="str">
        <f>VLOOKUP(D72,TIPOLOGIAS!A:H,6,0)</f>
        <v>TIPO II</v>
      </c>
      <c r="AG72" s="77" t="str">
        <f>VLOOKUP(D72,TIPOLOGIAS!A:H,5,0)</f>
        <v>TERRESTRE</v>
      </c>
      <c r="AH72" s="104">
        <v>0</v>
      </c>
      <c r="AI72" s="104">
        <v>0</v>
      </c>
      <c r="AJ72" s="104">
        <v>0</v>
      </c>
      <c r="AK72" s="104">
        <v>0</v>
      </c>
      <c r="AL72" s="78">
        <f>IF(T72="SOPORTE_TELEFÓNICO",'BASE LIQUIDACION'!$B$10,IF(AF72="TIPO I",'BASE LIQUIDACION'!$C$3,IF(AF72="TIPO II",'BASE LIQUIDACION'!$C$4,IF(AF72="TIPO III",'BASE LIQUIDACION'!$C$5,'BASE LIQUIDACION'!$C$7))))</f>
        <v>37904.65408</v>
      </c>
      <c r="AM72" s="80">
        <f>IF(T72="SOPORTE_TELEFÓNICO",'BASE LIQUIDACION'!$B$10,(AH72*AL72+AI72*'BASE LIQUIDACION'!$B$12+AJ72*'BASE LIQUIDACION'!$B$11+INCIDENTES!AK72*'BASE LIQUIDACION'!$B$13))</f>
        <v>37904.65408</v>
      </c>
    </row>
    <row r="73" spans="1:39" s="4" customFormat="1">
      <c r="A73" s="104" t="s">
        <v>111</v>
      </c>
      <c r="B73" s="56" t="str">
        <f>VLOOKUP(A73,'CENTRO DE COSTOS'!A:D,4,FALSE)</f>
        <v>JUAN SEBASTIÁN RÍOS CASTRILLÓN</v>
      </c>
      <c r="C73" s="56" t="str">
        <f>VLOOKUP(A73,'CENTRO DE COSTOS'!A:D,2,FALSE)</f>
        <v>0004-0005</v>
      </c>
      <c r="D73" s="104">
        <v>5440</v>
      </c>
      <c r="E73" s="104">
        <v>2287976</v>
      </c>
      <c r="F73" s="104" t="s">
        <v>1822</v>
      </c>
      <c r="G73" s="105">
        <v>45819.460416666669</v>
      </c>
      <c r="H73" s="105">
        <v>45820.660416666666</v>
      </c>
      <c r="I73" s="104" t="s">
        <v>131</v>
      </c>
      <c r="J73" s="104" t="s">
        <v>544</v>
      </c>
      <c r="K73" s="104" t="s">
        <v>1823</v>
      </c>
      <c r="L73" s="104">
        <v>52755</v>
      </c>
      <c r="M73" s="56" t="s">
        <v>1505</v>
      </c>
      <c r="N73" s="56" t="s">
        <v>119</v>
      </c>
      <c r="O73" s="104" t="s">
        <v>332</v>
      </c>
      <c r="P73" s="56"/>
      <c r="Q73" s="104" t="s">
        <v>1506</v>
      </c>
      <c r="R73" s="106" t="s">
        <v>1824</v>
      </c>
      <c r="S73" s="107" t="s">
        <v>318</v>
      </c>
      <c r="T73" s="104" t="s">
        <v>1520</v>
      </c>
      <c r="U73" s="107">
        <v>0</v>
      </c>
      <c r="V73" s="108" t="s">
        <v>1511</v>
      </c>
      <c r="W73" s="109" t="s">
        <v>1512</v>
      </c>
      <c r="X73" s="109" t="s">
        <v>1533</v>
      </c>
      <c r="Y73" s="109" t="s">
        <v>1534</v>
      </c>
      <c r="Z73" s="109" t="s">
        <v>1515</v>
      </c>
      <c r="AA73" s="109">
        <v>0</v>
      </c>
      <c r="AB73" s="109">
        <v>0</v>
      </c>
      <c r="AC73" s="109">
        <v>0</v>
      </c>
      <c r="AD73" s="109">
        <v>0</v>
      </c>
      <c r="AE73" s="110">
        <v>0</v>
      </c>
      <c r="AF73" s="77" t="str">
        <f>VLOOKUP(D73,TIPOLOGIAS!A:H,6,0)</f>
        <v>TIPO II</v>
      </c>
      <c r="AG73" s="77" t="str">
        <f>VLOOKUP(D73,TIPOLOGIAS!A:H,5,0)</f>
        <v>TERRESTRE</v>
      </c>
      <c r="AH73" s="104">
        <v>0</v>
      </c>
      <c r="AI73" s="104">
        <v>0</v>
      </c>
      <c r="AJ73" s="104">
        <v>0</v>
      </c>
      <c r="AK73" s="104">
        <v>0</v>
      </c>
      <c r="AL73" s="78">
        <f>IF(T73="SOPORTE_TELEFÓNICO",'BASE LIQUIDACION'!$B$10,IF(AF73="TIPO I",'BASE LIQUIDACION'!$C$3,IF(AF73="TIPO II",'BASE LIQUIDACION'!$C$4,IF(AF73="TIPO III",'BASE LIQUIDACION'!$C$5,'BASE LIQUIDACION'!$C$7))))</f>
        <v>37904.65408</v>
      </c>
      <c r="AM73" s="80">
        <f>IF(T73="SOPORTE_TELEFÓNICO",'BASE LIQUIDACION'!$B$10,(AH73*AL73+AI73*'BASE LIQUIDACION'!$B$12+AJ73*'BASE LIQUIDACION'!$B$11+INCIDENTES!AK73*'BASE LIQUIDACION'!$B$13))</f>
        <v>37904.65408</v>
      </c>
    </row>
    <row r="74" spans="1:39" s="4" customFormat="1">
      <c r="A74" s="104" t="s">
        <v>360</v>
      </c>
      <c r="B74" s="56" t="str">
        <f>VLOOKUP(A74,'CENTRO DE COSTOS'!A:D,4,FALSE)</f>
        <v>KEVIN ALEXIS CORZO BUSTOS</v>
      </c>
      <c r="C74" s="56" t="str">
        <f>VLOOKUP(A74,'CENTRO DE COSTOS'!A:D,2,FALSE)</f>
        <v>0004-0007</v>
      </c>
      <c r="D74" s="104">
        <v>73001</v>
      </c>
      <c r="E74" s="104">
        <v>2293758</v>
      </c>
      <c r="F74" s="104" t="s">
        <v>1825</v>
      </c>
      <c r="G74" s="105">
        <v>45820.406944444447</v>
      </c>
      <c r="H74" s="105">
        <v>45820.664583333331</v>
      </c>
      <c r="I74" s="104" t="s">
        <v>363</v>
      </c>
      <c r="J74" s="104" t="s">
        <v>360</v>
      </c>
      <c r="K74" s="104" t="s">
        <v>1826</v>
      </c>
      <c r="L74" s="104">
        <v>63485</v>
      </c>
      <c r="M74" s="56" t="s">
        <v>1505</v>
      </c>
      <c r="N74" s="56" t="s">
        <v>119</v>
      </c>
      <c r="O74" s="104" t="s">
        <v>1524</v>
      </c>
      <c r="P74" s="56"/>
      <c r="Q74" s="104" t="s">
        <v>1506</v>
      </c>
      <c r="R74" s="106" t="s">
        <v>1827</v>
      </c>
      <c r="S74" s="107" t="s">
        <v>1526</v>
      </c>
      <c r="T74" s="104" t="s">
        <v>1509</v>
      </c>
      <c r="U74" s="107" t="s">
        <v>1828</v>
      </c>
      <c r="V74" s="108" t="s">
        <v>1511</v>
      </c>
      <c r="W74" s="109" t="s">
        <v>1512</v>
      </c>
      <c r="X74" s="109" t="s">
        <v>1513</v>
      </c>
      <c r="Y74" s="109" t="s">
        <v>1514</v>
      </c>
      <c r="Z74" s="109" t="s">
        <v>1515</v>
      </c>
      <c r="AA74" s="109">
        <v>0</v>
      </c>
      <c r="AB74" s="109">
        <v>0</v>
      </c>
      <c r="AC74" s="109">
        <v>0</v>
      </c>
      <c r="AD74" s="109">
        <v>0</v>
      </c>
      <c r="AE74" s="110">
        <v>0</v>
      </c>
      <c r="AF74" s="77" t="str">
        <f>VLOOKUP(D74,TIPOLOGIAS!A:H,6,0)</f>
        <v>TIPO I</v>
      </c>
      <c r="AG74" s="77" t="str">
        <f>VLOOKUP(D74,TIPOLOGIAS!A:H,5,0)</f>
        <v>TERRESTRE</v>
      </c>
      <c r="AH74" s="104">
        <v>1</v>
      </c>
      <c r="AI74" s="104">
        <v>0</v>
      </c>
      <c r="AJ74" s="104">
        <v>0</v>
      </c>
      <c r="AK74" s="104">
        <v>0</v>
      </c>
      <c r="AL74" s="78">
        <f>IF(T74="SOPORTE_TELEFÓNICO",'BASE LIQUIDACION'!$B$10,IF(AF74="TIPO I",'BASE LIQUIDACION'!$C$3,IF(AF74="TIPO II",'BASE LIQUIDACION'!$C$4,IF(AF74="TIPO III",'BASE LIQUIDACION'!$C$5,'BASE LIQUIDACION'!$C$7))))</f>
        <v>65960.473639999997</v>
      </c>
      <c r="AM74" s="80">
        <f>IF(T74="SOPORTE_TELEFÓNICO",'BASE LIQUIDACION'!$B$10,(AH74*AL74+AI74*'BASE LIQUIDACION'!$B$12+AJ74*'BASE LIQUIDACION'!$B$11+INCIDENTES!AK74*'BASE LIQUIDACION'!$B$13))</f>
        <v>65960.473639999997</v>
      </c>
    </row>
    <row r="75" spans="1:39" s="4" customFormat="1">
      <c r="A75" s="104" t="s">
        <v>195</v>
      </c>
      <c r="B75" s="56" t="str">
        <f>VLOOKUP(A75,'CENTRO DE COSTOS'!A:D,4,FALSE)</f>
        <v>DIEGO FERNANDO HENAO CARDONA</v>
      </c>
      <c r="C75" s="56" t="str">
        <f>VLOOKUP(A75,'CENTRO DE COSTOS'!A:D,2,FALSE)</f>
        <v>0004-0002</v>
      </c>
      <c r="D75" s="104">
        <v>63001</v>
      </c>
      <c r="E75" s="104">
        <v>2291719</v>
      </c>
      <c r="F75" s="104" t="s">
        <v>1829</v>
      </c>
      <c r="G75" s="105">
        <v>45820.333333333336</v>
      </c>
      <c r="H75" s="105">
        <v>45820.674305555556</v>
      </c>
      <c r="I75" s="104" t="s">
        <v>1271</v>
      </c>
      <c r="J75" s="104" t="s">
        <v>468</v>
      </c>
      <c r="K75" s="104" t="s">
        <v>1830</v>
      </c>
      <c r="L75" s="104">
        <v>51278</v>
      </c>
      <c r="M75" s="56" t="s">
        <v>1505</v>
      </c>
      <c r="N75" s="56" t="s">
        <v>119</v>
      </c>
      <c r="O75" s="104" t="s">
        <v>332</v>
      </c>
      <c r="P75" s="56"/>
      <c r="Q75" s="104" t="s">
        <v>1506</v>
      </c>
      <c r="R75" s="106" t="s">
        <v>1831</v>
      </c>
      <c r="S75" s="107" t="s">
        <v>1678</v>
      </c>
      <c r="T75" s="104" t="s">
        <v>1520</v>
      </c>
      <c r="U75" s="107">
        <v>0</v>
      </c>
      <c r="V75" s="108" t="s">
        <v>1511</v>
      </c>
      <c r="W75" s="109" t="s">
        <v>1512</v>
      </c>
      <c r="X75" s="109" t="s">
        <v>1513</v>
      </c>
      <c r="Y75" s="109" t="s">
        <v>1521</v>
      </c>
      <c r="Z75" s="109" t="s">
        <v>1515</v>
      </c>
      <c r="AA75" s="109">
        <v>0</v>
      </c>
      <c r="AB75" s="109">
        <v>0</v>
      </c>
      <c r="AC75" s="109">
        <v>0</v>
      </c>
      <c r="AD75" s="109">
        <v>0</v>
      </c>
      <c r="AE75" s="110">
        <v>0</v>
      </c>
      <c r="AF75" s="77" t="str">
        <f>VLOOKUP(D75,TIPOLOGIAS!A:H,6,0)</f>
        <v>TIPO II</v>
      </c>
      <c r="AG75" s="77" t="str">
        <f>VLOOKUP(D75,TIPOLOGIAS!A:H,5,0)</f>
        <v>TERRESTRE</v>
      </c>
      <c r="AH75" s="104">
        <v>0</v>
      </c>
      <c r="AI75" s="104">
        <v>0</v>
      </c>
      <c r="AJ75" s="104">
        <v>0</v>
      </c>
      <c r="AK75" s="104">
        <v>0</v>
      </c>
      <c r="AL75" s="78">
        <f>IF(T75="SOPORTE_TELEFÓNICO",'BASE LIQUIDACION'!$B$10,IF(AF75="TIPO I",'BASE LIQUIDACION'!$C$3,IF(AF75="TIPO II",'BASE LIQUIDACION'!$C$4,IF(AF75="TIPO III",'BASE LIQUIDACION'!$C$5,'BASE LIQUIDACION'!$C$7))))</f>
        <v>37904.65408</v>
      </c>
      <c r="AM75" s="80">
        <f>IF(T75="SOPORTE_TELEFÓNICO",'BASE LIQUIDACION'!$B$10,(AH75*AL75+AI75*'BASE LIQUIDACION'!$B$12+AJ75*'BASE LIQUIDACION'!$B$11+INCIDENTES!AK75*'BASE LIQUIDACION'!$B$13))</f>
        <v>37904.65408</v>
      </c>
    </row>
    <row r="76" spans="1:39" s="4" customFormat="1">
      <c r="A76" s="104" t="s">
        <v>128</v>
      </c>
      <c r="B76" s="56" t="str">
        <f>VLOOKUP(A76,'CENTRO DE COSTOS'!A:D,4,FALSE)</f>
        <v>JUAN SEBASTIÁN RÍOS CASTRILLÓN</v>
      </c>
      <c r="C76" s="56" t="str">
        <f>VLOOKUP(A76,'CENTRO DE COSTOS'!A:D,2,FALSE)</f>
        <v>0004-0005</v>
      </c>
      <c r="D76" s="104">
        <v>5045</v>
      </c>
      <c r="E76" s="104">
        <v>2293224</v>
      </c>
      <c r="F76" s="104" t="s">
        <v>1832</v>
      </c>
      <c r="G76" s="105">
        <v>45820.371527777781</v>
      </c>
      <c r="H76" s="105">
        <v>45820.725694444445</v>
      </c>
      <c r="I76" s="104" t="s">
        <v>131</v>
      </c>
      <c r="J76" s="104" t="s">
        <v>128</v>
      </c>
      <c r="K76" s="104" t="s">
        <v>1701</v>
      </c>
      <c r="L76" s="104">
        <v>35610</v>
      </c>
      <c r="M76" s="56" t="s">
        <v>1505</v>
      </c>
      <c r="N76" s="56" t="s">
        <v>119</v>
      </c>
      <c r="O76" s="104" t="s">
        <v>332</v>
      </c>
      <c r="P76" s="56"/>
      <c r="Q76" s="104" t="s">
        <v>1506</v>
      </c>
      <c r="R76" s="106" t="s">
        <v>1833</v>
      </c>
      <c r="S76" s="107" t="s">
        <v>136</v>
      </c>
      <c r="T76" s="104" t="s">
        <v>1520</v>
      </c>
      <c r="U76" s="107">
        <v>0</v>
      </c>
      <c r="V76" s="108" t="s">
        <v>1511</v>
      </c>
      <c r="W76" s="109" t="s">
        <v>1512</v>
      </c>
      <c r="X76" s="109" t="s">
        <v>1513</v>
      </c>
      <c r="Y76" s="109" t="s">
        <v>1514</v>
      </c>
      <c r="Z76" s="109" t="s">
        <v>1515</v>
      </c>
      <c r="AA76" s="109">
        <v>0</v>
      </c>
      <c r="AB76" s="109">
        <v>0</v>
      </c>
      <c r="AC76" s="109">
        <v>0</v>
      </c>
      <c r="AD76" s="109">
        <v>0</v>
      </c>
      <c r="AE76" s="110">
        <v>0</v>
      </c>
      <c r="AF76" s="77" t="str">
        <f>VLOOKUP(D76,TIPOLOGIAS!A:H,6,0)</f>
        <v>TIPO I</v>
      </c>
      <c r="AG76" s="77" t="str">
        <f>VLOOKUP(D76,TIPOLOGIAS!A:H,5,0)</f>
        <v>TERRESTRE</v>
      </c>
      <c r="AH76" s="104">
        <v>0</v>
      </c>
      <c r="AI76" s="104">
        <v>0</v>
      </c>
      <c r="AJ76" s="104">
        <v>0</v>
      </c>
      <c r="AK76" s="104">
        <v>0</v>
      </c>
      <c r="AL76" s="78">
        <f>IF(T76="SOPORTE_TELEFÓNICO",'BASE LIQUIDACION'!$B$10,IF(AF76="TIPO I",'BASE LIQUIDACION'!$C$3,IF(AF76="TIPO II",'BASE LIQUIDACION'!$C$4,IF(AF76="TIPO III",'BASE LIQUIDACION'!$C$5,'BASE LIQUIDACION'!$C$7))))</f>
        <v>37904.65408</v>
      </c>
      <c r="AM76" s="80">
        <f>IF(T76="SOPORTE_TELEFÓNICO",'BASE LIQUIDACION'!$B$10,(AH76*AL76+AI76*'BASE LIQUIDACION'!$B$12+AJ76*'BASE LIQUIDACION'!$B$11+INCIDENTES!AK76*'BASE LIQUIDACION'!$B$13))</f>
        <v>37904.65408</v>
      </c>
    </row>
    <row r="77" spans="1:39" s="4" customFormat="1">
      <c r="A77" s="104" t="s">
        <v>360</v>
      </c>
      <c r="B77" s="56" t="str">
        <f>VLOOKUP(A77,'CENTRO DE COSTOS'!A:D,4,FALSE)</f>
        <v>KEVIN ALEXIS CORZO BUSTOS</v>
      </c>
      <c r="C77" s="56" t="str">
        <f>VLOOKUP(A77,'CENTRO DE COSTOS'!A:D,2,FALSE)</f>
        <v>0004-0007</v>
      </c>
      <c r="D77" s="104">
        <v>73001</v>
      </c>
      <c r="E77" s="104">
        <v>2293788</v>
      </c>
      <c r="F77" s="104" t="s">
        <v>1834</v>
      </c>
      <c r="G77" s="105">
        <v>45820.40902777778</v>
      </c>
      <c r="H77" s="105">
        <v>45820.752083333333</v>
      </c>
      <c r="I77" s="104" t="s">
        <v>363</v>
      </c>
      <c r="J77" s="104" t="s">
        <v>360</v>
      </c>
      <c r="K77" s="104" t="s">
        <v>1835</v>
      </c>
      <c r="L77" s="104">
        <v>50001</v>
      </c>
      <c r="M77" s="56" t="s">
        <v>1505</v>
      </c>
      <c r="N77" s="56" t="s">
        <v>119</v>
      </c>
      <c r="O77" s="104" t="s">
        <v>1524</v>
      </c>
      <c r="P77" s="56"/>
      <c r="Q77" s="104" t="s">
        <v>1506</v>
      </c>
      <c r="R77" s="106" t="s">
        <v>1836</v>
      </c>
      <c r="S77" s="107" t="s">
        <v>1526</v>
      </c>
      <c r="T77" s="104" t="s">
        <v>1509</v>
      </c>
      <c r="U77" s="107" t="s">
        <v>1837</v>
      </c>
      <c r="V77" s="108" t="s">
        <v>1511</v>
      </c>
      <c r="W77" s="109" t="s">
        <v>1512</v>
      </c>
      <c r="X77" s="109" t="s">
        <v>1600</v>
      </c>
      <c r="Y77" s="109" t="s">
        <v>1601</v>
      </c>
      <c r="Z77" s="109" t="s">
        <v>1515</v>
      </c>
      <c r="AA77" s="109">
        <v>0</v>
      </c>
      <c r="AB77" s="109">
        <v>0</v>
      </c>
      <c r="AC77" s="109">
        <v>0</v>
      </c>
      <c r="AD77" s="109">
        <v>0</v>
      </c>
      <c r="AE77" s="110">
        <v>0</v>
      </c>
      <c r="AF77" s="77" t="str">
        <f>VLOOKUP(D77,TIPOLOGIAS!A:H,6,0)</f>
        <v>TIPO I</v>
      </c>
      <c r="AG77" s="77" t="str">
        <f>VLOOKUP(D77,TIPOLOGIAS!A:H,5,0)</f>
        <v>TERRESTRE</v>
      </c>
      <c r="AH77" s="104">
        <v>1</v>
      </c>
      <c r="AI77" s="104">
        <v>0</v>
      </c>
      <c r="AJ77" s="104">
        <v>0</v>
      </c>
      <c r="AK77" s="104">
        <v>0</v>
      </c>
      <c r="AL77" s="78">
        <f>IF(T77="SOPORTE_TELEFÓNICO",'BASE LIQUIDACION'!$B$10,IF(AF77="TIPO I",'BASE LIQUIDACION'!$C$3,IF(AF77="TIPO II",'BASE LIQUIDACION'!$C$4,IF(AF77="TIPO III",'BASE LIQUIDACION'!$C$5,'BASE LIQUIDACION'!$C$7))))</f>
        <v>65960.473639999997</v>
      </c>
      <c r="AM77" s="80">
        <f>IF(T77="SOPORTE_TELEFÓNICO",'BASE LIQUIDACION'!$B$10,(AH77*AL77+AI77*'BASE LIQUIDACION'!$B$12+AJ77*'BASE LIQUIDACION'!$B$11+INCIDENTES!AK77*'BASE LIQUIDACION'!$B$13))</f>
        <v>65960.473639999997</v>
      </c>
    </row>
    <row r="78" spans="1:39" s="4" customFormat="1">
      <c r="A78" s="104" t="s">
        <v>111</v>
      </c>
      <c r="B78" s="56" t="str">
        <f>VLOOKUP(A78,'CENTRO DE COSTOS'!A:D,4,FALSE)</f>
        <v>JUAN SEBASTIÁN RÍOS CASTRILLÓN</v>
      </c>
      <c r="C78" s="56" t="str">
        <f>VLOOKUP(A78,'CENTRO DE COSTOS'!A:D,2,FALSE)</f>
        <v>0004-0005</v>
      </c>
      <c r="D78" s="104">
        <v>5604</v>
      </c>
      <c r="E78" s="104">
        <v>2280241</v>
      </c>
      <c r="F78" s="104" t="s">
        <v>1838</v>
      </c>
      <c r="G78" s="105">
        <v>45818.44027777778</v>
      </c>
      <c r="H78" s="105">
        <v>45821.319479166668</v>
      </c>
      <c r="I78" s="104" t="s">
        <v>131</v>
      </c>
      <c r="J78" s="104" t="s">
        <v>558</v>
      </c>
      <c r="K78" s="104" t="s">
        <v>1839</v>
      </c>
      <c r="L78" s="104">
        <v>70814</v>
      </c>
      <c r="M78" s="56" t="s">
        <v>1505</v>
      </c>
      <c r="N78" s="56" t="s">
        <v>119</v>
      </c>
      <c r="O78" s="104" t="s">
        <v>1524</v>
      </c>
      <c r="P78" s="56"/>
      <c r="Q78" s="104" t="s">
        <v>1506</v>
      </c>
      <c r="R78" s="106" t="s">
        <v>1840</v>
      </c>
      <c r="S78" s="107" t="s">
        <v>253</v>
      </c>
      <c r="T78" s="104" t="s">
        <v>1509</v>
      </c>
      <c r="U78" s="107" t="s">
        <v>1841</v>
      </c>
      <c r="V78" s="108" t="s">
        <v>1511</v>
      </c>
      <c r="W78" s="109" t="s">
        <v>1512</v>
      </c>
      <c r="X78" s="109" t="s">
        <v>1533</v>
      </c>
      <c r="Y78" s="109" t="s">
        <v>1534</v>
      </c>
      <c r="Z78" s="109" t="s">
        <v>1515</v>
      </c>
      <c r="AA78" s="109">
        <v>0</v>
      </c>
      <c r="AB78" s="109">
        <v>0</v>
      </c>
      <c r="AC78" s="109">
        <v>0</v>
      </c>
      <c r="AD78" s="109">
        <v>0</v>
      </c>
      <c r="AE78" s="110" t="s">
        <v>1842</v>
      </c>
      <c r="AF78" s="77" t="str">
        <f>VLOOKUP(D78,TIPOLOGIAS!A:H,6,0)</f>
        <v>TIPO IV</v>
      </c>
      <c r="AG78" s="77" t="str">
        <f>VLOOKUP(D78,TIPOLOGIAS!A:H,5,0)</f>
        <v>TERRESTRE</v>
      </c>
      <c r="AH78" s="104">
        <v>1</v>
      </c>
      <c r="AI78" s="104">
        <v>0</v>
      </c>
      <c r="AJ78" s="104">
        <v>0</v>
      </c>
      <c r="AK78" s="104">
        <v>0</v>
      </c>
      <c r="AL78" s="78">
        <f>IF(T78="SOPORTE_TELEFÓNICO",'BASE LIQUIDACION'!$B$10,IF(AF78="TIPO I",'BASE LIQUIDACION'!$C$3,IF(AF78="TIPO II",'BASE LIQUIDACION'!$C$4,IF(AF78="TIPO III",'BASE LIQUIDACION'!$C$5,'BASE LIQUIDACION'!$C$7))))</f>
        <v>479589.73656000005</v>
      </c>
      <c r="AM78" s="80">
        <f>IF(T78="SOPORTE_TELEFÓNICO",'BASE LIQUIDACION'!$B$10,(AH78*AL78+AI78*'BASE LIQUIDACION'!$B$12+AJ78*'BASE LIQUIDACION'!$B$11+INCIDENTES!AK78*'BASE LIQUIDACION'!$B$13))</f>
        <v>479589.73656000005</v>
      </c>
    </row>
    <row r="79" spans="1:39" s="4" customFormat="1">
      <c r="A79" s="104" t="s">
        <v>619</v>
      </c>
      <c r="B79" s="56" t="str">
        <f>VLOOKUP(A79,'CENTRO DE COSTOS'!A:D,4,FALSE)</f>
        <v>JOSE MAURICIO HERNANDEZ ROJAS</v>
      </c>
      <c r="C79" s="56" t="str">
        <f>VLOOKUP(A79,'CENTRO DE COSTOS'!A:D,2,FALSE)</f>
        <v>0004-0001</v>
      </c>
      <c r="D79" s="104">
        <v>13001</v>
      </c>
      <c r="E79" s="104">
        <v>2299143</v>
      </c>
      <c r="F79" s="104" t="s">
        <v>1843</v>
      </c>
      <c r="G79" s="105">
        <v>45821.334722222222</v>
      </c>
      <c r="H79" s="105">
        <v>45821.370150462964</v>
      </c>
      <c r="I79" s="104" t="s">
        <v>618</v>
      </c>
      <c r="J79" s="104" t="s">
        <v>619</v>
      </c>
      <c r="K79" s="104" t="s">
        <v>1844</v>
      </c>
      <c r="L79" s="104">
        <v>25275</v>
      </c>
      <c r="M79" s="56" t="s">
        <v>1505</v>
      </c>
      <c r="N79" s="56" t="s">
        <v>119</v>
      </c>
      <c r="O79" s="104" t="s">
        <v>1845</v>
      </c>
      <c r="P79" s="56"/>
      <c r="Q79" s="104" t="s">
        <v>1506</v>
      </c>
      <c r="R79" s="106" t="s">
        <v>1846</v>
      </c>
      <c r="S79" s="104">
        <v>0</v>
      </c>
      <c r="T79" s="104" t="s">
        <v>1520</v>
      </c>
      <c r="U79" s="107">
        <v>0</v>
      </c>
      <c r="V79" s="108" t="s">
        <v>1511</v>
      </c>
      <c r="W79" s="109" t="s">
        <v>1512</v>
      </c>
      <c r="X79" s="109" t="s">
        <v>1533</v>
      </c>
      <c r="Y79" s="109" t="s">
        <v>1534</v>
      </c>
      <c r="Z79" s="109" t="s">
        <v>1515</v>
      </c>
      <c r="AA79" s="109">
        <v>0</v>
      </c>
      <c r="AB79" s="109">
        <v>0</v>
      </c>
      <c r="AC79" s="109">
        <v>0</v>
      </c>
      <c r="AD79" s="109">
        <v>0</v>
      </c>
      <c r="AE79" s="110">
        <v>0</v>
      </c>
      <c r="AF79" s="77" t="str">
        <f>VLOOKUP(D79,TIPOLOGIAS!A:H,6,0)</f>
        <v>TIPO I</v>
      </c>
      <c r="AG79" s="77" t="str">
        <f>VLOOKUP(D79,TIPOLOGIAS!A:H,5,0)</f>
        <v>TERRESTRE</v>
      </c>
      <c r="AH79" s="104">
        <v>0</v>
      </c>
      <c r="AI79" s="104">
        <v>0</v>
      </c>
      <c r="AJ79" s="104">
        <v>0</v>
      </c>
      <c r="AK79" s="104">
        <v>0</v>
      </c>
      <c r="AL79" s="78">
        <f>IF(T79="SOPORTE_TELEFÓNICO",'BASE LIQUIDACION'!$B$10,IF(AF79="TIPO I",'BASE LIQUIDACION'!$C$3,IF(AF79="TIPO II",'BASE LIQUIDACION'!$C$4,IF(AF79="TIPO III",'BASE LIQUIDACION'!$C$5,'BASE LIQUIDACION'!$C$7))))</f>
        <v>37904.65408</v>
      </c>
      <c r="AM79" s="80">
        <f>IF(T79="SOPORTE_TELEFÓNICO",'BASE LIQUIDACION'!$B$10,(AH79*AL79+AI79*'BASE LIQUIDACION'!$B$12+AJ79*'BASE LIQUIDACION'!$B$11+INCIDENTES!AK79*'BASE LIQUIDACION'!$B$13))</f>
        <v>37904.65408</v>
      </c>
    </row>
    <row r="80" spans="1:39" s="4" customFormat="1">
      <c r="A80" s="104" t="s">
        <v>111</v>
      </c>
      <c r="B80" s="56" t="str">
        <f>VLOOKUP(A80,'CENTRO DE COSTOS'!A:D,4,FALSE)</f>
        <v>JUAN SEBASTIÁN RÍOS CASTRILLÓN</v>
      </c>
      <c r="C80" s="56" t="str">
        <f>VLOOKUP(A80,'CENTRO DE COSTOS'!A:D,2,FALSE)</f>
        <v>0004-0005</v>
      </c>
      <c r="D80" s="104">
        <v>5858</v>
      </c>
      <c r="E80" s="104">
        <v>2295522</v>
      </c>
      <c r="F80" s="104" t="s">
        <v>1847</v>
      </c>
      <c r="G80" s="105">
        <v>45820.508333333331</v>
      </c>
      <c r="H80" s="105">
        <v>45821.419444444444</v>
      </c>
      <c r="I80" s="104" t="s">
        <v>131</v>
      </c>
      <c r="J80" s="104" t="s">
        <v>582</v>
      </c>
      <c r="K80" s="104" t="s">
        <v>1848</v>
      </c>
      <c r="L80" s="104">
        <v>49712</v>
      </c>
      <c r="M80" s="56" t="s">
        <v>1505</v>
      </c>
      <c r="N80" s="56" t="s">
        <v>119</v>
      </c>
      <c r="O80" s="104" t="s">
        <v>332</v>
      </c>
      <c r="P80" s="56"/>
      <c r="Q80" s="104" t="s">
        <v>1506</v>
      </c>
      <c r="R80" s="106" t="s">
        <v>1849</v>
      </c>
      <c r="S80" s="107" t="s">
        <v>253</v>
      </c>
      <c r="T80" s="104" t="s">
        <v>1509</v>
      </c>
      <c r="U80" s="107" t="s">
        <v>1850</v>
      </c>
      <c r="V80" s="108" t="s">
        <v>1511</v>
      </c>
      <c r="W80" s="109" t="s">
        <v>1512</v>
      </c>
      <c r="X80" s="109" t="s">
        <v>1556</v>
      </c>
      <c r="Y80" s="109" t="s">
        <v>1557</v>
      </c>
      <c r="Z80" s="109" t="s">
        <v>1515</v>
      </c>
      <c r="AA80" s="109">
        <v>0</v>
      </c>
      <c r="AB80" s="109">
        <v>0</v>
      </c>
      <c r="AC80" s="109">
        <v>0</v>
      </c>
      <c r="AD80" s="109">
        <v>0</v>
      </c>
      <c r="AE80" s="110">
        <v>0</v>
      </c>
      <c r="AF80" s="77" t="str">
        <f>VLOOKUP(D80,TIPOLOGIAS!A:H,6,0)</f>
        <v>TIPO III</v>
      </c>
      <c r="AG80" s="77" t="str">
        <f>VLOOKUP(D80,TIPOLOGIAS!A:H,5,0)</f>
        <v>TERRESTRE</v>
      </c>
      <c r="AH80" s="104">
        <v>1</v>
      </c>
      <c r="AI80" s="104">
        <v>0</v>
      </c>
      <c r="AJ80" s="104">
        <v>0</v>
      </c>
      <c r="AK80" s="104">
        <v>0</v>
      </c>
      <c r="AL80" s="78">
        <f>IF(T80="SOPORTE_TELEFÓNICO",'BASE LIQUIDACION'!$B$10,IF(AF80="TIPO I",'BASE LIQUIDACION'!$C$3,IF(AF80="TIPO II",'BASE LIQUIDACION'!$C$4,IF(AF80="TIPO III",'BASE LIQUIDACION'!$C$5,'BASE LIQUIDACION'!$C$7))))</f>
        <v>275728.37943999999</v>
      </c>
      <c r="AM80" s="80">
        <f>IF(T80="SOPORTE_TELEFÓNICO",'BASE LIQUIDACION'!$B$10,(AH80*AL80+AI80*'BASE LIQUIDACION'!$B$12+AJ80*'BASE LIQUIDACION'!$B$11+INCIDENTES!AK80*'BASE LIQUIDACION'!$B$13))</f>
        <v>275728.37943999999</v>
      </c>
    </row>
    <row r="81" spans="1:39" s="4" customFormat="1">
      <c r="A81" s="104" t="s">
        <v>111</v>
      </c>
      <c r="B81" s="56" t="str">
        <f>VLOOKUP(A81,'CENTRO DE COSTOS'!A:D,4,FALSE)</f>
        <v>JUAN SEBASTIÁN RÍOS CASTRILLÓN</v>
      </c>
      <c r="C81" s="56" t="str">
        <f>VLOOKUP(A81,'CENTRO DE COSTOS'!A:D,2,FALSE)</f>
        <v>0004-0005</v>
      </c>
      <c r="D81" s="104">
        <v>5129</v>
      </c>
      <c r="E81" s="104">
        <v>2296722</v>
      </c>
      <c r="F81" s="104" t="s">
        <v>1851</v>
      </c>
      <c r="G81" s="105">
        <v>45820.62222222222</v>
      </c>
      <c r="H81" s="105">
        <v>45821.520833333336</v>
      </c>
      <c r="I81" s="104" t="s">
        <v>131</v>
      </c>
      <c r="J81" s="104" t="s">
        <v>473</v>
      </c>
      <c r="K81" s="104" t="s">
        <v>1852</v>
      </c>
      <c r="L81" s="104">
        <v>15962</v>
      </c>
      <c r="M81" s="56" t="s">
        <v>1505</v>
      </c>
      <c r="N81" s="56" t="s">
        <v>119</v>
      </c>
      <c r="O81" s="104" t="s">
        <v>1524</v>
      </c>
      <c r="P81" s="56"/>
      <c r="Q81" s="104" t="s">
        <v>1506</v>
      </c>
      <c r="R81" s="106" t="s">
        <v>1853</v>
      </c>
      <c r="S81" s="107" t="s">
        <v>1638</v>
      </c>
      <c r="T81" s="104" t="s">
        <v>1509</v>
      </c>
      <c r="U81" s="107" t="s">
        <v>1854</v>
      </c>
      <c r="V81" s="108" t="s">
        <v>1511</v>
      </c>
      <c r="W81" s="109" t="s">
        <v>1512</v>
      </c>
      <c r="X81" s="109" t="s">
        <v>1533</v>
      </c>
      <c r="Y81" s="109" t="s">
        <v>1534</v>
      </c>
      <c r="Z81" s="109" t="s">
        <v>1515</v>
      </c>
      <c r="AA81" s="109">
        <v>0</v>
      </c>
      <c r="AB81" s="109">
        <v>0</v>
      </c>
      <c r="AC81" s="109">
        <v>0</v>
      </c>
      <c r="AD81" s="109">
        <v>0</v>
      </c>
      <c r="AE81" s="110">
        <v>0</v>
      </c>
      <c r="AF81" s="77" t="str">
        <f>VLOOKUP(D81,TIPOLOGIAS!A:H,6,0)</f>
        <v>TIPO I</v>
      </c>
      <c r="AG81" s="77" t="str">
        <f>VLOOKUP(D81,TIPOLOGIAS!A:H,5,0)</f>
        <v>TERRESTRE</v>
      </c>
      <c r="AH81" s="104">
        <v>1</v>
      </c>
      <c r="AI81" s="104">
        <v>0</v>
      </c>
      <c r="AJ81" s="104">
        <v>0</v>
      </c>
      <c r="AK81" s="104">
        <v>0</v>
      </c>
      <c r="AL81" s="78">
        <f>IF(T81="SOPORTE_TELEFÓNICO",'BASE LIQUIDACION'!$B$10,IF(AF81="TIPO I",'BASE LIQUIDACION'!$C$3,IF(AF81="TIPO II",'BASE LIQUIDACION'!$C$4,IF(AF81="TIPO III",'BASE LIQUIDACION'!$C$5,'BASE LIQUIDACION'!$C$7))))</f>
        <v>65960.473639999997</v>
      </c>
      <c r="AM81" s="80">
        <f>IF(T81="SOPORTE_TELEFÓNICO",'BASE LIQUIDACION'!$B$10,(AH81*AL81+AI81*'BASE LIQUIDACION'!$B$12+AJ81*'BASE LIQUIDACION'!$B$11+INCIDENTES!AK81*'BASE LIQUIDACION'!$B$13))</f>
        <v>65960.473639999997</v>
      </c>
    </row>
    <row r="82" spans="1:39" s="4" customFormat="1">
      <c r="A82" s="104" t="s">
        <v>128</v>
      </c>
      <c r="B82" s="56" t="str">
        <f>VLOOKUP(A82,'CENTRO DE COSTOS'!A:D,4,FALSE)</f>
        <v>JUAN SEBASTIÁN RÍOS CASTRILLÓN</v>
      </c>
      <c r="C82" s="56" t="str">
        <f>VLOOKUP(A82,'CENTRO DE COSTOS'!A:D,2,FALSE)</f>
        <v>0004-0005</v>
      </c>
      <c r="D82" s="104">
        <v>5045</v>
      </c>
      <c r="E82" s="104">
        <v>2296745</v>
      </c>
      <c r="F82" s="104" t="s">
        <v>1855</v>
      </c>
      <c r="G82" s="105">
        <v>45820.625</v>
      </c>
      <c r="H82" s="105">
        <v>45821.522222222222</v>
      </c>
      <c r="I82" s="104" t="s">
        <v>131</v>
      </c>
      <c r="J82" s="104" t="s">
        <v>128</v>
      </c>
      <c r="K82" s="104" t="s">
        <v>1856</v>
      </c>
      <c r="L82" s="104">
        <v>24468</v>
      </c>
      <c r="M82" s="56" t="s">
        <v>1505</v>
      </c>
      <c r="N82" s="56" t="s">
        <v>119</v>
      </c>
      <c r="O82" s="104" t="s">
        <v>1524</v>
      </c>
      <c r="P82" s="56"/>
      <c r="Q82" s="104" t="s">
        <v>1506</v>
      </c>
      <c r="R82" s="106" t="s">
        <v>1857</v>
      </c>
      <c r="S82" s="107" t="s">
        <v>1549</v>
      </c>
      <c r="T82" s="104" t="s">
        <v>1509</v>
      </c>
      <c r="U82" s="107" t="s">
        <v>1858</v>
      </c>
      <c r="V82" s="108" t="s">
        <v>1511</v>
      </c>
      <c r="W82" s="109" t="s">
        <v>1512</v>
      </c>
      <c r="X82" s="109" t="s">
        <v>1513</v>
      </c>
      <c r="Y82" s="109" t="s">
        <v>1521</v>
      </c>
      <c r="Z82" s="109" t="s">
        <v>1515</v>
      </c>
      <c r="AA82" s="109">
        <v>0</v>
      </c>
      <c r="AB82" s="109">
        <v>0</v>
      </c>
      <c r="AC82" s="109">
        <v>0</v>
      </c>
      <c r="AD82" s="109">
        <v>0</v>
      </c>
      <c r="AE82" s="110">
        <v>0</v>
      </c>
      <c r="AF82" s="77" t="str">
        <f>VLOOKUP(D82,TIPOLOGIAS!A:H,6,0)</f>
        <v>TIPO I</v>
      </c>
      <c r="AG82" s="77" t="str">
        <f>VLOOKUP(D82,TIPOLOGIAS!A:H,5,0)</f>
        <v>TERRESTRE</v>
      </c>
      <c r="AH82" s="104">
        <v>1</v>
      </c>
      <c r="AI82" s="104">
        <v>0</v>
      </c>
      <c r="AJ82" s="104">
        <v>0</v>
      </c>
      <c r="AK82" s="104">
        <v>0</v>
      </c>
      <c r="AL82" s="78">
        <f>IF(T82="SOPORTE_TELEFÓNICO",'BASE LIQUIDACION'!$B$10,IF(AF82="TIPO I",'BASE LIQUIDACION'!$C$3,IF(AF82="TIPO II",'BASE LIQUIDACION'!$C$4,IF(AF82="TIPO III",'BASE LIQUIDACION'!$C$5,'BASE LIQUIDACION'!$C$7))))</f>
        <v>65960.473639999997</v>
      </c>
      <c r="AM82" s="80">
        <f>IF(T82="SOPORTE_TELEFÓNICO",'BASE LIQUIDACION'!$B$10,(AH82*AL82+AI82*'BASE LIQUIDACION'!$B$12+AJ82*'BASE LIQUIDACION'!$B$11+INCIDENTES!AK82*'BASE LIQUIDACION'!$B$13))</f>
        <v>65960.473639999997</v>
      </c>
    </row>
    <row r="83" spans="1:39" s="4" customFormat="1">
      <c r="A83" s="104" t="s">
        <v>111</v>
      </c>
      <c r="B83" s="56" t="str">
        <f>VLOOKUP(A83,'CENTRO DE COSTOS'!A:D,4,FALSE)</f>
        <v>JUAN SEBASTIÁN RÍOS CASTRILLÓN</v>
      </c>
      <c r="C83" s="56" t="str">
        <f>VLOOKUP(A83,'CENTRO DE COSTOS'!A:D,2,FALSE)</f>
        <v>0004-0005</v>
      </c>
      <c r="D83" s="104">
        <v>5088</v>
      </c>
      <c r="E83" s="104">
        <v>2298472</v>
      </c>
      <c r="F83" s="104" t="s">
        <v>1859</v>
      </c>
      <c r="G83" s="105">
        <v>45821.333333333336</v>
      </c>
      <c r="H83" s="105">
        <v>45821.524305555555</v>
      </c>
      <c r="I83" s="104" t="s">
        <v>131</v>
      </c>
      <c r="J83" s="104" t="s">
        <v>501</v>
      </c>
      <c r="K83" s="104" t="s">
        <v>1860</v>
      </c>
      <c r="L83" s="104">
        <v>41753</v>
      </c>
      <c r="M83" s="56" t="s">
        <v>1505</v>
      </c>
      <c r="N83" s="56" t="s">
        <v>119</v>
      </c>
      <c r="O83" s="104" t="s">
        <v>1524</v>
      </c>
      <c r="P83" s="56"/>
      <c r="Q83" s="104" t="s">
        <v>1506</v>
      </c>
      <c r="R83" s="106" t="s">
        <v>1861</v>
      </c>
      <c r="S83" s="107" t="s">
        <v>1561</v>
      </c>
      <c r="T83" s="104" t="s">
        <v>1509</v>
      </c>
      <c r="U83" s="107" t="s">
        <v>1862</v>
      </c>
      <c r="V83" s="108" t="s">
        <v>1511</v>
      </c>
      <c r="W83" s="109" t="s">
        <v>1512</v>
      </c>
      <c r="X83" s="109" t="s">
        <v>1533</v>
      </c>
      <c r="Y83" s="109" t="s">
        <v>1534</v>
      </c>
      <c r="Z83" s="109" t="s">
        <v>1515</v>
      </c>
      <c r="AA83" s="109">
        <v>0</v>
      </c>
      <c r="AB83" s="109">
        <v>0</v>
      </c>
      <c r="AC83" s="109">
        <v>0</v>
      </c>
      <c r="AD83" s="109">
        <v>0</v>
      </c>
      <c r="AE83" s="110">
        <v>0</v>
      </c>
      <c r="AF83" s="77" t="str">
        <f>VLOOKUP(D83,TIPOLOGIAS!A:H,6,0)</f>
        <v>TIPO I</v>
      </c>
      <c r="AG83" s="77" t="str">
        <f>VLOOKUP(D83,TIPOLOGIAS!A:H,5,0)</f>
        <v>TERRESTRE</v>
      </c>
      <c r="AH83" s="104">
        <v>1</v>
      </c>
      <c r="AI83" s="104">
        <v>0</v>
      </c>
      <c r="AJ83" s="104">
        <v>0</v>
      </c>
      <c r="AK83" s="104">
        <v>0</v>
      </c>
      <c r="AL83" s="78">
        <f>IF(T83="SOPORTE_TELEFÓNICO",'BASE LIQUIDACION'!$B$10,IF(AF83="TIPO I",'BASE LIQUIDACION'!$C$3,IF(AF83="TIPO II",'BASE LIQUIDACION'!$C$4,IF(AF83="TIPO III",'BASE LIQUIDACION'!$C$5,'BASE LIQUIDACION'!$C$7))))</f>
        <v>65960.473639999997</v>
      </c>
      <c r="AM83" s="80">
        <f>IF(T83="SOPORTE_TELEFÓNICO",'BASE LIQUIDACION'!$B$10,(AH83*AL83+AI83*'BASE LIQUIDACION'!$B$12+AJ83*'BASE LIQUIDACION'!$B$11+INCIDENTES!AK83*'BASE LIQUIDACION'!$B$13))</f>
        <v>65960.473639999997</v>
      </c>
    </row>
    <row r="84" spans="1:39" s="4" customFormat="1">
      <c r="A84" s="104" t="s">
        <v>128</v>
      </c>
      <c r="B84" s="56" t="str">
        <f>VLOOKUP(A84,'CENTRO DE COSTOS'!A:D,4,FALSE)</f>
        <v>JUAN SEBASTIÁN RÍOS CASTRILLÓN</v>
      </c>
      <c r="C84" s="56" t="str">
        <f>VLOOKUP(A84,'CENTRO DE COSTOS'!A:D,2,FALSE)</f>
        <v>0004-0005</v>
      </c>
      <c r="D84" s="104">
        <v>5045</v>
      </c>
      <c r="E84" s="104">
        <v>2296859</v>
      </c>
      <c r="F84" s="104" t="s">
        <v>1863</v>
      </c>
      <c r="G84" s="105">
        <v>45820.630555555559</v>
      </c>
      <c r="H84" s="105">
        <v>45821.561805555553</v>
      </c>
      <c r="I84" s="104" t="s">
        <v>131</v>
      </c>
      <c r="J84" s="104" t="s">
        <v>128</v>
      </c>
      <c r="K84" s="104" t="s">
        <v>1864</v>
      </c>
      <c r="L84" s="104">
        <v>32312</v>
      </c>
      <c r="M84" s="56" t="s">
        <v>1505</v>
      </c>
      <c r="N84" s="56" t="s">
        <v>119</v>
      </c>
      <c r="O84" s="104" t="s">
        <v>425</v>
      </c>
      <c r="P84" s="56"/>
      <c r="Q84" s="104" t="s">
        <v>1506</v>
      </c>
      <c r="R84" s="106" t="s">
        <v>1865</v>
      </c>
      <c r="S84" s="107" t="s">
        <v>1549</v>
      </c>
      <c r="T84" s="104" t="s">
        <v>1509</v>
      </c>
      <c r="U84" s="107" t="s">
        <v>1866</v>
      </c>
      <c r="V84" s="108" t="s">
        <v>1511</v>
      </c>
      <c r="W84" s="109" t="s">
        <v>1512</v>
      </c>
      <c r="X84" s="109" t="s">
        <v>1513</v>
      </c>
      <c r="Y84" s="109" t="s">
        <v>1521</v>
      </c>
      <c r="Z84" s="109" t="s">
        <v>1515</v>
      </c>
      <c r="AA84" s="109">
        <v>0</v>
      </c>
      <c r="AB84" s="109">
        <v>0</v>
      </c>
      <c r="AC84" s="109">
        <v>0</v>
      </c>
      <c r="AD84" s="109">
        <v>0</v>
      </c>
      <c r="AE84" s="110" t="s">
        <v>1573</v>
      </c>
      <c r="AF84" s="77" t="str">
        <f>VLOOKUP(D84,TIPOLOGIAS!A:H,6,0)</f>
        <v>TIPO I</v>
      </c>
      <c r="AG84" s="77" t="str">
        <f>VLOOKUP(D84,TIPOLOGIAS!A:H,5,0)</f>
        <v>TERRESTRE</v>
      </c>
      <c r="AH84" s="104">
        <v>1</v>
      </c>
      <c r="AI84" s="104">
        <v>0</v>
      </c>
      <c r="AJ84" s="104">
        <v>0</v>
      </c>
      <c r="AK84" s="104">
        <v>0</v>
      </c>
      <c r="AL84" s="78">
        <f>IF(T84="SOPORTE_TELEFÓNICO",'BASE LIQUIDACION'!$B$10,IF(AF84="TIPO I",'BASE LIQUIDACION'!$C$3,IF(AF84="TIPO II",'BASE LIQUIDACION'!$C$4,IF(AF84="TIPO III",'BASE LIQUIDACION'!$C$5,'BASE LIQUIDACION'!$C$7))))</f>
        <v>65960.473639999997</v>
      </c>
      <c r="AM84" s="80">
        <f>IF(T84="SOPORTE_TELEFÓNICO",'BASE LIQUIDACION'!$B$10,(AH84*AL84+AI84*'BASE LIQUIDACION'!$B$12+AJ84*'BASE LIQUIDACION'!$B$11+INCIDENTES!AK84*'BASE LIQUIDACION'!$B$13))</f>
        <v>65960.473639999997</v>
      </c>
    </row>
    <row r="85" spans="1:39" s="4" customFormat="1">
      <c r="A85" s="104" t="s">
        <v>195</v>
      </c>
      <c r="B85" s="56" t="str">
        <f>VLOOKUP(A85,'CENTRO DE COSTOS'!A:D,4,FALSE)</f>
        <v>DIEGO FERNANDO HENAO CARDONA</v>
      </c>
      <c r="C85" s="56" t="str">
        <f>VLOOKUP(A85,'CENTRO DE COSTOS'!A:D,2,FALSE)</f>
        <v>0004-0002</v>
      </c>
      <c r="D85" s="104">
        <v>63001</v>
      </c>
      <c r="E85" s="104">
        <v>2302718</v>
      </c>
      <c r="F85" s="104" t="s">
        <v>1867</v>
      </c>
      <c r="G85" s="105">
        <v>45821.618055555555</v>
      </c>
      <c r="H85" s="111">
        <v>45821.626712962963</v>
      </c>
      <c r="I85" s="104" t="s">
        <v>1271</v>
      </c>
      <c r="J85" s="104" t="s">
        <v>468</v>
      </c>
      <c r="K85" s="104" t="s">
        <v>1868</v>
      </c>
      <c r="L85" s="104">
        <v>25339</v>
      </c>
      <c r="M85" s="56" t="s">
        <v>1505</v>
      </c>
      <c r="N85" s="56" t="s">
        <v>119</v>
      </c>
      <c r="O85" s="104" t="s">
        <v>1845</v>
      </c>
      <c r="P85" s="56"/>
      <c r="Q85" s="104" t="s">
        <v>1506</v>
      </c>
      <c r="R85" s="106" t="s">
        <v>1869</v>
      </c>
      <c r="S85" s="104">
        <v>0</v>
      </c>
      <c r="T85" s="104" t="s">
        <v>1520</v>
      </c>
      <c r="U85" s="107">
        <v>0</v>
      </c>
      <c r="V85" s="108" t="s">
        <v>1511</v>
      </c>
      <c r="W85" s="109" t="s">
        <v>1512</v>
      </c>
      <c r="X85" s="109" t="s">
        <v>1533</v>
      </c>
      <c r="Y85" s="109" t="s">
        <v>1534</v>
      </c>
      <c r="Z85" s="109" t="s">
        <v>1515</v>
      </c>
      <c r="AA85" s="109">
        <v>0</v>
      </c>
      <c r="AB85" s="109">
        <v>0</v>
      </c>
      <c r="AC85" s="109">
        <v>0</v>
      </c>
      <c r="AD85" s="109">
        <v>0</v>
      </c>
      <c r="AE85" s="110">
        <v>0</v>
      </c>
      <c r="AF85" s="77" t="str">
        <f>VLOOKUP(D85,TIPOLOGIAS!A:H,6,0)</f>
        <v>TIPO II</v>
      </c>
      <c r="AG85" s="77" t="str">
        <f>VLOOKUP(D85,TIPOLOGIAS!A:H,5,0)</f>
        <v>TERRESTRE</v>
      </c>
      <c r="AH85" s="104">
        <v>0</v>
      </c>
      <c r="AI85" s="104">
        <v>0</v>
      </c>
      <c r="AJ85" s="104">
        <v>0</v>
      </c>
      <c r="AK85" s="104">
        <v>0</v>
      </c>
      <c r="AL85" s="78">
        <f>IF(T85="SOPORTE_TELEFÓNICO",'BASE LIQUIDACION'!$B$10,IF(AF85="TIPO I",'BASE LIQUIDACION'!$C$3,IF(AF85="TIPO II",'BASE LIQUIDACION'!$C$4,IF(AF85="TIPO III",'BASE LIQUIDACION'!$C$5,'BASE LIQUIDACION'!$C$7))))</f>
        <v>37904.65408</v>
      </c>
      <c r="AM85" s="80">
        <f>IF(T85="SOPORTE_TELEFÓNICO",'BASE LIQUIDACION'!$B$10,(AH85*AL85+AI85*'BASE LIQUIDACION'!$B$12+AJ85*'BASE LIQUIDACION'!$B$11+INCIDENTES!AK85*'BASE LIQUIDACION'!$B$13))</f>
        <v>37904.65408</v>
      </c>
    </row>
    <row r="86" spans="1:39" s="4" customFormat="1">
      <c r="A86" s="104" t="s">
        <v>111</v>
      </c>
      <c r="B86" s="56" t="str">
        <f>VLOOKUP(A86,'CENTRO DE COSTOS'!A:D,4,FALSE)</f>
        <v>JUAN SEBASTIÁN RÍOS CASTRILLÓN</v>
      </c>
      <c r="C86" s="56" t="str">
        <f>VLOOKUP(A86,'CENTRO DE COSTOS'!A:D,2,FALSE)</f>
        <v>0004-0005</v>
      </c>
      <c r="D86" s="104">
        <v>5001</v>
      </c>
      <c r="E86" s="104">
        <v>2299826</v>
      </c>
      <c r="F86" s="104" t="s">
        <v>1870</v>
      </c>
      <c r="G86" s="105">
        <v>45821.376388888886</v>
      </c>
      <c r="H86" s="105">
        <v>45821.645138888889</v>
      </c>
      <c r="I86" s="104" t="s">
        <v>131</v>
      </c>
      <c r="J86" s="104" t="s">
        <v>111</v>
      </c>
      <c r="K86" s="104" t="s">
        <v>1871</v>
      </c>
      <c r="L86" s="104">
        <v>48794</v>
      </c>
      <c r="M86" s="56" t="s">
        <v>1505</v>
      </c>
      <c r="N86" s="56" t="s">
        <v>119</v>
      </c>
      <c r="O86" s="104" t="s">
        <v>332</v>
      </c>
      <c r="P86" s="56"/>
      <c r="Q86" s="104" t="s">
        <v>1506</v>
      </c>
      <c r="R86" s="106" t="s">
        <v>1872</v>
      </c>
      <c r="S86" s="107" t="s">
        <v>1762</v>
      </c>
      <c r="T86" s="104" t="s">
        <v>1509</v>
      </c>
      <c r="U86" s="107" t="s">
        <v>1873</v>
      </c>
      <c r="V86" s="108" t="s">
        <v>1511</v>
      </c>
      <c r="W86" s="109" t="s">
        <v>1512</v>
      </c>
      <c r="X86" s="109" t="s">
        <v>1513</v>
      </c>
      <c r="Y86" s="109" t="s">
        <v>1521</v>
      </c>
      <c r="Z86" s="109" t="s">
        <v>1515</v>
      </c>
      <c r="AA86" s="109">
        <v>0</v>
      </c>
      <c r="AB86" s="109">
        <v>0</v>
      </c>
      <c r="AC86" s="109">
        <v>0</v>
      </c>
      <c r="AD86" s="109">
        <v>0</v>
      </c>
      <c r="AE86" s="110">
        <v>0</v>
      </c>
      <c r="AF86" s="77" t="str">
        <f>VLOOKUP(D86,TIPOLOGIAS!A:H,6,0)</f>
        <v>TIPO I</v>
      </c>
      <c r="AG86" s="77" t="str">
        <f>VLOOKUP(D86,TIPOLOGIAS!A:H,5,0)</f>
        <v>TERRESTRE</v>
      </c>
      <c r="AH86" s="104">
        <v>1</v>
      </c>
      <c r="AI86" s="104">
        <v>0</v>
      </c>
      <c r="AJ86" s="104">
        <v>0</v>
      </c>
      <c r="AK86" s="104">
        <v>0</v>
      </c>
      <c r="AL86" s="78">
        <f>IF(T86="SOPORTE_TELEFÓNICO",'BASE LIQUIDACION'!$B$10,IF(AF86="TIPO I",'BASE LIQUIDACION'!$C$3,IF(AF86="TIPO II",'BASE LIQUIDACION'!$C$4,IF(AF86="TIPO III",'BASE LIQUIDACION'!$C$5,'BASE LIQUIDACION'!$C$7))))</f>
        <v>65960.473639999997</v>
      </c>
      <c r="AM86" s="80">
        <f>IF(T86="SOPORTE_TELEFÓNICO",'BASE LIQUIDACION'!$B$10,(AH86*AL86+AI86*'BASE LIQUIDACION'!$B$12+AJ86*'BASE LIQUIDACION'!$B$11+INCIDENTES!AK86*'BASE LIQUIDACION'!$B$13))</f>
        <v>65960.473639999997</v>
      </c>
    </row>
    <row r="87" spans="1:39" s="4" customFormat="1">
      <c r="A87" s="104" t="s">
        <v>111</v>
      </c>
      <c r="B87" s="56" t="str">
        <f>VLOOKUP(A87,'CENTRO DE COSTOS'!A:D,4,FALSE)</f>
        <v>JUAN SEBASTIÁN RÍOS CASTRILLÓN</v>
      </c>
      <c r="C87" s="56" t="str">
        <f>VLOOKUP(A87,'CENTRO DE COSTOS'!A:D,2,FALSE)</f>
        <v>0004-0005</v>
      </c>
      <c r="D87" s="104">
        <v>5001</v>
      </c>
      <c r="E87" s="104">
        <v>2297631</v>
      </c>
      <c r="F87" s="104" t="s">
        <v>1874</v>
      </c>
      <c r="G87" s="105">
        <v>45820.668749999997</v>
      </c>
      <c r="H87" s="105">
        <v>45821.665972222225</v>
      </c>
      <c r="I87" s="104" t="s">
        <v>131</v>
      </c>
      <c r="J87" s="104" t="s">
        <v>111</v>
      </c>
      <c r="K87" s="104" t="s">
        <v>1875</v>
      </c>
      <c r="L87" s="104">
        <v>35402</v>
      </c>
      <c r="M87" s="56" t="s">
        <v>1505</v>
      </c>
      <c r="N87" s="56" t="s">
        <v>119</v>
      </c>
      <c r="O87" s="104" t="s">
        <v>1524</v>
      </c>
      <c r="P87" s="56"/>
      <c r="Q87" s="104" t="s">
        <v>1506</v>
      </c>
      <c r="R87" s="106" t="s">
        <v>1876</v>
      </c>
      <c r="S87" s="107" t="s">
        <v>1561</v>
      </c>
      <c r="T87" s="104" t="s">
        <v>1509</v>
      </c>
      <c r="U87" s="107" t="s">
        <v>1877</v>
      </c>
      <c r="V87" s="108" t="s">
        <v>1511</v>
      </c>
      <c r="W87" s="109" t="s">
        <v>1512</v>
      </c>
      <c r="X87" s="109" t="s">
        <v>1533</v>
      </c>
      <c r="Y87" s="109" t="s">
        <v>1534</v>
      </c>
      <c r="Z87" s="109" t="s">
        <v>1515</v>
      </c>
      <c r="AA87" s="109">
        <v>0</v>
      </c>
      <c r="AB87" s="109">
        <v>0</v>
      </c>
      <c r="AC87" s="109">
        <v>0</v>
      </c>
      <c r="AD87" s="109">
        <v>0</v>
      </c>
      <c r="AE87" s="110">
        <v>0</v>
      </c>
      <c r="AF87" s="77" t="str">
        <f>VLOOKUP(D87,TIPOLOGIAS!A:H,6,0)</f>
        <v>TIPO I</v>
      </c>
      <c r="AG87" s="77" t="str">
        <f>VLOOKUP(D87,TIPOLOGIAS!A:H,5,0)</f>
        <v>TERRESTRE</v>
      </c>
      <c r="AH87" s="104">
        <v>1</v>
      </c>
      <c r="AI87" s="104">
        <v>0</v>
      </c>
      <c r="AJ87" s="104">
        <v>0</v>
      </c>
      <c r="AK87" s="104">
        <v>0</v>
      </c>
      <c r="AL87" s="78">
        <f>IF(T87="SOPORTE_TELEFÓNICO",'BASE LIQUIDACION'!$B$10,IF(AF87="TIPO I",'BASE LIQUIDACION'!$C$3,IF(AF87="TIPO II",'BASE LIQUIDACION'!$C$4,IF(AF87="TIPO III",'BASE LIQUIDACION'!$C$5,'BASE LIQUIDACION'!$C$7))))</f>
        <v>65960.473639999997</v>
      </c>
      <c r="AM87" s="80">
        <f>IF(T87="SOPORTE_TELEFÓNICO",'BASE LIQUIDACION'!$B$10,(AH87*AL87+AI87*'BASE LIQUIDACION'!$B$12+AJ87*'BASE LIQUIDACION'!$B$11+INCIDENTES!AK87*'BASE LIQUIDACION'!$B$13))</f>
        <v>65960.473639999997</v>
      </c>
    </row>
    <row r="88" spans="1:39" s="4" customFormat="1">
      <c r="A88" s="104" t="s">
        <v>138</v>
      </c>
      <c r="B88" s="56" t="str">
        <f>VLOOKUP(A88,'CENTRO DE COSTOS'!A:D,4,FALSE)</f>
        <v>DIEGO FERNANDO HENAO CARDONA</v>
      </c>
      <c r="C88" s="56" t="str">
        <f>VLOOKUP(A88,'CENTRO DE COSTOS'!A:D,2,FALSE)</f>
        <v>0004-0003</v>
      </c>
      <c r="D88" s="104">
        <v>76890</v>
      </c>
      <c r="E88" s="104">
        <v>2301800</v>
      </c>
      <c r="F88" s="104" t="s">
        <v>1878</v>
      </c>
      <c r="G88" s="105">
        <v>45821.501388888886</v>
      </c>
      <c r="H88" s="105">
        <v>45821.676388888889</v>
      </c>
      <c r="I88" s="104" t="s">
        <v>141</v>
      </c>
      <c r="J88" s="104" t="s">
        <v>1454</v>
      </c>
      <c r="K88" s="104" t="s">
        <v>1879</v>
      </c>
      <c r="L88" s="104">
        <v>59887</v>
      </c>
      <c r="M88" s="56" t="s">
        <v>1505</v>
      </c>
      <c r="N88" s="56" t="s">
        <v>119</v>
      </c>
      <c r="O88" s="104" t="s">
        <v>1524</v>
      </c>
      <c r="P88" s="56"/>
      <c r="Q88" s="104" t="s">
        <v>1506</v>
      </c>
      <c r="R88" s="106" t="s">
        <v>1880</v>
      </c>
      <c r="S88" s="107" t="s">
        <v>358</v>
      </c>
      <c r="T88" s="104" t="s">
        <v>1509</v>
      </c>
      <c r="U88" s="107" t="s">
        <v>1881</v>
      </c>
      <c r="V88" s="108" t="s">
        <v>1511</v>
      </c>
      <c r="W88" s="109" t="s">
        <v>1709</v>
      </c>
      <c r="X88" s="109" t="s">
        <v>1710</v>
      </c>
      <c r="Y88" s="109" t="s">
        <v>1711</v>
      </c>
      <c r="Z88" s="109" t="s">
        <v>1515</v>
      </c>
      <c r="AA88" s="109">
        <v>0</v>
      </c>
      <c r="AB88" s="109">
        <v>0</v>
      </c>
      <c r="AC88" s="109">
        <v>0</v>
      </c>
      <c r="AD88" s="109">
        <v>0</v>
      </c>
      <c r="AE88" s="110">
        <v>0</v>
      </c>
      <c r="AF88" s="77" t="str">
        <f>VLOOKUP(D88,TIPOLOGIAS!A:H,6,0)</f>
        <v>TIPO II</v>
      </c>
      <c r="AG88" s="77" t="str">
        <f>VLOOKUP(D88,TIPOLOGIAS!A:H,5,0)</f>
        <v>TERRESTRE</v>
      </c>
      <c r="AH88" s="104">
        <v>1</v>
      </c>
      <c r="AI88" s="104">
        <v>0</v>
      </c>
      <c r="AJ88" s="104">
        <v>0</v>
      </c>
      <c r="AK88" s="104">
        <v>0</v>
      </c>
      <c r="AL88" s="78">
        <f>IF(T88="SOPORTE_TELEFÓNICO",'BASE LIQUIDACION'!$B$10,IF(AF88="TIPO I",'BASE LIQUIDACION'!$C$3,IF(AF88="TIPO II",'BASE LIQUIDACION'!$C$4,IF(AF88="TIPO III",'BASE LIQUIDACION'!$C$5,'BASE LIQUIDACION'!$C$7))))</f>
        <v>163813.55812</v>
      </c>
      <c r="AM88" s="80">
        <f>IF(T88="SOPORTE_TELEFÓNICO",'BASE LIQUIDACION'!$B$10,(AH88*AL88+AI88*'BASE LIQUIDACION'!$B$12+AJ88*'BASE LIQUIDACION'!$B$11+INCIDENTES!AK88*'BASE LIQUIDACION'!$B$13))</f>
        <v>163813.55812</v>
      </c>
    </row>
    <row r="89" spans="1:39" s="4" customFormat="1">
      <c r="A89" s="104" t="s">
        <v>195</v>
      </c>
      <c r="B89" s="56" t="str">
        <f>VLOOKUP(A89,'CENTRO DE COSTOS'!A:D,4,FALSE)</f>
        <v>DIEGO FERNANDO HENAO CARDONA</v>
      </c>
      <c r="C89" s="56" t="str">
        <f>VLOOKUP(A89,'CENTRO DE COSTOS'!A:D,2,FALSE)</f>
        <v>0004-0002</v>
      </c>
      <c r="D89" s="104">
        <v>66170</v>
      </c>
      <c r="E89" s="104">
        <v>2302524</v>
      </c>
      <c r="F89" s="104" t="s">
        <v>1882</v>
      </c>
      <c r="G89" s="105">
        <v>45821.598611111112</v>
      </c>
      <c r="H89" s="105">
        <v>45821.701388888891</v>
      </c>
      <c r="I89" s="104" t="s">
        <v>198</v>
      </c>
      <c r="J89" s="104" t="s">
        <v>1283</v>
      </c>
      <c r="K89" s="104" t="s">
        <v>1883</v>
      </c>
      <c r="L89" s="104">
        <v>78248</v>
      </c>
      <c r="M89" s="56" t="s">
        <v>1505</v>
      </c>
      <c r="N89" s="56" t="s">
        <v>119</v>
      </c>
      <c r="O89" s="104" t="s">
        <v>1524</v>
      </c>
      <c r="P89" s="56"/>
      <c r="Q89" s="104" t="s">
        <v>1506</v>
      </c>
      <c r="R89" s="106" t="s">
        <v>1884</v>
      </c>
      <c r="S89" s="107" t="s">
        <v>201</v>
      </c>
      <c r="T89" s="104" t="s">
        <v>1509</v>
      </c>
      <c r="U89" s="107" t="s">
        <v>1885</v>
      </c>
      <c r="V89" s="108" t="s">
        <v>1511</v>
      </c>
      <c r="W89" s="109" t="s">
        <v>1512</v>
      </c>
      <c r="X89" s="109" t="s">
        <v>1533</v>
      </c>
      <c r="Y89" s="109" t="s">
        <v>1534</v>
      </c>
      <c r="Z89" s="109" t="s">
        <v>1515</v>
      </c>
      <c r="AA89" s="109">
        <v>0</v>
      </c>
      <c r="AB89" s="109">
        <v>0</v>
      </c>
      <c r="AC89" s="109">
        <v>0</v>
      </c>
      <c r="AD89" s="109">
        <v>0</v>
      </c>
      <c r="AE89" s="110">
        <v>0</v>
      </c>
      <c r="AF89" s="77" t="str">
        <f>VLOOKUP(D89,TIPOLOGIAS!A:H,6,0)</f>
        <v>TIPO I</v>
      </c>
      <c r="AG89" s="77" t="str">
        <f>VLOOKUP(D89,TIPOLOGIAS!A:H,5,0)</f>
        <v>TERRESTRE</v>
      </c>
      <c r="AH89" s="104">
        <v>1</v>
      </c>
      <c r="AI89" s="104">
        <v>0</v>
      </c>
      <c r="AJ89" s="104">
        <v>0</v>
      </c>
      <c r="AK89" s="104">
        <v>0</v>
      </c>
      <c r="AL89" s="78">
        <f>IF(T89="SOPORTE_TELEFÓNICO",'BASE LIQUIDACION'!$B$10,IF(AF89="TIPO I",'BASE LIQUIDACION'!$C$3,IF(AF89="TIPO II",'BASE LIQUIDACION'!$C$4,IF(AF89="TIPO III",'BASE LIQUIDACION'!$C$5,'BASE LIQUIDACION'!$C$7))))</f>
        <v>65960.473639999997</v>
      </c>
      <c r="AM89" s="80">
        <f>IF(T89="SOPORTE_TELEFÓNICO",'BASE LIQUIDACION'!$B$10,(AH89*AL89+AI89*'BASE LIQUIDACION'!$B$12+AJ89*'BASE LIQUIDACION'!$B$11+INCIDENTES!AK89*'BASE LIQUIDACION'!$B$13))</f>
        <v>65960.473639999997</v>
      </c>
    </row>
    <row r="90" spans="1:39" s="4" customFormat="1">
      <c r="A90" s="104" t="s">
        <v>138</v>
      </c>
      <c r="B90" s="56" t="str">
        <f>VLOOKUP(A90,'CENTRO DE COSTOS'!A:D,4,FALSE)</f>
        <v>DIEGO FERNANDO HENAO CARDONA</v>
      </c>
      <c r="C90" s="56" t="str">
        <f>VLOOKUP(A90,'CENTRO DE COSTOS'!A:D,2,FALSE)</f>
        <v>0004-0003</v>
      </c>
      <c r="D90" s="104">
        <v>76001</v>
      </c>
      <c r="E90" s="104" t="s">
        <v>1886</v>
      </c>
      <c r="F90" s="104" t="s">
        <v>1887</v>
      </c>
      <c r="G90" s="105">
        <v>45821.515277777777</v>
      </c>
      <c r="H90" s="105">
        <v>45821.709386574083</v>
      </c>
      <c r="I90" s="104" t="s">
        <v>141</v>
      </c>
      <c r="J90" s="104" t="s">
        <v>138</v>
      </c>
      <c r="K90" s="104" t="s">
        <v>1888</v>
      </c>
      <c r="L90" s="104">
        <v>73965</v>
      </c>
      <c r="M90" s="56" t="s">
        <v>1505</v>
      </c>
      <c r="N90" s="56" t="s">
        <v>119</v>
      </c>
      <c r="O90" s="104" t="s">
        <v>1524</v>
      </c>
      <c r="P90" s="56"/>
      <c r="Q90" s="104" t="s">
        <v>1506</v>
      </c>
      <c r="R90" s="106" t="s">
        <v>1889</v>
      </c>
      <c r="S90" s="107" t="s">
        <v>185</v>
      </c>
      <c r="T90" s="104" t="s">
        <v>1509</v>
      </c>
      <c r="U90" s="107" t="s">
        <v>1890</v>
      </c>
      <c r="V90" s="108" t="s">
        <v>1511</v>
      </c>
      <c r="W90" s="109" t="s">
        <v>1709</v>
      </c>
      <c r="X90" s="109" t="s">
        <v>1710</v>
      </c>
      <c r="Y90" s="109" t="s">
        <v>1711</v>
      </c>
      <c r="Z90" s="109" t="s">
        <v>1891</v>
      </c>
      <c r="AA90" s="109" t="s">
        <v>1892</v>
      </c>
      <c r="AB90" s="109">
        <v>0</v>
      </c>
      <c r="AC90" s="109" t="s">
        <v>1893</v>
      </c>
      <c r="AD90" s="109" t="s">
        <v>1894</v>
      </c>
      <c r="AE90" s="110">
        <v>0</v>
      </c>
      <c r="AF90" s="77" t="str">
        <f>VLOOKUP(D90,TIPOLOGIAS!A:H,6,0)</f>
        <v>TIPO I</v>
      </c>
      <c r="AG90" s="77" t="str">
        <f>VLOOKUP(D90,TIPOLOGIAS!A:H,5,0)</f>
        <v>TERRESTRE</v>
      </c>
      <c r="AH90" s="104">
        <v>1</v>
      </c>
      <c r="AI90" s="104">
        <v>0</v>
      </c>
      <c r="AJ90" s="104">
        <v>0</v>
      </c>
      <c r="AK90" s="104">
        <v>0</v>
      </c>
      <c r="AL90" s="78">
        <f>IF(T90="SOPORTE_TELEFÓNICO",'BASE LIQUIDACION'!$B$10,IF(AF90="TIPO I",'BASE LIQUIDACION'!$C$3,IF(AF90="TIPO II",'BASE LIQUIDACION'!$C$4,IF(AF90="TIPO III",'BASE LIQUIDACION'!$C$5,'BASE LIQUIDACION'!$C$7))))</f>
        <v>65960.473639999997</v>
      </c>
      <c r="AM90" s="80">
        <f>IF(T90="SOPORTE_TELEFÓNICO",'BASE LIQUIDACION'!$B$10,(AH90*AL90+AI90*'BASE LIQUIDACION'!$B$12+AJ90*'BASE LIQUIDACION'!$B$11+INCIDENTES!AK90*'BASE LIQUIDACION'!$B$13))</f>
        <v>65960.473639999997</v>
      </c>
    </row>
    <row r="91" spans="1:39" s="4" customFormat="1">
      <c r="A91" s="104" t="s">
        <v>111</v>
      </c>
      <c r="B91" s="56" t="str">
        <f>VLOOKUP(A91,'CENTRO DE COSTOS'!A:D,4,FALSE)</f>
        <v>JUAN SEBASTIÁN RÍOS CASTRILLÓN</v>
      </c>
      <c r="C91" s="56" t="str">
        <f>VLOOKUP(A91,'CENTRO DE COSTOS'!A:D,2,FALSE)</f>
        <v>0004-0005</v>
      </c>
      <c r="D91" s="104">
        <v>5789</v>
      </c>
      <c r="E91" s="104">
        <v>2298490</v>
      </c>
      <c r="F91" s="104" t="s">
        <v>1895</v>
      </c>
      <c r="G91" s="105">
        <v>45821.333333333336</v>
      </c>
      <c r="H91" s="105">
        <v>45822.424444444441</v>
      </c>
      <c r="I91" s="104" t="s">
        <v>131</v>
      </c>
      <c r="J91" s="104" t="s">
        <v>575</v>
      </c>
      <c r="K91" s="104" t="s">
        <v>1896</v>
      </c>
      <c r="L91" s="104">
        <v>79725</v>
      </c>
      <c r="M91" s="56" t="s">
        <v>1505</v>
      </c>
      <c r="N91" s="56" t="s">
        <v>119</v>
      </c>
      <c r="O91" s="104" t="s">
        <v>332</v>
      </c>
      <c r="P91" s="56"/>
      <c r="Q91" s="104" t="s">
        <v>1506</v>
      </c>
      <c r="R91" s="106" t="s">
        <v>1897</v>
      </c>
      <c r="S91" s="107" t="s">
        <v>1638</v>
      </c>
      <c r="T91" s="104" t="s">
        <v>1509</v>
      </c>
      <c r="U91" s="107" t="s">
        <v>1898</v>
      </c>
      <c r="V91" s="108" t="s">
        <v>1511</v>
      </c>
      <c r="W91" s="109" t="s">
        <v>1512</v>
      </c>
      <c r="X91" s="109" t="s">
        <v>1610</v>
      </c>
      <c r="Y91" s="109" t="s">
        <v>1611</v>
      </c>
      <c r="Z91" s="109" t="s">
        <v>1515</v>
      </c>
      <c r="AA91" s="109">
        <v>0</v>
      </c>
      <c r="AB91" s="109">
        <v>0</v>
      </c>
      <c r="AC91" s="109">
        <v>0</v>
      </c>
      <c r="AD91" s="109">
        <v>0</v>
      </c>
      <c r="AE91" s="110">
        <v>0</v>
      </c>
      <c r="AF91" s="77" t="str">
        <f>VLOOKUP(D91,TIPOLOGIAS!A:H,6,0)</f>
        <v>TIPO III</v>
      </c>
      <c r="AG91" s="77" t="str">
        <f>VLOOKUP(D91,TIPOLOGIAS!A:H,5,0)</f>
        <v>TERRESTRE</v>
      </c>
      <c r="AH91" s="104">
        <v>1</v>
      </c>
      <c r="AI91" s="104">
        <v>0</v>
      </c>
      <c r="AJ91" s="104">
        <v>0</v>
      </c>
      <c r="AK91" s="104">
        <v>0</v>
      </c>
      <c r="AL91" s="78">
        <f>IF(T91="SOPORTE_TELEFÓNICO",'BASE LIQUIDACION'!$B$10,IF(AF91="TIPO I",'BASE LIQUIDACION'!$C$3,IF(AF91="TIPO II",'BASE LIQUIDACION'!$C$4,IF(AF91="TIPO III",'BASE LIQUIDACION'!$C$5,'BASE LIQUIDACION'!$C$7))))</f>
        <v>275728.37943999999</v>
      </c>
      <c r="AM91" s="80">
        <f>IF(T91="SOPORTE_TELEFÓNICO",'BASE LIQUIDACION'!$B$10,(AH91*AL91+AI91*'BASE LIQUIDACION'!$B$12+AJ91*'BASE LIQUIDACION'!$B$11+INCIDENTES!AK91*'BASE LIQUIDACION'!$B$13))</f>
        <v>275728.37943999999</v>
      </c>
    </row>
    <row r="92" spans="1:39" s="4" customFormat="1">
      <c r="A92" s="104" t="s">
        <v>111</v>
      </c>
      <c r="B92" s="56" t="str">
        <f>VLOOKUP(A92,'CENTRO DE COSTOS'!A:D,4,FALSE)</f>
        <v>JUAN SEBASTIÁN RÍOS CASTRILLÓN</v>
      </c>
      <c r="C92" s="56" t="str">
        <f>VLOOKUP(A92,'CENTRO DE COSTOS'!A:D,2,FALSE)</f>
        <v>0004-0005</v>
      </c>
      <c r="D92" s="104">
        <v>5360</v>
      </c>
      <c r="E92" s="104">
        <v>2303284</v>
      </c>
      <c r="F92" s="104" t="s">
        <v>1899</v>
      </c>
      <c r="G92" s="105">
        <v>45821.661111111112</v>
      </c>
      <c r="H92" s="105">
        <v>45822.439456018517</v>
      </c>
      <c r="I92" s="104" t="s">
        <v>131</v>
      </c>
      <c r="J92" s="104" t="s">
        <v>536</v>
      </c>
      <c r="K92" s="104" t="s">
        <v>1900</v>
      </c>
      <c r="L92" s="104">
        <v>75240</v>
      </c>
      <c r="M92" s="56" t="s">
        <v>1505</v>
      </c>
      <c r="N92" s="56" t="s">
        <v>119</v>
      </c>
      <c r="O92" s="104" t="s">
        <v>332</v>
      </c>
      <c r="P92" s="56"/>
      <c r="Q92" s="104" t="s">
        <v>1506</v>
      </c>
      <c r="R92" s="106" t="s">
        <v>1901</v>
      </c>
      <c r="S92" s="107" t="s">
        <v>1531</v>
      </c>
      <c r="T92" s="104" t="s">
        <v>1520</v>
      </c>
      <c r="U92" s="107">
        <v>0</v>
      </c>
      <c r="V92" s="108" t="s">
        <v>1511</v>
      </c>
      <c r="W92" s="109" t="s">
        <v>1512</v>
      </c>
      <c r="X92" s="109" t="s">
        <v>1610</v>
      </c>
      <c r="Y92" s="109" t="s">
        <v>1611</v>
      </c>
      <c r="Z92" s="109" t="s">
        <v>1515</v>
      </c>
      <c r="AA92" s="109">
        <v>0</v>
      </c>
      <c r="AB92" s="109">
        <v>0</v>
      </c>
      <c r="AC92" s="109">
        <v>0</v>
      </c>
      <c r="AD92" s="109">
        <v>0</v>
      </c>
      <c r="AE92" s="110">
        <v>0</v>
      </c>
      <c r="AF92" s="77" t="str">
        <f>VLOOKUP(D92,TIPOLOGIAS!A:H,6,0)</f>
        <v>TIPO I</v>
      </c>
      <c r="AG92" s="77" t="str">
        <f>VLOOKUP(D92,TIPOLOGIAS!A:H,5,0)</f>
        <v>TERRESTRE</v>
      </c>
      <c r="AH92" s="104">
        <v>0</v>
      </c>
      <c r="AI92" s="104">
        <v>0</v>
      </c>
      <c r="AJ92" s="104">
        <v>0</v>
      </c>
      <c r="AK92" s="104">
        <v>0</v>
      </c>
      <c r="AL92" s="78">
        <f>IF(T92="SOPORTE_TELEFÓNICO",'BASE LIQUIDACION'!$B$10,IF(AF92="TIPO I",'BASE LIQUIDACION'!$C$3,IF(AF92="TIPO II",'BASE LIQUIDACION'!$C$4,IF(AF92="TIPO III",'BASE LIQUIDACION'!$C$5,'BASE LIQUIDACION'!$C$7))))</f>
        <v>37904.65408</v>
      </c>
      <c r="AM92" s="80">
        <f>IF(T92="SOPORTE_TELEFÓNICO",'BASE LIQUIDACION'!$B$10,(AH92*AL92+AI92*'BASE LIQUIDACION'!$B$12+AJ92*'BASE LIQUIDACION'!$B$11+INCIDENTES!AK92*'BASE LIQUIDACION'!$B$13))</f>
        <v>37904.65408</v>
      </c>
    </row>
    <row r="93" spans="1:39" s="4" customFormat="1">
      <c r="A93" s="104" t="s">
        <v>360</v>
      </c>
      <c r="B93" s="56" t="str">
        <f>VLOOKUP(A93,'CENTRO DE COSTOS'!A:D,4,FALSE)</f>
        <v>KEVIN ALEXIS CORZO BUSTOS</v>
      </c>
      <c r="C93" s="56" t="str">
        <f>VLOOKUP(A93,'CENTRO DE COSTOS'!A:D,2,FALSE)</f>
        <v>0004-0007</v>
      </c>
      <c r="D93" s="104">
        <v>73168</v>
      </c>
      <c r="E93" s="104">
        <v>2300738</v>
      </c>
      <c r="F93" s="104" t="s">
        <v>1902</v>
      </c>
      <c r="G93" s="105">
        <v>45821.436111111114</v>
      </c>
      <c r="H93" s="105">
        <v>45822.461493055554</v>
      </c>
      <c r="I93" s="104" t="s">
        <v>363</v>
      </c>
      <c r="J93" s="104" t="s">
        <v>1393</v>
      </c>
      <c r="K93" s="104" t="s">
        <v>1903</v>
      </c>
      <c r="L93" s="104">
        <v>31730</v>
      </c>
      <c r="M93" s="56" t="s">
        <v>1505</v>
      </c>
      <c r="N93" s="56" t="s">
        <v>119</v>
      </c>
      <c r="O93" s="104" t="s">
        <v>1524</v>
      </c>
      <c r="P93" s="56"/>
      <c r="Q93" s="104" t="s">
        <v>1506</v>
      </c>
      <c r="R93" s="106" t="s">
        <v>1904</v>
      </c>
      <c r="S93" s="107" t="s">
        <v>1526</v>
      </c>
      <c r="T93" s="104" t="s">
        <v>1520</v>
      </c>
      <c r="U93" s="107">
        <v>0</v>
      </c>
      <c r="V93" s="108" t="s">
        <v>1511</v>
      </c>
      <c r="W93" s="109" t="s">
        <v>1512</v>
      </c>
      <c r="X93" s="109" t="s">
        <v>1567</v>
      </c>
      <c r="Y93" s="109" t="s">
        <v>1568</v>
      </c>
      <c r="Z93" s="109" t="s">
        <v>1515</v>
      </c>
      <c r="AA93" s="109">
        <v>0</v>
      </c>
      <c r="AB93" s="109">
        <v>0</v>
      </c>
      <c r="AC93" s="109">
        <v>0</v>
      </c>
      <c r="AD93" s="109">
        <v>0</v>
      </c>
      <c r="AE93" s="110">
        <v>0</v>
      </c>
      <c r="AF93" s="77" t="str">
        <f>VLOOKUP(D93,TIPOLOGIAS!A:H,6,0)</f>
        <v>TIPO III</v>
      </c>
      <c r="AG93" s="77" t="str">
        <f>VLOOKUP(D93,TIPOLOGIAS!A:H,5,0)</f>
        <v>TERRESTRE</v>
      </c>
      <c r="AH93" s="104">
        <v>0</v>
      </c>
      <c r="AI93" s="104">
        <v>0</v>
      </c>
      <c r="AJ93" s="104">
        <v>0</v>
      </c>
      <c r="AK93" s="104">
        <v>0</v>
      </c>
      <c r="AL93" s="78">
        <f>IF(T93="SOPORTE_TELEFÓNICO",'BASE LIQUIDACION'!$B$10,IF(AF93="TIPO I",'BASE LIQUIDACION'!$C$3,IF(AF93="TIPO II",'BASE LIQUIDACION'!$C$4,IF(AF93="TIPO III",'BASE LIQUIDACION'!$C$5,'BASE LIQUIDACION'!$C$7))))</f>
        <v>37904.65408</v>
      </c>
      <c r="AM93" s="80">
        <f>IF(T93="SOPORTE_TELEFÓNICO",'BASE LIQUIDACION'!$B$10,(AH93*AL93+AI93*'BASE LIQUIDACION'!$B$12+AJ93*'BASE LIQUIDACION'!$B$11+INCIDENTES!AK93*'BASE LIQUIDACION'!$B$13))</f>
        <v>37904.65408</v>
      </c>
    </row>
    <row r="94" spans="1:39" s="4" customFormat="1">
      <c r="A94" s="104" t="s">
        <v>781</v>
      </c>
      <c r="B94" s="56" t="str">
        <f>VLOOKUP(A94,'CENTRO DE COSTOS'!A:D,4,FALSE)</f>
        <v>DIEGO FERNANDO HENAO CARDONA</v>
      </c>
      <c r="C94" s="56" t="str">
        <f>VLOOKUP(A94,'CENTRO DE COSTOS'!A:D,2,FALSE)</f>
        <v>0004-0002</v>
      </c>
      <c r="D94" s="104">
        <v>17001</v>
      </c>
      <c r="E94" s="104">
        <v>2304761</v>
      </c>
      <c r="F94" s="104" t="s">
        <v>1905</v>
      </c>
      <c r="G94" s="105">
        <v>45822.368750000001</v>
      </c>
      <c r="H94" s="105">
        <v>45822.472604166665</v>
      </c>
      <c r="I94" s="104" t="s">
        <v>473</v>
      </c>
      <c r="J94" s="104" t="s">
        <v>781</v>
      </c>
      <c r="K94" s="104" t="s">
        <v>1906</v>
      </c>
      <c r="L94" s="104">
        <v>10249</v>
      </c>
      <c r="M94" s="56" t="s">
        <v>1505</v>
      </c>
      <c r="N94" s="56" t="s">
        <v>119</v>
      </c>
      <c r="O94" s="104" t="s">
        <v>1524</v>
      </c>
      <c r="P94" s="56"/>
      <c r="Q94" s="104" t="s">
        <v>1506</v>
      </c>
      <c r="R94" s="106" t="s">
        <v>1907</v>
      </c>
      <c r="S94" s="107" t="s">
        <v>1908</v>
      </c>
      <c r="T94" s="104" t="s">
        <v>1509</v>
      </c>
      <c r="U94" s="107" t="s">
        <v>1909</v>
      </c>
      <c r="V94" s="108" t="s">
        <v>1511</v>
      </c>
      <c r="W94" s="109" t="s">
        <v>1512</v>
      </c>
      <c r="X94" s="109" t="s">
        <v>1513</v>
      </c>
      <c r="Y94" s="109" t="s">
        <v>1521</v>
      </c>
      <c r="Z94" s="109" t="s">
        <v>1515</v>
      </c>
      <c r="AA94" s="109">
        <v>0</v>
      </c>
      <c r="AB94" s="109">
        <v>0</v>
      </c>
      <c r="AC94" s="109">
        <v>0</v>
      </c>
      <c r="AD94" s="109">
        <v>0</v>
      </c>
      <c r="AE94" s="110">
        <v>0</v>
      </c>
      <c r="AF94" s="77" t="str">
        <f>VLOOKUP(D94,TIPOLOGIAS!A:H,6,0)</f>
        <v>TIPO I</v>
      </c>
      <c r="AG94" s="77" t="str">
        <f>VLOOKUP(D94,TIPOLOGIAS!A:H,5,0)</f>
        <v>TERRESTRE</v>
      </c>
      <c r="AH94" s="104">
        <v>1</v>
      </c>
      <c r="AI94" s="104">
        <v>0</v>
      </c>
      <c r="AJ94" s="104">
        <v>0</v>
      </c>
      <c r="AK94" s="104">
        <v>0</v>
      </c>
      <c r="AL94" s="78">
        <f>IF(T94="SOPORTE_TELEFÓNICO",'BASE LIQUIDACION'!$B$10,IF(AF94="TIPO I",'BASE LIQUIDACION'!$C$3,IF(AF94="TIPO II",'BASE LIQUIDACION'!$C$4,IF(AF94="TIPO III",'BASE LIQUIDACION'!$C$5,'BASE LIQUIDACION'!$C$7))))</f>
        <v>65960.473639999997</v>
      </c>
      <c r="AM94" s="80">
        <f>IF(T94="SOPORTE_TELEFÓNICO",'BASE LIQUIDACION'!$B$10,(AH94*AL94+AI94*'BASE LIQUIDACION'!$B$12+AJ94*'BASE LIQUIDACION'!$B$11+INCIDENTES!AK94*'BASE LIQUIDACION'!$B$13))</f>
        <v>65960.473639999997</v>
      </c>
    </row>
    <row r="95" spans="1:39" s="4" customFormat="1">
      <c r="A95" s="104" t="s">
        <v>111</v>
      </c>
      <c r="B95" s="56" t="str">
        <f>VLOOKUP(A95,'CENTRO DE COSTOS'!A:D,4,FALSE)</f>
        <v>JUAN SEBASTIÁN RÍOS CASTRILLÓN</v>
      </c>
      <c r="C95" s="56" t="str">
        <f>VLOOKUP(A95,'CENTRO DE COSTOS'!A:D,2,FALSE)</f>
        <v>0004-0005</v>
      </c>
      <c r="D95" s="104">
        <v>5679</v>
      </c>
      <c r="E95" s="104">
        <v>2296297</v>
      </c>
      <c r="F95" s="104" t="s">
        <v>1910</v>
      </c>
      <c r="G95" s="105">
        <v>45820.601388888892</v>
      </c>
      <c r="H95" s="105">
        <v>45822.500393518516</v>
      </c>
      <c r="I95" s="104" t="s">
        <v>131</v>
      </c>
      <c r="J95" s="104" t="s">
        <v>485</v>
      </c>
      <c r="K95" s="104" t="s">
        <v>1911</v>
      </c>
      <c r="L95" s="104">
        <v>37908</v>
      </c>
      <c r="M95" s="56" t="s">
        <v>1505</v>
      </c>
      <c r="N95" s="56" t="s">
        <v>119</v>
      </c>
      <c r="O95" s="104" t="s">
        <v>1524</v>
      </c>
      <c r="P95" s="56"/>
      <c r="Q95" s="104" t="s">
        <v>1506</v>
      </c>
      <c r="R95" s="106" t="s">
        <v>1912</v>
      </c>
      <c r="S95" s="107" t="s">
        <v>1638</v>
      </c>
      <c r="T95" s="104" t="s">
        <v>1509</v>
      </c>
      <c r="U95" s="107" t="s">
        <v>1913</v>
      </c>
      <c r="V95" s="108" t="s">
        <v>1511</v>
      </c>
      <c r="W95" s="109" t="s">
        <v>1512</v>
      </c>
      <c r="X95" s="109" t="s">
        <v>1610</v>
      </c>
      <c r="Y95" s="109" t="s">
        <v>1611</v>
      </c>
      <c r="Z95" s="109" t="s">
        <v>1515</v>
      </c>
      <c r="AA95" s="109">
        <v>0</v>
      </c>
      <c r="AB95" s="109">
        <v>0</v>
      </c>
      <c r="AC95" s="109">
        <v>0</v>
      </c>
      <c r="AD95" s="109">
        <v>0</v>
      </c>
      <c r="AE95" s="110">
        <v>0</v>
      </c>
      <c r="AF95" s="77" t="str">
        <f>VLOOKUP(D95,TIPOLOGIAS!A:H,6,0)</f>
        <v>TIPO II</v>
      </c>
      <c r="AG95" s="77" t="str">
        <f>VLOOKUP(D95,TIPOLOGIAS!A:H,5,0)</f>
        <v>TERRESTRE</v>
      </c>
      <c r="AH95" s="104">
        <v>1</v>
      </c>
      <c r="AI95" s="104">
        <v>0</v>
      </c>
      <c r="AJ95" s="104">
        <v>0</v>
      </c>
      <c r="AK95" s="104">
        <v>0</v>
      </c>
      <c r="AL95" s="78">
        <f>IF(T95="SOPORTE_TELEFÓNICO",'BASE LIQUIDACION'!$B$10,IF(AF95="TIPO I",'BASE LIQUIDACION'!$C$3,IF(AF95="TIPO II",'BASE LIQUIDACION'!$C$4,IF(AF95="TIPO III",'BASE LIQUIDACION'!$C$5,'BASE LIQUIDACION'!$C$7))))</f>
        <v>163813.55812</v>
      </c>
      <c r="AM95" s="80">
        <f>IF(T95="SOPORTE_TELEFÓNICO",'BASE LIQUIDACION'!$B$10,(AH95*AL95+AI95*'BASE LIQUIDACION'!$B$12+AJ95*'BASE LIQUIDACION'!$B$11+INCIDENTES!AK95*'BASE LIQUIDACION'!$B$13))</f>
        <v>163813.55812</v>
      </c>
    </row>
    <row r="96" spans="1:39" s="4" customFormat="1">
      <c r="A96" s="104" t="s">
        <v>320</v>
      </c>
      <c r="B96" s="56" t="str">
        <f>VLOOKUP(A96,'CENTRO DE COSTOS'!A:D,4,FALSE)</f>
        <v>JOSE MAURICIO HERNANDEZ ROJAS</v>
      </c>
      <c r="C96" s="56" t="str">
        <f>VLOOKUP(A96,'CENTRO DE COSTOS'!A:D,2,FALSE)</f>
        <v>0004-0001</v>
      </c>
      <c r="D96" s="104">
        <v>8001</v>
      </c>
      <c r="E96" s="104">
        <v>2304759</v>
      </c>
      <c r="F96" s="104" t="s">
        <v>1914</v>
      </c>
      <c r="G96" s="105">
        <v>45822.367361111108</v>
      </c>
      <c r="H96" s="105">
        <v>45822.604050925926</v>
      </c>
      <c r="I96" s="104" t="s">
        <v>323</v>
      </c>
      <c r="J96" s="104" t="s">
        <v>320</v>
      </c>
      <c r="K96" s="104" t="s">
        <v>1915</v>
      </c>
      <c r="L96" s="104">
        <v>32342</v>
      </c>
      <c r="M96" s="56" t="s">
        <v>1505</v>
      </c>
      <c r="N96" s="56" t="s">
        <v>119</v>
      </c>
      <c r="O96" s="104" t="s">
        <v>425</v>
      </c>
      <c r="P96" s="56"/>
      <c r="Q96" s="104" t="s">
        <v>1506</v>
      </c>
      <c r="R96" s="106" t="s">
        <v>1916</v>
      </c>
      <c r="S96" s="107" t="s">
        <v>1917</v>
      </c>
      <c r="T96" s="104" t="s">
        <v>1509</v>
      </c>
      <c r="U96" s="107" t="s">
        <v>1918</v>
      </c>
      <c r="V96" s="108" t="s">
        <v>1511</v>
      </c>
      <c r="W96" s="109" t="s">
        <v>1512</v>
      </c>
      <c r="X96" s="109" t="s">
        <v>1513</v>
      </c>
      <c r="Y96" s="109" t="s">
        <v>1514</v>
      </c>
      <c r="Z96" s="109" t="s">
        <v>1515</v>
      </c>
      <c r="AA96" s="109">
        <v>0</v>
      </c>
      <c r="AB96" s="109">
        <v>0</v>
      </c>
      <c r="AC96" s="109">
        <v>0</v>
      </c>
      <c r="AD96" s="109">
        <v>0</v>
      </c>
      <c r="AE96" s="110">
        <v>0</v>
      </c>
      <c r="AF96" s="77" t="str">
        <f>VLOOKUP(D96,TIPOLOGIAS!A:H,6,0)</f>
        <v>TIPO I</v>
      </c>
      <c r="AG96" s="77" t="str">
        <f>VLOOKUP(D96,TIPOLOGIAS!A:H,5,0)</f>
        <v>TERRESTRE</v>
      </c>
      <c r="AH96" s="104">
        <v>1</v>
      </c>
      <c r="AI96" s="104">
        <v>0</v>
      </c>
      <c r="AJ96" s="104">
        <v>0</v>
      </c>
      <c r="AK96" s="104">
        <v>0</v>
      </c>
      <c r="AL96" s="78">
        <f>IF(T96="SOPORTE_TELEFÓNICO",'BASE LIQUIDACION'!$B$10,IF(AF96="TIPO I",'BASE LIQUIDACION'!$C$3,IF(AF96="TIPO II",'BASE LIQUIDACION'!$C$4,IF(AF96="TIPO III",'BASE LIQUIDACION'!$C$5,'BASE LIQUIDACION'!$C$7))))</f>
        <v>65960.473639999997</v>
      </c>
      <c r="AM96" s="80">
        <f>IF(T96="SOPORTE_TELEFÓNICO",'BASE LIQUIDACION'!$B$10,(AH96*AL96+AI96*'BASE LIQUIDACION'!$B$12+AJ96*'BASE LIQUIDACION'!$B$11+INCIDENTES!AK96*'BASE LIQUIDACION'!$B$13))</f>
        <v>65960.473639999997</v>
      </c>
    </row>
    <row r="97" spans="1:39" s="4" customFormat="1">
      <c r="A97" s="104" t="s">
        <v>195</v>
      </c>
      <c r="B97" s="56" t="str">
        <f>VLOOKUP(A97,'CENTRO DE COSTOS'!A:D,4,FALSE)</f>
        <v>DIEGO FERNANDO HENAO CARDONA</v>
      </c>
      <c r="C97" s="56" t="str">
        <f>VLOOKUP(A97,'CENTRO DE COSTOS'!A:D,2,FALSE)</f>
        <v>0004-0002</v>
      </c>
      <c r="D97" s="104">
        <v>63001</v>
      </c>
      <c r="E97" s="104">
        <v>2305238</v>
      </c>
      <c r="F97" s="104" t="s">
        <v>1919</v>
      </c>
      <c r="G97" s="105">
        <v>45822.527777777781</v>
      </c>
      <c r="H97" s="105">
        <v>45822.613726851851</v>
      </c>
      <c r="I97" s="104" t="s">
        <v>1271</v>
      </c>
      <c r="J97" s="104" t="s">
        <v>468</v>
      </c>
      <c r="K97" s="104" t="s">
        <v>1920</v>
      </c>
      <c r="L97" s="104">
        <v>26918</v>
      </c>
      <c r="M97" s="56" t="s">
        <v>1505</v>
      </c>
      <c r="N97" s="56" t="s">
        <v>119</v>
      </c>
      <c r="O97" s="104" t="s">
        <v>1524</v>
      </c>
      <c r="P97" s="56"/>
      <c r="Q97" s="104" t="s">
        <v>1506</v>
      </c>
      <c r="R97" s="106" t="s">
        <v>1921</v>
      </c>
      <c r="S97" s="107" t="s">
        <v>1519</v>
      </c>
      <c r="T97" s="104" t="s">
        <v>1520</v>
      </c>
      <c r="U97" s="107">
        <v>0</v>
      </c>
      <c r="V97" s="108" t="s">
        <v>1511</v>
      </c>
      <c r="W97" s="109" t="s">
        <v>1512</v>
      </c>
      <c r="X97" s="109" t="s">
        <v>1556</v>
      </c>
      <c r="Y97" s="109" t="s">
        <v>1557</v>
      </c>
      <c r="Z97" s="109" t="s">
        <v>1515</v>
      </c>
      <c r="AA97" s="109">
        <v>0</v>
      </c>
      <c r="AB97" s="109">
        <v>0</v>
      </c>
      <c r="AC97" s="109">
        <v>0</v>
      </c>
      <c r="AD97" s="109">
        <v>0</v>
      </c>
      <c r="AE97" s="110">
        <v>0</v>
      </c>
      <c r="AF97" s="77" t="str">
        <f>VLOOKUP(D97,TIPOLOGIAS!A:H,6,0)</f>
        <v>TIPO II</v>
      </c>
      <c r="AG97" s="77" t="str">
        <f>VLOOKUP(D97,TIPOLOGIAS!A:H,5,0)</f>
        <v>TERRESTRE</v>
      </c>
      <c r="AH97" s="104">
        <v>0</v>
      </c>
      <c r="AI97" s="104">
        <v>0</v>
      </c>
      <c r="AJ97" s="104">
        <v>0</v>
      </c>
      <c r="AK97" s="104">
        <v>0</v>
      </c>
      <c r="AL97" s="78">
        <f>IF(T97="SOPORTE_TELEFÓNICO",'BASE LIQUIDACION'!$B$10,IF(AF97="TIPO I",'BASE LIQUIDACION'!$C$3,IF(AF97="TIPO II",'BASE LIQUIDACION'!$C$4,IF(AF97="TIPO III",'BASE LIQUIDACION'!$C$5,'BASE LIQUIDACION'!$C$7))))</f>
        <v>37904.65408</v>
      </c>
      <c r="AM97" s="80">
        <f>IF(T97="SOPORTE_TELEFÓNICO",'BASE LIQUIDACION'!$B$10,(AH97*AL97+AI97*'BASE LIQUIDACION'!$B$12+AJ97*'BASE LIQUIDACION'!$B$11+INCIDENTES!AK97*'BASE LIQUIDACION'!$B$13))</f>
        <v>37904.65408</v>
      </c>
    </row>
    <row r="98" spans="1:39" s="4" customFormat="1">
      <c r="A98" s="104" t="s">
        <v>111</v>
      </c>
      <c r="B98" s="56" t="str">
        <f>VLOOKUP(A98,'CENTRO DE COSTOS'!A:D,4,FALSE)</f>
        <v>JUAN SEBASTIÁN RÍOS CASTRILLÓN</v>
      </c>
      <c r="C98" s="56" t="str">
        <f>VLOOKUP(A98,'CENTRO DE COSTOS'!A:D,2,FALSE)</f>
        <v>0004-0005</v>
      </c>
      <c r="D98" s="104">
        <v>5360</v>
      </c>
      <c r="E98" s="104">
        <v>2304990</v>
      </c>
      <c r="F98" s="104" t="s">
        <v>1922</v>
      </c>
      <c r="G98" s="105">
        <v>45822.458333333336</v>
      </c>
      <c r="H98" s="105">
        <v>45822.621493055558</v>
      </c>
      <c r="I98" s="104" t="s">
        <v>131</v>
      </c>
      <c r="J98" s="104" t="s">
        <v>536</v>
      </c>
      <c r="K98" s="104" t="s">
        <v>1923</v>
      </c>
      <c r="L98" s="104">
        <v>27318</v>
      </c>
      <c r="M98" s="56" t="s">
        <v>1505</v>
      </c>
      <c r="N98" s="56" t="s">
        <v>119</v>
      </c>
      <c r="O98" s="104" t="s">
        <v>425</v>
      </c>
      <c r="P98" s="56"/>
      <c r="Q98" s="104" t="s">
        <v>1506</v>
      </c>
      <c r="R98" s="106" t="s">
        <v>1924</v>
      </c>
      <c r="S98" s="107" t="s">
        <v>1531</v>
      </c>
      <c r="T98" s="104" t="s">
        <v>1509</v>
      </c>
      <c r="U98" s="107" t="s">
        <v>1925</v>
      </c>
      <c r="V98" s="108" t="s">
        <v>1511</v>
      </c>
      <c r="W98" s="109" t="s">
        <v>1512</v>
      </c>
      <c r="X98" s="109" t="s">
        <v>1533</v>
      </c>
      <c r="Y98" s="109" t="s">
        <v>1534</v>
      </c>
      <c r="Z98" s="109" t="s">
        <v>1515</v>
      </c>
      <c r="AA98" s="109">
        <v>0</v>
      </c>
      <c r="AB98" s="109">
        <v>0</v>
      </c>
      <c r="AC98" s="109">
        <v>0</v>
      </c>
      <c r="AD98" s="109">
        <v>0</v>
      </c>
      <c r="AE98" s="110">
        <v>0</v>
      </c>
      <c r="AF98" s="77" t="str">
        <f>VLOOKUP(D98,TIPOLOGIAS!A:H,6,0)</f>
        <v>TIPO I</v>
      </c>
      <c r="AG98" s="77" t="str">
        <f>VLOOKUP(D98,TIPOLOGIAS!A:H,5,0)</f>
        <v>TERRESTRE</v>
      </c>
      <c r="AH98" s="104">
        <v>1</v>
      </c>
      <c r="AI98" s="104">
        <v>0</v>
      </c>
      <c r="AJ98" s="104">
        <v>0</v>
      </c>
      <c r="AK98" s="104">
        <v>0</v>
      </c>
      <c r="AL98" s="78">
        <f>IF(T98="SOPORTE_TELEFÓNICO",'BASE LIQUIDACION'!$B$10,IF(AF98="TIPO I",'BASE LIQUIDACION'!$C$3,IF(AF98="TIPO II",'BASE LIQUIDACION'!$C$4,IF(AF98="TIPO III",'BASE LIQUIDACION'!$C$5,'BASE LIQUIDACION'!$C$7))))</f>
        <v>65960.473639999997</v>
      </c>
      <c r="AM98" s="80">
        <f>IF(T98="SOPORTE_TELEFÓNICO",'BASE LIQUIDACION'!$B$10,(AH98*AL98+AI98*'BASE LIQUIDACION'!$B$12+AJ98*'BASE LIQUIDACION'!$B$11+INCIDENTES!AK98*'BASE LIQUIDACION'!$B$13))</f>
        <v>65960.473639999997</v>
      </c>
    </row>
    <row r="99" spans="1:39" s="4" customFormat="1">
      <c r="A99" s="104" t="s">
        <v>111</v>
      </c>
      <c r="B99" s="56" t="str">
        <f>VLOOKUP(A99,'CENTRO DE COSTOS'!A:D,4,FALSE)</f>
        <v>JUAN SEBASTIÁN RÍOS CASTRILLÓN</v>
      </c>
      <c r="C99" s="56" t="str">
        <f>VLOOKUP(A99,'CENTRO DE COSTOS'!A:D,2,FALSE)</f>
        <v>0004-0005</v>
      </c>
      <c r="D99" s="104">
        <v>5615</v>
      </c>
      <c r="E99" s="104">
        <v>2300712</v>
      </c>
      <c r="F99" s="104" t="s">
        <v>1926</v>
      </c>
      <c r="G99" s="105">
        <v>45821.433333333334</v>
      </c>
      <c r="H99" s="105">
        <v>45822.644375000003</v>
      </c>
      <c r="I99" s="104" t="s">
        <v>131</v>
      </c>
      <c r="J99" s="104" t="s">
        <v>226</v>
      </c>
      <c r="K99" s="104" t="s">
        <v>1927</v>
      </c>
      <c r="L99" s="104">
        <v>44522</v>
      </c>
      <c r="M99" s="56" t="s">
        <v>1505</v>
      </c>
      <c r="N99" s="56" t="s">
        <v>119</v>
      </c>
      <c r="O99" s="104" t="s">
        <v>332</v>
      </c>
      <c r="P99" s="56"/>
      <c r="Q99" s="104" t="s">
        <v>1506</v>
      </c>
      <c r="R99" s="106" t="s">
        <v>1928</v>
      </c>
      <c r="S99" s="107" t="s">
        <v>318</v>
      </c>
      <c r="T99" s="104" t="s">
        <v>1520</v>
      </c>
      <c r="U99" s="107">
        <v>0</v>
      </c>
      <c r="V99" s="108" t="s">
        <v>1511</v>
      </c>
      <c r="W99" s="109" t="s">
        <v>1512</v>
      </c>
      <c r="X99" s="109" t="s">
        <v>1513</v>
      </c>
      <c r="Y99" s="109" t="s">
        <v>1514</v>
      </c>
      <c r="Z99" s="109" t="s">
        <v>1515</v>
      </c>
      <c r="AA99" s="109">
        <v>0</v>
      </c>
      <c r="AB99" s="109">
        <v>0</v>
      </c>
      <c r="AC99" s="109">
        <v>0</v>
      </c>
      <c r="AD99" s="109">
        <v>0</v>
      </c>
      <c r="AE99" s="110">
        <v>0</v>
      </c>
      <c r="AF99" s="77" t="str">
        <f>VLOOKUP(D99,TIPOLOGIAS!A:H,6,0)</f>
        <v>TIPO II</v>
      </c>
      <c r="AG99" s="77" t="str">
        <f>VLOOKUP(D99,TIPOLOGIAS!A:H,5,0)</f>
        <v>TERRESTRE</v>
      </c>
      <c r="AH99" s="104">
        <v>0</v>
      </c>
      <c r="AI99" s="104">
        <v>0</v>
      </c>
      <c r="AJ99" s="104">
        <v>0</v>
      </c>
      <c r="AK99" s="104">
        <v>0</v>
      </c>
      <c r="AL99" s="78">
        <f>IF(T99="SOPORTE_TELEFÓNICO",'BASE LIQUIDACION'!$B$10,IF(AF99="TIPO I",'BASE LIQUIDACION'!$C$3,IF(AF99="TIPO II",'BASE LIQUIDACION'!$C$4,IF(AF99="TIPO III",'BASE LIQUIDACION'!$C$5,'BASE LIQUIDACION'!$C$7))))</f>
        <v>37904.65408</v>
      </c>
      <c r="AM99" s="80">
        <f>IF(T99="SOPORTE_TELEFÓNICO",'BASE LIQUIDACION'!$B$10,(AH99*AL99+AI99*'BASE LIQUIDACION'!$B$12+AJ99*'BASE LIQUIDACION'!$B$11+INCIDENTES!AK99*'BASE LIQUIDACION'!$B$13))</f>
        <v>37904.65408</v>
      </c>
    </row>
    <row r="100" spans="1:39" s="4" customFormat="1">
      <c r="A100" s="104" t="s">
        <v>111</v>
      </c>
      <c r="B100" s="56" t="str">
        <f>VLOOKUP(A100,'CENTRO DE COSTOS'!A:D,4,FALSE)</f>
        <v>JUAN SEBASTIÁN RÍOS CASTRILLÓN</v>
      </c>
      <c r="C100" s="56" t="str">
        <f>VLOOKUP(A100,'CENTRO DE COSTOS'!A:D,2,FALSE)</f>
        <v>0004-0005</v>
      </c>
      <c r="D100" s="104">
        <v>5001</v>
      </c>
      <c r="E100" s="104">
        <v>2304278</v>
      </c>
      <c r="F100" s="104" t="s">
        <v>1929</v>
      </c>
      <c r="G100" s="105">
        <v>45822.333333333336</v>
      </c>
      <c r="H100" s="105">
        <v>45822.65415509259</v>
      </c>
      <c r="I100" s="104" t="s">
        <v>131</v>
      </c>
      <c r="J100" s="104" t="s">
        <v>111</v>
      </c>
      <c r="K100" s="104" t="s">
        <v>1930</v>
      </c>
      <c r="L100" s="104">
        <v>44998</v>
      </c>
      <c r="M100" s="56" t="s">
        <v>1505</v>
      </c>
      <c r="N100" s="56" t="s">
        <v>119</v>
      </c>
      <c r="O100" s="104" t="s">
        <v>1524</v>
      </c>
      <c r="P100" s="56"/>
      <c r="Q100" s="104" t="s">
        <v>1506</v>
      </c>
      <c r="R100" s="106" t="s">
        <v>1931</v>
      </c>
      <c r="S100" s="107" t="s">
        <v>1932</v>
      </c>
      <c r="T100" s="104" t="s">
        <v>1509</v>
      </c>
      <c r="U100" s="107" t="s">
        <v>1933</v>
      </c>
      <c r="V100" s="108" t="s">
        <v>1511</v>
      </c>
      <c r="W100" s="109" t="s">
        <v>1512</v>
      </c>
      <c r="X100" s="109" t="s">
        <v>1513</v>
      </c>
      <c r="Y100" s="109" t="s">
        <v>1514</v>
      </c>
      <c r="Z100" s="109" t="s">
        <v>1515</v>
      </c>
      <c r="AA100" s="109">
        <v>0</v>
      </c>
      <c r="AB100" s="109">
        <v>0</v>
      </c>
      <c r="AC100" s="109">
        <v>0</v>
      </c>
      <c r="AD100" s="109">
        <v>0</v>
      </c>
      <c r="AE100" s="110">
        <v>0</v>
      </c>
      <c r="AF100" s="77" t="str">
        <f>VLOOKUP(D100,TIPOLOGIAS!A:H,6,0)</f>
        <v>TIPO I</v>
      </c>
      <c r="AG100" s="77" t="str">
        <f>VLOOKUP(D100,TIPOLOGIAS!A:H,5,0)</f>
        <v>TERRESTRE</v>
      </c>
      <c r="AH100" s="104">
        <v>1</v>
      </c>
      <c r="AI100" s="104">
        <v>0</v>
      </c>
      <c r="AJ100" s="104">
        <v>0</v>
      </c>
      <c r="AK100" s="104">
        <v>0</v>
      </c>
      <c r="AL100" s="78">
        <f>IF(T100="SOPORTE_TELEFÓNICO",'BASE LIQUIDACION'!$B$10,IF(AF100="TIPO I",'BASE LIQUIDACION'!$C$3,IF(AF100="TIPO II",'BASE LIQUIDACION'!$C$4,IF(AF100="TIPO III",'BASE LIQUIDACION'!$C$5,'BASE LIQUIDACION'!$C$7))))</f>
        <v>65960.473639999997</v>
      </c>
      <c r="AM100" s="80">
        <f>IF(T100="SOPORTE_TELEFÓNICO",'BASE LIQUIDACION'!$B$10,(AH100*AL100+AI100*'BASE LIQUIDACION'!$B$12+AJ100*'BASE LIQUIDACION'!$B$11+INCIDENTES!AK100*'BASE LIQUIDACION'!$B$13))</f>
        <v>65960.473639999997</v>
      </c>
    </row>
    <row r="101" spans="1:39" s="4" customFormat="1">
      <c r="A101" s="104" t="s">
        <v>111</v>
      </c>
      <c r="B101" s="56" t="str">
        <f>VLOOKUP(A101,'CENTRO DE COSTOS'!A:D,4,FALSE)</f>
        <v>JUAN SEBASTIÁN RÍOS CASTRILLÓN</v>
      </c>
      <c r="C101" s="56" t="str">
        <f>VLOOKUP(A101,'CENTRO DE COSTOS'!A:D,2,FALSE)</f>
        <v>0004-0005</v>
      </c>
      <c r="D101" s="104">
        <v>5001</v>
      </c>
      <c r="E101" s="104">
        <v>2305350</v>
      </c>
      <c r="F101" s="104" t="s">
        <v>1934</v>
      </c>
      <c r="G101" s="105">
        <v>45822.706250000003</v>
      </c>
      <c r="H101" s="105">
        <v>45823.469444444447</v>
      </c>
      <c r="I101" s="104" t="s">
        <v>131</v>
      </c>
      <c r="J101" s="104" t="s">
        <v>111</v>
      </c>
      <c r="K101" s="104" t="s">
        <v>1935</v>
      </c>
      <c r="L101" s="104">
        <v>73507</v>
      </c>
      <c r="M101" s="56" t="s">
        <v>1505</v>
      </c>
      <c r="N101" s="56" t="s">
        <v>119</v>
      </c>
      <c r="O101" s="104" t="s">
        <v>1524</v>
      </c>
      <c r="P101" s="56"/>
      <c r="Q101" s="104" t="s">
        <v>1506</v>
      </c>
      <c r="R101" s="106" t="s">
        <v>1936</v>
      </c>
      <c r="S101" s="107" t="s">
        <v>1762</v>
      </c>
      <c r="T101" s="104" t="s">
        <v>1520</v>
      </c>
      <c r="U101" s="107">
        <v>0</v>
      </c>
      <c r="V101" s="108" t="s">
        <v>1511</v>
      </c>
      <c r="W101" s="109" t="s">
        <v>1512</v>
      </c>
      <c r="X101" s="109" t="s">
        <v>1556</v>
      </c>
      <c r="Y101" s="109" t="s">
        <v>1557</v>
      </c>
      <c r="Z101" s="109" t="s">
        <v>1515</v>
      </c>
      <c r="AA101" s="109">
        <v>0</v>
      </c>
      <c r="AB101" s="109">
        <v>0</v>
      </c>
      <c r="AC101" s="109">
        <v>0</v>
      </c>
      <c r="AD101" s="109">
        <v>0</v>
      </c>
      <c r="AE101" s="110">
        <v>0</v>
      </c>
      <c r="AF101" s="77" t="str">
        <f>VLOOKUP(D101,TIPOLOGIAS!A:H,6,0)</f>
        <v>TIPO I</v>
      </c>
      <c r="AG101" s="77" t="str">
        <f>VLOOKUP(D101,TIPOLOGIAS!A:H,5,0)</f>
        <v>TERRESTRE</v>
      </c>
      <c r="AH101" s="104">
        <v>0</v>
      </c>
      <c r="AI101" s="104">
        <v>0</v>
      </c>
      <c r="AJ101" s="104">
        <v>0</v>
      </c>
      <c r="AK101" s="104">
        <v>0</v>
      </c>
      <c r="AL101" s="78">
        <f>IF(T101="SOPORTE_TELEFÓNICO",'BASE LIQUIDACION'!$B$10,IF(AF101="TIPO I",'BASE LIQUIDACION'!$C$3,IF(AF101="TIPO II",'BASE LIQUIDACION'!$C$4,IF(AF101="TIPO III",'BASE LIQUIDACION'!$C$5,'BASE LIQUIDACION'!$C$7))))</f>
        <v>37904.65408</v>
      </c>
      <c r="AM101" s="80">
        <f>IF(T101="SOPORTE_TELEFÓNICO",'BASE LIQUIDACION'!$B$10,(AH101*AL101+AI101*'BASE LIQUIDACION'!$B$12+AJ101*'BASE LIQUIDACION'!$B$11+INCIDENTES!AK101*'BASE LIQUIDACION'!$B$13))</f>
        <v>37904.65408</v>
      </c>
    </row>
    <row r="102" spans="1:39" s="4" customFormat="1">
      <c r="A102" s="104" t="s">
        <v>138</v>
      </c>
      <c r="B102" s="56" t="str">
        <f>VLOOKUP(A102,'CENTRO DE COSTOS'!A:D,4,FALSE)</f>
        <v>DIEGO FERNANDO HENAO CARDONA</v>
      </c>
      <c r="C102" s="56" t="str">
        <f>VLOOKUP(A102,'CENTRO DE COSTOS'!A:D,2,FALSE)</f>
        <v>0004-0003</v>
      </c>
      <c r="D102" s="104">
        <v>19573</v>
      </c>
      <c r="E102" s="104">
        <v>2307981</v>
      </c>
      <c r="F102" s="104" t="s">
        <v>1937</v>
      </c>
      <c r="G102" s="105">
        <v>45824.401388888888</v>
      </c>
      <c r="H102" s="105">
        <v>45824.464375000003</v>
      </c>
      <c r="I102" s="104" t="s">
        <v>285</v>
      </c>
      <c r="J102" s="104" t="s">
        <v>862</v>
      </c>
      <c r="K102" s="104" t="s">
        <v>1938</v>
      </c>
      <c r="L102" s="104">
        <v>11008</v>
      </c>
      <c r="M102" s="56" t="s">
        <v>1505</v>
      </c>
      <c r="N102" s="56" t="s">
        <v>119</v>
      </c>
      <c r="O102" s="104" t="s">
        <v>1524</v>
      </c>
      <c r="P102" s="56"/>
      <c r="Q102" s="104" t="s">
        <v>1506</v>
      </c>
      <c r="R102" s="106" t="s">
        <v>1939</v>
      </c>
      <c r="S102" s="107" t="s">
        <v>1538</v>
      </c>
      <c r="T102" s="104" t="s">
        <v>1509</v>
      </c>
      <c r="U102" s="107" t="s">
        <v>1940</v>
      </c>
      <c r="V102" s="108" t="s">
        <v>1511</v>
      </c>
      <c r="W102" s="109" t="s">
        <v>1512</v>
      </c>
      <c r="X102" s="109" t="s">
        <v>1533</v>
      </c>
      <c r="Y102" s="109" t="s">
        <v>1534</v>
      </c>
      <c r="Z102" s="109" t="s">
        <v>1515</v>
      </c>
      <c r="AA102" s="109">
        <v>0</v>
      </c>
      <c r="AB102" s="109">
        <v>0</v>
      </c>
      <c r="AC102" s="109">
        <v>0</v>
      </c>
      <c r="AD102" s="109">
        <v>0</v>
      </c>
      <c r="AE102" s="110">
        <v>0</v>
      </c>
      <c r="AF102" s="77" t="str">
        <f>VLOOKUP(D102,TIPOLOGIAS!A:H,6,0)</f>
        <v>TIPO II</v>
      </c>
      <c r="AG102" s="77" t="str">
        <f>VLOOKUP(D102,TIPOLOGIAS!A:H,5,0)</f>
        <v>TERRESTRE</v>
      </c>
      <c r="AH102" s="104">
        <v>1</v>
      </c>
      <c r="AI102" s="104">
        <v>0</v>
      </c>
      <c r="AJ102" s="104">
        <v>0</v>
      </c>
      <c r="AK102" s="104">
        <v>0</v>
      </c>
      <c r="AL102" s="78">
        <f>IF(T102="SOPORTE_TELEFÓNICO",'BASE LIQUIDACION'!$B$10,IF(AF102="TIPO I",'BASE LIQUIDACION'!$C$3,IF(AF102="TIPO II",'BASE LIQUIDACION'!$C$4,IF(AF102="TIPO III",'BASE LIQUIDACION'!$C$5,'BASE LIQUIDACION'!$C$7))))</f>
        <v>163813.55812</v>
      </c>
      <c r="AM102" s="80">
        <f>IF(T102="SOPORTE_TELEFÓNICO",'BASE LIQUIDACION'!$B$10,(AH102*AL102+AI102*'BASE LIQUIDACION'!$B$12+AJ102*'BASE LIQUIDACION'!$B$11+INCIDENTES!AK102*'BASE LIQUIDACION'!$B$13))</f>
        <v>163813.55812</v>
      </c>
    </row>
    <row r="103" spans="1:39" s="4" customFormat="1">
      <c r="A103" s="104" t="s">
        <v>138</v>
      </c>
      <c r="B103" s="56" t="str">
        <f>VLOOKUP(A103,'CENTRO DE COSTOS'!A:D,4,FALSE)</f>
        <v>DIEGO FERNANDO HENAO CARDONA</v>
      </c>
      <c r="C103" s="56" t="str">
        <f>VLOOKUP(A103,'CENTRO DE COSTOS'!A:D,2,FALSE)</f>
        <v>0004-0003</v>
      </c>
      <c r="D103" s="104">
        <v>76126</v>
      </c>
      <c r="E103" s="104">
        <v>2306993</v>
      </c>
      <c r="F103" s="104" t="s">
        <v>1941</v>
      </c>
      <c r="G103" s="105">
        <v>45824.350694444445</v>
      </c>
      <c r="H103" s="105">
        <v>45824.521863425929</v>
      </c>
      <c r="I103" s="104" t="s">
        <v>141</v>
      </c>
      <c r="J103" s="104" t="s">
        <v>1433</v>
      </c>
      <c r="K103" s="104" t="s">
        <v>1942</v>
      </c>
      <c r="L103" s="104">
        <v>78603</v>
      </c>
      <c r="M103" s="56" t="s">
        <v>1505</v>
      </c>
      <c r="N103" s="56" t="s">
        <v>119</v>
      </c>
      <c r="O103" s="104" t="s">
        <v>1524</v>
      </c>
      <c r="P103" s="56"/>
      <c r="Q103" s="104" t="s">
        <v>1506</v>
      </c>
      <c r="R103" s="106" t="s">
        <v>1943</v>
      </c>
      <c r="S103" s="107" t="s">
        <v>185</v>
      </c>
      <c r="T103" s="104" t="s">
        <v>1509</v>
      </c>
      <c r="U103" s="107" t="s">
        <v>1944</v>
      </c>
      <c r="V103" s="108" t="s">
        <v>1511</v>
      </c>
      <c r="W103" s="109" t="s">
        <v>1512</v>
      </c>
      <c r="X103" s="109" t="s">
        <v>1610</v>
      </c>
      <c r="Y103" s="109" t="s">
        <v>1611</v>
      </c>
      <c r="Z103" s="109" t="s">
        <v>1515</v>
      </c>
      <c r="AA103" s="109">
        <v>0</v>
      </c>
      <c r="AB103" s="109">
        <v>0</v>
      </c>
      <c r="AC103" s="109">
        <v>0</v>
      </c>
      <c r="AD103" s="109">
        <v>0</v>
      </c>
      <c r="AE103" s="110">
        <v>0</v>
      </c>
      <c r="AF103" s="77" t="str">
        <f>VLOOKUP(D103,TIPOLOGIAS!A:H,6,0)</f>
        <v>TIPO II</v>
      </c>
      <c r="AG103" s="77" t="str">
        <f>VLOOKUP(D103,TIPOLOGIAS!A:H,5,0)</f>
        <v>TERRESTRE</v>
      </c>
      <c r="AH103" s="104">
        <v>1</v>
      </c>
      <c r="AI103" s="104">
        <v>0</v>
      </c>
      <c r="AJ103" s="104">
        <v>0</v>
      </c>
      <c r="AK103" s="104">
        <v>0</v>
      </c>
      <c r="AL103" s="78">
        <f>IF(T103="SOPORTE_TELEFÓNICO",'BASE LIQUIDACION'!$B$10,IF(AF103="TIPO I",'BASE LIQUIDACION'!$C$3,IF(AF103="TIPO II",'BASE LIQUIDACION'!$C$4,IF(AF103="TIPO III",'BASE LIQUIDACION'!$C$5,'BASE LIQUIDACION'!$C$7))))</f>
        <v>163813.55812</v>
      </c>
      <c r="AM103" s="80">
        <f>IF(T103="SOPORTE_TELEFÓNICO",'BASE LIQUIDACION'!$B$10,(AH103*AL103+AI103*'BASE LIQUIDACION'!$B$12+AJ103*'BASE LIQUIDACION'!$B$11+INCIDENTES!AK103*'BASE LIQUIDACION'!$B$13))</f>
        <v>163813.55812</v>
      </c>
    </row>
    <row r="104" spans="1:39" s="4" customFormat="1">
      <c r="A104" s="104" t="s">
        <v>195</v>
      </c>
      <c r="B104" s="56" t="str">
        <f>VLOOKUP(A104,'CENTRO DE COSTOS'!A:D,4,FALSE)</f>
        <v>DIEGO FERNANDO HENAO CARDONA</v>
      </c>
      <c r="C104" s="56" t="str">
        <f>VLOOKUP(A104,'CENTRO DE COSTOS'!A:D,2,FALSE)</f>
        <v>0004-0002</v>
      </c>
      <c r="D104" s="104">
        <v>63001</v>
      </c>
      <c r="E104" s="104">
        <v>2305560</v>
      </c>
      <c r="F104" s="104" t="s">
        <v>1945</v>
      </c>
      <c r="G104" s="105">
        <v>45823.333333333336</v>
      </c>
      <c r="H104" s="105">
        <v>45824.629699074074</v>
      </c>
      <c r="I104" s="104" t="s">
        <v>1271</v>
      </c>
      <c r="J104" s="104" t="s">
        <v>468</v>
      </c>
      <c r="K104" s="104" t="s">
        <v>1676</v>
      </c>
      <c r="L104" s="104">
        <v>67674</v>
      </c>
      <c r="M104" s="56" t="s">
        <v>1505</v>
      </c>
      <c r="N104" s="56" t="s">
        <v>119</v>
      </c>
      <c r="O104" s="104" t="s">
        <v>1524</v>
      </c>
      <c r="P104" s="56"/>
      <c r="Q104" s="104" t="s">
        <v>1506</v>
      </c>
      <c r="R104" s="106" t="s">
        <v>1946</v>
      </c>
      <c r="S104" s="107" t="s">
        <v>1678</v>
      </c>
      <c r="T104" s="104" t="s">
        <v>1509</v>
      </c>
      <c r="U104" s="107" t="s">
        <v>1679</v>
      </c>
      <c r="V104" s="108" t="s">
        <v>1511</v>
      </c>
      <c r="W104" s="109" t="s">
        <v>1512</v>
      </c>
      <c r="X104" s="109" t="s">
        <v>1513</v>
      </c>
      <c r="Y104" s="109" t="s">
        <v>1521</v>
      </c>
      <c r="Z104" s="109" t="s">
        <v>1515</v>
      </c>
      <c r="AA104" s="109">
        <v>0</v>
      </c>
      <c r="AB104" s="109">
        <v>0</v>
      </c>
      <c r="AC104" s="109">
        <v>0</v>
      </c>
      <c r="AD104" s="109">
        <v>0</v>
      </c>
      <c r="AE104" s="110">
        <v>0</v>
      </c>
      <c r="AF104" s="77" t="str">
        <f>VLOOKUP(D104,TIPOLOGIAS!A:H,6,0)</f>
        <v>TIPO II</v>
      </c>
      <c r="AG104" s="77" t="str">
        <f>VLOOKUP(D104,TIPOLOGIAS!A:H,5,0)</f>
        <v>TERRESTRE</v>
      </c>
      <c r="AH104" s="104">
        <v>1</v>
      </c>
      <c r="AI104" s="104">
        <v>0</v>
      </c>
      <c r="AJ104" s="104">
        <v>0</v>
      </c>
      <c r="AK104" s="104">
        <v>0</v>
      </c>
      <c r="AL104" s="78">
        <f>IF(T104="SOPORTE_TELEFÓNICO",'BASE LIQUIDACION'!$B$10,IF(AF104="TIPO I",'BASE LIQUIDACION'!$C$3,IF(AF104="TIPO II",'BASE LIQUIDACION'!$C$4,IF(AF104="TIPO III",'BASE LIQUIDACION'!$C$5,'BASE LIQUIDACION'!$C$7))))</f>
        <v>163813.55812</v>
      </c>
      <c r="AM104" s="80">
        <f>IF(T104="SOPORTE_TELEFÓNICO",'BASE LIQUIDACION'!$B$10,(AH104*AL104+AI104*'BASE LIQUIDACION'!$B$12+AJ104*'BASE LIQUIDACION'!$B$11+INCIDENTES!AK104*'BASE LIQUIDACION'!$B$13))</f>
        <v>163813.55812</v>
      </c>
    </row>
    <row r="105" spans="1:39" s="4" customFormat="1">
      <c r="A105" s="104" t="s">
        <v>275</v>
      </c>
      <c r="B105" s="56" t="str">
        <f>VLOOKUP(A105,'CENTRO DE COSTOS'!A:D,4,FALSE)</f>
        <v>MIGUEL JULIÁN HERNÁNDEZ GUARÍN</v>
      </c>
      <c r="C105" s="56" t="str">
        <f>VLOOKUP(A105,'CENTRO DE COSTOS'!A:D,2,FALSE)</f>
        <v>0004-0008</v>
      </c>
      <c r="D105" s="104">
        <v>54405</v>
      </c>
      <c r="E105" s="104">
        <v>2307423</v>
      </c>
      <c r="F105" s="104" t="s">
        <v>1947</v>
      </c>
      <c r="G105" s="105">
        <v>45824.367361111108</v>
      </c>
      <c r="H105" s="105">
        <v>45824.663159722222</v>
      </c>
      <c r="I105" s="104" t="s">
        <v>278</v>
      </c>
      <c r="J105" s="104" t="s">
        <v>1246</v>
      </c>
      <c r="K105" s="104" t="s">
        <v>1948</v>
      </c>
      <c r="L105" s="104">
        <v>65758</v>
      </c>
      <c r="M105" s="56" t="s">
        <v>1505</v>
      </c>
      <c r="N105" s="56" t="s">
        <v>119</v>
      </c>
      <c r="O105" s="104" t="s">
        <v>1524</v>
      </c>
      <c r="P105" s="56"/>
      <c r="Q105" s="104" t="s">
        <v>1506</v>
      </c>
      <c r="R105" s="106" t="s">
        <v>1949</v>
      </c>
      <c r="S105" s="107" t="s">
        <v>1593</v>
      </c>
      <c r="T105" s="104" t="s">
        <v>1509</v>
      </c>
      <c r="U105" s="107" t="s">
        <v>1950</v>
      </c>
      <c r="V105" s="108" t="s">
        <v>1511</v>
      </c>
      <c r="W105" s="109" t="s">
        <v>1512</v>
      </c>
      <c r="X105" s="109" t="s">
        <v>1533</v>
      </c>
      <c r="Y105" s="109" t="s">
        <v>1534</v>
      </c>
      <c r="Z105" s="109" t="s">
        <v>1515</v>
      </c>
      <c r="AA105" s="109">
        <v>0</v>
      </c>
      <c r="AB105" s="109">
        <v>0</v>
      </c>
      <c r="AC105" s="109">
        <v>0</v>
      </c>
      <c r="AD105" s="109">
        <v>0</v>
      </c>
      <c r="AE105" s="110">
        <v>0</v>
      </c>
      <c r="AF105" s="77" t="str">
        <f>VLOOKUP(D105,TIPOLOGIAS!A:H,6,0)</f>
        <v>TIPO I</v>
      </c>
      <c r="AG105" s="77" t="str">
        <f>VLOOKUP(D105,TIPOLOGIAS!A:H,5,0)</f>
        <v>TERRESTRE</v>
      </c>
      <c r="AH105" s="104">
        <v>1</v>
      </c>
      <c r="AI105" s="104">
        <v>0</v>
      </c>
      <c r="AJ105" s="104">
        <v>0</v>
      </c>
      <c r="AK105" s="104">
        <v>0</v>
      </c>
      <c r="AL105" s="78">
        <f>IF(T105="SOPORTE_TELEFÓNICO",'BASE LIQUIDACION'!$B$10,IF(AF105="TIPO I",'BASE LIQUIDACION'!$C$3,IF(AF105="TIPO II",'BASE LIQUIDACION'!$C$4,IF(AF105="TIPO III",'BASE LIQUIDACION'!$C$5,'BASE LIQUIDACION'!$C$7))))</f>
        <v>65960.473639999997</v>
      </c>
      <c r="AM105" s="80">
        <f>IF(T105="SOPORTE_TELEFÓNICO",'BASE LIQUIDACION'!$B$10,(AH105*AL105+AI105*'BASE LIQUIDACION'!$B$12+AJ105*'BASE LIQUIDACION'!$B$11+INCIDENTES!AK105*'BASE LIQUIDACION'!$B$13))</f>
        <v>65960.473639999997</v>
      </c>
    </row>
    <row r="106" spans="1:39" s="4" customFormat="1">
      <c r="A106" s="104" t="s">
        <v>128</v>
      </c>
      <c r="B106" s="56" t="str">
        <f>VLOOKUP(A106,'CENTRO DE COSTOS'!A:D,4,FALSE)</f>
        <v>JUAN SEBASTIÁN RÍOS CASTRILLÓN</v>
      </c>
      <c r="C106" s="56" t="str">
        <f>VLOOKUP(A106,'CENTRO DE COSTOS'!A:D,2,FALSE)</f>
        <v>0004-0005</v>
      </c>
      <c r="D106" s="104">
        <v>5665</v>
      </c>
      <c r="E106" s="104">
        <v>2292851</v>
      </c>
      <c r="F106" s="104" t="s">
        <v>1951</v>
      </c>
      <c r="G106" s="105">
        <v>45820.36041666667</v>
      </c>
      <c r="H106" s="105">
        <v>45824.671620370369</v>
      </c>
      <c r="I106" s="104" t="s">
        <v>131</v>
      </c>
      <c r="J106" s="104" t="s">
        <v>566</v>
      </c>
      <c r="K106" s="104" t="s">
        <v>1952</v>
      </c>
      <c r="L106" s="104">
        <v>33586</v>
      </c>
      <c r="M106" s="56" t="s">
        <v>1505</v>
      </c>
      <c r="N106" s="56" t="s">
        <v>119</v>
      </c>
      <c r="O106" s="104" t="s">
        <v>332</v>
      </c>
      <c r="P106" s="56"/>
      <c r="Q106" s="104" t="s">
        <v>1506</v>
      </c>
      <c r="R106" s="106" t="s">
        <v>1953</v>
      </c>
      <c r="S106" s="107" t="s">
        <v>1549</v>
      </c>
      <c r="T106" s="104" t="s">
        <v>1509</v>
      </c>
      <c r="U106" s="107" t="s">
        <v>1954</v>
      </c>
      <c r="V106" s="108" t="s">
        <v>1511</v>
      </c>
      <c r="W106" s="109" t="s">
        <v>1512</v>
      </c>
      <c r="X106" s="109" t="s">
        <v>1513</v>
      </c>
      <c r="Y106" s="109" t="s">
        <v>1521</v>
      </c>
      <c r="Z106" s="109" t="s">
        <v>1515</v>
      </c>
      <c r="AA106" s="109">
        <v>0</v>
      </c>
      <c r="AB106" s="109">
        <v>0</v>
      </c>
      <c r="AC106" s="109">
        <v>0</v>
      </c>
      <c r="AD106" s="109">
        <v>0</v>
      </c>
      <c r="AE106" s="110" t="s">
        <v>1955</v>
      </c>
      <c r="AF106" s="77" t="str">
        <f>VLOOKUP(D106,TIPOLOGIAS!A:H,6,0)</f>
        <v>TIPO III</v>
      </c>
      <c r="AG106" s="77" t="str">
        <f>VLOOKUP(D106,TIPOLOGIAS!A:H,5,0)</f>
        <v>TERRESTRE</v>
      </c>
      <c r="AH106" s="104">
        <v>1</v>
      </c>
      <c r="AI106" s="104">
        <v>0</v>
      </c>
      <c r="AJ106" s="104">
        <v>0</v>
      </c>
      <c r="AK106" s="104">
        <v>0</v>
      </c>
      <c r="AL106" s="78">
        <f>IF(T106="SOPORTE_TELEFÓNICO",'BASE LIQUIDACION'!$B$10,IF(AF106="TIPO I",'BASE LIQUIDACION'!$C$3,IF(AF106="TIPO II",'BASE LIQUIDACION'!$C$4,IF(AF106="TIPO III",'BASE LIQUIDACION'!$C$5,'BASE LIQUIDACION'!$C$7))))</f>
        <v>275728.37943999999</v>
      </c>
      <c r="AM106" s="80">
        <f>IF(T106="SOPORTE_TELEFÓNICO",'BASE LIQUIDACION'!$B$10,(AH106*AL106+AI106*'BASE LIQUIDACION'!$B$12+AJ106*'BASE LIQUIDACION'!$B$11+INCIDENTES!AK106*'BASE LIQUIDACION'!$B$13))</f>
        <v>275728.37943999999</v>
      </c>
    </row>
    <row r="107" spans="1:39" s="4" customFormat="1">
      <c r="A107" s="104" t="s">
        <v>195</v>
      </c>
      <c r="B107" s="56" t="str">
        <f>VLOOKUP(A107,'CENTRO DE COSTOS'!A:D,4,FALSE)</f>
        <v>DIEGO FERNANDO HENAO CARDONA</v>
      </c>
      <c r="C107" s="56" t="str">
        <f>VLOOKUP(A107,'CENTRO DE COSTOS'!A:D,2,FALSE)</f>
        <v>0004-0002</v>
      </c>
      <c r="D107" s="104">
        <v>66001</v>
      </c>
      <c r="E107" s="104">
        <v>2308820</v>
      </c>
      <c r="F107" s="104" t="s">
        <v>1956</v>
      </c>
      <c r="G107" s="105">
        <v>45824.436805555553</v>
      </c>
      <c r="H107" s="105">
        <v>45824.684999999998</v>
      </c>
      <c r="I107" s="104" t="s">
        <v>198</v>
      </c>
      <c r="J107" s="104" t="s">
        <v>195</v>
      </c>
      <c r="K107" s="104" t="s">
        <v>1957</v>
      </c>
      <c r="L107" s="104">
        <v>65068</v>
      </c>
      <c r="M107" s="56" t="s">
        <v>1505</v>
      </c>
      <c r="N107" s="56" t="s">
        <v>119</v>
      </c>
      <c r="O107" s="104" t="s">
        <v>1524</v>
      </c>
      <c r="P107" s="56"/>
      <c r="Q107" s="104" t="s">
        <v>1506</v>
      </c>
      <c r="R107" s="106" t="s">
        <v>1958</v>
      </c>
      <c r="S107" s="107" t="s">
        <v>201</v>
      </c>
      <c r="T107" s="104" t="s">
        <v>1509</v>
      </c>
      <c r="U107" s="107" t="s">
        <v>1959</v>
      </c>
      <c r="V107" s="108" t="s">
        <v>1511</v>
      </c>
      <c r="W107" s="109" t="s">
        <v>1512</v>
      </c>
      <c r="X107" s="109" t="s">
        <v>1533</v>
      </c>
      <c r="Y107" s="109" t="s">
        <v>1534</v>
      </c>
      <c r="Z107" s="109" t="s">
        <v>1515</v>
      </c>
      <c r="AA107" s="109">
        <v>0</v>
      </c>
      <c r="AB107" s="109">
        <v>0</v>
      </c>
      <c r="AC107" s="109">
        <v>0</v>
      </c>
      <c r="AD107" s="109">
        <v>0</v>
      </c>
      <c r="AE107" s="110">
        <v>0</v>
      </c>
      <c r="AF107" s="77" t="str">
        <f>VLOOKUP(D107,TIPOLOGIAS!A:H,6,0)</f>
        <v>TIPO I</v>
      </c>
      <c r="AG107" s="77" t="str">
        <f>VLOOKUP(D107,TIPOLOGIAS!A:H,5,0)</f>
        <v>TERRESTRE</v>
      </c>
      <c r="AH107" s="104">
        <v>1</v>
      </c>
      <c r="AI107" s="104">
        <v>0</v>
      </c>
      <c r="AJ107" s="104">
        <v>0</v>
      </c>
      <c r="AK107" s="104">
        <v>0</v>
      </c>
      <c r="AL107" s="78">
        <f>IF(T107="SOPORTE_TELEFÓNICO",'BASE LIQUIDACION'!$B$10,IF(AF107="TIPO I",'BASE LIQUIDACION'!$C$3,IF(AF107="TIPO II",'BASE LIQUIDACION'!$C$4,IF(AF107="TIPO III",'BASE LIQUIDACION'!$C$5,'BASE LIQUIDACION'!$C$7))))</f>
        <v>65960.473639999997</v>
      </c>
      <c r="AM107" s="80">
        <f>IF(T107="SOPORTE_TELEFÓNICO",'BASE LIQUIDACION'!$B$10,(AH107*AL107+AI107*'BASE LIQUIDACION'!$B$12+AJ107*'BASE LIQUIDACION'!$B$11+INCIDENTES!AK107*'BASE LIQUIDACION'!$B$13))</f>
        <v>65960.473639999997</v>
      </c>
    </row>
    <row r="108" spans="1:39" s="4" customFormat="1">
      <c r="A108" s="104" t="s">
        <v>500</v>
      </c>
      <c r="B108" s="56" t="str">
        <f>VLOOKUP(A108,'CENTRO DE COSTOS'!A:D,4,FALSE)</f>
        <v>JOSE MAURICIO HERNANDEZ ROJAS</v>
      </c>
      <c r="C108" s="56" t="str">
        <f>VLOOKUP(A108,'CENTRO DE COSTOS'!A:D,2,FALSE)</f>
        <v>0004-0001</v>
      </c>
      <c r="D108" s="104">
        <v>23162</v>
      </c>
      <c r="E108" s="104">
        <v>2305364</v>
      </c>
      <c r="F108" s="104" t="s">
        <v>1960</v>
      </c>
      <c r="G108" s="105">
        <v>45823.333333333336</v>
      </c>
      <c r="H108" s="105">
        <v>45824.692025462966</v>
      </c>
      <c r="I108" s="104" t="s">
        <v>620</v>
      </c>
      <c r="J108" s="104" t="s">
        <v>931</v>
      </c>
      <c r="K108" s="104" t="s">
        <v>1961</v>
      </c>
      <c r="L108" s="104">
        <v>66025</v>
      </c>
      <c r="M108" s="56" t="s">
        <v>1505</v>
      </c>
      <c r="N108" s="56" t="s">
        <v>119</v>
      </c>
      <c r="O108" s="104" t="s">
        <v>1524</v>
      </c>
      <c r="P108" s="56"/>
      <c r="Q108" s="104" t="s">
        <v>1506</v>
      </c>
      <c r="R108" s="106" t="s">
        <v>1962</v>
      </c>
      <c r="S108" s="107" t="s">
        <v>1719</v>
      </c>
      <c r="T108" s="104" t="s">
        <v>1509</v>
      </c>
      <c r="U108" s="107" t="s">
        <v>1963</v>
      </c>
      <c r="V108" s="108" t="s">
        <v>1511</v>
      </c>
      <c r="W108" s="109" t="s">
        <v>1512</v>
      </c>
      <c r="X108" s="109" t="s">
        <v>1513</v>
      </c>
      <c r="Y108" s="109" t="s">
        <v>1514</v>
      </c>
      <c r="Z108" s="109" t="s">
        <v>1515</v>
      </c>
      <c r="AA108" s="109">
        <v>0</v>
      </c>
      <c r="AB108" s="109">
        <v>0</v>
      </c>
      <c r="AC108" s="109">
        <v>0</v>
      </c>
      <c r="AD108" s="109">
        <v>0</v>
      </c>
      <c r="AE108" s="110">
        <v>0</v>
      </c>
      <c r="AF108" s="77" t="str">
        <f>VLOOKUP(D108,TIPOLOGIAS!A:H,6,0)</f>
        <v>TIPO I</v>
      </c>
      <c r="AG108" s="77" t="str">
        <f>VLOOKUP(D108,TIPOLOGIAS!A:H,5,0)</f>
        <v>TERRESTRE</v>
      </c>
      <c r="AH108" s="104">
        <v>1</v>
      </c>
      <c r="AI108" s="104">
        <v>0</v>
      </c>
      <c r="AJ108" s="104">
        <v>0</v>
      </c>
      <c r="AK108" s="104">
        <v>0</v>
      </c>
      <c r="AL108" s="78">
        <f>IF(T108="SOPORTE_TELEFÓNICO",'BASE LIQUIDACION'!$B$10,IF(AF108="TIPO I",'BASE LIQUIDACION'!$C$3,IF(AF108="TIPO II",'BASE LIQUIDACION'!$C$4,IF(AF108="TIPO III",'BASE LIQUIDACION'!$C$5,'BASE LIQUIDACION'!$C$7))))</f>
        <v>65960.473639999997</v>
      </c>
      <c r="AM108" s="80">
        <f>IF(T108="SOPORTE_TELEFÓNICO",'BASE LIQUIDACION'!$B$10,(AH108*AL108+AI108*'BASE LIQUIDACION'!$B$12+AJ108*'BASE LIQUIDACION'!$B$11+INCIDENTES!AK108*'BASE LIQUIDACION'!$B$13))</f>
        <v>65960.473639999997</v>
      </c>
    </row>
    <row r="109" spans="1:39" s="4" customFormat="1">
      <c r="A109" s="104" t="s">
        <v>163</v>
      </c>
      <c r="B109" s="56" t="str">
        <f>VLOOKUP(A109,'CENTRO DE COSTOS'!A:D,4,FALSE)</f>
        <v>WILLIAM ASDRUBAL ROZO ROZO</v>
      </c>
      <c r="C109" s="56" t="str">
        <f>VLOOKUP(A109,'CENTRO DE COSTOS'!A:D,2,FALSE)</f>
        <v>0004-0004</v>
      </c>
      <c r="D109" s="104">
        <v>25035</v>
      </c>
      <c r="E109" s="104">
        <v>2315017</v>
      </c>
      <c r="F109" s="104" t="s">
        <v>1964</v>
      </c>
      <c r="G109" s="105">
        <v>45825.411111111112</v>
      </c>
      <c r="H109" s="105">
        <v>45825.478472222225</v>
      </c>
      <c r="I109" s="104" t="s">
        <v>166</v>
      </c>
      <c r="J109" s="104" t="s">
        <v>959</v>
      </c>
      <c r="K109" s="104" t="s">
        <v>1965</v>
      </c>
      <c r="L109" s="104">
        <v>27354</v>
      </c>
      <c r="M109" s="56" t="s">
        <v>1505</v>
      </c>
      <c r="N109" s="56" t="s">
        <v>119</v>
      </c>
      <c r="O109" s="104" t="s">
        <v>1845</v>
      </c>
      <c r="P109" s="56"/>
      <c r="Q109" s="104" t="s">
        <v>1506</v>
      </c>
      <c r="R109" s="106" t="s">
        <v>1966</v>
      </c>
      <c r="S109" s="107">
        <v>0</v>
      </c>
      <c r="T109" s="104" t="s">
        <v>1520</v>
      </c>
      <c r="U109" s="107">
        <v>0</v>
      </c>
      <c r="V109" s="108" t="s">
        <v>1511</v>
      </c>
      <c r="W109" s="109" t="s">
        <v>1512</v>
      </c>
      <c r="X109" s="109" t="s">
        <v>1513</v>
      </c>
      <c r="Y109" s="109" t="s">
        <v>1521</v>
      </c>
      <c r="Z109" s="109" t="s">
        <v>1515</v>
      </c>
      <c r="AA109" s="109">
        <v>0</v>
      </c>
      <c r="AB109" s="109">
        <v>0</v>
      </c>
      <c r="AC109" s="109">
        <v>0</v>
      </c>
      <c r="AD109" s="109">
        <v>0</v>
      </c>
      <c r="AE109" s="110">
        <v>0</v>
      </c>
      <c r="AF109" s="77" t="str">
        <f>VLOOKUP(D109,TIPOLOGIAS!A:H,6,0)</f>
        <v>TIPO II</v>
      </c>
      <c r="AG109" s="77" t="str">
        <f>VLOOKUP(D109,TIPOLOGIAS!A:H,5,0)</f>
        <v>TERRESTRE</v>
      </c>
      <c r="AH109" s="104">
        <v>0</v>
      </c>
      <c r="AI109" s="104">
        <v>0</v>
      </c>
      <c r="AJ109" s="104">
        <v>0</v>
      </c>
      <c r="AK109" s="104">
        <v>0</v>
      </c>
      <c r="AL109" s="78">
        <f>IF(T109="SOPORTE_TELEFÓNICO",'BASE LIQUIDACION'!$B$10,IF(AF109="TIPO I",'BASE LIQUIDACION'!$C$3,IF(AF109="TIPO II",'BASE LIQUIDACION'!$C$4,IF(AF109="TIPO III",'BASE LIQUIDACION'!$C$5,'BASE LIQUIDACION'!$C$7))))</f>
        <v>37904.65408</v>
      </c>
      <c r="AM109" s="80">
        <f>IF(T109="SOPORTE_TELEFÓNICO",'BASE LIQUIDACION'!$B$10,(AH109*AL109+AI109*'BASE LIQUIDACION'!$B$12+AJ109*'BASE LIQUIDACION'!$B$11+INCIDENTES!AK109*'BASE LIQUIDACION'!$B$13))</f>
        <v>37904.65408</v>
      </c>
    </row>
    <row r="110" spans="1:39" s="4" customFormat="1">
      <c r="A110" s="104" t="s">
        <v>360</v>
      </c>
      <c r="B110" s="56" t="str">
        <f>VLOOKUP(A110,'CENTRO DE COSTOS'!A:D,4,FALSE)</f>
        <v>KEVIN ALEXIS CORZO BUSTOS</v>
      </c>
      <c r="C110" s="56" t="str">
        <f>VLOOKUP(A110,'CENTRO DE COSTOS'!A:D,2,FALSE)</f>
        <v>0004-0007</v>
      </c>
      <c r="D110" s="104">
        <v>73217</v>
      </c>
      <c r="E110" s="104">
        <v>2305956</v>
      </c>
      <c r="F110" s="104" t="s">
        <v>1967</v>
      </c>
      <c r="G110" s="105">
        <v>45823.561111111114</v>
      </c>
      <c r="H110" s="105">
        <v>45825.504131944443</v>
      </c>
      <c r="I110" s="104" t="s">
        <v>363</v>
      </c>
      <c r="J110" s="104" t="s">
        <v>1395</v>
      </c>
      <c r="K110" s="104" t="s">
        <v>1968</v>
      </c>
      <c r="L110" s="104">
        <v>48554</v>
      </c>
      <c r="M110" s="56" t="s">
        <v>1505</v>
      </c>
      <c r="N110" s="56" t="s">
        <v>119</v>
      </c>
      <c r="O110" s="104" t="s">
        <v>1524</v>
      </c>
      <c r="P110" s="56"/>
      <c r="Q110" s="104" t="s">
        <v>1506</v>
      </c>
      <c r="R110" s="106" t="s">
        <v>1969</v>
      </c>
      <c r="S110" s="107" t="s">
        <v>1970</v>
      </c>
      <c r="T110" s="104" t="s">
        <v>1509</v>
      </c>
      <c r="U110" s="107" t="s">
        <v>1971</v>
      </c>
      <c r="V110" s="108" t="s">
        <v>1511</v>
      </c>
      <c r="W110" s="109" t="s">
        <v>1512</v>
      </c>
      <c r="X110" s="109" t="s">
        <v>1513</v>
      </c>
      <c r="Y110" s="109" t="s">
        <v>1521</v>
      </c>
      <c r="Z110" s="109" t="s">
        <v>1515</v>
      </c>
      <c r="AA110" s="109">
        <v>0</v>
      </c>
      <c r="AB110" s="109">
        <v>0</v>
      </c>
      <c r="AC110" s="109">
        <v>0</v>
      </c>
      <c r="AD110" s="109">
        <v>0</v>
      </c>
      <c r="AE110" s="110">
        <v>0</v>
      </c>
      <c r="AF110" s="77" t="str">
        <f>VLOOKUP(D110,TIPOLOGIAS!A:H,6,0)</f>
        <v>TIPO III</v>
      </c>
      <c r="AG110" s="77" t="str">
        <f>VLOOKUP(D110,TIPOLOGIAS!A:H,5,0)</f>
        <v>TERRESTRE</v>
      </c>
      <c r="AH110" s="104">
        <v>1</v>
      </c>
      <c r="AI110" s="104">
        <v>0</v>
      </c>
      <c r="AJ110" s="104">
        <v>0</v>
      </c>
      <c r="AK110" s="104">
        <v>0</v>
      </c>
      <c r="AL110" s="78">
        <f>IF(T110="SOPORTE_TELEFÓNICO",'BASE LIQUIDACION'!$B$10,IF(AF110="TIPO I",'BASE LIQUIDACION'!$C$3,IF(AF110="TIPO II",'BASE LIQUIDACION'!$C$4,IF(AF110="TIPO III",'BASE LIQUIDACION'!$C$5,'BASE LIQUIDACION'!$C$7))))</f>
        <v>275728.37943999999</v>
      </c>
      <c r="AM110" s="80">
        <f>IF(T110="SOPORTE_TELEFÓNICO",'BASE LIQUIDACION'!$B$10,(AH110*AL110+AI110*'BASE LIQUIDACION'!$B$12+AJ110*'BASE LIQUIDACION'!$B$11+INCIDENTES!AK110*'BASE LIQUIDACION'!$B$13))</f>
        <v>275728.37943999999</v>
      </c>
    </row>
    <row r="111" spans="1:39" s="4" customFormat="1">
      <c r="A111" s="104" t="s">
        <v>275</v>
      </c>
      <c r="B111" s="56" t="str">
        <f>VLOOKUP(A111,'CENTRO DE COSTOS'!A:D,4,FALSE)</f>
        <v>MIGUEL JULIÁN HERNÁNDEZ GUARÍN</v>
      </c>
      <c r="C111" s="56" t="str">
        <f>VLOOKUP(A111,'CENTRO DE COSTOS'!A:D,2,FALSE)</f>
        <v>0004-0008</v>
      </c>
      <c r="D111" s="104">
        <v>54001</v>
      </c>
      <c r="E111" s="104">
        <v>2315061</v>
      </c>
      <c r="F111" s="104" t="s">
        <v>1972</v>
      </c>
      <c r="G111" s="105">
        <v>45825.416666666664</v>
      </c>
      <c r="H111" s="105">
        <v>45825.543611111112</v>
      </c>
      <c r="I111" s="104" t="s">
        <v>278</v>
      </c>
      <c r="J111" s="104" t="s">
        <v>275</v>
      </c>
      <c r="K111" s="104" t="s">
        <v>1973</v>
      </c>
      <c r="L111" s="104">
        <v>76191</v>
      </c>
      <c r="M111" s="56" t="s">
        <v>1505</v>
      </c>
      <c r="N111" s="56" t="s">
        <v>119</v>
      </c>
      <c r="O111" s="104" t="s">
        <v>1524</v>
      </c>
      <c r="P111" s="56"/>
      <c r="Q111" s="104" t="s">
        <v>1506</v>
      </c>
      <c r="R111" s="106" t="s">
        <v>1974</v>
      </c>
      <c r="S111" s="107" t="s">
        <v>1975</v>
      </c>
      <c r="T111" s="104" t="s">
        <v>1520</v>
      </c>
      <c r="U111" s="107">
        <v>0</v>
      </c>
      <c r="V111" s="108" t="s">
        <v>1511</v>
      </c>
      <c r="W111" s="109" t="s">
        <v>1512</v>
      </c>
      <c r="X111" s="109" t="s">
        <v>1513</v>
      </c>
      <c r="Y111" s="109" t="s">
        <v>1521</v>
      </c>
      <c r="Z111" s="109" t="s">
        <v>1515</v>
      </c>
      <c r="AA111" s="109">
        <v>0</v>
      </c>
      <c r="AB111" s="109">
        <v>0</v>
      </c>
      <c r="AC111" s="109">
        <v>0</v>
      </c>
      <c r="AD111" s="109">
        <v>0</v>
      </c>
      <c r="AE111" s="110">
        <v>0</v>
      </c>
      <c r="AF111" s="77" t="str">
        <f>VLOOKUP(D111,TIPOLOGIAS!A:H,6,0)</f>
        <v>TIPO I</v>
      </c>
      <c r="AG111" s="77" t="str">
        <f>VLOOKUP(D111,TIPOLOGIAS!A:H,5,0)</f>
        <v>TERRESTRE</v>
      </c>
      <c r="AH111" s="104">
        <v>0</v>
      </c>
      <c r="AI111" s="104">
        <v>0</v>
      </c>
      <c r="AJ111" s="104">
        <v>0</v>
      </c>
      <c r="AK111" s="104">
        <v>0</v>
      </c>
      <c r="AL111" s="78">
        <f>IF(T111="SOPORTE_TELEFÓNICO",'BASE LIQUIDACION'!$B$10,IF(AF111="TIPO I",'BASE LIQUIDACION'!$C$3,IF(AF111="TIPO II",'BASE LIQUIDACION'!$C$4,IF(AF111="TIPO III",'BASE LIQUIDACION'!$C$5,'BASE LIQUIDACION'!$C$7))))</f>
        <v>37904.65408</v>
      </c>
      <c r="AM111" s="80">
        <f>IF(T111="SOPORTE_TELEFÓNICO",'BASE LIQUIDACION'!$B$10,(AH111*AL111+AI111*'BASE LIQUIDACION'!$B$12+AJ111*'BASE LIQUIDACION'!$B$11+INCIDENTES!AK111*'BASE LIQUIDACION'!$B$13))</f>
        <v>37904.65408</v>
      </c>
    </row>
    <row r="112" spans="1:39" s="4" customFormat="1">
      <c r="A112" s="104" t="s">
        <v>147</v>
      </c>
      <c r="B112" s="56" t="str">
        <f>VLOOKUP(A112,'CENTRO DE COSTOS'!A:D,4,FALSE)</f>
        <v>MIGUEL JULIÁN HERNÁNDEZ GUARÍN</v>
      </c>
      <c r="C112" s="56" t="str">
        <f>VLOOKUP(A112,'CENTRO DE COSTOS'!A:D,2,FALSE)</f>
        <v>0004-0008</v>
      </c>
      <c r="D112" s="104">
        <v>15001</v>
      </c>
      <c r="E112" s="104">
        <v>2316625</v>
      </c>
      <c r="F112" s="104" t="s">
        <v>1976</v>
      </c>
      <c r="G112" s="105">
        <v>45825.505555555559</v>
      </c>
      <c r="H112" s="105">
        <v>45825.634259259263</v>
      </c>
      <c r="I112" s="104" t="s">
        <v>150</v>
      </c>
      <c r="J112" s="104" t="s">
        <v>147</v>
      </c>
      <c r="K112" s="104" t="s">
        <v>1977</v>
      </c>
      <c r="L112" s="104">
        <v>65782</v>
      </c>
      <c r="M112" s="56" t="s">
        <v>1505</v>
      </c>
      <c r="N112" s="56" t="s">
        <v>119</v>
      </c>
      <c r="O112" s="104" t="s">
        <v>1524</v>
      </c>
      <c r="P112" s="56"/>
      <c r="Q112" s="104" t="s">
        <v>1506</v>
      </c>
      <c r="R112" s="106" t="s">
        <v>1978</v>
      </c>
      <c r="S112" s="107" t="s">
        <v>418</v>
      </c>
      <c r="T112" s="104" t="s">
        <v>1509</v>
      </c>
      <c r="U112" s="107" t="s">
        <v>1979</v>
      </c>
      <c r="V112" s="108" t="s">
        <v>1511</v>
      </c>
      <c r="W112" s="109" t="s">
        <v>1512</v>
      </c>
      <c r="X112" s="109" t="s">
        <v>1513</v>
      </c>
      <c r="Y112" s="109" t="s">
        <v>1514</v>
      </c>
      <c r="Z112" s="109" t="s">
        <v>1515</v>
      </c>
      <c r="AA112" s="109">
        <v>0</v>
      </c>
      <c r="AB112" s="109">
        <v>0</v>
      </c>
      <c r="AC112" s="109">
        <v>0</v>
      </c>
      <c r="AD112" s="109">
        <v>0</v>
      </c>
      <c r="AE112" s="110">
        <v>0</v>
      </c>
      <c r="AF112" s="77" t="str">
        <f>VLOOKUP(D112,TIPOLOGIAS!A:H,6,0)</f>
        <v>TIPO I</v>
      </c>
      <c r="AG112" s="77" t="str">
        <f>VLOOKUP(D112,TIPOLOGIAS!A:H,5,0)</f>
        <v>TERRESTRE</v>
      </c>
      <c r="AH112" s="104">
        <v>1</v>
      </c>
      <c r="AI112" s="104">
        <v>0</v>
      </c>
      <c r="AJ112" s="104">
        <v>0</v>
      </c>
      <c r="AK112" s="104">
        <v>0</v>
      </c>
      <c r="AL112" s="78">
        <f>IF(T112="SOPORTE_TELEFÓNICO",'BASE LIQUIDACION'!$B$10,IF(AF112="TIPO I",'BASE LIQUIDACION'!$C$3,IF(AF112="TIPO II",'BASE LIQUIDACION'!$C$4,IF(AF112="TIPO III",'BASE LIQUIDACION'!$C$5,'BASE LIQUIDACION'!$C$7))))</f>
        <v>65960.473639999997</v>
      </c>
      <c r="AM112" s="80">
        <f>IF(T112="SOPORTE_TELEFÓNICO",'BASE LIQUIDACION'!$B$10,(AH112*AL112+AI112*'BASE LIQUIDACION'!$B$12+AJ112*'BASE LIQUIDACION'!$B$11+INCIDENTES!AK112*'BASE LIQUIDACION'!$B$13))</f>
        <v>65960.473639999997</v>
      </c>
    </row>
    <row r="113" spans="1:39" s="4" customFormat="1">
      <c r="A113" s="104" t="s">
        <v>138</v>
      </c>
      <c r="B113" s="56" t="str">
        <f>VLOOKUP(A113,'CENTRO DE COSTOS'!A:D,4,FALSE)</f>
        <v>DIEGO FERNANDO HENAO CARDONA</v>
      </c>
      <c r="C113" s="56" t="str">
        <f>VLOOKUP(A113,'CENTRO DE COSTOS'!A:D,2,FALSE)</f>
        <v>0004-0003</v>
      </c>
      <c r="D113" s="104">
        <v>19845</v>
      </c>
      <c r="E113" s="104">
        <v>2311558</v>
      </c>
      <c r="F113" s="104" t="s">
        <v>1980</v>
      </c>
      <c r="G113" s="105">
        <v>45824.640277777777</v>
      </c>
      <c r="H113" s="105">
        <v>45825.686574074076</v>
      </c>
      <c r="I113" s="104" t="s">
        <v>285</v>
      </c>
      <c r="J113" s="104" t="s">
        <v>872</v>
      </c>
      <c r="K113" s="104" t="s">
        <v>1981</v>
      </c>
      <c r="L113" s="104">
        <v>74852</v>
      </c>
      <c r="M113" s="56" t="s">
        <v>1505</v>
      </c>
      <c r="N113" s="56" t="s">
        <v>119</v>
      </c>
      <c r="O113" s="104" t="s">
        <v>1524</v>
      </c>
      <c r="P113" s="56"/>
      <c r="Q113" s="104" t="s">
        <v>1506</v>
      </c>
      <c r="R113" s="106" t="s">
        <v>1982</v>
      </c>
      <c r="S113" s="107" t="s">
        <v>145</v>
      </c>
      <c r="T113" s="104" t="s">
        <v>1509</v>
      </c>
      <c r="U113" s="107" t="s">
        <v>1983</v>
      </c>
      <c r="V113" s="108" t="s">
        <v>1511</v>
      </c>
      <c r="W113" s="109" t="s">
        <v>1512</v>
      </c>
      <c r="X113" s="109" t="s">
        <v>1556</v>
      </c>
      <c r="Y113" s="109" t="s">
        <v>1557</v>
      </c>
      <c r="Z113" s="109" t="s">
        <v>1515</v>
      </c>
      <c r="AA113" s="109">
        <v>0</v>
      </c>
      <c r="AB113" s="109">
        <v>0</v>
      </c>
      <c r="AC113" s="109">
        <v>0</v>
      </c>
      <c r="AD113" s="109">
        <v>0</v>
      </c>
      <c r="AE113" s="110" t="s">
        <v>1984</v>
      </c>
      <c r="AF113" s="77" t="str">
        <f>VLOOKUP(D113,TIPOLOGIAS!A:H,6,0)</f>
        <v>TIPO IV</v>
      </c>
      <c r="AG113" s="77" t="str">
        <f>VLOOKUP(D113,TIPOLOGIAS!A:H,5,0)</f>
        <v>TERRESTRE</v>
      </c>
      <c r="AH113" s="104">
        <v>1</v>
      </c>
      <c r="AI113" s="104">
        <v>0</v>
      </c>
      <c r="AJ113" s="104">
        <v>0</v>
      </c>
      <c r="AK113" s="104">
        <v>0</v>
      </c>
      <c r="AL113" s="78">
        <f>IF(T113="SOPORTE_TELEFÓNICO",'BASE LIQUIDACION'!$B$10,IF(AF113="TIPO I",'BASE LIQUIDACION'!$C$3,IF(AF113="TIPO II",'BASE LIQUIDACION'!$C$4,IF(AF113="TIPO III",'BASE LIQUIDACION'!$C$5,'BASE LIQUIDACION'!$C$7))))</f>
        <v>479589.73656000005</v>
      </c>
      <c r="AM113" s="80">
        <f>IF(T113="SOPORTE_TELEFÓNICO",'BASE LIQUIDACION'!$B$10,(AH113*AL113+AI113*'BASE LIQUIDACION'!$B$12+AJ113*'BASE LIQUIDACION'!$B$11+INCIDENTES!AK113*'BASE LIQUIDACION'!$B$13))</f>
        <v>479589.73656000005</v>
      </c>
    </row>
    <row r="114" spans="1:39" s="4" customFormat="1">
      <c r="A114" s="104" t="s">
        <v>111</v>
      </c>
      <c r="B114" s="56" t="str">
        <f>VLOOKUP(A114,'CENTRO DE COSTOS'!A:D,4,FALSE)</f>
        <v>JUAN SEBASTIÁN RÍOS CASTRILLÓN</v>
      </c>
      <c r="C114" s="56" t="str">
        <f>VLOOKUP(A114,'CENTRO DE COSTOS'!A:D,2,FALSE)</f>
        <v>0004-0005</v>
      </c>
      <c r="D114" s="104">
        <v>5001</v>
      </c>
      <c r="E114" s="104">
        <v>2317395</v>
      </c>
      <c r="F114" s="104" t="s">
        <v>1985</v>
      </c>
      <c r="G114" s="105">
        <v>45825.607638888891</v>
      </c>
      <c r="H114" s="105">
        <v>45826.409131944441</v>
      </c>
      <c r="I114" s="104" t="s">
        <v>131</v>
      </c>
      <c r="J114" s="104" t="s">
        <v>111</v>
      </c>
      <c r="K114" s="104" t="s">
        <v>1986</v>
      </c>
      <c r="L114" s="104">
        <v>10276</v>
      </c>
      <c r="M114" s="56" t="s">
        <v>1505</v>
      </c>
      <c r="N114" s="56" t="s">
        <v>119</v>
      </c>
      <c r="O114" s="104" t="s">
        <v>1524</v>
      </c>
      <c r="P114" s="56"/>
      <c r="Q114" s="104" t="s">
        <v>1506</v>
      </c>
      <c r="R114" s="106" t="s">
        <v>1987</v>
      </c>
      <c r="S114" s="107" t="s">
        <v>1988</v>
      </c>
      <c r="T114" s="104" t="s">
        <v>1509</v>
      </c>
      <c r="U114" s="107" t="s">
        <v>1989</v>
      </c>
      <c r="V114" s="108" t="s">
        <v>1511</v>
      </c>
      <c r="W114" s="109" t="s">
        <v>1512</v>
      </c>
      <c r="X114" s="109" t="s">
        <v>1533</v>
      </c>
      <c r="Y114" s="109" t="s">
        <v>1534</v>
      </c>
      <c r="Z114" s="109" t="s">
        <v>1515</v>
      </c>
      <c r="AA114" s="109">
        <v>0</v>
      </c>
      <c r="AB114" s="109">
        <v>0</v>
      </c>
      <c r="AC114" s="109">
        <v>0</v>
      </c>
      <c r="AD114" s="109">
        <v>0</v>
      </c>
      <c r="AE114" s="110">
        <v>0</v>
      </c>
      <c r="AF114" s="77" t="str">
        <f>VLOOKUP(D114,TIPOLOGIAS!A:H,6,0)</f>
        <v>TIPO I</v>
      </c>
      <c r="AG114" s="77" t="str">
        <f>VLOOKUP(D114,TIPOLOGIAS!A:H,5,0)</f>
        <v>TERRESTRE</v>
      </c>
      <c r="AH114" s="104">
        <v>1</v>
      </c>
      <c r="AI114" s="104">
        <v>0</v>
      </c>
      <c r="AJ114" s="104">
        <v>0</v>
      </c>
      <c r="AK114" s="104">
        <v>0</v>
      </c>
      <c r="AL114" s="78">
        <f>IF(T114="SOPORTE_TELEFÓNICO",'BASE LIQUIDACION'!$B$10,IF(AF114="TIPO I",'BASE LIQUIDACION'!$C$3,IF(AF114="TIPO II",'BASE LIQUIDACION'!$C$4,IF(AF114="TIPO III",'BASE LIQUIDACION'!$C$5,'BASE LIQUIDACION'!$C$7))))</f>
        <v>65960.473639999997</v>
      </c>
      <c r="AM114" s="80">
        <f>IF(T114="SOPORTE_TELEFÓNICO",'BASE LIQUIDACION'!$B$10,(AH114*AL114+AI114*'BASE LIQUIDACION'!$B$12+AJ114*'BASE LIQUIDACION'!$B$11+INCIDENTES!AK114*'BASE LIQUIDACION'!$B$13))</f>
        <v>65960.473639999997</v>
      </c>
    </row>
    <row r="115" spans="1:39" s="4" customFormat="1">
      <c r="A115" s="104" t="s">
        <v>622</v>
      </c>
      <c r="B115" s="56" t="str">
        <f>VLOOKUP(A115,'CENTRO DE COSTOS'!A:D,4,FALSE)</f>
        <v>JOSE MAURICIO HERNANDEZ ROJAS</v>
      </c>
      <c r="C115" s="56" t="str">
        <f>VLOOKUP(A115,'CENTRO DE COSTOS'!A:D,2,FALSE)</f>
        <v>0004-0001</v>
      </c>
      <c r="D115" s="104">
        <v>20001</v>
      </c>
      <c r="E115" s="104">
        <v>2319150</v>
      </c>
      <c r="F115" s="104" t="s">
        <v>1990</v>
      </c>
      <c r="G115" s="105">
        <v>45825.726388888892</v>
      </c>
      <c r="H115" s="105">
        <v>45826.418043981481</v>
      </c>
      <c r="I115" s="104" t="s">
        <v>874</v>
      </c>
      <c r="J115" s="104" t="s">
        <v>622</v>
      </c>
      <c r="K115" s="104" t="s">
        <v>1991</v>
      </c>
      <c r="L115" s="104">
        <v>72847</v>
      </c>
      <c r="M115" s="56" t="s">
        <v>1505</v>
      </c>
      <c r="N115" s="56" t="s">
        <v>119</v>
      </c>
      <c r="O115" s="104" t="s">
        <v>1524</v>
      </c>
      <c r="P115" s="56"/>
      <c r="Q115" s="104" t="s">
        <v>1506</v>
      </c>
      <c r="R115" s="106" t="s">
        <v>1992</v>
      </c>
      <c r="S115" s="107" t="s">
        <v>1993</v>
      </c>
      <c r="T115" s="104" t="s">
        <v>1509</v>
      </c>
      <c r="U115" s="107" t="s">
        <v>1994</v>
      </c>
      <c r="V115" s="108" t="s">
        <v>1511</v>
      </c>
      <c r="W115" s="109" t="s">
        <v>1512</v>
      </c>
      <c r="X115" s="109" t="s">
        <v>1513</v>
      </c>
      <c r="Y115" s="109" t="s">
        <v>1521</v>
      </c>
      <c r="Z115" s="109" t="s">
        <v>1515</v>
      </c>
      <c r="AA115" s="109">
        <v>0</v>
      </c>
      <c r="AB115" s="109">
        <v>0</v>
      </c>
      <c r="AC115" s="109">
        <v>0</v>
      </c>
      <c r="AD115" s="109">
        <v>0</v>
      </c>
      <c r="AE115" s="110">
        <v>0</v>
      </c>
      <c r="AF115" s="77" t="str">
        <f>VLOOKUP(D115,TIPOLOGIAS!A:H,6,0)</f>
        <v>TIPO I</v>
      </c>
      <c r="AG115" s="77" t="str">
        <f>VLOOKUP(D115,TIPOLOGIAS!A:H,5,0)</f>
        <v>TERRESTRE</v>
      </c>
      <c r="AH115" s="104">
        <v>1</v>
      </c>
      <c r="AI115" s="104">
        <v>0</v>
      </c>
      <c r="AJ115" s="104">
        <v>0</v>
      </c>
      <c r="AK115" s="104">
        <v>0</v>
      </c>
      <c r="AL115" s="78">
        <f>IF(T115="SOPORTE_TELEFÓNICO",'BASE LIQUIDACION'!$B$10,IF(AF115="TIPO I",'BASE LIQUIDACION'!$C$3,IF(AF115="TIPO II",'BASE LIQUIDACION'!$C$4,IF(AF115="TIPO III",'BASE LIQUIDACION'!$C$5,'BASE LIQUIDACION'!$C$7))))</f>
        <v>65960.473639999997</v>
      </c>
      <c r="AM115" s="80">
        <f>IF(T115="SOPORTE_TELEFÓNICO",'BASE LIQUIDACION'!$B$10,(AH115*AL115+AI115*'BASE LIQUIDACION'!$B$12+AJ115*'BASE LIQUIDACION'!$B$11+INCIDENTES!AK115*'BASE LIQUIDACION'!$B$13))</f>
        <v>65960.473639999997</v>
      </c>
    </row>
    <row r="116" spans="1:39" s="4" customFormat="1">
      <c r="A116" s="104" t="s">
        <v>128</v>
      </c>
      <c r="B116" s="56" t="str">
        <f>VLOOKUP(A116,'CENTRO DE COSTOS'!A:D,4,FALSE)</f>
        <v>JUAN SEBASTIÁN RÍOS CASTRILLÓN</v>
      </c>
      <c r="C116" s="56" t="str">
        <f>VLOOKUP(A116,'CENTRO DE COSTOS'!A:D,2,FALSE)</f>
        <v>0004-0005</v>
      </c>
      <c r="D116" s="104">
        <v>5045</v>
      </c>
      <c r="E116" s="104">
        <v>2316933</v>
      </c>
      <c r="F116" s="104" t="s">
        <v>1995</v>
      </c>
      <c r="G116" s="105">
        <v>45825.556250000001</v>
      </c>
      <c r="H116" s="105">
        <v>45826.458518518521</v>
      </c>
      <c r="I116" s="104" t="s">
        <v>131</v>
      </c>
      <c r="J116" s="104" t="s">
        <v>128</v>
      </c>
      <c r="K116" s="104" t="s">
        <v>1996</v>
      </c>
      <c r="L116" s="104">
        <v>76063</v>
      </c>
      <c r="M116" s="56" t="s">
        <v>1505</v>
      </c>
      <c r="N116" s="56" t="s">
        <v>119</v>
      </c>
      <c r="O116" s="104" t="s">
        <v>1524</v>
      </c>
      <c r="P116" s="56"/>
      <c r="Q116" s="104" t="s">
        <v>1506</v>
      </c>
      <c r="R116" s="106" t="s">
        <v>1997</v>
      </c>
      <c r="S116" s="107" t="s">
        <v>1549</v>
      </c>
      <c r="T116" s="104" t="s">
        <v>1520</v>
      </c>
      <c r="U116" s="107">
        <v>0</v>
      </c>
      <c r="V116" s="108" t="s">
        <v>1511</v>
      </c>
      <c r="W116" s="109" t="s">
        <v>1512</v>
      </c>
      <c r="X116" s="109" t="s">
        <v>1556</v>
      </c>
      <c r="Y116" s="109" t="s">
        <v>1557</v>
      </c>
      <c r="Z116" s="109" t="s">
        <v>1515</v>
      </c>
      <c r="AA116" s="109">
        <v>0</v>
      </c>
      <c r="AB116" s="109">
        <v>0</v>
      </c>
      <c r="AC116" s="109">
        <v>0</v>
      </c>
      <c r="AD116" s="109">
        <v>0</v>
      </c>
      <c r="AE116" s="110">
        <v>0</v>
      </c>
      <c r="AF116" s="77" t="str">
        <f>VLOOKUP(D116,TIPOLOGIAS!A:H,6,0)</f>
        <v>TIPO I</v>
      </c>
      <c r="AG116" s="77" t="str">
        <f>VLOOKUP(D116,TIPOLOGIAS!A:H,5,0)</f>
        <v>TERRESTRE</v>
      </c>
      <c r="AH116" s="104">
        <v>0</v>
      </c>
      <c r="AI116" s="104">
        <v>0</v>
      </c>
      <c r="AJ116" s="104">
        <v>0</v>
      </c>
      <c r="AK116" s="104">
        <v>0</v>
      </c>
      <c r="AL116" s="78">
        <f>IF(T116="SOPORTE_TELEFÓNICO",'BASE LIQUIDACION'!$B$10,IF(AF116="TIPO I",'BASE LIQUIDACION'!$C$3,IF(AF116="TIPO II",'BASE LIQUIDACION'!$C$4,IF(AF116="TIPO III",'BASE LIQUIDACION'!$C$5,'BASE LIQUIDACION'!$C$7))))</f>
        <v>37904.65408</v>
      </c>
      <c r="AM116" s="80">
        <f>IF(T116="SOPORTE_TELEFÓNICO",'BASE LIQUIDACION'!$B$10,(AH116*AL116+AI116*'BASE LIQUIDACION'!$B$12+AJ116*'BASE LIQUIDACION'!$B$11+INCIDENTES!AK116*'BASE LIQUIDACION'!$B$13))</f>
        <v>37904.65408</v>
      </c>
    </row>
    <row r="117" spans="1:39" s="4" customFormat="1">
      <c r="A117" s="104" t="s">
        <v>111</v>
      </c>
      <c r="B117" s="56" t="str">
        <f>VLOOKUP(A117,'CENTRO DE COSTOS'!A:D,4,FALSE)</f>
        <v>JUAN SEBASTIÁN RÍOS CASTRILLÓN</v>
      </c>
      <c r="C117" s="56" t="str">
        <f>VLOOKUP(A117,'CENTRO DE COSTOS'!A:D,2,FALSE)</f>
        <v>0004-0005</v>
      </c>
      <c r="D117" s="104">
        <v>5042</v>
      </c>
      <c r="E117" s="104">
        <v>2319441</v>
      </c>
      <c r="F117" s="104" t="s">
        <v>1998</v>
      </c>
      <c r="G117" s="105">
        <v>45826.333333333336</v>
      </c>
      <c r="H117" s="105">
        <v>45826.461759259262</v>
      </c>
      <c r="I117" s="104" t="s">
        <v>131</v>
      </c>
      <c r="J117" s="104" t="s">
        <v>570</v>
      </c>
      <c r="K117" s="104" t="s">
        <v>1999</v>
      </c>
      <c r="L117" s="104">
        <v>53091</v>
      </c>
      <c r="M117" s="56" t="s">
        <v>1505</v>
      </c>
      <c r="N117" s="56" t="s">
        <v>119</v>
      </c>
      <c r="O117" s="104" t="s">
        <v>425</v>
      </c>
      <c r="P117" s="56"/>
      <c r="Q117" s="104" t="s">
        <v>1506</v>
      </c>
      <c r="R117" s="106" t="s">
        <v>2000</v>
      </c>
      <c r="S117" s="107" t="s">
        <v>1531</v>
      </c>
      <c r="T117" s="104" t="s">
        <v>1520</v>
      </c>
      <c r="U117" s="107">
        <v>0</v>
      </c>
      <c r="V117" s="108" t="s">
        <v>1511</v>
      </c>
      <c r="W117" s="109" t="s">
        <v>1512</v>
      </c>
      <c r="X117" s="109" t="s">
        <v>1556</v>
      </c>
      <c r="Y117" s="109" t="s">
        <v>1557</v>
      </c>
      <c r="Z117" s="109" t="s">
        <v>1515</v>
      </c>
      <c r="AA117" s="109">
        <v>0</v>
      </c>
      <c r="AB117" s="109">
        <v>0</v>
      </c>
      <c r="AC117" s="109">
        <v>0</v>
      </c>
      <c r="AD117" s="109">
        <v>0</v>
      </c>
      <c r="AE117" s="110">
        <v>0</v>
      </c>
      <c r="AF117" s="77" t="str">
        <f>VLOOKUP(D117,TIPOLOGIAS!A:H,6,0)</f>
        <v>TIPO II</v>
      </c>
      <c r="AG117" s="77" t="str">
        <f>VLOOKUP(D117,TIPOLOGIAS!A:H,5,0)</f>
        <v>TERRESTRE</v>
      </c>
      <c r="AH117" s="104">
        <v>0</v>
      </c>
      <c r="AI117" s="104">
        <v>0</v>
      </c>
      <c r="AJ117" s="104">
        <v>0</v>
      </c>
      <c r="AK117" s="104">
        <v>0</v>
      </c>
      <c r="AL117" s="78">
        <f>IF(T117="SOPORTE_TELEFÓNICO",'BASE LIQUIDACION'!$B$10,IF(AF117="TIPO I",'BASE LIQUIDACION'!$C$3,IF(AF117="TIPO II",'BASE LIQUIDACION'!$C$4,IF(AF117="TIPO III",'BASE LIQUIDACION'!$C$5,'BASE LIQUIDACION'!$C$7))))</f>
        <v>37904.65408</v>
      </c>
      <c r="AM117" s="80">
        <f>IF(T117="SOPORTE_TELEFÓNICO",'BASE LIQUIDACION'!$B$10,(AH117*AL117+AI117*'BASE LIQUIDACION'!$B$12+AJ117*'BASE LIQUIDACION'!$B$11+INCIDENTES!AK117*'BASE LIQUIDACION'!$B$13))</f>
        <v>37904.65408</v>
      </c>
    </row>
    <row r="118" spans="1:39" s="4" customFormat="1">
      <c r="A118" s="104" t="s">
        <v>111</v>
      </c>
      <c r="B118" s="56" t="str">
        <f>VLOOKUP(A118,'CENTRO DE COSTOS'!A:D,4,FALSE)</f>
        <v>JUAN SEBASTIÁN RÍOS CASTRILLÓN</v>
      </c>
      <c r="C118" s="56" t="str">
        <f>VLOOKUP(A118,'CENTRO DE COSTOS'!A:D,2,FALSE)</f>
        <v>0004-0005</v>
      </c>
      <c r="D118" s="104">
        <v>5001</v>
      </c>
      <c r="E118" s="104">
        <v>2321425</v>
      </c>
      <c r="F118" s="104" t="s">
        <v>2001</v>
      </c>
      <c r="G118" s="105">
        <v>45826.335416666669</v>
      </c>
      <c r="H118" s="105">
        <v>45826.507280092592</v>
      </c>
      <c r="I118" s="104" t="s">
        <v>131</v>
      </c>
      <c r="J118" s="104" t="s">
        <v>111</v>
      </c>
      <c r="K118" s="104" t="s">
        <v>2002</v>
      </c>
      <c r="L118" s="104">
        <v>37071</v>
      </c>
      <c r="M118" s="56" t="s">
        <v>1505</v>
      </c>
      <c r="N118" s="56" t="s">
        <v>119</v>
      </c>
      <c r="O118" s="104" t="s">
        <v>332</v>
      </c>
      <c r="P118" s="56"/>
      <c r="Q118" s="104" t="s">
        <v>1506</v>
      </c>
      <c r="R118" s="106" t="s">
        <v>2003</v>
      </c>
      <c r="S118" s="107" t="s">
        <v>1988</v>
      </c>
      <c r="T118" s="104" t="s">
        <v>1509</v>
      </c>
      <c r="U118" s="107" t="s">
        <v>2004</v>
      </c>
      <c r="V118" s="108" t="s">
        <v>1511</v>
      </c>
      <c r="W118" s="109" t="s">
        <v>1512</v>
      </c>
      <c r="X118" s="109" t="s">
        <v>1610</v>
      </c>
      <c r="Y118" s="109" t="s">
        <v>1611</v>
      </c>
      <c r="Z118" s="109" t="s">
        <v>1515</v>
      </c>
      <c r="AA118" s="109">
        <v>0</v>
      </c>
      <c r="AB118" s="109">
        <v>0</v>
      </c>
      <c r="AC118" s="109">
        <v>0</v>
      </c>
      <c r="AD118" s="109">
        <v>0</v>
      </c>
      <c r="AE118" s="110">
        <v>0</v>
      </c>
      <c r="AF118" s="77" t="str">
        <f>VLOOKUP(D118,TIPOLOGIAS!A:H,6,0)</f>
        <v>TIPO I</v>
      </c>
      <c r="AG118" s="77" t="str">
        <f>VLOOKUP(D118,TIPOLOGIAS!A:H,5,0)</f>
        <v>TERRESTRE</v>
      </c>
      <c r="AH118" s="104">
        <v>1</v>
      </c>
      <c r="AI118" s="104">
        <v>0</v>
      </c>
      <c r="AJ118" s="104">
        <v>0</v>
      </c>
      <c r="AK118" s="104">
        <v>0</v>
      </c>
      <c r="AL118" s="78">
        <f>IF(T118="SOPORTE_TELEFÓNICO",'BASE LIQUIDACION'!$B$10,IF(AF118="TIPO I",'BASE LIQUIDACION'!$C$3,IF(AF118="TIPO II",'BASE LIQUIDACION'!$C$4,IF(AF118="TIPO III",'BASE LIQUIDACION'!$C$5,'BASE LIQUIDACION'!$C$7))))</f>
        <v>65960.473639999997</v>
      </c>
      <c r="AM118" s="80">
        <f>IF(T118="SOPORTE_TELEFÓNICO",'BASE LIQUIDACION'!$B$10,(AH118*AL118+AI118*'BASE LIQUIDACION'!$B$12+AJ118*'BASE LIQUIDACION'!$B$11+INCIDENTES!AK118*'BASE LIQUIDACION'!$B$13))</f>
        <v>65960.473639999997</v>
      </c>
    </row>
    <row r="119" spans="1:39" s="4" customFormat="1">
      <c r="A119" s="104" t="s">
        <v>111</v>
      </c>
      <c r="B119" s="56" t="str">
        <f>VLOOKUP(A119,'CENTRO DE COSTOS'!A:D,4,FALSE)</f>
        <v>JUAN SEBASTIÁN RÍOS CASTRILLÓN</v>
      </c>
      <c r="C119" s="56" t="str">
        <f>VLOOKUP(A119,'CENTRO DE COSTOS'!A:D,2,FALSE)</f>
        <v>0004-0005</v>
      </c>
      <c r="D119" s="104">
        <v>5318</v>
      </c>
      <c r="E119" s="104">
        <v>2314624</v>
      </c>
      <c r="F119" s="104" t="s">
        <v>2005</v>
      </c>
      <c r="G119" s="105">
        <v>45825.395138888889</v>
      </c>
      <c r="H119" s="105">
        <v>45826.521539351852</v>
      </c>
      <c r="I119" s="104" t="s">
        <v>131</v>
      </c>
      <c r="J119" s="104" t="s">
        <v>532</v>
      </c>
      <c r="K119" s="104" t="s">
        <v>2006</v>
      </c>
      <c r="L119" s="104">
        <v>40230</v>
      </c>
      <c r="M119" s="56" t="s">
        <v>1505</v>
      </c>
      <c r="N119" s="56" t="s">
        <v>119</v>
      </c>
      <c r="O119" s="104" t="s">
        <v>332</v>
      </c>
      <c r="P119" s="56"/>
      <c r="Q119" s="104" t="s">
        <v>1506</v>
      </c>
      <c r="R119" s="106" t="s">
        <v>2007</v>
      </c>
      <c r="S119" s="107" t="s">
        <v>1561</v>
      </c>
      <c r="T119" s="104" t="s">
        <v>1509</v>
      </c>
      <c r="U119" s="107" t="s">
        <v>2008</v>
      </c>
      <c r="V119" s="108" t="s">
        <v>1511</v>
      </c>
      <c r="W119" s="109" t="s">
        <v>1512</v>
      </c>
      <c r="X119" s="109" t="s">
        <v>1533</v>
      </c>
      <c r="Y119" s="109" t="s">
        <v>1534</v>
      </c>
      <c r="Z119" s="109" t="s">
        <v>1515</v>
      </c>
      <c r="AA119" s="109">
        <v>0</v>
      </c>
      <c r="AB119" s="109">
        <v>0</v>
      </c>
      <c r="AC119" s="109">
        <v>0</v>
      </c>
      <c r="AD119" s="109">
        <v>0</v>
      </c>
      <c r="AE119" s="110">
        <v>0</v>
      </c>
      <c r="AF119" s="77" t="str">
        <f>VLOOKUP(D119,TIPOLOGIAS!A:H,6,0)</f>
        <v>TIPO II</v>
      </c>
      <c r="AG119" s="77" t="str">
        <f>VLOOKUP(D119,TIPOLOGIAS!A:H,5,0)</f>
        <v>TERRESTRE</v>
      </c>
      <c r="AH119" s="104">
        <v>1</v>
      </c>
      <c r="AI119" s="104">
        <v>0</v>
      </c>
      <c r="AJ119" s="104">
        <v>0</v>
      </c>
      <c r="AK119" s="104">
        <v>0</v>
      </c>
      <c r="AL119" s="78">
        <f>IF(T119="SOPORTE_TELEFÓNICO",'BASE LIQUIDACION'!$B$10,IF(AF119="TIPO I",'BASE LIQUIDACION'!$C$3,IF(AF119="TIPO II",'BASE LIQUIDACION'!$C$4,IF(AF119="TIPO III",'BASE LIQUIDACION'!$C$5,'BASE LIQUIDACION'!$C$7))))</f>
        <v>163813.55812</v>
      </c>
      <c r="AM119" s="80">
        <f>IF(T119="SOPORTE_TELEFÓNICO",'BASE LIQUIDACION'!$B$10,(AH119*AL119+AI119*'BASE LIQUIDACION'!$B$12+AJ119*'BASE LIQUIDACION'!$B$11+INCIDENTES!AK119*'BASE LIQUIDACION'!$B$13))</f>
        <v>163813.55812</v>
      </c>
    </row>
    <row r="120" spans="1:39" s="4" customFormat="1">
      <c r="A120" s="104" t="s">
        <v>111</v>
      </c>
      <c r="B120" s="56" t="str">
        <f>VLOOKUP(A120,'CENTRO DE COSTOS'!A:D,4,FALSE)</f>
        <v>JUAN SEBASTIÁN RÍOS CASTRILLÓN</v>
      </c>
      <c r="C120" s="56" t="str">
        <f>VLOOKUP(A120,'CENTRO DE COSTOS'!A:D,2,FALSE)</f>
        <v>0004-0005</v>
      </c>
      <c r="D120" s="104">
        <v>5088</v>
      </c>
      <c r="E120" s="104">
        <v>2322527</v>
      </c>
      <c r="F120" s="104" t="s">
        <v>2009</v>
      </c>
      <c r="G120" s="105">
        <v>45826.407638888886</v>
      </c>
      <c r="H120" s="105">
        <v>45826.626296296294</v>
      </c>
      <c r="I120" s="104" t="s">
        <v>131</v>
      </c>
      <c r="J120" s="104" t="s">
        <v>501</v>
      </c>
      <c r="K120" s="104" t="s">
        <v>2010</v>
      </c>
      <c r="L120" s="104">
        <v>68708</v>
      </c>
      <c r="M120" s="56" t="s">
        <v>1505</v>
      </c>
      <c r="N120" s="56" t="s">
        <v>119</v>
      </c>
      <c r="O120" s="104" t="s">
        <v>1524</v>
      </c>
      <c r="P120" s="56"/>
      <c r="Q120" s="104" t="s">
        <v>1506</v>
      </c>
      <c r="R120" s="106" t="s">
        <v>2011</v>
      </c>
      <c r="S120" s="107" t="s">
        <v>253</v>
      </c>
      <c r="T120" s="104" t="s">
        <v>1520</v>
      </c>
      <c r="U120" s="107">
        <v>0</v>
      </c>
      <c r="V120" s="108" t="s">
        <v>1511</v>
      </c>
      <c r="W120" s="109" t="s">
        <v>1512</v>
      </c>
      <c r="X120" s="109" t="s">
        <v>1513</v>
      </c>
      <c r="Y120" s="109" t="s">
        <v>1521</v>
      </c>
      <c r="Z120" s="109" t="s">
        <v>1515</v>
      </c>
      <c r="AA120" s="109">
        <v>0</v>
      </c>
      <c r="AB120" s="109">
        <v>0</v>
      </c>
      <c r="AC120" s="109">
        <v>0</v>
      </c>
      <c r="AD120" s="109">
        <v>0</v>
      </c>
      <c r="AE120" s="110">
        <v>0</v>
      </c>
      <c r="AF120" s="77" t="str">
        <f>VLOOKUP(D120,TIPOLOGIAS!A:H,6,0)</f>
        <v>TIPO I</v>
      </c>
      <c r="AG120" s="77" t="str">
        <f>VLOOKUP(D120,TIPOLOGIAS!A:H,5,0)</f>
        <v>TERRESTRE</v>
      </c>
      <c r="AH120" s="104">
        <v>0</v>
      </c>
      <c r="AI120" s="104">
        <v>0</v>
      </c>
      <c r="AJ120" s="104">
        <v>0</v>
      </c>
      <c r="AK120" s="104">
        <v>0</v>
      </c>
      <c r="AL120" s="78">
        <f>IF(T120="SOPORTE_TELEFÓNICO",'BASE LIQUIDACION'!$B$10,IF(AF120="TIPO I",'BASE LIQUIDACION'!$C$3,IF(AF120="TIPO II",'BASE LIQUIDACION'!$C$4,IF(AF120="TIPO III",'BASE LIQUIDACION'!$C$5,'BASE LIQUIDACION'!$C$7))))</f>
        <v>37904.65408</v>
      </c>
      <c r="AM120" s="80">
        <f>IF(T120="SOPORTE_TELEFÓNICO",'BASE LIQUIDACION'!$B$10,(AH120*AL120+AI120*'BASE LIQUIDACION'!$B$12+AJ120*'BASE LIQUIDACION'!$B$11+INCIDENTES!AK120*'BASE LIQUIDACION'!$B$13))</f>
        <v>37904.65408</v>
      </c>
    </row>
    <row r="121" spans="1:39" s="4" customFormat="1">
      <c r="A121" s="104" t="s">
        <v>138</v>
      </c>
      <c r="B121" s="56" t="str">
        <f>VLOOKUP(A121,'CENTRO DE COSTOS'!A:D,4,FALSE)</f>
        <v>DIEGO FERNANDO HENAO CARDONA</v>
      </c>
      <c r="C121" s="56" t="str">
        <f>VLOOKUP(A121,'CENTRO DE COSTOS'!A:D,2,FALSE)</f>
        <v>0004-0003</v>
      </c>
      <c r="D121" s="104">
        <v>76109</v>
      </c>
      <c r="E121" s="104">
        <v>2322272</v>
      </c>
      <c r="F121" s="104" t="s">
        <v>2012</v>
      </c>
      <c r="G121" s="105">
        <v>45826.395833333336</v>
      </c>
      <c r="H121" s="105">
        <v>45826.728425925925</v>
      </c>
      <c r="I121" s="104" t="s">
        <v>141</v>
      </c>
      <c r="J121" s="104" t="s">
        <v>1430</v>
      </c>
      <c r="K121" s="104" t="s">
        <v>2013</v>
      </c>
      <c r="L121" s="104">
        <v>10970</v>
      </c>
      <c r="M121" s="56" t="s">
        <v>1505</v>
      </c>
      <c r="N121" s="56" t="s">
        <v>119</v>
      </c>
      <c r="O121" s="104" t="s">
        <v>1524</v>
      </c>
      <c r="P121" s="56"/>
      <c r="Q121" s="104" t="s">
        <v>1506</v>
      </c>
      <c r="R121" s="106" t="s">
        <v>2014</v>
      </c>
      <c r="S121" s="107" t="s">
        <v>1519</v>
      </c>
      <c r="T121" s="104" t="s">
        <v>1520</v>
      </c>
      <c r="U121" s="107">
        <v>0</v>
      </c>
      <c r="V121" s="108" t="s">
        <v>1511</v>
      </c>
      <c r="W121" s="109" t="s">
        <v>1512</v>
      </c>
      <c r="X121" s="109" t="s">
        <v>1513</v>
      </c>
      <c r="Y121" s="109" t="s">
        <v>1514</v>
      </c>
      <c r="Z121" s="109" t="s">
        <v>1515</v>
      </c>
      <c r="AA121" s="109">
        <v>0</v>
      </c>
      <c r="AB121" s="109">
        <v>0</v>
      </c>
      <c r="AC121" s="109">
        <v>0</v>
      </c>
      <c r="AD121" s="109">
        <v>0</v>
      </c>
      <c r="AE121" s="110">
        <v>0</v>
      </c>
      <c r="AF121" s="77" t="str">
        <f>VLOOKUP(D121,TIPOLOGIAS!A:H,6,0)</f>
        <v>TIPO III</v>
      </c>
      <c r="AG121" s="77" t="str">
        <f>VLOOKUP(D121,TIPOLOGIAS!A:H,5,0)</f>
        <v>TERRESTRE</v>
      </c>
      <c r="AH121" s="104">
        <v>0</v>
      </c>
      <c r="AI121" s="104">
        <v>0</v>
      </c>
      <c r="AJ121" s="104">
        <v>0</v>
      </c>
      <c r="AK121" s="104">
        <v>0</v>
      </c>
      <c r="AL121" s="78">
        <f>IF(T121="SOPORTE_TELEFÓNICO",'BASE LIQUIDACION'!$B$10,IF(AF121="TIPO I",'BASE LIQUIDACION'!$C$3,IF(AF121="TIPO II",'BASE LIQUIDACION'!$C$4,IF(AF121="TIPO III",'BASE LIQUIDACION'!$C$5,'BASE LIQUIDACION'!$C$7))))</f>
        <v>37904.65408</v>
      </c>
      <c r="AM121" s="80">
        <f>IF(T121="SOPORTE_TELEFÓNICO",'BASE LIQUIDACION'!$B$10,(AH121*AL121+AI121*'BASE LIQUIDACION'!$B$12+AJ121*'BASE LIQUIDACION'!$B$11+INCIDENTES!AK121*'BASE LIQUIDACION'!$B$13))</f>
        <v>37904.65408</v>
      </c>
    </row>
    <row r="122" spans="1:39" s="4" customFormat="1">
      <c r="A122" s="104" t="s">
        <v>111</v>
      </c>
      <c r="B122" s="56" t="str">
        <f>VLOOKUP(A122,'CENTRO DE COSTOS'!A:D,4,FALSE)</f>
        <v>JUAN SEBASTIÁN RÍOS CASTRILLÓN</v>
      </c>
      <c r="C122" s="56" t="str">
        <f>VLOOKUP(A122,'CENTRO DE COSTOS'!A:D,2,FALSE)</f>
        <v>0004-0005</v>
      </c>
      <c r="D122" s="104">
        <v>5001</v>
      </c>
      <c r="E122" s="104">
        <v>2324781</v>
      </c>
      <c r="F122" s="104" t="s">
        <v>2015</v>
      </c>
      <c r="G122" s="105">
        <v>45826.599305555559</v>
      </c>
      <c r="H122" s="105">
        <v>45827.395844907405</v>
      </c>
      <c r="I122" s="104" t="s">
        <v>131</v>
      </c>
      <c r="J122" s="104" t="s">
        <v>111</v>
      </c>
      <c r="K122" s="104" t="s">
        <v>2016</v>
      </c>
      <c r="L122" s="104">
        <v>38792</v>
      </c>
      <c r="M122" s="56" t="s">
        <v>1505</v>
      </c>
      <c r="N122" s="56" t="s">
        <v>119</v>
      </c>
      <c r="O122" s="104" t="s">
        <v>332</v>
      </c>
      <c r="P122" s="56"/>
      <c r="Q122" s="104" t="s">
        <v>1506</v>
      </c>
      <c r="R122" s="106" t="s">
        <v>2017</v>
      </c>
      <c r="S122" s="107" t="s">
        <v>1531</v>
      </c>
      <c r="T122" s="104" t="s">
        <v>1509</v>
      </c>
      <c r="U122" s="107" t="s">
        <v>2018</v>
      </c>
      <c r="V122" s="108" t="s">
        <v>1511</v>
      </c>
      <c r="W122" s="109" t="s">
        <v>1512</v>
      </c>
      <c r="X122" s="109" t="s">
        <v>1513</v>
      </c>
      <c r="Y122" s="109" t="s">
        <v>1521</v>
      </c>
      <c r="Z122" s="109" t="s">
        <v>1515</v>
      </c>
      <c r="AA122" s="109">
        <v>0</v>
      </c>
      <c r="AB122" s="109">
        <v>0</v>
      </c>
      <c r="AC122" s="109">
        <v>0</v>
      </c>
      <c r="AD122" s="109">
        <v>0</v>
      </c>
      <c r="AE122" s="110">
        <v>0</v>
      </c>
      <c r="AF122" s="77" t="str">
        <f>VLOOKUP(D122,TIPOLOGIAS!A:H,6,0)</f>
        <v>TIPO I</v>
      </c>
      <c r="AG122" s="77" t="str">
        <f>VLOOKUP(D122,TIPOLOGIAS!A:H,5,0)</f>
        <v>TERRESTRE</v>
      </c>
      <c r="AH122" s="104">
        <v>1</v>
      </c>
      <c r="AI122" s="104">
        <v>0</v>
      </c>
      <c r="AJ122" s="104">
        <v>0</v>
      </c>
      <c r="AK122" s="104">
        <v>0</v>
      </c>
      <c r="AL122" s="78">
        <f>IF(T122="SOPORTE_TELEFÓNICO",'BASE LIQUIDACION'!$B$10,IF(AF122="TIPO I",'BASE LIQUIDACION'!$C$3,IF(AF122="TIPO II",'BASE LIQUIDACION'!$C$4,IF(AF122="TIPO III",'BASE LIQUIDACION'!$C$5,'BASE LIQUIDACION'!$C$7))))</f>
        <v>65960.473639999997</v>
      </c>
      <c r="AM122" s="80">
        <f>IF(T122="SOPORTE_TELEFÓNICO",'BASE LIQUIDACION'!$B$10,(AH122*AL122+AI122*'BASE LIQUIDACION'!$B$12+AJ122*'BASE LIQUIDACION'!$B$11+INCIDENTES!AK122*'BASE LIQUIDACION'!$B$13))</f>
        <v>65960.473639999997</v>
      </c>
    </row>
    <row r="123" spans="1:39" s="4" customFormat="1">
      <c r="A123" s="104" t="s">
        <v>111</v>
      </c>
      <c r="B123" s="56" t="str">
        <f>VLOOKUP(A123,'CENTRO DE COSTOS'!A:D,4,FALSE)</f>
        <v>JUAN SEBASTIÁN RÍOS CASTRILLÓN</v>
      </c>
      <c r="C123" s="56" t="str">
        <f>VLOOKUP(A123,'CENTRO DE COSTOS'!A:D,2,FALSE)</f>
        <v>0004-0005</v>
      </c>
      <c r="D123" s="104">
        <v>5001</v>
      </c>
      <c r="E123" s="104">
        <v>2324172</v>
      </c>
      <c r="F123" s="104" t="s">
        <v>2019</v>
      </c>
      <c r="G123" s="105">
        <v>45826.521527777775</v>
      </c>
      <c r="H123" s="105">
        <v>45827.398981481485</v>
      </c>
      <c r="I123" s="104" t="s">
        <v>131</v>
      </c>
      <c r="J123" s="104" t="s">
        <v>111</v>
      </c>
      <c r="K123" s="104" t="s">
        <v>2020</v>
      </c>
      <c r="L123" s="104">
        <v>24796</v>
      </c>
      <c r="M123" s="56" t="s">
        <v>1505</v>
      </c>
      <c r="N123" s="56" t="s">
        <v>119</v>
      </c>
      <c r="O123" s="104" t="s">
        <v>425</v>
      </c>
      <c r="P123" s="56"/>
      <c r="Q123" s="104" t="s">
        <v>1506</v>
      </c>
      <c r="R123" s="106" t="s">
        <v>2021</v>
      </c>
      <c r="S123" s="107" t="s">
        <v>1531</v>
      </c>
      <c r="T123" s="104" t="s">
        <v>1520</v>
      </c>
      <c r="U123" s="107">
        <v>0</v>
      </c>
      <c r="V123" s="108" t="s">
        <v>1511</v>
      </c>
      <c r="W123" s="109" t="s">
        <v>1512</v>
      </c>
      <c r="X123" s="109" t="s">
        <v>1533</v>
      </c>
      <c r="Y123" s="109" t="s">
        <v>1534</v>
      </c>
      <c r="Z123" s="109" t="s">
        <v>1515</v>
      </c>
      <c r="AA123" s="109">
        <v>0</v>
      </c>
      <c r="AB123" s="109">
        <v>0</v>
      </c>
      <c r="AC123" s="109">
        <v>0</v>
      </c>
      <c r="AD123" s="109">
        <v>0</v>
      </c>
      <c r="AE123" s="110">
        <v>0</v>
      </c>
      <c r="AF123" s="77" t="str">
        <f>VLOOKUP(D123,TIPOLOGIAS!A:H,6,0)</f>
        <v>TIPO I</v>
      </c>
      <c r="AG123" s="77" t="str">
        <f>VLOOKUP(D123,TIPOLOGIAS!A:H,5,0)</f>
        <v>TERRESTRE</v>
      </c>
      <c r="AH123" s="104">
        <v>0</v>
      </c>
      <c r="AI123" s="104">
        <v>0</v>
      </c>
      <c r="AJ123" s="104">
        <v>0</v>
      </c>
      <c r="AK123" s="104">
        <v>0</v>
      </c>
      <c r="AL123" s="78">
        <f>IF(T123="SOPORTE_TELEFÓNICO",'BASE LIQUIDACION'!$B$10,IF(AF123="TIPO I",'BASE LIQUIDACION'!$C$3,IF(AF123="TIPO II",'BASE LIQUIDACION'!$C$4,IF(AF123="TIPO III",'BASE LIQUIDACION'!$C$5,'BASE LIQUIDACION'!$C$7))))</f>
        <v>37904.65408</v>
      </c>
      <c r="AM123" s="80">
        <f>IF(T123="SOPORTE_TELEFÓNICO",'BASE LIQUIDACION'!$B$10,(AH123*AL123+AI123*'BASE LIQUIDACION'!$B$12+AJ123*'BASE LIQUIDACION'!$B$11+INCIDENTES!AK123*'BASE LIQUIDACION'!$B$13))</f>
        <v>37904.65408</v>
      </c>
    </row>
    <row r="124" spans="1:39" s="4" customFormat="1">
      <c r="A124" s="104" t="s">
        <v>163</v>
      </c>
      <c r="B124" s="56" t="str">
        <f>VLOOKUP(A124,'CENTRO DE COSTOS'!A:D,4,FALSE)</f>
        <v>WILLIAM ASDRUBAL ROZO ROZO</v>
      </c>
      <c r="C124" s="56" t="str">
        <f>VLOOKUP(A124,'CENTRO DE COSTOS'!A:D,2,FALSE)</f>
        <v>0004-0004</v>
      </c>
      <c r="D124" s="104">
        <v>11001</v>
      </c>
      <c r="E124" s="104">
        <v>2326003</v>
      </c>
      <c r="F124" s="104" t="s">
        <v>2022</v>
      </c>
      <c r="G124" s="105">
        <v>45826.663888888892</v>
      </c>
      <c r="H124" s="105">
        <v>45827.433437500003</v>
      </c>
      <c r="I124" s="104" t="s">
        <v>166</v>
      </c>
      <c r="J124" s="104" t="s">
        <v>163</v>
      </c>
      <c r="K124" s="104" t="s">
        <v>2023</v>
      </c>
      <c r="L124" s="104">
        <v>68782</v>
      </c>
      <c r="M124" s="56" t="s">
        <v>1505</v>
      </c>
      <c r="N124" s="56" t="s">
        <v>119</v>
      </c>
      <c r="O124" s="104" t="s">
        <v>332</v>
      </c>
      <c r="P124" s="56"/>
      <c r="Q124" s="104" t="s">
        <v>1506</v>
      </c>
      <c r="R124" s="106" t="s">
        <v>2024</v>
      </c>
      <c r="S124" s="107" t="s">
        <v>2025</v>
      </c>
      <c r="T124" s="104" t="s">
        <v>1509</v>
      </c>
      <c r="U124" s="107" t="s">
        <v>2026</v>
      </c>
      <c r="V124" s="108" t="s">
        <v>1511</v>
      </c>
      <c r="W124" s="109" t="s">
        <v>1512</v>
      </c>
      <c r="X124" s="109" t="s">
        <v>1513</v>
      </c>
      <c r="Y124" s="109" t="s">
        <v>1521</v>
      </c>
      <c r="Z124" s="109" t="s">
        <v>1515</v>
      </c>
      <c r="AA124" s="109">
        <v>0</v>
      </c>
      <c r="AB124" s="109">
        <v>0</v>
      </c>
      <c r="AC124" s="109">
        <v>0</v>
      </c>
      <c r="AD124" s="109">
        <v>0</v>
      </c>
      <c r="AE124" s="110">
        <v>0</v>
      </c>
      <c r="AF124" s="77" t="str">
        <f>VLOOKUP(D124,TIPOLOGIAS!A:H,6,0)</f>
        <v>TIPO I</v>
      </c>
      <c r="AG124" s="77" t="str">
        <f>VLOOKUP(D124,TIPOLOGIAS!A:H,5,0)</f>
        <v>TERRESTRE</v>
      </c>
      <c r="AH124" s="104">
        <v>1</v>
      </c>
      <c r="AI124" s="104">
        <v>0</v>
      </c>
      <c r="AJ124" s="104">
        <v>0</v>
      </c>
      <c r="AK124" s="104">
        <v>0</v>
      </c>
      <c r="AL124" s="78">
        <f>IF(T124="SOPORTE_TELEFÓNICO",'BASE LIQUIDACION'!$B$10,IF(AF124="TIPO I",'BASE LIQUIDACION'!$C$3,IF(AF124="TIPO II",'BASE LIQUIDACION'!$C$4,IF(AF124="TIPO III",'BASE LIQUIDACION'!$C$5,'BASE LIQUIDACION'!$C$7))))</f>
        <v>65960.473639999997</v>
      </c>
      <c r="AM124" s="80">
        <f>IF(T124="SOPORTE_TELEFÓNICO",'BASE LIQUIDACION'!$B$10,(AH124*AL124+AI124*'BASE LIQUIDACION'!$B$12+AJ124*'BASE LIQUIDACION'!$B$11+INCIDENTES!AK124*'BASE LIQUIDACION'!$B$13))</f>
        <v>65960.473639999997</v>
      </c>
    </row>
    <row r="125" spans="1:39" s="4" customFormat="1">
      <c r="A125" s="104" t="s">
        <v>111</v>
      </c>
      <c r="B125" s="56" t="str">
        <f>VLOOKUP(A125,'CENTRO DE COSTOS'!A:D,4,FALSE)</f>
        <v>JUAN SEBASTIÁN RÍOS CASTRILLÓN</v>
      </c>
      <c r="C125" s="56" t="str">
        <f>VLOOKUP(A125,'CENTRO DE COSTOS'!A:D,2,FALSE)</f>
        <v>0004-0005</v>
      </c>
      <c r="D125" s="104">
        <v>5001</v>
      </c>
      <c r="E125" s="104">
        <v>2328615</v>
      </c>
      <c r="F125" s="104" t="s">
        <v>2027</v>
      </c>
      <c r="G125" s="105">
        <v>45827.40347222222</v>
      </c>
      <c r="H125" s="105">
        <v>45827.483043981483</v>
      </c>
      <c r="I125" s="104" t="s">
        <v>131</v>
      </c>
      <c r="J125" s="104" t="s">
        <v>111</v>
      </c>
      <c r="K125" s="104" t="s">
        <v>2028</v>
      </c>
      <c r="L125" s="104">
        <v>44146</v>
      </c>
      <c r="M125" s="56" t="s">
        <v>1505</v>
      </c>
      <c r="N125" s="56" t="s">
        <v>119</v>
      </c>
      <c r="O125" s="104" t="s">
        <v>332</v>
      </c>
      <c r="P125" s="56"/>
      <c r="Q125" s="104" t="s">
        <v>1506</v>
      </c>
      <c r="R125" s="106" t="s">
        <v>2029</v>
      </c>
      <c r="S125" s="107" t="s">
        <v>1531</v>
      </c>
      <c r="T125" s="104" t="s">
        <v>1520</v>
      </c>
      <c r="U125" s="107">
        <v>0</v>
      </c>
      <c r="V125" s="108" t="s">
        <v>1511</v>
      </c>
      <c r="W125" s="109" t="s">
        <v>1512</v>
      </c>
      <c r="X125" s="109" t="s">
        <v>1533</v>
      </c>
      <c r="Y125" s="109" t="s">
        <v>1534</v>
      </c>
      <c r="Z125" s="109" t="s">
        <v>1515</v>
      </c>
      <c r="AA125" s="109">
        <v>0</v>
      </c>
      <c r="AB125" s="109">
        <v>0</v>
      </c>
      <c r="AC125" s="109">
        <v>0</v>
      </c>
      <c r="AD125" s="109">
        <v>0</v>
      </c>
      <c r="AE125" s="110">
        <v>0</v>
      </c>
      <c r="AF125" s="77" t="str">
        <f>VLOOKUP(D125,TIPOLOGIAS!A:H,6,0)</f>
        <v>TIPO I</v>
      </c>
      <c r="AG125" s="77" t="str">
        <f>VLOOKUP(D125,TIPOLOGIAS!A:H,5,0)</f>
        <v>TERRESTRE</v>
      </c>
      <c r="AH125" s="104">
        <v>0</v>
      </c>
      <c r="AI125" s="104">
        <v>0</v>
      </c>
      <c r="AJ125" s="104">
        <v>0</v>
      </c>
      <c r="AK125" s="104">
        <v>0</v>
      </c>
      <c r="AL125" s="78">
        <f>IF(T125="SOPORTE_TELEFÓNICO",'BASE LIQUIDACION'!$B$10,IF(AF125="TIPO I",'BASE LIQUIDACION'!$C$3,IF(AF125="TIPO II",'BASE LIQUIDACION'!$C$4,IF(AF125="TIPO III",'BASE LIQUIDACION'!$C$5,'BASE LIQUIDACION'!$C$7))))</f>
        <v>37904.65408</v>
      </c>
      <c r="AM125" s="80">
        <f>IF(T125="SOPORTE_TELEFÓNICO",'BASE LIQUIDACION'!$B$10,(AH125*AL125+AI125*'BASE LIQUIDACION'!$B$12+AJ125*'BASE LIQUIDACION'!$B$11+INCIDENTES!AK125*'BASE LIQUIDACION'!$B$13))</f>
        <v>37904.65408</v>
      </c>
    </row>
    <row r="126" spans="1:39" s="4" customFormat="1">
      <c r="A126" s="104" t="s">
        <v>111</v>
      </c>
      <c r="B126" s="56" t="str">
        <f>VLOOKUP(A126,'CENTRO DE COSTOS'!A:D,4,FALSE)</f>
        <v>JUAN SEBASTIÁN RÍOS CASTRILLÓN</v>
      </c>
      <c r="C126" s="56" t="str">
        <f>VLOOKUP(A126,'CENTRO DE COSTOS'!A:D,2,FALSE)</f>
        <v>0004-0005</v>
      </c>
      <c r="D126" s="104">
        <v>5088</v>
      </c>
      <c r="E126" s="104">
        <v>2327445</v>
      </c>
      <c r="F126" s="104" t="s">
        <v>2030</v>
      </c>
      <c r="G126" s="105">
        <v>45827.333333333336</v>
      </c>
      <c r="H126" s="105">
        <v>45827.554074074076</v>
      </c>
      <c r="I126" s="104" t="s">
        <v>131</v>
      </c>
      <c r="J126" s="104" t="s">
        <v>501</v>
      </c>
      <c r="K126" s="104" t="s">
        <v>2031</v>
      </c>
      <c r="L126" s="104">
        <v>34705</v>
      </c>
      <c r="M126" s="56" t="s">
        <v>1505</v>
      </c>
      <c r="N126" s="56" t="s">
        <v>119</v>
      </c>
      <c r="O126" s="104" t="s">
        <v>1524</v>
      </c>
      <c r="P126" s="56"/>
      <c r="Q126" s="104" t="s">
        <v>1506</v>
      </c>
      <c r="R126" s="106" t="s">
        <v>2032</v>
      </c>
      <c r="S126" s="107" t="s">
        <v>253</v>
      </c>
      <c r="T126" s="104" t="s">
        <v>1509</v>
      </c>
      <c r="U126" s="107" t="s">
        <v>2033</v>
      </c>
      <c r="V126" s="108" t="s">
        <v>1511</v>
      </c>
      <c r="W126" s="109" t="s">
        <v>1512</v>
      </c>
      <c r="X126" s="109" t="s">
        <v>1533</v>
      </c>
      <c r="Y126" s="109" t="s">
        <v>1534</v>
      </c>
      <c r="Z126" s="109" t="s">
        <v>1515</v>
      </c>
      <c r="AA126" s="109">
        <v>0</v>
      </c>
      <c r="AB126" s="109">
        <v>0</v>
      </c>
      <c r="AC126" s="109">
        <v>0</v>
      </c>
      <c r="AD126" s="109">
        <v>0</v>
      </c>
      <c r="AE126" s="110">
        <v>0</v>
      </c>
      <c r="AF126" s="77" t="str">
        <f>VLOOKUP(D126,TIPOLOGIAS!A:H,6,0)</f>
        <v>TIPO I</v>
      </c>
      <c r="AG126" s="77" t="str">
        <f>VLOOKUP(D126,TIPOLOGIAS!A:H,5,0)</f>
        <v>TERRESTRE</v>
      </c>
      <c r="AH126" s="104">
        <v>1</v>
      </c>
      <c r="AI126" s="104">
        <v>0</v>
      </c>
      <c r="AJ126" s="104">
        <v>0</v>
      </c>
      <c r="AK126" s="104">
        <v>0</v>
      </c>
      <c r="AL126" s="78">
        <f>IF(T126="SOPORTE_TELEFÓNICO",'BASE LIQUIDACION'!$B$10,IF(AF126="TIPO I",'BASE LIQUIDACION'!$C$3,IF(AF126="TIPO II",'BASE LIQUIDACION'!$C$4,IF(AF126="TIPO III",'BASE LIQUIDACION'!$C$5,'BASE LIQUIDACION'!$C$7))))</f>
        <v>65960.473639999997</v>
      </c>
      <c r="AM126" s="80">
        <f>IF(T126="SOPORTE_TELEFÓNICO",'BASE LIQUIDACION'!$B$10,(AH126*AL126+AI126*'BASE LIQUIDACION'!$B$12+AJ126*'BASE LIQUIDACION'!$B$11+INCIDENTES!AK126*'BASE LIQUIDACION'!$B$13))</f>
        <v>65960.473639999997</v>
      </c>
    </row>
    <row r="127" spans="1:39" s="4" customFormat="1">
      <c r="A127" s="104" t="s">
        <v>822</v>
      </c>
      <c r="B127" s="56" t="str">
        <f>VLOOKUP(A127,'CENTRO DE COSTOS'!A:D,4,FALSE)</f>
        <v>KEVIN ALEXIS CORZO BUSTOS</v>
      </c>
      <c r="C127" s="56" t="str">
        <f>VLOOKUP(A127,'CENTRO DE COSTOS'!A:D,2,FALSE)</f>
        <v>0004-0007</v>
      </c>
      <c r="D127" s="104">
        <v>50001</v>
      </c>
      <c r="E127" s="104">
        <v>2326634</v>
      </c>
      <c r="F127" s="104" t="s">
        <v>2034</v>
      </c>
      <c r="G127" s="105">
        <v>45826.723611111112</v>
      </c>
      <c r="H127" s="105">
        <v>45827.651388888888</v>
      </c>
      <c r="I127" s="104" t="s">
        <v>1148</v>
      </c>
      <c r="J127" s="104" t="s">
        <v>822</v>
      </c>
      <c r="K127" s="104" t="s">
        <v>2035</v>
      </c>
      <c r="L127" s="104">
        <v>76287</v>
      </c>
      <c r="M127" s="56" t="s">
        <v>1505</v>
      </c>
      <c r="N127" s="56" t="s">
        <v>119</v>
      </c>
      <c r="O127" s="104" t="s">
        <v>1524</v>
      </c>
      <c r="P127" s="56"/>
      <c r="Q127" s="104" t="s">
        <v>1506</v>
      </c>
      <c r="R127" s="106" t="s">
        <v>2036</v>
      </c>
      <c r="S127" s="107" t="s">
        <v>1625</v>
      </c>
      <c r="T127" s="104" t="s">
        <v>1520</v>
      </c>
      <c r="U127" s="107">
        <v>0</v>
      </c>
      <c r="V127" s="108" t="s">
        <v>1511</v>
      </c>
      <c r="W127" s="109" t="s">
        <v>1512</v>
      </c>
      <c r="X127" s="109" t="s">
        <v>1513</v>
      </c>
      <c r="Y127" s="109" t="s">
        <v>1514</v>
      </c>
      <c r="Z127" s="109" t="s">
        <v>1515</v>
      </c>
      <c r="AA127" s="109">
        <v>0</v>
      </c>
      <c r="AB127" s="109">
        <v>0</v>
      </c>
      <c r="AC127" s="109">
        <v>0</v>
      </c>
      <c r="AD127" s="109">
        <v>0</v>
      </c>
      <c r="AE127" s="110">
        <v>0</v>
      </c>
      <c r="AF127" s="77" t="str">
        <f>VLOOKUP(D127,TIPOLOGIAS!A:H,6,0)</f>
        <v>TIPO I</v>
      </c>
      <c r="AG127" s="77" t="str">
        <f>VLOOKUP(D127,TIPOLOGIAS!A:H,5,0)</f>
        <v>TERRESTRE</v>
      </c>
      <c r="AH127" s="104">
        <v>0</v>
      </c>
      <c r="AI127" s="104">
        <v>0</v>
      </c>
      <c r="AJ127" s="104">
        <v>0</v>
      </c>
      <c r="AK127" s="104">
        <v>0</v>
      </c>
      <c r="AL127" s="78">
        <f>IF(T127="SOPORTE_TELEFÓNICO",'BASE LIQUIDACION'!$B$10,IF(AF127="TIPO I",'BASE LIQUIDACION'!$C$3,IF(AF127="TIPO II",'BASE LIQUIDACION'!$C$4,IF(AF127="TIPO III",'BASE LIQUIDACION'!$C$5,'BASE LIQUIDACION'!$C$7))))</f>
        <v>37904.65408</v>
      </c>
      <c r="AM127" s="80">
        <f>IF(T127="SOPORTE_TELEFÓNICO",'BASE LIQUIDACION'!$B$10,(AH127*AL127+AI127*'BASE LIQUIDACION'!$B$12+AJ127*'BASE LIQUIDACION'!$B$11+INCIDENTES!AK127*'BASE LIQUIDACION'!$B$13))</f>
        <v>37904.65408</v>
      </c>
    </row>
    <row r="128" spans="1:39" s="4" customFormat="1">
      <c r="A128" s="104" t="s">
        <v>500</v>
      </c>
      <c r="B128" s="56" t="str">
        <f>VLOOKUP(A128,'CENTRO DE COSTOS'!A:D,4,FALSE)</f>
        <v>JOSE MAURICIO HERNANDEZ ROJAS</v>
      </c>
      <c r="C128" s="56" t="str">
        <f>VLOOKUP(A128,'CENTRO DE COSTOS'!A:D,2,FALSE)</f>
        <v>0004-0001</v>
      </c>
      <c r="D128" s="104">
        <v>23068</v>
      </c>
      <c r="E128" s="104">
        <v>2331581</v>
      </c>
      <c r="F128" s="104" t="s">
        <v>2037</v>
      </c>
      <c r="G128" s="105">
        <v>45827.640277777777</v>
      </c>
      <c r="H128" s="105">
        <v>45827.720833333333</v>
      </c>
      <c r="I128" s="104" t="s">
        <v>620</v>
      </c>
      <c r="J128" s="104" t="s">
        <v>929</v>
      </c>
      <c r="K128" s="104" t="s">
        <v>2038</v>
      </c>
      <c r="L128" s="104">
        <v>60077</v>
      </c>
      <c r="M128" s="56" t="s">
        <v>1505</v>
      </c>
      <c r="N128" s="56" t="s">
        <v>119</v>
      </c>
      <c r="O128" s="104" t="s">
        <v>1524</v>
      </c>
      <c r="P128" s="56"/>
      <c r="Q128" s="104" t="s">
        <v>1506</v>
      </c>
      <c r="R128" s="106" t="s">
        <v>2039</v>
      </c>
      <c r="S128" s="107">
        <v>0</v>
      </c>
      <c r="T128" s="104" t="s">
        <v>1520</v>
      </c>
      <c r="U128" s="107">
        <v>0</v>
      </c>
      <c r="V128" s="108" t="s">
        <v>1511</v>
      </c>
      <c r="W128" s="109" t="s">
        <v>1512</v>
      </c>
      <c r="X128" s="109" t="s">
        <v>1533</v>
      </c>
      <c r="Y128" s="109" t="s">
        <v>1534</v>
      </c>
      <c r="Z128" s="109" t="s">
        <v>1515</v>
      </c>
      <c r="AA128" s="109">
        <v>0</v>
      </c>
      <c r="AB128" s="109">
        <v>0</v>
      </c>
      <c r="AC128" s="109">
        <v>0</v>
      </c>
      <c r="AD128" s="109">
        <v>0</v>
      </c>
      <c r="AE128" s="110">
        <v>0</v>
      </c>
      <c r="AF128" s="77" t="str">
        <f>VLOOKUP(D128,TIPOLOGIAS!A:H,6,0)</f>
        <v>TIPO III</v>
      </c>
      <c r="AG128" s="77" t="str">
        <f>VLOOKUP(D128,TIPOLOGIAS!A:H,5,0)</f>
        <v>TERRESTRE</v>
      </c>
      <c r="AH128" s="104">
        <v>0</v>
      </c>
      <c r="AI128" s="104">
        <v>0</v>
      </c>
      <c r="AJ128" s="104">
        <v>0</v>
      </c>
      <c r="AK128" s="104">
        <v>0</v>
      </c>
      <c r="AL128" s="78">
        <f>IF(T128="SOPORTE_TELEFÓNICO",'BASE LIQUIDACION'!$B$10,IF(AF128="TIPO I",'BASE LIQUIDACION'!$C$3,IF(AF128="TIPO II",'BASE LIQUIDACION'!$C$4,IF(AF128="TIPO III",'BASE LIQUIDACION'!$C$5,'BASE LIQUIDACION'!$C$7))))</f>
        <v>37904.65408</v>
      </c>
      <c r="AM128" s="80">
        <f>IF(T128="SOPORTE_TELEFÓNICO",'BASE LIQUIDACION'!$B$10,(AH128*AL128+AI128*'BASE LIQUIDACION'!$B$12+AJ128*'BASE LIQUIDACION'!$B$11+INCIDENTES!AK128*'BASE LIQUIDACION'!$B$13))</f>
        <v>37904.65408</v>
      </c>
    </row>
    <row r="129" spans="1:39" s="4" customFormat="1">
      <c r="A129" s="104" t="s">
        <v>111</v>
      </c>
      <c r="B129" s="56" t="str">
        <f>VLOOKUP(A129,'CENTRO DE COSTOS'!A:D,4,FALSE)</f>
        <v>JUAN SEBASTIÁN RÍOS CASTRILLÓN</v>
      </c>
      <c r="C129" s="56" t="str">
        <f>VLOOKUP(A129,'CENTRO DE COSTOS'!A:D,2,FALSE)</f>
        <v>0004-0005</v>
      </c>
      <c r="D129" s="104">
        <v>5088</v>
      </c>
      <c r="E129" s="104">
        <v>2330953</v>
      </c>
      <c r="F129" s="104" t="s">
        <v>2040</v>
      </c>
      <c r="G129" s="105">
        <v>45827.597916666666</v>
      </c>
      <c r="H129" s="105">
        <v>45828.445740740739</v>
      </c>
      <c r="I129" s="104" t="s">
        <v>131</v>
      </c>
      <c r="J129" s="104" t="s">
        <v>501</v>
      </c>
      <c r="K129" s="104" t="s">
        <v>2041</v>
      </c>
      <c r="L129" s="104">
        <v>75938</v>
      </c>
      <c r="M129" s="56" t="s">
        <v>1505</v>
      </c>
      <c r="N129" s="56" t="s">
        <v>119</v>
      </c>
      <c r="O129" s="104" t="s">
        <v>1524</v>
      </c>
      <c r="P129" s="56"/>
      <c r="Q129" s="104" t="s">
        <v>1506</v>
      </c>
      <c r="R129" s="106" t="s">
        <v>2042</v>
      </c>
      <c r="S129" s="107" t="s">
        <v>1531</v>
      </c>
      <c r="T129" s="104" t="s">
        <v>1520</v>
      </c>
      <c r="U129" s="107">
        <v>0</v>
      </c>
      <c r="V129" s="108" t="s">
        <v>1511</v>
      </c>
      <c r="W129" s="109" t="s">
        <v>1512</v>
      </c>
      <c r="X129" s="109" t="s">
        <v>1533</v>
      </c>
      <c r="Y129" s="109" t="s">
        <v>1534</v>
      </c>
      <c r="Z129" s="109" t="s">
        <v>1515</v>
      </c>
      <c r="AA129" s="109">
        <v>0</v>
      </c>
      <c r="AB129" s="109">
        <v>0</v>
      </c>
      <c r="AC129" s="109">
        <v>0</v>
      </c>
      <c r="AD129" s="109">
        <v>0</v>
      </c>
      <c r="AE129" s="110">
        <v>0</v>
      </c>
      <c r="AF129" s="77" t="str">
        <f>VLOOKUP(D129,TIPOLOGIAS!A:H,6,0)</f>
        <v>TIPO I</v>
      </c>
      <c r="AG129" s="77" t="str">
        <f>VLOOKUP(D129,TIPOLOGIAS!A:H,5,0)</f>
        <v>TERRESTRE</v>
      </c>
      <c r="AH129" s="104">
        <v>0</v>
      </c>
      <c r="AI129" s="104">
        <v>0</v>
      </c>
      <c r="AJ129" s="104">
        <v>0</v>
      </c>
      <c r="AK129" s="104">
        <v>0</v>
      </c>
      <c r="AL129" s="78">
        <f>IF(T129="SOPORTE_TELEFÓNICO",'BASE LIQUIDACION'!$B$10,IF(AF129="TIPO I",'BASE LIQUIDACION'!$C$3,IF(AF129="TIPO II",'BASE LIQUIDACION'!$C$4,IF(AF129="TIPO III",'BASE LIQUIDACION'!$C$5,'BASE LIQUIDACION'!$C$7))))</f>
        <v>37904.65408</v>
      </c>
      <c r="AM129" s="80">
        <f>IF(T129="SOPORTE_TELEFÓNICO",'BASE LIQUIDACION'!$B$10,(AH129*AL129+AI129*'BASE LIQUIDACION'!$B$12+AJ129*'BASE LIQUIDACION'!$B$11+INCIDENTES!AK129*'BASE LIQUIDACION'!$B$13))</f>
        <v>37904.65408</v>
      </c>
    </row>
    <row r="130" spans="1:39" s="4" customFormat="1">
      <c r="A130" s="104" t="s">
        <v>195</v>
      </c>
      <c r="B130" s="56" t="str">
        <f>VLOOKUP(A130,'CENTRO DE COSTOS'!A:D,4,FALSE)</f>
        <v>DIEGO FERNANDO HENAO CARDONA</v>
      </c>
      <c r="C130" s="56" t="str">
        <f>VLOOKUP(A130,'CENTRO DE COSTOS'!A:D,2,FALSE)</f>
        <v>0004-0002</v>
      </c>
      <c r="D130" s="104">
        <v>63130</v>
      </c>
      <c r="E130" s="104">
        <v>2328978</v>
      </c>
      <c r="F130" s="104" t="s">
        <v>2043</v>
      </c>
      <c r="G130" s="105">
        <v>45827.434027777781</v>
      </c>
      <c r="H130" s="105">
        <v>45828.460219907407</v>
      </c>
      <c r="I130" s="104" t="s">
        <v>1271</v>
      </c>
      <c r="J130" s="104" t="s">
        <v>1272</v>
      </c>
      <c r="K130" s="104" t="s">
        <v>2044</v>
      </c>
      <c r="L130" s="104">
        <v>11734</v>
      </c>
      <c r="M130" s="56" t="s">
        <v>1505</v>
      </c>
      <c r="N130" s="56" t="s">
        <v>119</v>
      </c>
      <c r="O130" s="104" t="s">
        <v>1524</v>
      </c>
      <c r="P130" s="56"/>
      <c r="Q130" s="104" t="s">
        <v>1506</v>
      </c>
      <c r="R130" s="106" t="s">
        <v>2045</v>
      </c>
      <c r="S130" s="107" t="s">
        <v>1678</v>
      </c>
      <c r="T130" s="104" t="s">
        <v>1509</v>
      </c>
      <c r="U130" s="107" t="s">
        <v>2046</v>
      </c>
      <c r="V130" s="108" t="s">
        <v>1511</v>
      </c>
      <c r="W130" s="109" t="s">
        <v>1512</v>
      </c>
      <c r="X130" s="109" t="s">
        <v>1533</v>
      </c>
      <c r="Y130" s="109" t="s">
        <v>1534</v>
      </c>
      <c r="Z130" s="109" t="s">
        <v>1515</v>
      </c>
      <c r="AA130" s="109">
        <v>0</v>
      </c>
      <c r="AB130" s="109">
        <v>0</v>
      </c>
      <c r="AC130" s="109">
        <v>0</v>
      </c>
      <c r="AD130" s="109">
        <v>0</v>
      </c>
      <c r="AE130" s="110">
        <v>0</v>
      </c>
      <c r="AF130" s="77" t="str">
        <f>VLOOKUP(D130,TIPOLOGIAS!A:H,6,0)</f>
        <v>TIPO II</v>
      </c>
      <c r="AG130" s="77" t="str">
        <f>VLOOKUP(D130,TIPOLOGIAS!A:H,5,0)</f>
        <v>TERRESTRE</v>
      </c>
      <c r="AH130" s="104">
        <v>1</v>
      </c>
      <c r="AI130" s="104">
        <v>0</v>
      </c>
      <c r="AJ130" s="104">
        <v>0</v>
      </c>
      <c r="AK130" s="104">
        <v>0</v>
      </c>
      <c r="AL130" s="78">
        <f>IF(T130="SOPORTE_TELEFÓNICO",'BASE LIQUIDACION'!$B$10,IF(AF130="TIPO I",'BASE LIQUIDACION'!$C$3,IF(AF130="TIPO II",'BASE LIQUIDACION'!$C$4,IF(AF130="TIPO III",'BASE LIQUIDACION'!$C$5,'BASE LIQUIDACION'!$C$7))))</f>
        <v>163813.55812</v>
      </c>
      <c r="AM130" s="80">
        <f>IF(T130="SOPORTE_TELEFÓNICO",'BASE LIQUIDACION'!$B$10,(AH130*AL130+AI130*'BASE LIQUIDACION'!$B$12+AJ130*'BASE LIQUIDACION'!$B$11+INCIDENTES!AK130*'BASE LIQUIDACION'!$B$13))</f>
        <v>163813.55812</v>
      </c>
    </row>
    <row r="131" spans="1:39" s="4" customFormat="1">
      <c r="A131" s="104" t="s">
        <v>275</v>
      </c>
      <c r="B131" s="56" t="str">
        <f>VLOOKUP(A131,'CENTRO DE COSTOS'!A:D,4,FALSE)</f>
        <v>MIGUEL JULIÁN HERNÁNDEZ GUARÍN</v>
      </c>
      <c r="C131" s="56" t="str">
        <f>VLOOKUP(A131,'CENTRO DE COSTOS'!A:D,2,FALSE)</f>
        <v>0004-0008</v>
      </c>
      <c r="D131" s="104">
        <v>54001</v>
      </c>
      <c r="E131" s="104">
        <v>2333046</v>
      </c>
      <c r="F131" s="104" t="s">
        <v>2047</v>
      </c>
      <c r="G131" s="105">
        <v>45828.333333333336</v>
      </c>
      <c r="H131" s="105">
        <v>45828.462500000001</v>
      </c>
      <c r="I131" s="104" t="s">
        <v>278</v>
      </c>
      <c r="J131" s="104" t="s">
        <v>275</v>
      </c>
      <c r="K131" s="104" t="s">
        <v>2048</v>
      </c>
      <c r="L131" s="104">
        <v>69735</v>
      </c>
      <c r="M131" s="56" t="s">
        <v>1505</v>
      </c>
      <c r="N131" s="56" t="s">
        <v>119</v>
      </c>
      <c r="O131" s="104" t="s">
        <v>332</v>
      </c>
      <c r="P131" s="56"/>
      <c r="Q131" s="104" t="s">
        <v>1506</v>
      </c>
      <c r="R131" s="106" t="s">
        <v>2049</v>
      </c>
      <c r="S131" s="107" t="s">
        <v>2050</v>
      </c>
      <c r="T131" s="104" t="s">
        <v>1520</v>
      </c>
      <c r="U131" s="107">
        <v>0</v>
      </c>
      <c r="V131" s="108" t="s">
        <v>1511</v>
      </c>
      <c r="W131" s="109" t="s">
        <v>1512</v>
      </c>
      <c r="X131" s="109" t="s">
        <v>1513</v>
      </c>
      <c r="Y131" s="109" t="s">
        <v>1521</v>
      </c>
      <c r="Z131" s="109" t="s">
        <v>1515</v>
      </c>
      <c r="AA131" s="109">
        <v>0</v>
      </c>
      <c r="AB131" s="109">
        <v>0</v>
      </c>
      <c r="AC131" s="109">
        <v>0</v>
      </c>
      <c r="AD131" s="109">
        <v>0</v>
      </c>
      <c r="AE131" s="110">
        <v>0</v>
      </c>
      <c r="AF131" s="77" t="str">
        <f>VLOOKUP(D131,TIPOLOGIAS!A:H,6,0)</f>
        <v>TIPO I</v>
      </c>
      <c r="AG131" s="77" t="str">
        <f>VLOOKUP(D131,TIPOLOGIAS!A:H,5,0)</f>
        <v>TERRESTRE</v>
      </c>
      <c r="AH131" s="104">
        <v>0</v>
      </c>
      <c r="AI131" s="104">
        <v>0</v>
      </c>
      <c r="AJ131" s="104">
        <v>0</v>
      </c>
      <c r="AK131" s="104">
        <v>0</v>
      </c>
      <c r="AL131" s="78">
        <f>IF(T131="SOPORTE_TELEFÓNICO",'BASE LIQUIDACION'!$B$10,IF(AF131="TIPO I",'BASE LIQUIDACION'!$C$3,IF(AF131="TIPO II",'BASE LIQUIDACION'!$C$4,IF(AF131="TIPO III",'BASE LIQUIDACION'!$C$5,'BASE LIQUIDACION'!$C$7))))</f>
        <v>37904.65408</v>
      </c>
      <c r="AM131" s="80">
        <f>IF(T131="SOPORTE_TELEFÓNICO",'BASE LIQUIDACION'!$B$10,(AH131*AL131+AI131*'BASE LIQUIDACION'!$B$12+AJ131*'BASE LIQUIDACION'!$B$11+INCIDENTES!AK131*'BASE LIQUIDACION'!$B$13))</f>
        <v>37904.65408</v>
      </c>
    </row>
    <row r="132" spans="1:39" s="4" customFormat="1">
      <c r="A132" s="104" t="s">
        <v>619</v>
      </c>
      <c r="B132" s="56" t="str">
        <f>VLOOKUP(A132,'CENTRO DE COSTOS'!A:D,4,FALSE)</f>
        <v>JOSE MAURICIO HERNANDEZ ROJAS</v>
      </c>
      <c r="C132" s="56" t="str">
        <f>VLOOKUP(A132,'CENTRO DE COSTOS'!A:D,2,FALSE)</f>
        <v>0004-0001</v>
      </c>
      <c r="D132" s="104">
        <v>13836</v>
      </c>
      <c r="E132" s="104">
        <v>2334923</v>
      </c>
      <c r="F132" s="104" t="s">
        <v>2051</v>
      </c>
      <c r="G132" s="105">
        <v>45828.404166666667</v>
      </c>
      <c r="H132" s="105">
        <v>45828.492199074077</v>
      </c>
      <c r="I132" s="104" t="s">
        <v>618</v>
      </c>
      <c r="J132" s="104" t="s">
        <v>663</v>
      </c>
      <c r="K132" s="104" t="s">
        <v>2052</v>
      </c>
      <c r="L132" s="104">
        <v>55636</v>
      </c>
      <c r="M132" s="56" t="s">
        <v>1505</v>
      </c>
      <c r="N132" s="56" t="s">
        <v>119</v>
      </c>
      <c r="O132" s="104" t="s">
        <v>332</v>
      </c>
      <c r="P132" s="56"/>
      <c r="Q132" s="104" t="s">
        <v>1506</v>
      </c>
      <c r="R132" s="106" t="s">
        <v>2053</v>
      </c>
      <c r="S132" s="107" t="s">
        <v>1647</v>
      </c>
      <c r="T132" s="104" t="s">
        <v>1520</v>
      </c>
      <c r="U132" s="107">
        <v>0</v>
      </c>
      <c r="V132" s="108" t="s">
        <v>1511</v>
      </c>
      <c r="W132" s="109" t="s">
        <v>1512</v>
      </c>
      <c r="X132" s="109" t="s">
        <v>1513</v>
      </c>
      <c r="Y132" s="109" t="s">
        <v>1521</v>
      </c>
      <c r="Z132" s="109" t="s">
        <v>1515</v>
      </c>
      <c r="AA132" s="109">
        <v>0</v>
      </c>
      <c r="AB132" s="109">
        <v>0</v>
      </c>
      <c r="AC132" s="109">
        <v>0</v>
      </c>
      <c r="AD132" s="109">
        <v>0</v>
      </c>
      <c r="AE132" s="110">
        <v>0</v>
      </c>
      <c r="AF132" s="77" t="str">
        <f>VLOOKUP(D132,TIPOLOGIAS!A:H,6,0)</f>
        <v>TIPO II</v>
      </c>
      <c r="AG132" s="77" t="str">
        <f>VLOOKUP(D132,TIPOLOGIAS!A:H,5,0)</f>
        <v>TERRESTRE</v>
      </c>
      <c r="AH132" s="104">
        <v>0</v>
      </c>
      <c r="AI132" s="104">
        <v>0</v>
      </c>
      <c r="AJ132" s="104">
        <v>0</v>
      </c>
      <c r="AK132" s="104">
        <v>0</v>
      </c>
      <c r="AL132" s="78">
        <f>IF(T132="SOPORTE_TELEFÓNICO",'BASE LIQUIDACION'!$B$10,IF(AF132="TIPO I",'BASE LIQUIDACION'!$C$3,IF(AF132="TIPO II",'BASE LIQUIDACION'!$C$4,IF(AF132="TIPO III",'BASE LIQUIDACION'!$C$5,'BASE LIQUIDACION'!$C$7))))</f>
        <v>37904.65408</v>
      </c>
      <c r="AM132" s="80">
        <f>IF(T132="SOPORTE_TELEFÓNICO",'BASE LIQUIDACION'!$B$10,(AH132*AL132+AI132*'BASE LIQUIDACION'!$B$12+AJ132*'BASE LIQUIDACION'!$B$11+INCIDENTES!AK132*'BASE LIQUIDACION'!$B$13))</f>
        <v>37904.65408</v>
      </c>
    </row>
    <row r="133" spans="1:39" s="4" customFormat="1">
      <c r="A133" s="104" t="s">
        <v>163</v>
      </c>
      <c r="B133" s="56" t="str">
        <f>VLOOKUP(A133,'CENTRO DE COSTOS'!A:D,4,FALSE)</f>
        <v>WILLIAM ASDRUBAL ROZO ROZO</v>
      </c>
      <c r="C133" s="56" t="str">
        <f>VLOOKUP(A133,'CENTRO DE COSTOS'!A:D,2,FALSE)</f>
        <v>0004-0004</v>
      </c>
      <c r="D133" s="104">
        <v>11001</v>
      </c>
      <c r="E133" s="104">
        <v>2330614</v>
      </c>
      <c r="F133" s="104" t="s">
        <v>2054</v>
      </c>
      <c r="G133" s="105">
        <v>45827.536805555559</v>
      </c>
      <c r="H133" s="105">
        <v>45828.495069444441</v>
      </c>
      <c r="I133" s="104" t="s">
        <v>166</v>
      </c>
      <c r="J133" s="104" t="s">
        <v>163</v>
      </c>
      <c r="K133" s="104" t="s">
        <v>2055</v>
      </c>
      <c r="L133" s="104">
        <v>17996</v>
      </c>
      <c r="M133" s="56" t="s">
        <v>1505</v>
      </c>
      <c r="N133" s="56" t="s">
        <v>119</v>
      </c>
      <c r="O133" s="104" t="s">
        <v>1524</v>
      </c>
      <c r="P133" s="56"/>
      <c r="Q133" s="104" t="s">
        <v>1506</v>
      </c>
      <c r="R133" s="106" t="s">
        <v>2056</v>
      </c>
      <c r="S133" s="107" t="s">
        <v>411</v>
      </c>
      <c r="T133" s="104" t="s">
        <v>1509</v>
      </c>
      <c r="U133" s="107" t="s">
        <v>2057</v>
      </c>
      <c r="V133" s="108" t="s">
        <v>1511</v>
      </c>
      <c r="W133" s="109" t="s">
        <v>1512</v>
      </c>
      <c r="X133" s="109" t="s">
        <v>1533</v>
      </c>
      <c r="Y133" s="109" t="s">
        <v>1534</v>
      </c>
      <c r="Z133" s="109" t="s">
        <v>1515</v>
      </c>
      <c r="AA133" s="109">
        <v>0</v>
      </c>
      <c r="AB133" s="109">
        <v>0</v>
      </c>
      <c r="AC133" s="109">
        <v>0</v>
      </c>
      <c r="AD133" s="109">
        <v>0</v>
      </c>
      <c r="AE133" s="110">
        <v>0</v>
      </c>
      <c r="AF133" s="77" t="str">
        <f>VLOOKUP(D133,TIPOLOGIAS!A:H,6,0)</f>
        <v>TIPO I</v>
      </c>
      <c r="AG133" s="77" t="str">
        <f>VLOOKUP(D133,TIPOLOGIAS!A:H,5,0)</f>
        <v>TERRESTRE</v>
      </c>
      <c r="AH133" s="104">
        <v>1</v>
      </c>
      <c r="AI133" s="104">
        <v>0</v>
      </c>
      <c r="AJ133" s="104">
        <v>0</v>
      </c>
      <c r="AK133" s="104">
        <v>0</v>
      </c>
      <c r="AL133" s="78">
        <f>IF(T133="SOPORTE_TELEFÓNICO",'BASE LIQUIDACION'!$B$10,IF(AF133="TIPO I",'BASE LIQUIDACION'!$C$3,IF(AF133="TIPO II",'BASE LIQUIDACION'!$C$4,IF(AF133="TIPO III",'BASE LIQUIDACION'!$C$5,'BASE LIQUIDACION'!$C$7))))</f>
        <v>65960.473639999997</v>
      </c>
      <c r="AM133" s="80">
        <f>IF(T133="SOPORTE_TELEFÓNICO",'BASE LIQUIDACION'!$B$10,(AH133*AL133+AI133*'BASE LIQUIDACION'!$B$12+AJ133*'BASE LIQUIDACION'!$B$11+INCIDENTES!AK133*'BASE LIQUIDACION'!$B$13))</f>
        <v>65960.473639999997</v>
      </c>
    </row>
    <row r="134" spans="1:39" s="4" customFormat="1">
      <c r="A134" s="104" t="s">
        <v>111</v>
      </c>
      <c r="B134" s="56" t="str">
        <f>VLOOKUP(A134,'CENTRO DE COSTOS'!A:D,4,FALSE)</f>
        <v>JUAN SEBASTIÁN RÍOS CASTRILLÓN</v>
      </c>
      <c r="C134" s="56" t="str">
        <f>VLOOKUP(A134,'CENTRO DE COSTOS'!A:D,2,FALSE)</f>
        <v>0004-0005</v>
      </c>
      <c r="D134" s="104">
        <v>5001</v>
      </c>
      <c r="E134" s="104">
        <v>2330645</v>
      </c>
      <c r="F134" s="104" t="s">
        <v>2058</v>
      </c>
      <c r="G134" s="105">
        <v>45827.548611111109</v>
      </c>
      <c r="H134" s="105">
        <v>45828.497488425928</v>
      </c>
      <c r="I134" s="104" t="s">
        <v>131</v>
      </c>
      <c r="J134" s="104" t="s">
        <v>111</v>
      </c>
      <c r="K134" s="104" t="s">
        <v>2059</v>
      </c>
      <c r="L134" s="104">
        <v>24790</v>
      </c>
      <c r="M134" s="56" t="s">
        <v>1505</v>
      </c>
      <c r="N134" s="56" t="s">
        <v>119</v>
      </c>
      <c r="O134" s="104" t="s">
        <v>332</v>
      </c>
      <c r="P134" s="56"/>
      <c r="Q134" s="104" t="s">
        <v>1506</v>
      </c>
      <c r="R134" s="106" t="s">
        <v>2060</v>
      </c>
      <c r="S134" s="107" t="s">
        <v>1561</v>
      </c>
      <c r="T134" s="104" t="s">
        <v>1509</v>
      </c>
      <c r="U134" s="107" t="s">
        <v>2061</v>
      </c>
      <c r="V134" s="108" t="s">
        <v>1511</v>
      </c>
      <c r="W134" s="109" t="s">
        <v>1512</v>
      </c>
      <c r="X134" s="109" t="s">
        <v>1533</v>
      </c>
      <c r="Y134" s="109" t="s">
        <v>1534</v>
      </c>
      <c r="Z134" s="109" t="s">
        <v>1515</v>
      </c>
      <c r="AA134" s="109">
        <v>0</v>
      </c>
      <c r="AB134" s="109">
        <v>0</v>
      </c>
      <c r="AC134" s="109">
        <v>0</v>
      </c>
      <c r="AD134" s="109">
        <v>0</v>
      </c>
      <c r="AE134" s="110">
        <v>0</v>
      </c>
      <c r="AF134" s="77" t="str">
        <f>VLOOKUP(D134,TIPOLOGIAS!A:H,6,0)</f>
        <v>TIPO I</v>
      </c>
      <c r="AG134" s="77" t="str">
        <f>VLOOKUP(D134,TIPOLOGIAS!A:H,5,0)</f>
        <v>TERRESTRE</v>
      </c>
      <c r="AH134" s="104">
        <v>1</v>
      </c>
      <c r="AI134" s="104">
        <v>0</v>
      </c>
      <c r="AJ134" s="104">
        <v>0</v>
      </c>
      <c r="AK134" s="104">
        <v>0</v>
      </c>
      <c r="AL134" s="78">
        <f>IF(T134="SOPORTE_TELEFÓNICO",'BASE LIQUIDACION'!$B$10,IF(AF134="TIPO I",'BASE LIQUIDACION'!$C$3,IF(AF134="TIPO II",'BASE LIQUIDACION'!$C$4,IF(AF134="TIPO III",'BASE LIQUIDACION'!$C$5,'BASE LIQUIDACION'!$C$7))))</f>
        <v>65960.473639999997</v>
      </c>
      <c r="AM134" s="80">
        <f>IF(T134="SOPORTE_TELEFÓNICO",'BASE LIQUIDACION'!$B$10,(AH134*AL134+AI134*'BASE LIQUIDACION'!$B$12+AJ134*'BASE LIQUIDACION'!$B$11+INCIDENTES!AK134*'BASE LIQUIDACION'!$B$13))</f>
        <v>65960.473639999997</v>
      </c>
    </row>
    <row r="135" spans="1:39" s="4" customFormat="1">
      <c r="A135" s="104" t="s">
        <v>392</v>
      </c>
      <c r="B135" s="56" t="str">
        <f>VLOOKUP(A135,'CENTRO DE COSTOS'!A:D,4,FALSE)</f>
        <v>JOSE MAURICIO HERNANDEZ ROJAS</v>
      </c>
      <c r="C135" s="56" t="str">
        <f>VLOOKUP(A135,'CENTRO DE COSTOS'!A:D,2,FALSE)</f>
        <v>0004-0001</v>
      </c>
      <c r="D135" s="104">
        <v>70001</v>
      </c>
      <c r="E135" s="104">
        <v>2326996</v>
      </c>
      <c r="F135" s="104" t="s">
        <v>2062</v>
      </c>
      <c r="G135" s="105">
        <v>45827.333333333336</v>
      </c>
      <c r="H135" s="105">
        <v>45828.503981481481</v>
      </c>
      <c r="I135" s="104" t="s">
        <v>395</v>
      </c>
      <c r="J135" s="104" t="s">
        <v>392</v>
      </c>
      <c r="K135" s="104" t="s">
        <v>2063</v>
      </c>
      <c r="L135" s="104">
        <v>50737</v>
      </c>
      <c r="M135" s="56" t="s">
        <v>1505</v>
      </c>
      <c r="N135" s="56" t="s">
        <v>119</v>
      </c>
      <c r="O135" s="104" t="s">
        <v>1524</v>
      </c>
      <c r="P135" s="56"/>
      <c r="Q135" s="104" t="s">
        <v>1506</v>
      </c>
      <c r="R135" s="106" t="s">
        <v>2064</v>
      </c>
      <c r="S135" s="107" t="s">
        <v>399</v>
      </c>
      <c r="T135" s="104" t="s">
        <v>1509</v>
      </c>
      <c r="U135" s="107" t="s">
        <v>2065</v>
      </c>
      <c r="V135" s="108" t="s">
        <v>1511</v>
      </c>
      <c r="W135" s="109" t="s">
        <v>1512</v>
      </c>
      <c r="X135" s="109" t="s">
        <v>1567</v>
      </c>
      <c r="Y135" s="109" t="s">
        <v>1649</v>
      </c>
      <c r="Z135" s="109" t="s">
        <v>1515</v>
      </c>
      <c r="AA135" s="109">
        <v>0</v>
      </c>
      <c r="AB135" s="109">
        <v>0</v>
      </c>
      <c r="AC135" s="109">
        <v>0</v>
      </c>
      <c r="AD135" s="109">
        <v>0</v>
      </c>
      <c r="AE135" s="110">
        <v>0</v>
      </c>
      <c r="AF135" s="77" t="str">
        <f>VLOOKUP(D135,TIPOLOGIAS!A:H,6,0)</f>
        <v>TIPO I</v>
      </c>
      <c r="AG135" s="77" t="str">
        <f>VLOOKUP(D135,TIPOLOGIAS!A:H,5,0)</f>
        <v>TERRESTRE</v>
      </c>
      <c r="AH135" s="104">
        <v>1</v>
      </c>
      <c r="AI135" s="104">
        <v>0</v>
      </c>
      <c r="AJ135" s="104">
        <v>0</v>
      </c>
      <c r="AK135" s="104">
        <v>0</v>
      </c>
      <c r="AL135" s="78">
        <f>IF(T135="SOPORTE_TELEFÓNICO",'BASE LIQUIDACION'!$B$10,IF(AF135="TIPO I",'BASE LIQUIDACION'!$C$3,IF(AF135="TIPO II",'BASE LIQUIDACION'!$C$4,IF(AF135="TIPO III",'BASE LIQUIDACION'!$C$5,'BASE LIQUIDACION'!$C$7))))</f>
        <v>65960.473639999997</v>
      </c>
      <c r="AM135" s="80">
        <f>IF(T135="SOPORTE_TELEFÓNICO",'BASE LIQUIDACION'!$B$10,(AH135*AL135+AI135*'BASE LIQUIDACION'!$B$12+AJ135*'BASE LIQUIDACION'!$B$11+INCIDENTES!AK135*'BASE LIQUIDACION'!$B$13))</f>
        <v>65960.473639999997</v>
      </c>
    </row>
    <row r="136" spans="1:39" s="4" customFormat="1">
      <c r="A136" s="104" t="s">
        <v>111</v>
      </c>
      <c r="B136" s="56" t="str">
        <f>VLOOKUP(A136,'CENTRO DE COSTOS'!A:D,4,FALSE)</f>
        <v>JUAN SEBASTIÁN RÍOS CASTRILLÓN</v>
      </c>
      <c r="C136" s="56" t="str">
        <f>VLOOKUP(A136,'CENTRO DE COSTOS'!A:D,2,FALSE)</f>
        <v>0004-0005</v>
      </c>
      <c r="D136" s="104">
        <v>5001</v>
      </c>
      <c r="E136" s="104">
        <v>2336299</v>
      </c>
      <c r="F136" s="104" t="s">
        <v>2066</v>
      </c>
      <c r="G136" s="105">
        <v>45828.490972222222</v>
      </c>
      <c r="H136" s="105">
        <v>45828.51458333333</v>
      </c>
      <c r="I136" s="104">
        <v>0</v>
      </c>
      <c r="J136" s="104">
        <v>0</v>
      </c>
      <c r="K136" s="104">
        <v>0</v>
      </c>
      <c r="L136" s="104">
        <v>17794</v>
      </c>
      <c r="M136" s="56" t="s">
        <v>1505</v>
      </c>
      <c r="N136" s="56" t="s">
        <v>119</v>
      </c>
      <c r="O136" s="104" t="s">
        <v>1845</v>
      </c>
      <c r="P136" s="56"/>
      <c r="Q136" s="104" t="s">
        <v>1506</v>
      </c>
      <c r="R136" s="106" t="s">
        <v>2067</v>
      </c>
      <c r="S136" s="107">
        <v>0</v>
      </c>
      <c r="T136" s="104" t="s">
        <v>1520</v>
      </c>
      <c r="U136" s="107">
        <v>0</v>
      </c>
      <c r="V136" s="108" t="s">
        <v>1511</v>
      </c>
      <c r="W136" s="109" t="s">
        <v>1512</v>
      </c>
      <c r="X136" s="109" t="s">
        <v>1533</v>
      </c>
      <c r="Y136" s="109" t="s">
        <v>1534</v>
      </c>
      <c r="Z136" s="109" t="s">
        <v>1515</v>
      </c>
      <c r="AA136" s="109">
        <v>0</v>
      </c>
      <c r="AB136" s="109">
        <v>0</v>
      </c>
      <c r="AC136" s="109">
        <v>0</v>
      </c>
      <c r="AD136" s="109">
        <v>0</v>
      </c>
      <c r="AE136" s="110">
        <v>0</v>
      </c>
      <c r="AF136" s="77" t="str">
        <f>VLOOKUP(D136,TIPOLOGIAS!A:H,6,0)</f>
        <v>TIPO I</v>
      </c>
      <c r="AG136" s="77" t="str">
        <f>VLOOKUP(D136,TIPOLOGIAS!A:H,5,0)</f>
        <v>TERRESTRE</v>
      </c>
      <c r="AH136" s="104">
        <v>0</v>
      </c>
      <c r="AI136" s="104">
        <v>0</v>
      </c>
      <c r="AJ136" s="104">
        <v>0</v>
      </c>
      <c r="AK136" s="104">
        <v>0</v>
      </c>
      <c r="AL136" s="78">
        <f>IF(T136="SOPORTE_TELEFÓNICO",'BASE LIQUIDACION'!$B$10,IF(AF136="TIPO I",'BASE LIQUIDACION'!$C$3,IF(AF136="TIPO II",'BASE LIQUIDACION'!$C$4,IF(AF136="TIPO III",'BASE LIQUIDACION'!$C$5,'BASE LIQUIDACION'!$C$7))))</f>
        <v>37904.65408</v>
      </c>
      <c r="AM136" s="80">
        <f>IF(T136="SOPORTE_TELEFÓNICO",'BASE LIQUIDACION'!$B$10,(AH136*AL136+AI136*'BASE LIQUIDACION'!$B$12+AJ136*'BASE LIQUIDACION'!$B$11+INCIDENTES!AK136*'BASE LIQUIDACION'!$B$13))</f>
        <v>37904.65408</v>
      </c>
    </row>
    <row r="137" spans="1:39" s="4" customFormat="1">
      <c r="A137" s="104" t="s">
        <v>128</v>
      </c>
      <c r="B137" s="56" t="str">
        <f>VLOOKUP(A137,'CENTRO DE COSTOS'!A:D,4,FALSE)</f>
        <v>JUAN SEBASTIÁN RÍOS CASTRILLÓN</v>
      </c>
      <c r="C137" s="56" t="str">
        <f>VLOOKUP(A137,'CENTRO DE COSTOS'!A:D,2,FALSE)</f>
        <v>0004-0005</v>
      </c>
      <c r="D137" s="104">
        <v>5837</v>
      </c>
      <c r="E137" s="104">
        <v>2324764</v>
      </c>
      <c r="F137" s="104" t="s">
        <v>2068</v>
      </c>
      <c r="G137" s="105">
        <v>45826.59652777778</v>
      </c>
      <c r="H137" s="105">
        <v>45828.528171296297</v>
      </c>
      <c r="I137" s="104" t="s">
        <v>131</v>
      </c>
      <c r="J137" s="104" t="s">
        <v>132</v>
      </c>
      <c r="K137" s="104" t="s">
        <v>2069</v>
      </c>
      <c r="L137" s="104">
        <v>58842</v>
      </c>
      <c r="M137" s="56" t="s">
        <v>1505</v>
      </c>
      <c r="N137" s="56" t="s">
        <v>119</v>
      </c>
      <c r="O137" s="104" t="s">
        <v>1524</v>
      </c>
      <c r="P137" s="56"/>
      <c r="Q137" s="104" t="s">
        <v>1506</v>
      </c>
      <c r="R137" s="106" t="s">
        <v>2070</v>
      </c>
      <c r="S137" s="107" t="s">
        <v>1549</v>
      </c>
      <c r="T137" s="104" t="s">
        <v>1509</v>
      </c>
      <c r="U137" s="107" t="s">
        <v>2071</v>
      </c>
      <c r="V137" s="108" t="s">
        <v>1511</v>
      </c>
      <c r="W137" s="109" t="s">
        <v>1512</v>
      </c>
      <c r="X137" s="109" t="s">
        <v>1533</v>
      </c>
      <c r="Y137" s="109" t="s">
        <v>1534</v>
      </c>
      <c r="Z137" s="109" t="s">
        <v>1515</v>
      </c>
      <c r="AA137" s="109">
        <v>0</v>
      </c>
      <c r="AB137" s="109">
        <v>0</v>
      </c>
      <c r="AC137" s="109">
        <v>0</v>
      </c>
      <c r="AD137" s="109">
        <v>0</v>
      </c>
      <c r="AE137" s="110">
        <v>0</v>
      </c>
      <c r="AF137" s="77" t="str">
        <f>VLOOKUP(D137,TIPOLOGIAS!A:H,6,0)</f>
        <v>TIPO II</v>
      </c>
      <c r="AG137" s="77" t="str">
        <f>VLOOKUP(D137,TIPOLOGIAS!A:H,5,0)</f>
        <v>TERRESTRE</v>
      </c>
      <c r="AH137" s="104">
        <v>1</v>
      </c>
      <c r="AI137" s="104">
        <v>0</v>
      </c>
      <c r="AJ137" s="104">
        <v>0</v>
      </c>
      <c r="AK137" s="104">
        <v>0</v>
      </c>
      <c r="AL137" s="78">
        <f>IF(T137="SOPORTE_TELEFÓNICO",'BASE LIQUIDACION'!$B$10,IF(AF137="TIPO I",'BASE LIQUIDACION'!$C$3,IF(AF137="TIPO II",'BASE LIQUIDACION'!$C$4,IF(AF137="TIPO III",'BASE LIQUIDACION'!$C$5,'BASE LIQUIDACION'!$C$7))))</f>
        <v>163813.55812</v>
      </c>
      <c r="AM137" s="80">
        <f>IF(T137="SOPORTE_TELEFÓNICO",'BASE LIQUIDACION'!$B$10,(AH137*AL137+AI137*'BASE LIQUIDACION'!$B$12+AJ137*'BASE LIQUIDACION'!$B$11+INCIDENTES!AK137*'BASE LIQUIDACION'!$B$13))</f>
        <v>163813.55812</v>
      </c>
    </row>
    <row r="138" spans="1:39" s="4" customFormat="1">
      <c r="A138" s="104" t="s">
        <v>147</v>
      </c>
      <c r="B138" s="56" t="str">
        <f>VLOOKUP(A138,'CENTRO DE COSTOS'!A:D,4,FALSE)</f>
        <v>MIGUEL JULIÁN HERNÁNDEZ GUARÍN</v>
      </c>
      <c r="C138" s="56" t="str">
        <f>VLOOKUP(A138,'CENTRO DE COSTOS'!A:D,2,FALSE)</f>
        <v>0004-0008</v>
      </c>
      <c r="D138" s="104">
        <v>15238</v>
      </c>
      <c r="E138" s="104">
        <v>2333037</v>
      </c>
      <c r="F138" s="104" t="s">
        <v>2072</v>
      </c>
      <c r="G138" s="105">
        <v>45828.333333333336</v>
      </c>
      <c r="H138" s="105">
        <v>45828.546597222223</v>
      </c>
      <c r="I138" s="104" t="s">
        <v>150</v>
      </c>
      <c r="J138" s="104" t="s">
        <v>695</v>
      </c>
      <c r="K138" s="104" t="s">
        <v>2073</v>
      </c>
      <c r="L138" s="104">
        <v>78800</v>
      </c>
      <c r="M138" s="56" t="s">
        <v>1505</v>
      </c>
      <c r="N138" s="56" t="s">
        <v>119</v>
      </c>
      <c r="O138" s="104" t="s">
        <v>1524</v>
      </c>
      <c r="P138" s="56"/>
      <c r="Q138" s="104" t="s">
        <v>1506</v>
      </c>
      <c r="R138" s="106" t="s">
        <v>2074</v>
      </c>
      <c r="S138" s="107" t="s">
        <v>1758</v>
      </c>
      <c r="T138" s="104" t="s">
        <v>1509</v>
      </c>
      <c r="U138" s="107" t="s">
        <v>2075</v>
      </c>
      <c r="V138" s="108" t="s">
        <v>1511</v>
      </c>
      <c r="W138" s="109" t="s">
        <v>1512</v>
      </c>
      <c r="X138" s="109" t="s">
        <v>1513</v>
      </c>
      <c r="Y138" s="109" t="s">
        <v>1514</v>
      </c>
      <c r="Z138" s="109" t="s">
        <v>1515</v>
      </c>
      <c r="AA138" s="109">
        <v>0</v>
      </c>
      <c r="AB138" s="109">
        <v>0</v>
      </c>
      <c r="AC138" s="109">
        <v>0</v>
      </c>
      <c r="AD138" s="109">
        <v>0</v>
      </c>
      <c r="AE138" s="110" t="s">
        <v>1955</v>
      </c>
      <c r="AF138" s="77" t="str">
        <f>VLOOKUP(D138,TIPOLOGIAS!A:H,6,0)</f>
        <v>TIPO II</v>
      </c>
      <c r="AG138" s="77" t="str">
        <f>VLOOKUP(D138,TIPOLOGIAS!A:H,5,0)</f>
        <v>TERRESTRE</v>
      </c>
      <c r="AH138" s="104">
        <v>1</v>
      </c>
      <c r="AI138" s="104">
        <v>0</v>
      </c>
      <c r="AJ138" s="104">
        <v>0</v>
      </c>
      <c r="AK138" s="104">
        <v>0</v>
      </c>
      <c r="AL138" s="78">
        <f>IF(T138="SOPORTE_TELEFÓNICO",'BASE LIQUIDACION'!$B$10,IF(AF138="TIPO I",'BASE LIQUIDACION'!$C$3,IF(AF138="TIPO II",'BASE LIQUIDACION'!$C$4,IF(AF138="TIPO III",'BASE LIQUIDACION'!$C$5,'BASE LIQUIDACION'!$C$7))))</f>
        <v>163813.55812</v>
      </c>
      <c r="AM138" s="80">
        <f>IF(T138="SOPORTE_TELEFÓNICO",'BASE LIQUIDACION'!$B$10,(AH138*AL138+AI138*'BASE LIQUIDACION'!$B$12+AJ138*'BASE LIQUIDACION'!$B$11+INCIDENTES!AK138*'BASE LIQUIDACION'!$B$13))</f>
        <v>163813.55812</v>
      </c>
    </row>
    <row r="139" spans="1:39" s="4" customFormat="1">
      <c r="A139" s="104" t="s">
        <v>195</v>
      </c>
      <c r="B139" s="56" t="str">
        <f>VLOOKUP(A139,'CENTRO DE COSTOS'!A:D,4,FALSE)</f>
        <v>DIEGO FERNANDO HENAO CARDONA</v>
      </c>
      <c r="C139" s="56" t="str">
        <f>VLOOKUP(A139,'CENTRO DE COSTOS'!A:D,2,FALSE)</f>
        <v>0004-0002</v>
      </c>
      <c r="D139" s="104">
        <v>63001</v>
      </c>
      <c r="E139" s="104">
        <v>2333792</v>
      </c>
      <c r="F139" s="104" t="s">
        <v>2076</v>
      </c>
      <c r="G139" s="105">
        <v>45828.341666666667</v>
      </c>
      <c r="H139" s="105">
        <v>45828.620659722219</v>
      </c>
      <c r="I139" s="104" t="s">
        <v>1271</v>
      </c>
      <c r="J139" s="104" t="s">
        <v>468</v>
      </c>
      <c r="K139" s="104" t="s">
        <v>2077</v>
      </c>
      <c r="L139" s="104">
        <v>79595</v>
      </c>
      <c r="M139" s="56" t="s">
        <v>1505</v>
      </c>
      <c r="N139" s="56" t="s">
        <v>119</v>
      </c>
      <c r="O139" s="104" t="s">
        <v>1524</v>
      </c>
      <c r="P139" s="56"/>
      <c r="Q139" s="104" t="s">
        <v>1506</v>
      </c>
      <c r="R139" s="106" t="s">
        <v>2078</v>
      </c>
      <c r="S139" s="107" t="s">
        <v>1678</v>
      </c>
      <c r="T139" s="104" t="s">
        <v>1520</v>
      </c>
      <c r="U139" s="107">
        <v>0</v>
      </c>
      <c r="V139" s="108" t="s">
        <v>1511</v>
      </c>
      <c r="W139" s="109" t="s">
        <v>1512</v>
      </c>
      <c r="X139" s="109" t="s">
        <v>1533</v>
      </c>
      <c r="Y139" s="109" t="s">
        <v>1534</v>
      </c>
      <c r="Z139" s="109" t="s">
        <v>1515</v>
      </c>
      <c r="AA139" s="109">
        <v>0</v>
      </c>
      <c r="AB139" s="109">
        <v>0</v>
      </c>
      <c r="AC139" s="109">
        <v>0</v>
      </c>
      <c r="AD139" s="109">
        <v>0</v>
      </c>
      <c r="AE139" s="110">
        <v>0</v>
      </c>
      <c r="AF139" s="77" t="str">
        <f>VLOOKUP(D139,TIPOLOGIAS!A:H,6,0)</f>
        <v>TIPO II</v>
      </c>
      <c r="AG139" s="77" t="str">
        <f>VLOOKUP(D139,TIPOLOGIAS!A:H,5,0)</f>
        <v>TERRESTRE</v>
      </c>
      <c r="AH139" s="104">
        <v>0</v>
      </c>
      <c r="AI139" s="104">
        <v>0</v>
      </c>
      <c r="AJ139" s="104">
        <v>0</v>
      </c>
      <c r="AK139" s="104">
        <v>0</v>
      </c>
      <c r="AL139" s="78">
        <f>IF(T139="SOPORTE_TELEFÓNICO",'BASE LIQUIDACION'!$B$10,IF(AF139="TIPO I",'BASE LIQUIDACION'!$C$3,IF(AF139="TIPO II",'BASE LIQUIDACION'!$C$4,IF(AF139="TIPO III",'BASE LIQUIDACION'!$C$5,'BASE LIQUIDACION'!$C$7))))</f>
        <v>37904.65408</v>
      </c>
      <c r="AM139" s="80">
        <f>IF(T139="SOPORTE_TELEFÓNICO",'BASE LIQUIDACION'!$B$10,(AH139*AL139+AI139*'BASE LIQUIDACION'!$B$12+AJ139*'BASE LIQUIDACION'!$B$11+INCIDENTES!AK139*'BASE LIQUIDACION'!$B$13))</f>
        <v>37904.65408</v>
      </c>
    </row>
    <row r="140" spans="1:39" s="4" customFormat="1">
      <c r="A140" s="104" t="s">
        <v>111</v>
      </c>
      <c r="B140" s="56" t="str">
        <f>VLOOKUP(A140,'CENTRO DE COSTOS'!A:D,4,FALSE)</f>
        <v>JUAN SEBASTIÁN RÍOS CASTRILLÓN</v>
      </c>
      <c r="C140" s="56" t="str">
        <f>VLOOKUP(A140,'CENTRO DE COSTOS'!A:D,2,FALSE)</f>
        <v>0004-0005</v>
      </c>
      <c r="D140" s="104">
        <v>5001</v>
      </c>
      <c r="E140" s="104">
        <v>2334915</v>
      </c>
      <c r="F140" s="104" t="s">
        <v>2079</v>
      </c>
      <c r="G140" s="105">
        <v>45828.402777777781</v>
      </c>
      <c r="H140" s="105">
        <v>45828.621828703705</v>
      </c>
      <c r="I140" s="104" t="s">
        <v>131</v>
      </c>
      <c r="J140" s="104" t="s">
        <v>111</v>
      </c>
      <c r="K140" s="104" t="s">
        <v>2080</v>
      </c>
      <c r="L140" s="104">
        <v>24172</v>
      </c>
      <c r="M140" s="56" t="s">
        <v>1505</v>
      </c>
      <c r="N140" s="56" t="s">
        <v>119</v>
      </c>
      <c r="O140" s="104" t="s">
        <v>332</v>
      </c>
      <c r="P140" s="56"/>
      <c r="Q140" s="104" t="s">
        <v>1506</v>
      </c>
      <c r="R140" s="106" t="s">
        <v>2081</v>
      </c>
      <c r="S140" s="107" t="s">
        <v>1531</v>
      </c>
      <c r="T140" s="104" t="s">
        <v>1509</v>
      </c>
      <c r="U140" s="107" t="s">
        <v>2082</v>
      </c>
      <c r="V140" s="108" t="s">
        <v>1511</v>
      </c>
      <c r="W140" s="109" t="s">
        <v>1512</v>
      </c>
      <c r="X140" s="109" t="s">
        <v>1533</v>
      </c>
      <c r="Y140" s="109" t="s">
        <v>1534</v>
      </c>
      <c r="Z140" s="109" t="s">
        <v>1515</v>
      </c>
      <c r="AA140" s="109">
        <v>0</v>
      </c>
      <c r="AB140" s="109">
        <v>0</v>
      </c>
      <c r="AC140" s="109">
        <v>0</v>
      </c>
      <c r="AD140" s="109">
        <v>0</v>
      </c>
      <c r="AE140" s="110">
        <v>0</v>
      </c>
      <c r="AF140" s="77" t="str">
        <f>VLOOKUP(D140,TIPOLOGIAS!A:H,6,0)</f>
        <v>TIPO I</v>
      </c>
      <c r="AG140" s="77" t="str">
        <f>VLOOKUP(D140,TIPOLOGIAS!A:H,5,0)</f>
        <v>TERRESTRE</v>
      </c>
      <c r="AH140" s="104">
        <v>1</v>
      </c>
      <c r="AI140" s="104">
        <v>0</v>
      </c>
      <c r="AJ140" s="104">
        <v>0</v>
      </c>
      <c r="AK140" s="104">
        <v>0</v>
      </c>
      <c r="AL140" s="78">
        <f>IF(T140="SOPORTE_TELEFÓNICO",'BASE LIQUIDACION'!$B$10,IF(AF140="TIPO I",'BASE LIQUIDACION'!$C$3,IF(AF140="TIPO II",'BASE LIQUIDACION'!$C$4,IF(AF140="TIPO III",'BASE LIQUIDACION'!$C$5,'BASE LIQUIDACION'!$C$7))))</f>
        <v>65960.473639999997</v>
      </c>
      <c r="AM140" s="80">
        <f>IF(T140="SOPORTE_TELEFÓNICO",'BASE LIQUIDACION'!$B$10,(AH140*AL140+AI140*'BASE LIQUIDACION'!$B$12+AJ140*'BASE LIQUIDACION'!$B$11+INCIDENTES!AK140*'BASE LIQUIDACION'!$B$13))</f>
        <v>65960.473639999997</v>
      </c>
    </row>
    <row r="141" spans="1:39" s="4" customFormat="1">
      <c r="A141" s="104" t="s">
        <v>195</v>
      </c>
      <c r="B141" s="56" t="str">
        <f>VLOOKUP(A141,'CENTRO DE COSTOS'!A:D,4,FALSE)</f>
        <v>DIEGO FERNANDO HENAO CARDONA</v>
      </c>
      <c r="C141" s="56" t="str">
        <f>VLOOKUP(A141,'CENTRO DE COSTOS'!A:D,2,FALSE)</f>
        <v>0004-0002</v>
      </c>
      <c r="D141" s="104">
        <v>66682</v>
      </c>
      <c r="E141" s="104">
        <v>2335224</v>
      </c>
      <c r="F141" s="104" t="s">
        <v>2083</v>
      </c>
      <c r="G141" s="105">
        <v>45828.420138888891</v>
      </c>
      <c r="H141" s="105">
        <v>45828.647141203706</v>
      </c>
      <c r="I141" s="104" t="s">
        <v>198</v>
      </c>
      <c r="J141" s="104" t="s">
        <v>1291</v>
      </c>
      <c r="K141" s="104" t="s">
        <v>2084</v>
      </c>
      <c r="L141" s="104">
        <v>32351</v>
      </c>
      <c r="M141" s="56" t="s">
        <v>1505</v>
      </c>
      <c r="N141" s="56" t="s">
        <v>119</v>
      </c>
      <c r="O141" s="104" t="s">
        <v>425</v>
      </c>
      <c r="P141" s="56"/>
      <c r="Q141" s="104" t="s">
        <v>1506</v>
      </c>
      <c r="R141" s="106" t="s">
        <v>2085</v>
      </c>
      <c r="S141" s="107" t="s">
        <v>2086</v>
      </c>
      <c r="T141" s="104" t="s">
        <v>1509</v>
      </c>
      <c r="U141" s="107" t="s">
        <v>2087</v>
      </c>
      <c r="V141" s="108" t="s">
        <v>1511</v>
      </c>
      <c r="W141" s="109" t="s">
        <v>1512</v>
      </c>
      <c r="X141" s="109" t="s">
        <v>1533</v>
      </c>
      <c r="Y141" s="109" t="s">
        <v>1534</v>
      </c>
      <c r="Z141" s="109" t="s">
        <v>1515</v>
      </c>
      <c r="AA141" s="109">
        <v>0</v>
      </c>
      <c r="AB141" s="109">
        <v>0</v>
      </c>
      <c r="AC141" s="109">
        <v>0</v>
      </c>
      <c r="AD141" s="109">
        <v>0</v>
      </c>
      <c r="AE141" s="110">
        <v>0</v>
      </c>
      <c r="AF141" s="77" t="str">
        <f>VLOOKUP(D141,TIPOLOGIAS!A:H,6,0)</f>
        <v>TIPO I</v>
      </c>
      <c r="AG141" s="77" t="str">
        <f>VLOOKUP(D141,TIPOLOGIAS!A:H,5,0)</f>
        <v>TERRESTRE</v>
      </c>
      <c r="AH141" s="104">
        <v>1</v>
      </c>
      <c r="AI141" s="104">
        <v>0</v>
      </c>
      <c r="AJ141" s="104">
        <v>0</v>
      </c>
      <c r="AK141" s="104">
        <v>0</v>
      </c>
      <c r="AL141" s="78">
        <f>IF(T141="SOPORTE_TELEFÓNICO",'BASE LIQUIDACION'!$B$10,IF(AF141="TIPO I",'BASE LIQUIDACION'!$C$3,IF(AF141="TIPO II",'BASE LIQUIDACION'!$C$4,IF(AF141="TIPO III",'BASE LIQUIDACION'!$C$5,'BASE LIQUIDACION'!$C$7))))</f>
        <v>65960.473639999997</v>
      </c>
      <c r="AM141" s="80">
        <f>IF(T141="SOPORTE_TELEFÓNICO",'BASE LIQUIDACION'!$B$10,(AH141*AL141+AI141*'BASE LIQUIDACION'!$B$12+AJ141*'BASE LIQUIDACION'!$B$11+INCIDENTES!AK141*'BASE LIQUIDACION'!$B$13))</f>
        <v>65960.473639999997</v>
      </c>
    </row>
    <row r="142" spans="1:39" s="4" customFormat="1">
      <c r="A142" s="104" t="s">
        <v>195</v>
      </c>
      <c r="B142" s="56" t="str">
        <f>VLOOKUP(A142,'CENTRO DE COSTOS'!A:D,4,FALSE)</f>
        <v>DIEGO FERNANDO HENAO CARDONA</v>
      </c>
      <c r="C142" s="56" t="str">
        <f>VLOOKUP(A142,'CENTRO DE COSTOS'!A:D,2,FALSE)</f>
        <v>0004-0002</v>
      </c>
      <c r="D142" s="104">
        <v>63001</v>
      </c>
      <c r="E142" s="104">
        <v>2337733</v>
      </c>
      <c r="F142" s="104" t="s">
        <v>2088</v>
      </c>
      <c r="G142" s="105">
        <v>45828.621527777781</v>
      </c>
      <c r="H142" s="105">
        <v>45829.4299537037</v>
      </c>
      <c r="I142" s="104" t="s">
        <v>1271</v>
      </c>
      <c r="J142" s="104" t="s">
        <v>468</v>
      </c>
      <c r="K142" s="104" t="s">
        <v>2089</v>
      </c>
      <c r="L142" s="104">
        <v>74222</v>
      </c>
      <c r="M142" s="56" t="s">
        <v>1505</v>
      </c>
      <c r="N142" s="56" t="s">
        <v>119</v>
      </c>
      <c r="O142" s="104" t="s">
        <v>1524</v>
      </c>
      <c r="P142" s="56"/>
      <c r="Q142" s="104" t="s">
        <v>1506</v>
      </c>
      <c r="R142" s="106" t="s">
        <v>2090</v>
      </c>
      <c r="S142" s="107" t="s">
        <v>1678</v>
      </c>
      <c r="T142" s="104" t="s">
        <v>1509</v>
      </c>
      <c r="U142" s="107" t="s">
        <v>2091</v>
      </c>
      <c r="V142" s="108" t="s">
        <v>1511</v>
      </c>
      <c r="W142" s="109" t="s">
        <v>1512</v>
      </c>
      <c r="X142" s="109" t="s">
        <v>1513</v>
      </c>
      <c r="Y142" s="109" t="s">
        <v>1521</v>
      </c>
      <c r="Z142" s="109" t="s">
        <v>1515</v>
      </c>
      <c r="AA142" s="109">
        <v>0</v>
      </c>
      <c r="AB142" s="109">
        <v>0</v>
      </c>
      <c r="AC142" s="109">
        <v>0</v>
      </c>
      <c r="AD142" s="109">
        <v>0</v>
      </c>
      <c r="AE142" s="110">
        <v>0</v>
      </c>
      <c r="AF142" s="77" t="str">
        <f>VLOOKUP(D142,TIPOLOGIAS!A:H,6,0)</f>
        <v>TIPO II</v>
      </c>
      <c r="AG142" s="77" t="str">
        <f>VLOOKUP(D142,TIPOLOGIAS!A:H,5,0)</f>
        <v>TERRESTRE</v>
      </c>
      <c r="AH142" s="104">
        <v>1</v>
      </c>
      <c r="AI142" s="104">
        <v>0</v>
      </c>
      <c r="AJ142" s="104">
        <v>0</v>
      </c>
      <c r="AK142" s="104">
        <v>0</v>
      </c>
      <c r="AL142" s="78">
        <f>IF(T142="SOPORTE_TELEFÓNICO",'BASE LIQUIDACION'!$B$10,IF(AF142="TIPO I",'BASE LIQUIDACION'!$C$3,IF(AF142="TIPO II",'BASE LIQUIDACION'!$C$4,IF(AF142="TIPO III",'BASE LIQUIDACION'!$C$5,'BASE LIQUIDACION'!$C$7))))</f>
        <v>163813.55812</v>
      </c>
      <c r="AM142" s="80">
        <f>IF(T142="SOPORTE_TELEFÓNICO",'BASE LIQUIDACION'!$B$10,(AH142*AL142+AI142*'BASE LIQUIDACION'!$B$12+AJ142*'BASE LIQUIDACION'!$B$11+INCIDENTES!AK142*'BASE LIQUIDACION'!$B$13))</f>
        <v>163813.55812</v>
      </c>
    </row>
    <row r="143" spans="1:39" s="4" customFormat="1">
      <c r="A143" s="104" t="s">
        <v>195</v>
      </c>
      <c r="B143" s="56" t="str">
        <f>VLOOKUP(A143,'CENTRO DE COSTOS'!A:D,4,FALSE)</f>
        <v>DIEGO FERNANDO HENAO CARDONA</v>
      </c>
      <c r="C143" s="56" t="str">
        <f>VLOOKUP(A143,'CENTRO DE COSTOS'!A:D,2,FALSE)</f>
        <v>0004-0002</v>
      </c>
      <c r="D143" s="104">
        <v>66001</v>
      </c>
      <c r="E143" s="104">
        <v>2338752</v>
      </c>
      <c r="F143" s="104" t="s">
        <v>2092</v>
      </c>
      <c r="G143" s="105">
        <v>45828.709722222222</v>
      </c>
      <c r="H143" s="105">
        <v>45829.471631944441</v>
      </c>
      <c r="I143" s="104" t="s">
        <v>198</v>
      </c>
      <c r="J143" s="104" t="s">
        <v>195</v>
      </c>
      <c r="K143" s="104" t="s">
        <v>2093</v>
      </c>
      <c r="L143" s="104">
        <v>74597</v>
      </c>
      <c r="M143" s="56" t="s">
        <v>1505</v>
      </c>
      <c r="N143" s="56" t="s">
        <v>119</v>
      </c>
      <c r="O143" s="104" t="s">
        <v>1524</v>
      </c>
      <c r="P143" s="56"/>
      <c r="Q143" s="104" t="s">
        <v>1506</v>
      </c>
      <c r="R143" s="106" t="s">
        <v>2094</v>
      </c>
      <c r="S143" s="107" t="s">
        <v>201</v>
      </c>
      <c r="T143" s="104" t="s">
        <v>1509</v>
      </c>
      <c r="U143" s="107" t="s">
        <v>2095</v>
      </c>
      <c r="V143" s="108" t="s">
        <v>1511</v>
      </c>
      <c r="W143" s="109" t="s">
        <v>1512</v>
      </c>
      <c r="X143" s="109" t="s">
        <v>1513</v>
      </c>
      <c r="Y143" s="109" t="s">
        <v>1514</v>
      </c>
      <c r="Z143" s="109" t="s">
        <v>1515</v>
      </c>
      <c r="AA143" s="109">
        <v>0</v>
      </c>
      <c r="AB143" s="109">
        <v>0</v>
      </c>
      <c r="AC143" s="109">
        <v>0</v>
      </c>
      <c r="AD143" s="109">
        <v>0</v>
      </c>
      <c r="AE143" s="110">
        <v>0</v>
      </c>
      <c r="AF143" s="77" t="str">
        <f>VLOOKUP(D143,TIPOLOGIAS!A:H,6,0)</f>
        <v>TIPO I</v>
      </c>
      <c r="AG143" s="77" t="str">
        <f>VLOOKUP(D143,TIPOLOGIAS!A:H,5,0)</f>
        <v>TERRESTRE</v>
      </c>
      <c r="AH143" s="104">
        <v>1</v>
      </c>
      <c r="AI143" s="104">
        <v>0</v>
      </c>
      <c r="AJ143" s="104">
        <v>0</v>
      </c>
      <c r="AK143" s="104">
        <v>0</v>
      </c>
      <c r="AL143" s="78">
        <f>IF(T143="SOPORTE_TELEFÓNICO",'BASE LIQUIDACION'!$B$10,IF(AF143="TIPO I",'BASE LIQUIDACION'!$C$3,IF(AF143="TIPO II",'BASE LIQUIDACION'!$C$4,IF(AF143="TIPO III",'BASE LIQUIDACION'!$C$5,'BASE LIQUIDACION'!$C$7))))</f>
        <v>65960.473639999997</v>
      </c>
      <c r="AM143" s="80">
        <f>IF(T143="SOPORTE_TELEFÓNICO",'BASE LIQUIDACION'!$B$10,(AH143*AL143+AI143*'BASE LIQUIDACION'!$B$12+AJ143*'BASE LIQUIDACION'!$B$11+INCIDENTES!AK143*'BASE LIQUIDACION'!$B$13))</f>
        <v>65960.473639999997</v>
      </c>
    </row>
    <row r="144" spans="1:39" s="4" customFormat="1">
      <c r="A144" s="104" t="s">
        <v>622</v>
      </c>
      <c r="B144" s="56" t="str">
        <f>VLOOKUP(A144,'CENTRO DE COSTOS'!A:D,4,FALSE)</f>
        <v>JOSE MAURICIO HERNANDEZ ROJAS</v>
      </c>
      <c r="C144" s="56" t="str">
        <f>VLOOKUP(A144,'CENTRO DE COSTOS'!A:D,2,FALSE)</f>
        <v>0004-0001</v>
      </c>
      <c r="D144" s="104">
        <v>44378</v>
      </c>
      <c r="E144" s="104">
        <v>2328426</v>
      </c>
      <c r="F144" s="104" t="s">
        <v>2096</v>
      </c>
      <c r="G144" s="105">
        <v>45827.39166666667</v>
      </c>
      <c r="H144" s="105">
        <v>45829.49722222222</v>
      </c>
      <c r="I144" s="104" t="s">
        <v>1107</v>
      </c>
      <c r="J144" s="104" t="s">
        <v>1114</v>
      </c>
      <c r="K144" s="104" t="s">
        <v>2097</v>
      </c>
      <c r="L144" s="104">
        <v>76832</v>
      </c>
      <c r="M144" s="56" t="s">
        <v>1505</v>
      </c>
      <c r="N144" s="56" t="s">
        <v>119</v>
      </c>
      <c r="O144" s="104" t="s">
        <v>332</v>
      </c>
      <c r="P144" s="56"/>
      <c r="Q144" s="104" t="s">
        <v>1506</v>
      </c>
      <c r="R144" s="106" t="s">
        <v>2098</v>
      </c>
      <c r="S144" s="107" t="s">
        <v>1598</v>
      </c>
      <c r="T144" s="104" t="s">
        <v>1520</v>
      </c>
      <c r="U144" s="107">
        <v>0</v>
      </c>
      <c r="V144" s="108" t="s">
        <v>1511</v>
      </c>
      <c r="W144" s="109" t="s">
        <v>1709</v>
      </c>
      <c r="X144" s="109" t="s">
        <v>1710</v>
      </c>
      <c r="Y144" s="109" t="s">
        <v>2099</v>
      </c>
      <c r="Z144" s="109" t="s">
        <v>1515</v>
      </c>
      <c r="AA144" s="109">
        <v>0</v>
      </c>
      <c r="AB144" s="109">
        <v>0</v>
      </c>
      <c r="AC144" s="109">
        <v>0</v>
      </c>
      <c r="AD144" s="109">
        <v>0</v>
      </c>
      <c r="AE144" s="110">
        <v>0</v>
      </c>
      <c r="AF144" s="77" t="str">
        <f>VLOOKUP(D144,TIPOLOGIAS!A:H,6,0)</f>
        <v>TIPO III</v>
      </c>
      <c r="AG144" s="77" t="str">
        <f>VLOOKUP(D144,TIPOLOGIAS!A:H,5,0)</f>
        <v>TERRESTRE</v>
      </c>
      <c r="AH144" s="104">
        <v>0</v>
      </c>
      <c r="AI144" s="104">
        <v>0</v>
      </c>
      <c r="AJ144" s="104">
        <v>0</v>
      </c>
      <c r="AK144" s="104">
        <v>0</v>
      </c>
      <c r="AL144" s="78">
        <f>IF(T144="SOPORTE_TELEFÓNICO",'BASE LIQUIDACION'!$B$10,IF(AF144="TIPO I",'BASE LIQUIDACION'!$C$3,IF(AF144="TIPO II",'BASE LIQUIDACION'!$C$4,IF(AF144="TIPO III",'BASE LIQUIDACION'!$C$5,'BASE LIQUIDACION'!$C$7))))</f>
        <v>37904.65408</v>
      </c>
      <c r="AM144" s="80">
        <f>IF(T144="SOPORTE_TELEFÓNICO",'BASE LIQUIDACION'!$B$10,(AH144*AL144+AI144*'BASE LIQUIDACION'!$B$12+AJ144*'BASE LIQUIDACION'!$B$11+INCIDENTES!AK144*'BASE LIQUIDACION'!$B$13))</f>
        <v>37904.65408</v>
      </c>
    </row>
    <row r="145" spans="1:39" s="4" customFormat="1">
      <c r="A145" s="104" t="s">
        <v>111</v>
      </c>
      <c r="B145" s="56" t="str">
        <f>VLOOKUP(A145,'CENTRO DE COSTOS'!A:D,4,FALSE)</f>
        <v>JUAN SEBASTIÁN RÍOS CASTRILLÓN</v>
      </c>
      <c r="C145" s="56" t="str">
        <f>VLOOKUP(A145,'CENTRO DE COSTOS'!A:D,2,FALSE)</f>
        <v>0004-0005</v>
      </c>
      <c r="D145" s="104">
        <v>5036</v>
      </c>
      <c r="E145" s="104">
        <v>2336280</v>
      </c>
      <c r="F145" s="104" t="s">
        <v>2100</v>
      </c>
      <c r="G145" s="105">
        <v>45828.48541666667</v>
      </c>
      <c r="H145" s="105">
        <v>45829.510416666664</v>
      </c>
      <c r="I145" s="104" t="s">
        <v>131</v>
      </c>
      <c r="J145" s="104" t="s">
        <v>495</v>
      </c>
      <c r="K145" s="104" t="s">
        <v>2101</v>
      </c>
      <c r="L145" s="104">
        <v>75958</v>
      </c>
      <c r="M145" s="56" t="s">
        <v>1505</v>
      </c>
      <c r="N145" s="56" t="s">
        <v>119</v>
      </c>
      <c r="O145" s="104" t="s">
        <v>332</v>
      </c>
      <c r="P145" s="56"/>
      <c r="Q145" s="104" t="s">
        <v>1506</v>
      </c>
      <c r="R145" s="106" t="s">
        <v>2102</v>
      </c>
      <c r="S145" s="107" t="s">
        <v>1561</v>
      </c>
      <c r="T145" s="104" t="s">
        <v>1509</v>
      </c>
      <c r="U145" s="107" t="s">
        <v>2103</v>
      </c>
      <c r="V145" s="108" t="s">
        <v>1511</v>
      </c>
      <c r="W145" s="109" t="s">
        <v>1512</v>
      </c>
      <c r="X145" s="109" t="s">
        <v>1533</v>
      </c>
      <c r="Y145" s="109" t="s">
        <v>1534</v>
      </c>
      <c r="Z145" s="109" t="s">
        <v>1515</v>
      </c>
      <c r="AA145" s="109">
        <v>0</v>
      </c>
      <c r="AB145" s="109">
        <v>0</v>
      </c>
      <c r="AC145" s="109">
        <v>0</v>
      </c>
      <c r="AD145" s="109">
        <v>0</v>
      </c>
      <c r="AE145" s="110">
        <v>0</v>
      </c>
      <c r="AF145" s="77" t="str">
        <f>VLOOKUP(D145,TIPOLOGIAS!A:H,6,0)</f>
        <v>TIPO II</v>
      </c>
      <c r="AG145" s="77" t="str">
        <f>VLOOKUP(D145,TIPOLOGIAS!A:H,5,0)</f>
        <v>TERRESTRE</v>
      </c>
      <c r="AH145" s="104">
        <v>1</v>
      </c>
      <c r="AI145" s="104">
        <v>0</v>
      </c>
      <c r="AJ145" s="104">
        <v>0</v>
      </c>
      <c r="AK145" s="104">
        <v>0</v>
      </c>
      <c r="AL145" s="78">
        <f>IF(T145="SOPORTE_TELEFÓNICO",'BASE LIQUIDACION'!$B$10,IF(AF145="TIPO I",'BASE LIQUIDACION'!$C$3,IF(AF145="TIPO II",'BASE LIQUIDACION'!$C$4,IF(AF145="TIPO III",'BASE LIQUIDACION'!$C$5,'BASE LIQUIDACION'!$C$7))))</f>
        <v>163813.55812</v>
      </c>
      <c r="AM145" s="80">
        <f>IF(T145="SOPORTE_TELEFÓNICO",'BASE LIQUIDACION'!$B$10,(AH145*AL145+AI145*'BASE LIQUIDACION'!$B$12+AJ145*'BASE LIQUIDACION'!$B$11+INCIDENTES!AK145*'BASE LIQUIDACION'!$B$13))</f>
        <v>163813.55812</v>
      </c>
    </row>
    <row r="146" spans="1:39" s="4" customFormat="1">
      <c r="A146" s="104" t="s">
        <v>298</v>
      </c>
      <c r="B146" s="56" t="str">
        <f>VLOOKUP(A146,'CENTRO DE COSTOS'!A:D,4,FALSE)</f>
        <v>KEVIN ALEXIS CORZO BUSTOS</v>
      </c>
      <c r="C146" s="56" t="str">
        <f>VLOOKUP(A146,'CENTRO DE COSTOS'!A:D,2,FALSE)</f>
        <v>0004-0007</v>
      </c>
      <c r="D146" s="104">
        <v>18001</v>
      </c>
      <c r="E146" s="104">
        <v>2340013</v>
      </c>
      <c r="F146" s="104" t="s">
        <v>2104</v>
      </c>
      <c r="G146" s="105">
        <v>45829.490972222222</v>
      </c>
      <c r="H146" s="105">
        <v>45829.537199074075</v>
      </c>
      <c r="I146" s="104" t="s">
        <v>301</v>
      </c>
      <c r="J146" s="104" t="s">
        <v>302</v>
      </c>
      <c r="K146" s="104" t="s">
        <v>2105</v>
      </c>
      <c r="L146" s="104">
        <v>65542</v>
      </c>
      <c r="M146" s="56" t="s">
        <v>1505</v>
      </c>
      <c r="N146" s="56" t="s">
        <v>119</v>
      </c>
      <c r="O146" s="104" t="s">
        <v>1524</v>
      </c>
      <c r="P146" s="56"/>
      <c r="Q146" s="104" t="s">
        <v>1506</v>
      </c>
      <c r="R146" s="106" t="s">
        <v>2106</v>
      </c>
      <c r="S146" s="107">
        <v>0</v>
      </c>
      <c r="T146" s="104" t="s">
        <v>1520</v>
      </c>
      <c r="U146" s="107">
        <v>0</v>
      </c>
      <c r="V146" s="108" t="s">
        <v>1511</v>
      </c>
      <c r="W146" s="109" t="s">
        <v>1512</v>
      </c>
      <c r="X146" s="109" t="s">
        <v>1533</v>
      </c>
      <c r="Y146" s="109" t="s">
        <v>1534</v>
      </c>
      <c r="Z146" s="109" t="s">
        <v>1511</v>
      </c>
      <c r="AA146" s="109">
        <v>0</v>
      </c>
      <c r="AB146" s="109">
        <v>0</v>
      </c>
      <c r="AC146" s="109">
        <v>0</v>
      </c>
      <c r="AD146" s="109">
        <v>0</v>
      </c>
      <c r="AE146" s="110">
        <v>0</v>
      </c>
      <c r="AF146" s="77" t="str">
        <f>VLOOKUP(D146,TIPOLOGIAS!A:H,6,0)</f>
        <v>TIPO IV</v>
      </c>
      <c r="AG146" s="77" t="str">
        <f>VLOOKUP(D146,TIPOLOGIAS!A:H,5,0)</f>
        <v>TERRESTRE</v>
      </c>
      <c r="AH146" s="104">
        <v>0</v>
      </c>
      <c r="AI146" s="104">
        <v>0</v>
      </c>
      <c r="AJ146" s="104">
        <v>0</v>
      </c>
      <c r="AK146" s="104">
        <v>0</v>
      </c>
      <c r="AL146" s="78">
        <f>IF(T146="SOPORTE_TELEFÓNICO",'BASE LIQUIDACION'!$B$10,IF(AF146="TIPO I",'BASE LIQUIDACION'!$C$3,IF(AF146="TIPO II",'BASE LIQUIDACION'!$C$4,IF(AF146="TIPO III",'BASE LIQUIDACION'!$C$5,'BASE LIQUIDACION'!$C$7))))</f>
        <v>37904.65408</v>
      </c>
      <c r="AM146" s="80">
        <f>IF(T146="SOPORTE_TELEFÓNICO",'BASE LIQUIDACION'!$B$10,(AH146*AL146+AI146*'BASE LIQUIDACION'!$B$12+AJ146*'BASE LIQUIDACION'!$B$11+INCIDENTES!AK146*'BASE LIQUIDACION'!$B$13))</f>
        <v>37904.65408</v>
      </c>
    </row>
    <row r="147" spans="1:39" s="4" customFormat="1">
      <c r="A147" s="104" t="s">
        <v>338</v>
      </c>
      <c r="B147" s="56" t="str">
        <f>VLOOKUP(A147,'CENTRO DE COSTOS'!A:D,4,FALSE)</f>
        <v>DIEGO FERNANDO HENAO CARDONA</v>
      </c>
      <c r="C147" s="56" t="str">
        <f>VLOOKUP(A147,'CENTRO DE COSTOS'!A:D,2,FALSE)</f>
        <v>0004-0003</v>
      </c>
      <c r="D147" s="104">
        <v>52490</v>
      </c>
      <c r="E147" s="104">
        <v>2332839</v>
      </c>
      <c r="F147" s="104" t="s">
        <v>2107</v>
      </c>
      <c r="G147" s="105">
        <v>45827.720833333333</v>
      </c>
      <c r="H147" s="105">
        <v>45829.554178240738</v>
      </c>
      <c r="I147" s="104" t="s">
        <v>341</v>
      </c>
      <c r="J147" s="104" t="s">
        <v>1207</v>
      </c>
      <c r="K147" s="104" t="s">
        <v>2108</v>
      </c>
      <c r="L147" s="104">
        <v>78095</v>
      </c>
      <c r="M147" s="56" t="s">
        <v>1505</v>
      </c>
      <c r="N147" s="56" t="s">
        <v>119</v>
      </c>
      <c r="O147" s="104" t="s">
        <v>1524</v>
      </c>
      <c r="P147" s="56"/>
      <c r="Q147" s="104" t="s">
        <v>1506</v>
      </c>
      <c r="R147" s="106" t="s">
        <v>2109</v>
      </c>
      <c r="S147" s="107" t="s">
        <v>352</v>
      </c>
      <c r="T147" s="104" t="s">
        <v>1520</v>
      </c>
      <c r="U147" s="107">
        <v>0</v>
      </c>
      <c r="V147" s="108" t="s">
        <v>1511</v>
      </c>
      <c r="W147" s="109" t="s">
        <v>1512</v>
      </c>
      <c r="X147" s="109" t="s">
        <v>1567</v>
      </c>
      <c r="Y147" s="109" t="s">
        <v>1649</v>
      </c>
      <c r="Z147" s="109" t="s">
        <v>1511</v>
      </c>
      <c r="AA147" s="109">
        <v>0</v>
      </c>
      <c r="AB147" s="109">
        <v>0</v>
      </c>
      <c r="AC147" s="109">
        <v>0</v>
      </c>
      <c r="AD147" s="109">
        <v>0</v>
      </c>
      <c r="AE147" s="110">
        <v>0</v>
      </c>
      <c r="AF147" s="77" t="str">
        <f>VLOOKUP(D147,TIPOLOGIAS!A:H,6,0)</f>
        <v>TIPO IV ESPECIAL</v>
      </c>
      <c r="AG147" s="77" t="str">
        <f>VLOOKUP(D147,TIPOLOGIAS!A:H,5,0)</f>
        <v>FLUVIAL</v>
      </c>
      <c r="AH147" s="104">
        <v>0</v>
      </c>
      <c r="AI147" s="104">
        <v>0</v>
      </c>
      <c r="AJ147" s="104">
        <v>0</v>
      </c>
      <c r="AK147" s="104">
        <v>0</v>
      </c>
      <c r="AL147" s="78">
        <f>IF(T147="SOPORTE_TELEFÓNICO",'BASE LIQUIDACION'!$B$10,IF(AF147="TIPO I",'BASE LIQUIDACION'!$C$3,IF(AF147="TIPO II",'BASE LIQUIDACION'!$C$4,IF(AF147="TIPO III",'BASE LIQUIDACION'!$C$5,'BASE LIQUIDACION'!$C$7))))</f>
        <v>37904.65408</v>
      </c>
      <c r="AM147" s="80">
        <f>IF(T147="SOPORTE_TELEFÓNICO",'BASE LIQUIDACION'!$B$10,(AH147*AL147+AI147*'BASE LIQUIDACION'!$B$12+AJ147*'BASE LIQUIDACION'!$B$11+INCIDENTES!AK147*'BASE LIQUIDACION'!$B$13))</f>
        <v>37904.65408</v>
      </c>
    </row>
    <row r="148" spans="1:39" s="4" customFormat="1">
      <c r="A148" s="104" t="s">
        <v>195</v>
      </c>
      <c r="B148" s="56" t="str">
        <f>VLOOKUP(A148,'CENTRO DE COSTOS'!A:D,4,FALSE)</f>
        <v>DIEGO FERNANDO HENAO CARDONA</v>
      </c>
      <c r="C148" s="56" t="str">
        <f>VLOOKUP(A148,'CENTRO DE COSTOS'!A:D,2,FALSE)</f>
        <v>0004-0002</v>
      </c>
      <c r="D148" s="104">
        <v>66594</v>
      </c>
      <c r="E148" s="104">
        <v>2337012</v>
      </c>
      <c r="F148" s="104" t="s">
        <v>2110</v>
      </c>
      <c r="G148" s="105">
        <v>45828.552777777775</v>
      </c>
      <c r="H148" s="105">
        <v>45829.556747685187</v>
      </c>
      <c r="I148" s="104" t="s">
        <v>198</v>
      </c>
      <c r="J148" s="104" t="s">
        <v>1290</v>
      </c>
      <c r="K148" s="104" t="s">
        <v>2111</v>
      </c>
      <c r="L148" s="104">
        <v>75671</v>
      </c>
      <c r="M148" s="56" t="s">
        <v>1505</v>
      </c>
      <c r="N148" s="56" t="s">
        <v>119</v>
      </c>
      <c r="O148" s="104" t="s">
        <v>1524</v>
      </c>
      <c r="P148" s="56"/>
      <c r="Q148" s="104" t="s">
        <v>1506</v>
      </c>
      <c r="R148" s="106" t="s">
        <v>2112</v>
      </c>
      <c r="S148" s="107" t="s">
        <v>1908</v>
      </c>
      <c r="T148" s="104" t="s">
        <v>1520</v>
      </c>
      <c r="U148" s="107">
        <v>0</v>
      </c>
      <c r="V148" s="108" t="s">
        <v>1511</v>
      </c>
      <c r="W148" s="109" t="s">
        <v>1512</v>
      </c>
      <c r="X148" s="109" t="s">
        <v>1513</v>
      </c>
      <c r="Y148" s="109" t="s">
        <v>1521</v>
      </c>
      <c r="Z148" s="109" t="s">
        <v>1511</v>
      </c>
      <c r="AA148" s="109">
        <v>0</v>
      </c>
      <c r="AB148" s="109">
        <v>0</v>
      </c>
      <c r="AC148" s="109">
        <v>0</v>
      </c>
      <c r="AD148" s="109">
        <v>0</v>
      </c>
      <c r="AE148" s="110">
        <v>0</v>
      </c>
      <c r="AF148" s="77" t="str">
        <f>VLOOKUP(D148,TIPOLOGIAS!A:H,6,0)</f>
        <v>TIPO II</v>
      </c>
      <c r="AG148" s="77" t="str">
        <f>VLOOKUP(D148,TIPOLOGIAS!A:H,5,0)</f>
        <v>TERRESTRE</v>
      </c>
      <c r="AH148" s="104">
        <v>0</v>
      </c>
      <c r="AI148" s="104">
        <v>0</v>
      </c>
      <c r="AJ148" s="104">
        <v>0</v>
      </c>
      <c r="AK148" s="104">
        <v>0</v>
      </c>
      <c r="AL148" s="78">
        <f>IF(T148="SOPORTE_TELEFÓNICO",'BASE LIQUIDACION'!$B$10,IF(AF148="TIPO I",'BASE LIQUIDACION'!$C$3,IF(AF148="TIPO II",'BASE LIQUIDACION'!$C$4,IF(AF148="TIPO III",'BASE LIQUIDACION'!$C$5,'BASE LIQUIDACION'!$C$7))))</f>
        <v>37904.65408</v>
      </c>
      <c r="AM148" s="80">
        <f>IF(T148="SOPORTE_TELEFÓNICO",'BASE LIQUIDACION'!$B$10,(AH148*AL148+AI148*'BASE LIQUIDACION'!$B$12+AJ148*'BASE LIQUIDACION'!$B$11+INCIDENTES!AK148*'BASE LIQUIDACION'!$B$13))</f>
        <v>37904.65408</v>
      </c>
    </row>
    <row r="149" spans="1:39" s="4" customFormat="1">
      <c r="A149" s="104" t="s">
        <v>275</v>
      </c>
      <c r="B149" s="56" t="str">
        <f>VLOOKUP(A149,'CENTRO DE COSTOS'!A:D,4,FALSE)</f>
        <v>MIGUEL JULIÁN HERNÁNDEZ GUARÍN</v>
      </c>
      <c r="C149" s="56" t="str">
        <f>VLOOKUP(A149,'CENTRO DE COSTOS'!A:D,2,FALSE)</f>
        <v>0004-0008</v>
      </c>
      <c r="D149" s="104">
        <v>54518</v>
      </c>
      <c r="E149" s="104">
        <v>2339142</v>
      </c>
      <c r="F149" s="104" t="s">
        <v>2113</v>
      </c>
      <c r="G149" s="105">
        <v>45829.333333333336</v>
      </c>
      <c r="H149" s="105">
        <v>45829.643136574072</v>
      </c>
      <c r="I149" s="104" t="s">
        <v>278</v>
      </c>
      <c r="J149" s="104" t="s">
        <v>1249</v>
      </c>
      <c r="K149" s="104" t="s">
        <v>2114</v>
      </c>
      <c r="L149" s="104">
        <v>77556</v>
      </c>
      <c r="M149" s="56" t="s">
        <v>1505</v>
      </c>
      <c r="N149" s="56" t="s">
        <v>119</v>
      </c>
      <c r="O149" s="104" t="s">
        <v>1524</v>
      </c>
      <c r="P149" s="56"/>
      <c r="Q149" s="104" t="s">
        <v>1506</v>
      </c>
      <c r="R149" s="106" t="s">
        <v>2115</v>
      </c>
      <c r="S149" s="107" t="s">
        <v>1593</v>
      </c>
      <c r="T149" s="104" t="s">
        <v>1509</v>
      </c>
      <c r="U149" s="107" t="s">
        <v>2116</v>
      </c>
      <c r="V149" s="108" t="s">
        <v>1511</v>
      </c>
      <c r="W149" s="109" t="s">
        <v>1512</v>
      </c>
      <c r="X149" s="109" t="s">
        <v>1513</v>
      </c>
      <c r="Y149" s="109" t="s">
        <v>1514</v>
      </c>
      <c r="Z149" s="109" t="s">
        <v>1511</v>
      </c>
      <c r="AA149" s="109">
        <v>0</v>
      </c>
      <c r="AB149" s="109">
        <v>0</v>
      </c>
      <c r="AC149" s="109">
        <v>0</v>
      </c>
      <c r="AD149" s="109">
        <v>0</v>
      </c>
      <c r="AE149" s="110" t="s">
        <v>2117</v>
      </c>
      <c r="AF149" s="77" t="str">
        <f>VLOOKUP(D149,TIPOLOGIAS!A:H,6,0)</f>
        <v>TIPO III</v>
      </c>
      <c r="AG149" s="77" t="str">
        <f>VLOOKUP(D149,TIPOLOGIAS!A:H,5,0)</f>
        <v>TERRESTRE</v>
      </c>
      <c r="AH149" s="104">
        <v>1</v>
      </c>
      <c r="AI149" s="104">
        <v>0</v>
      </c>
      <c r="AJ149" s="104">
        <v>0</v>
      </c>
      <c r="AK149" s="104">
        <v>0</v>
      </c>
      <c r="AL149" s="78">
        <f>IF(T149="SOPORTE_TELEFÓNICO",'BASE LIQUIDACION'!$B$10,IF(AF149="TIPO I",'BASE LIQUIDACION'!$C$3,IF(AF149="TIPO II",'BASE LIQUIDACION'!$C$4,IF(AF149="TIPO III",'BASE LIQUIDACION'!$C$5,'BASE LIQUIDACION'!$C$7))))</f>
        <v>275728.37943999999</v>
      </c>
      <c r="AM149" s="80">
        <f>IF(T149="SOPORTE_TELEFÓNICO",'BASE LIQUIDACION'!$B$10,(AH149*AL149+AI149*'BASE LIQUIDACION'!$B$12+AJ149*'BASE LIQUIDACION'!$B$11+INCIDENTES!AK149*'BASE LIQUIDACION'!$B$13))</f>
        <v>275728.37943999999</v>
      </c>
    </row>
    <row r="150" spans="1:39" s="4" customFormat="1">
      <c r="A150" s="104" t="s">
        <v>392</v>
      </c>
      <c r="B150" s="56" t="str">
        <f>VLOOKUP(A150,'CENTRO DE COSTOS'!A:D,4,FALSE)</f>
        <v>JOSE MAURICIO HERNANDEZ ROJAS</v>
      </c>
      <c r="C150" s="56" t="str">
        <f>VLOOKUP(A150,'CENTRO DE COSTOS'!A:D,2,FALSE)</f>
        <v>0004-0001</v>
      </c>
      <c r="D150" s="104">
        <v>70001</v>
      </c>
      <c r="E150" s="104">
        <v>2339915</v>
      </c>
      <c r="F150" s="104" t="s">
        <v>2118</v>
      </c>
      <c r="G150" s="105">
        <v>45829.42291666667</v>
      </c>
      <c r="H150" s="105">
        <v>45829.657094907408</v>
      </c>
      <c r="I150" s="104" t="s">
        <v>395</v>
      </c>
      <c r="J150" s="104" t="s">
        <v>392</v>
      </c>
      <c r="K150" s="104" t="s">
        <v>2119</v>
      </c>
      <c r="L150" s="104">
        <v>71033</v>
      </c>
      <c r="M150" s="56" t="s">
        <v>1505</v>
      </c>
      <c r="N150" s="56" t="s">
        <v>119</v>
      </c>
      <c r="O150" s="104" t="s">
        <v>332</v>
      </c>
      <c r="P150" s="56"/>
      <c r="Q150" s="104" t="s">
        <v>1506</v>
      </c>
      <c r="R150" s="106" t="s">
        <v>2120</v>
      </c>
      <c r="S150" s="107" t="s">
        <v>399</v>
      </c>
      <c r="T150" s="104" t="s">
        <v>1520</v>
      </c>
      <c r="U150" s="107">
        <v>0</v>
      </c>
      <c r="V150" s="108" t="s">
        <v>1511</v>
      </c>
      <c r="W150" s="109" t="s">
        <v>1512</v>
      </c>
      <c r="X150" s="109" t="s">
        <v>1513</v>
      </c>
      <c r="Y150" s="109" t="s">
        <v>1521</v>
      </c>
      <c r="Z150" s="109" t="s">
        <v>1511</v>
      </c>
      <c r="AA150" s="109">
        <v>0</v>
      </c>
      <c r="AB150" s="109">
        <v>0</v>
      </c>
      <c r="AC150" s="109">
        <v>0</v>
      </c>
      <c r="AD150" s="109">
        <v>0</v>
      </c>
      <c r="AE150" s="110">
        <v>0</v>
      </c>
      <c r="AF150" s="77" t="str">
        <f>VLOOKUP(D150,TIPOLOGIAS!A:H,6,0)</f>
        <v>TIPO I</v>
      </c>
      <c r="AG150" s="77" t="str">
        <f>VLOOKUP(D150,TIPOLOGIAS!A:H,5,0)</f>
        <v>TERRESTRE</v>
      </c>
      <c r="AH150" s="104">
        <v>0</v>
      </c>
      <c r="AI150" s="104">
        <v>0</v>
      </c>
      <c r="AJ150" s="104">
        <v>0</v>
      </c>
      <c r="AK150" s="104">
        <v>0</v>
      </c>
      <c r="AL150" s="78">
        <f>IF(T150="SOPORTE_TELEFÓNICO",'BASE LIQUIDACION'!$B$10,IF(AF150="TIPO I",'BASE LIQUIDACION'!$C$3,IF(AF150="TIPO II",'BASE LIQUIDACION'!$C$4,IF(AF150="TIPO III",'BASE LIQUIDACION'!$C$5,'BASE LIQUIDACION'!$C$7))))</f>
        <v>37904.65408</v>
      </c>
      <c r="AM150" s="80">
        <f>IF(T150="SOPORTE_TELEFÓNICO",'BASE LIQUIDACION'!$B$10,(AH150*AL150+AI150*'BASE LIQUIDACION'!$B$12+AJ150*'BASE LIQUIDACION'!$B$11+INCIDENTES!AK150*'BASE LIQUIDACION'!$B$13))</f>
        <v>37904.65408</v>
      </c>
    </row>
    <row r="151" spans="1:39" s="4" customFormat="1">
      <c r="A151" s="104" t="s">
        <v>822</v>
      </c>
      <c r="B151" s="56" t="str">
        <f>VLOOKUP(A151,'CENTRO DE COSTOS'!A:D,4,FALSE)</f>
        <v>KEVIN ALEXIS CORZO BUSTOS</v>
      </c>
      <c r="C151" s="56" t="str">
        <f>VLOOKUP(A151,'CENTRO DE COSTOS'!A:D,2,FALSE)</f>
        <v>0004-0007</v>
      </c>
      <c r="D151" s="104">
        <v>50001</v>
      </c>
      <c r="E151" s="104">
        <v>2340848</v>
      </c>
      <c r="F151" s="104" t="s">
        <v>2121</v>
      </c>
      <c r="G151" s="105">
        <v>45830.4375</v>
      </c>
      <c r="H151" s="105">
        <v>45830.53496527778</v>
      </c>
      <c r="I151" s="104" t="s">
        <v>1148</v>
      </c>
      <c r="J151" s="104" t="s">
        <v>822</v>
      </c>
      <c r="K151" s="104" t="s">
        <v>2122</v>
      </c>
      <c r="L151" s="104">
        <v>79959</v>
      </c>
      <c r="M151" s="56" t="s">
        <v>1505</v>
      </c>
      <c r="N151" s="56" t="s">
        <v>119</v>
      </c>
      <c r="O151" s="104" t="s">
        <v>1524</v>
      </c>
      <c r="P151" s="56"/>
      <c r="Q151" s="104" t="s">
        <v>1506</v>
      </c>
      <c r="R151" s="106" t="s">
        <v>2123</v>
      </c>
      <c r="S151" s="107" t="s">
        <v>2124</v>
      </c>
      <c r="T151" s="104" t="s">
        <v>1520</v>
      </c>
      <c r="U151" s="107">
        <v>0</v>
      </c>
      <c r="V151" s="108" t="s">
        <v>1511</v>
      </c>
      <c r="W151" s="109" t="s">
        <v>1512</v>
      </c>
      <c r="X151" s="109" t="s">
        <v>1513</v>
      </c>
      <c r="Y151" s="109" t="s">
        <v>1521</v>
      </c>
      <c r="Z151" s="109" t="s">
        <v>1515</v>
      </c>
      <c r="AA151" s="109">
        <v>0</v>
      </c>
      <c r="AB151" s="109">
        <v>0</v>
      </c>
      <c r="AC151" s="109">
        <v>0</v>
      </c>
      <c r="AD151" s="109">
        <v>0</v>
      </c>
      <c r="AE151" s="110">
        <v>0</v>
      </c>
      <c r="AF151" s="77" t="str">
        <f>VLOOKUP(D151,TIPOLOGIAS!A:H,6,0)</f>
        <v>TIPO I</v>
      </c>
      <c r="AG151" s="77" t="str">
        <f>VLOOKUP(D151,TIPOLOGIAS!A:H,5,0)</f>
        <v>TERRESTRE</v>
      </c>
      <c r="AH151" s="104">
        <v>0</v>
      </c>
      <c r="AI151" s="104">
        <v>0</v>
      </c>
      <c r="AJ151" s="104">
        <v>0</v>
      </c>
      <c r="AK151" s="104">
        <v>0</v>
      </c>
      <c r="AL151" s="78">
        <f>IF(T151="SOPORTE_TELEFÓNICO",'BASE LIQUIDACION'!$B$10,IF(AF151="TIPO I",'BASE LIQUIDACION'!$C$3,IF(AF151="TIPO II",'BASE LIQUIDACION'!$C$4,IF(AF151="TIPO III",'BASE LIQUIDACION'!$C$5,'BASE LIQUIDACION'!$C$7))))</f>
        <v>37904.65408</v>
      </c>
      <c r="AM151" s="80">
        <f>IF(T151="SOPORTE_TELEFÓNICO",'BASE LIQUIDACION'!$B$10,(AH151*AL151+AI151*'BASE LIQUIDACION'!$B$12+AJ151*'BASE LIQUIDACION'!$B$11+INCIDENTES!AK151*'BASE LIQUIDACION'!$B$13))</f>
        <v>37904.65408</v>
      </c>
    </row>
    <row r="152" spans="1:39" s="4" customFormat="1">
      <c r="A152" s="104" t="s">
        <v>619</v>
      </c>
      <c r="B152" s="56" t="str">
        <f>VLOOKUP(A152,'CENTRO DE COSTOS'!A:D,4,FALSE)</f>
        <v>JOSE MAURICIO HERNANDEZ ROJAS</v>
      </c>
      <c r="C152" s="56" t="str">
        <f>VLOOKUP(A152,'CENTRO DE COSTOS'!A:D,2,FALSE)</f>
        <v>0004-0001</v>
      </c>
      <c r="D152" s="104">
        <v>13810</v>
      </c>
      <c r="E152" s="104">
        <v>2329755</v>
      </c>
      <c r="F152" s="104" t="s">
        <v>2125</v>
      </c>
      <c r="G152" s="105">
        <v>45827.470138888886</v>
      </c>
      <c r="H152" s="105">
        <v>45832.461018518516</v>
      </c>
      <c r="I152" s="104" t="s">
        <v>618</v>
      </c>
      <c r="J152" s="104" t="s">
        <v>662</v>
      </c>
      <c r="K152" s="104" t="s">
        <v>2126</v>
      </c>
      <c r="L152" s="104">
        <v>36821</v>
      </c>
      <c r="M152" s="56" t="s">
        <v>1505</v>
      </c>
      <c r="N152" s="56" t="s">
        <v>119</v>
      </c>
      <c r="O152" s="104" t="s">
        <v>1524</v>
      </c>
      <c r="P152" s="56"/>
      <c r="Q152" s="104" t="s">
        <v>1506</v>
      </c>
      <c r="R152" s="106" t="s">
        <v>2127</v>
      </c>
      <c r="S152" s="107" t="s">
        <v>399</v>
      </c>
      <c r="T152" s="104" t="s">
        <v>1520</v>
      </c>
      <c r="U152" s="107">
        <v>0</v>
      </c>
      <c r="V152" s="108" t="s">
        <v>1511</v>
      </c>
      <c r="W152" s="109" t="s">
        <v>1512</v>
      </c>
      <c r="X152" s="109" t="s">
        <v>1567</v>
      </c>
      <c r="Y152" s="109" t="s">
        <v>1649</v>
      </c>
      <c r="Z152" s="109" t="s">
        <v>1515</v>
      </c>
      <c r="AA152" s="109">
        <v>0</v>
      </c>
      <c r="AB152" s="109">
        <v>0</v>
      </c>
      <c r="AC152" s="109">
        <v>0</v>
      </c>
      <c r="AD152" s="109">
        <v>0</v>
      </c>
      <c r="AE152" s="110">
        <v>0</v>
      </c>
      <c r="AF152" s="77" t="str">
        <f>VLOOKUP(D152,TIPOLOGIAS!A:H,6,0)</f>
        <v>TIPO IV</v>
      </c>
      <c r="AG152" s="77" t="str">
        <f>VLOOKUP(D152,TIPOLOGIAS!A:H,5,0)</f>
        <v>TERRESTRE</v>
      </c>
      <c r="AH152" s="104">
        <v>0</v>
      </c>
      <c r="AI152" s="104">
        <v>0</v>
      </c>
      <c r="AJ152" s="104">
        <v>0</v>
      </c>
      <c r="AK152" s="104">
        <v>0</v>
      </c>
      <c r="AL152" s="78">
        <f>IF(T152="SOPORTE_TELEFÓNICO",'BASE LIQUIDACION'!$B$10,IF(AF152="TIPO I",'BASE LIQUIDACION'!$C$3,IF(AF152="TIPO II",'BASE LIQUIDACION'!$C$4,IF(AF152="TIPO III",'BASE LIQUIDACION'!$C$5,'BASE LIQUIDACION'!$C$7))))</f>
        <v>37904.65408</v>
      </c>
      <c r="AM152" s="80">
        <f>IF(T152="SOPORTE_TELEFÓNICO",'BASE LIQUIDACION'!$B$10,(AH152*AL152+AI152*'BASE LIQUIDACION'!$B$12+AJ152*'BASE LIQUIDACION'!$B$11+INCIDENTES!AK152*'BASE LIQUIDACION'!$B$13))</f>
        <v>37904.65408</v>
      </c>
    </row>
    <row r="153" spans="1:39" s="4" customFormat="1">
      <c r="A153" s="104" t="s">
        <v>111</v>
      </c>
      <c r="B153" s="56" t="str">
        <f>VLOOKUP(A153,'CENTRO DE COSTOS'!A:D,4,FALSE)</f>
        <v>JUAN SEBASTIÁN RÍOS CASTRILLÓN</v>
      </c>
      <c r="C153" s="56" t="str">
        <f>VLOOKUP(A153,'CENTRO DE COSTOS'!A:D,2,FALSE)</f>
        <v>0004-0005</v>
      </c>
      <c r="D153" s="104">
        <v>5001</v>
      </c>
      <c r="E153" s="104" t="s">
        <v>2128</v>
      </c>
      <c r="F153" s="104" t="s">
        <v>2129</v>
      </c>
      <c r="G153" s="105">
        <v>45831.688194444447</v>
      </c>
      <c r="H153" s="105">
        <v>45832.467361111114</v>
      </c>
      <c r="I153" s="104" t="s">
        <v>131</v>
      </c>
      <c r="J153" s="104" t="s">
        <v>111</v>
      </c>
      <c r="K153" s="104" t="s">
        <v>2130</v>
      </c>
      <c r="L153" s="104">
        <v>22222</v>
      </c>
      <c r="M153" s="56" t="s">
        <v>1505</v>
      </c>
      <c r="N153" s="56" t="s">
        <v>119</v>
      </c>
      <c r="O153" s="104" t="s">
        <v>2131</v>
      </c>
      <c r="P153" s="56"/>
      <c r="Q153" s="104" t="s">
        <v>1506</v>
      </c>
      <c r="R153" s="106" t="s">
        <v>2132</v>
      </c>
      <c r="S153" s="107" t="s">
        <v>1638</v>
      </c>
      <c r="T153" s="104" t="s">
        <v>1509</v>
      </c>
      <c r="U153" s="107" t="s">
        <v>2133</v>
      </c>
      <c r="V153" s="108" t="s">
        <v>1511</v>
      </c>
      <c r="W153" s="109" t="s">
        <v>1709</v>
      </c>
      <c r="X153" s="109" t="s">
        <v>1710</v>
      </c>
      <c r="Y153" s="109" t="s">
        <v>1711</v>
      </c>
      <c r="Z153" s="109" t="s">
        <v>1515</v>
      </c>
      <c r="AA153" s="109">
        <v>0</v>
      </c>
      <c r="AB153" s="109">
        <v>0</v>
      </c>
      <c r="AC153" s="109">
        <v>0</v>
      </c>
      <c r="AD153" s="109">
        <v>0</v>
      </c>
      <c r="AE153" s="110">
        <v>0</v>
      </c>
      <c r="AF153" s="77" t="str">
        <f>VLOOKUP(D153,TIPOLOGIAS!A:H,6,0)</f>
        <v>TIPO I</v>
      </c>
      <c r="AG153" s="77" t="str">
        <f>VLOOKUP(D153,TIPOLOGIAS!A:H,5,0)</f>
        <v>TERRESTRE</v>
      </c>
      <c r="AH153" s="104">
        <v>1</v>
      </c>
      <c r="AI153" s="104">
        <v>0</v>
      </c>
      <c r="AJ153" s="104">
        <v>0</v>
      </c>
      <c r="AK153" s="104">
        <v>0</v>
      </c>
      <c r="AL153" s="78">
        <f>IF(T153="SOPORTE_TELEFÓNICO",'BASE LIQUIDACION'!$B$10,IF(AF153="TIPO I",'BASE LIQUIDACION'!$C$3,IF(AF153="TIPO II",'BASE LIQUIDACION'!$C$4,IF(AF153="TIPO III",'BASE LIQUIDACION'!$C$5,'BASE LIQUIDACION'!$C$7))))</f>
        <v>65960.473639999997</v>
      </c>
      <c r="AM153" s="80">
        <f>IF(T153="SOPORTE_TELEFÓNICO",'BASE LIQUIDACION'!$B$10,(AH153*AL153+AI153*'BASE LIQUIDACION'!$B$12+AJ153*'BASE LIQUIDACION'!$B$11+INCIDENTES!AK153*'BASE LIQUIDACION'!$B$13))</f>
        <v>65960.473639999997</v>
      </c>
    </row>
    <row r="154" spans="1:39" s="4" customFormat="1">
      <c r="A154" s="104" t="s">
        <v>619</v>
      </c>
      <c r="B154" s="56" t="str">
        <f>VLOOKUP(A154,'CENTRO DE COSTOS'!A:D,4,FALSE)</f>
        <v>JOSE MAURICIO HERNANDEZ ROJAS</v>
      </c>
      <c r="C154" s="56" t="str">
        <f>VLOOKUP(A154,'CENTRO DE COSTOS'!A:D,2,FALSE)</f>
        <v>0004-0001</v>
      </c>
      <c r="D154" s="104">
        <v>13894</v>
      </c>
      <c r="E154" s="104">
        <v>2339953</v>
      </c>
      <c r="F154" s="104" t="s">
        <v>2134</v>
      </c>
      <c r="G154" s="105">
        <v>45829.470138888886</v>
      </c>
      <c r="H154" s="105">
        <v>45832.470231481479</v>
      </c>
      <c r="I154" s="104" t="s">
        <v>618</v>
      </c>
      <c r="J154" s="104" t="s">
        <v>665</v>
      </c>
      <c r="K154" s="104" t="s">
        <v>2135</v>
      </c>
      <c r="L154" s="104">
        <v>11424</v>
      </c>
      <c r="M154" s="56" t="s">
        <v>1505</v>
      </c>
      <c r="N154" s="56" t="s">
        <v>119</v>
      </c>
      <c r="O154" s="104" t="s">
        <v>1524</v>
      </c>
      <c r="P154" s="56"/>
      <c r="Q154" s="104" t="s">
        <v>1506</v>
      </c>
      <c r="R154" s="106" t="s">
        <v>2136</v>
      </c>
      <c r="S154" s="107" t="s">
        <v>1615</v>
      </c>
      <c r="T154" s="104" t="s">
        <v>1520</v>
      </c>
      <c r="U154" s="107">
        <v>0</v>
      </c>
      <c r="V154" s="108" t="s">
        <v>1511</v>
      </c>
      <c r="W154" s="109" t="s">
        <v>1512</v>
      </c>
      <c r="X154" s="109" t="s">
        <v>1513</v>
      </c>
      <c r="Y154" s="109" t="s">
        <v>1514</v>
      </c>
      <c r="Z154" s="109" t="s">
        <v>1515</v>
      </c>
      <c r="AA154" s="109">
        <v>0</v>
      </c>
      <c r="AB154" s="109">
        <v>0</v>
      </c>
      <c r="AC154" s="109">
        <v>0</v>
      </c>
      <c r="AD154" s="109">
        <v>0</v>
      </c>
      <c r="AE154" s="110">
        <v>0</v>
      </c>
      <c r="AF154" s="77" t="str">
        <f>VLOOKUP(D154,TIPOLOGIAS!A:H,6,0)</f>
        <v>TIPO IV</v>
      </c>
      <c r="AG154" s="77" t="str">
        <f>VLOOKUP(D154,TIPOLOGIAS!A:H,5,0)</f>
        <v>TERRESTRE</v>
      </c>
      <c r="AH154" s="104">
        <v>0</v>
      </c>
      <c r="AI154" s="104">
        <v>0</v>
      </c>
      <c r="AJ154" s="104">
        <v>0</v>
      </c>
      <c r="AK154" s="104">
        <v>0</v>
      </c>
      <c r="AL154" s="78">
        <f>IF(T154="SOPORTE_TELEFÓNICO",'BASE LIQUIDACION'!$B$10,IF(AF154="TIPO I",'BASE LIQUIDACION'!$C$3,IF(AF154="TIPO II",'BASE LIQUIDACION'!$C$4,IF(AF154="TIPO III",'BASE LIQUIDACION'!$C$5,'BASE LIQUIDACION'!$C$7))))</f>
        <v>37904.65408</v>
      </c>
      <c r="AM154" s="80">
        <f>IF(T154="SOPORTE_TELEFÓNICO",'BASE LIQUIDACION'!$B$10,(AH154*AL154+AI154*'BASE LIQUIDACION'!$B$12+AJ154*'BASE LIQUIDACION'!$B$11+INCIDENTES!AK154*'BASE LIQUIDACION'!$B$13))</f>
        <v>37904.65408</v>
      </c>
    </row>
    <row r="155" spans="1:39" s="4" customFormat="1">
      <c r="A155" s="104" t="s">
        <v>622</v>
      </c>
      <c r="B155" s="56" t="str">
        <f>VLOOKUP(A155,'CENTRO DE COSTOS'!A:D,4,FALSE)</f>
        <v>JOSE MAURICIO HERNANDEZ ROJAS</v>
      </c>
      <c r="C155" s="56" t="str">
        <f>VLOOKUP(A155,'CENTRO DE COSTOS'!A:D,2,FALSE)</f>
        <v>0004-0001</v>
      </c>
      <c r="D155" s="104">
        <v>20013</v>
      </c>
      <c r="E155" s="104">
        <v>2340185</v>
      </c>
      <c r="F155" s="104" t="s">
        <v>2137</v>
      </c>
      <c r="G155" s="105">
        <v>45829.686111111114</v>
      </c>
      <c r="H155" s="105">
        <v>45832.524224537039</v>
      </c>
      <c r="I155" s="104" t="s">
        <v>874</v>
      </c>
      <c r="J155" s="104" t="s">
        <v>878</v>
      </c>
      <c r="K155" s="104" t="s">
        <v>2138</v>
      </c>
      <c r="L155" s="104">
        <v>77433</v>
      </c>
      <c r="M155" s="56" t="s">
        <v>1505</v>
      </c>
      <c r="N155" s="56" t="s">
        <v>119</v>
      </c>
      <c r="O155" s="104" t="s">
        <v>1524</v>
      </c>
      <c r="P155" s="56"/>
      <c r="Q155" s="104" t="s">
        <v>1506</v>
      </c>
      <c r="R155" s="106" t="s">
        <v>2139</v>
      </c>
      <c r="S155" s="107" t="s">
        <v>1993</v>
      </c>
      <c r="T155" s="104" t="s">
        <v>1509</v>
      </c>
      <c r="U155" s="107" t="s">
        <v>2140</v>
      </c>
      <c r="V155" s="108" t="s">
        <v>1511</v>
      </c>
      <c r="W155" s="109" t="s">
        <v>1709</v>
      </c>
      <c r="X155" s="109" t="s">
        <v>1710</v>
      </c>
      <c r="Y155" s="109" t="s">
        <v>1711</v>
      </c>
      <c r="Z155" s="109" t="s">
        <v>1515</v>
      </c>
      <c r="AA155" s="109">
        <v>0</v>
      </c>
      <c r="AB155" s="109">
        <v>0</v>
      </c>
      <c r="AC155" s="109">
        <v>0</v>
      </c>
      <c r="AD155" s="109">
        <v>0</v>
      </c>
      <c r="AE155" s="110">
        <v>0</v>
      </c>
      <c r="AF155" s="77" t="str">
        <f>VLOOKUP(D155,TIPOLOGIAS!A:H,6,0)</f>
        <v>TIPO II</v>
      </c>
      <c r="AG155" s="77" t="str">
        <f>VLOOKUP(D155,TIPOLOGIAS!A:H,5,0)</f>
        <v>TERRESTRE</v>
      </c>
      <c r="AH155" s="104">
        <v>1</v>
      </c>
      <c r="AI155" s="104">
        <v>0</v>
      </c>
      <c r="AJ155" s="104">
        <v>0</v>
      </c>
      <c r="AK155" s="104">
        <v>0</v>
      </c>
      <c r="AL155" s="78">
        <f>IF(T155="SOPORTE_TELEFÓNICO",'BASE LIQUIDACION'!$B$10,IF(AF155="TIPO I",'BASE LIQUIDACION'!$C$3,IF(AF155="TIPO II",'BASE LIQUIDACION'!$C$4,IF(AF155="TIPO III",'BASE LIQUIDACION'!$C$5,'BASE LIQUIDACION'!$C$7))))</f>
        <v>163813.55812</v>
      </c>
      <c r="AM155" s="80">
        <f>IF(T155="SOPORTE_TELEFÓNICO",'BASE LIQUIDACION'!$B$10,(AH155*AL155+AI155*'BASE LIQUIDACION'!$B$12+AJ155*'BASE LIQUIDACION'!$B$11+INCIDENTES!AK155*'BASE LIQUIDACION'!$B$13))</f>
        <v>163813.55812</v>
      </c>
    </row>
    <row r="156" spans="1:39" s="4" customFormat="1">
      <c r="A156" s="104" t="s">
        <v>163</v>
      </c>
      <c r="B156" s="56" t="str">
        <f>VLOOKUP(A156,'CENTRO DE COSTOS'!A:D,4,FALSE)</f>
        <v>WILLIAM ASDRUBAL ROZO ROZO</v>
      </c>
      <c r="C156" s="56" t="str">
        <f>VLOOKUP(A156,'CENTRO DE COSTOS'!A:D,2,FALSE)</f>
        <v>0004-0004</v>
      </c>
      <c r="D156" s="104">
        <v>25754</v>
      </c>
      <c r="E156" s="104">
        <v>2339930</v>
      </c>
      <c r="F156" s="104" t="s">
        <v>2141</v>
      </c>
      <c r="G156" s="105">
        <v>45829.439583333333</v>
      </c>
      <c r="H156" s="105">
        <v>45832.581620370373</v>
      </c>
      <c r="I156" s="104" t="s">
        <v>166</v>
      </c>
      <c r="J156" s="104" t="s">
        <v>1031</v>
      </c>
      <c r="K156" s="104" t="s">
        <v>2142</v>
      </c>
      <c r="L156" s="104">
        <v>48526</v>
      </c>
      <c r="M156" s="56" t="s">
        <v>1505</v>
      </c>
      <c r="N156" s="56" t="s">
        <v>119</v>
      </c>
      <c r="O156" s="104" t="s">
        <v>1524</v>
      </c>
      <c r="P156" s="56"/>
      <c r="Q156" s="104" t="s">
        <v>1506</v>
      </c>
      <c r="R156" s="106" t="s">
        <v>2143</v>
      </c>
      <c r="S156" s="107" t="s">
        <v>2144</v>
      </c>
      <c r="T156" s="104" t="s">
        <v>1509</v>
      </c>
      <c r="U156" s="107" t="s">
        <v>2145</v>
      </c>
      <c r="V156" s="108" t="s">
        <v>1511</v>
      </c>
      <c r="W156" s="109" t="s">
        <v>1512</v>
      </c>
      <c r="X156" s="109" t="s">
        <v>1556</v>
      </c>
      <c r="Y156" s="109" t="s">
        <v>1557</v>
      </c>
      <c r="Z156" s="109" t="s">
        <v>1515</v>
      </c>
      <c r="AA156" s="109">
        <v>0</v>
      </c>
      <c r="AB156" s="109">
        <v>0</v>
      </c>
      <c r="AC156" s="109">
        <v>0</v>
      </c>
      <c r="AD156" s="109">
        <v>0</v>
      </c>
      <c r="AE156" s="110">
        <v>0</v>
      </c>
      <c r="AF156" s="77" t="str">
        <f>VLOOKUP(D156,TIPOLOGIAS!A:H,6,0)</f>
        <v>TIPO I</v>
      </c>
      <c r="AG156" s="77" t="str">
        <f>VLOOKUP(D156,TIPOLOGIAS!A:H,5,0)</f>
        <v>TERRESTRE</v>
      </c>
      <c r="AH156" s="104">
        <v>1</v>
      </c>
      <c r="AI156" s="104">
        <v>0</v>
      </c>
      <c r="AJ156" s="104">
        <v>0</v>
      </c>
      <c r="AK156" s="104">
        <v>0</v>
      </c>
      <c r="AL156" s="78">
        <f>IF(T156="SOPORTE_TELEFÓNICO",'BASE LIQUIDACION'!$B$10,IF(AF156="TIPO I",'BASE LIQUIDACION'!$C$3,IF(AF156="TIPO II",'BASE LIQUIDACION'!$C$4,IF(AF156="TIPO III",'BASE LIQUIDACION'!$C$5,'BASE LIQUIDACION'!$C$7))))</f>
        <v>65960.473639999997</v>
      </c>
      <c r="AM156" s="80">
        <f>IF(T156="SOPORTE_TELEFÓNICO",'BASE LIQUIDACION'!$B$10,(AH156*AL156+AI156*'BASE LIQUIDACION'!$B$12+AJ156*'BASE LIQUIDACION'!$B$11+INCIDENTES!AK156*'BASE LIQUIDACION'!$B$13))</f>
        <v>65960.473639999997</v>
      </c>
    </row>
    <row r="157" spans="1:39" s="4" customFormat="1">
      <c r="A157" s="104" t="s">
        <v>138</v>
      </c>
      <c r="B157" s="56" t="str">
        <f>VLOOKUP(A157,'CENTRO DE COSTOS'!A:D,4,FALSE)</f>
        <v>DIEGO FERNANDO HENAO CARDONA</v>
      </c>
      <c r="C157" s="56" t="str">
        <f>VLOOKUP(A157,'CENTRO DE COSTOS'!A:D,2,FALSE)</f>
        <v>0004-0003</v>
      </c>
      <c r="D157" s="104">
        <v>76001</v>
      </c>
      <c r="E157" s="104">
        <v>2347738</v>
      </c>
      <c r="F157" s="104" t="s">
        <v>2146</v>
      </c>
      <c r="G157" s="105">
        <v>45832.59652777778</v>
      </c>
      <c r="H157" s="105">
        <v>45833.35974537037</v>
      </c>
      <c r="I157" s="104" t="s">
        <v>141</v>
      </c>
      <c r="J157" s="104" t="s">
        <v>138</v>
      </c>
      <c r="K157" s="104" t="s">
        <v>2147</v>
      </c>
      <c r="L157" s="104">
        <v>16653</v>
      </c>
      <c r="M157" s="56" t="s">
        <v>1505</v>
      </c>
      <c r="N157" s="56" t="s">
        <v>119</v>
      </c>
      <c r="O157" s="104" t="s">
        <v>425</v>
      </c>
      <c r="P157" s="56"/>
      <c r="Q157" s="104" t="s">
        <v>1506</v>
      </c>
      <c r="R157" s="106" t="s">
        <v>2148</v>
      </c>
      <c r="S157" s="107" t="s">
        <v>1538</v>
      </c>
      <c r="T157" s="104" t="s">
        <v>1509</v>
      </c>
      <c r="U157" s="107" t="s">
        <v>2149</v>
      </c>
      <c r="V157" s="108" t="s">
        <v>1511</v>
      </c>
      <c r="W157" s="109" t="s">
        <v>1512</v>
      </c>
      <c r="X157" s="109" t="s">
        <v>1513</v>
      </c>
      <c r="Y157" s="109" t="s">
        <v>1521</v>
      </c>
      <c r="Z157" s="109" t="s">
        <v>1515</v>
      </c>
      <c r="AA157" s="109">
        <v>0</v>
      </c>
      <c r="AB157" s="109">
        <v>0</v>
      </c>
      <c r="AC157" s="109">
        <v>0</v>
      </c>
      <c r="AD157" s="109">
        <v>0</v>
      </c>
      <c r="AE157" s="110">
        <v>0</v>
      </c>
      <c r="AF157" s="77" t="str">
        <f>VLOOKUP(D157,TIPOLOGIAS!A:H,6,0)</f>
        <v>TIPO I</v>
      </c>
      <c r="AG157" s="77" t="str">
        <f>VLOOKUP(D157,TIPOLOGIAS!A:H,5,0)</f>
        <v>TERRESTRE</v>
      </c>
      <c r="AH157" s="104">
        <v>1</v>
      </c>
      <c r="AI157" s="104">
        <v>0</v>
      </c>
      <c r="AJ157" s="104">
        <v>0</v>
      </c>
      <c r="AK157" s="104">
        <v>0</v>
      </c>
      <c r="AL157" s="78">
        <f>IF(T157="SOPORTE_TELEFÓNICO",'BASE LIQUIDACION'!$B$10,IF(AF157="TIPO I",'BASE LIQUIDACION'!$C$3,IF(AF157="TIPO II",'BASE LIQUIDACION'!$C$4,IF(AF157="TIPO III",'BASE LIQUIDACION'!$C$5,'BASE LIQUIDACION'!$C$7))))</f>
        <v>65960.473639999997</v>
      </c>
      <c r="AM157" s="80">
        <f>IF(T157="SOPORTE_TELEFÓNICO",'BASE LIQUIDACION'!$B$10,(AH157*AL157+AI157*'BASE LIQUIDACION'!$B$12+AJ157*'BASE LIQUIDACION'!$B$11+INCIDENTES!AK157*'BASE LIQUIDACION'!$B$13))</f>
        <v>65960.473639999997</v>
      </c>
    </row>
    <row r="158" spans="1:39" s="4" customFormat="1">
      <c r="A158" s="104" t="s">
        <v>163</v>
      </c>
      <c r="B158" s="56" t="str">
        <f>VLOOKUP(A158,'CENTRO DE COSTOS'!A:D,4,FALSE)</f>
        <v>WILLIAM ASDRUBAL ROZO ROZO</v>
      </c>
      <c r="C158" s="56" t="str">
        <f>VLOOKUP(A158,'CENTRO DE COSTOS'!A:D,2,FALSE)</f>
        <v>0004-0004</v>
      </c>
      <c r="D158" s="104">
        <v>11001</v>
      </c>
      <c r="E158" s="104">
        <v>2344805</v>
      </c>
      <c r="F158" s="104" t="s">
        <v>2150</v>
      </c>
      <c r="G158" s="105">
        <v>45832.40625</v>
      </c>
      <c r="H158" s="105">
        <v>45833.390682870369</v>
      </c>
      <c r="I158" s="104" t="s">
        <v>166</v>
      </c>
      <c r="J158" s="104" t="s">
        <v>163</v>
      </c>
      <c r="K158" s="104" t="s">
        <v>2151</v>
      </c>
      <c r="L158" s="104">
        <v>14090</v>
      </c>
      <c r="M158" s="56" t="s">
        <v>1505</v>
      </c>
      <c r="N158" s="56" t="s">
        <v>119</v>
      </c>
      <c r="O158" s="104" t="s">
        <v>1524</v>
      </c>
      <c r="P158" s="56"/>
      <c r="Q158" s="104" t="s">
        <v>1506</v>
      </c>
      <c r="R158" s="106" t="s">
        <v>2152</v>
      </c>
      <c r="S158" s="107" t="s">
        <v>2153</v>
      </c>
      <c r="T158" s="104" t="s">
        <v>1509</v>
      </c>
      <c r="U158" s="107" t="s">
        <v>2154</v>
      </c>
      <c r="V158" s="108" t="s">
        <v>1511</v>
      </c>
      <c r="W158" s="109" t="s">
        <v>1512</v>
      </c>
      <c r="X158" s="109" t="s">
        <v>1513</v>
      </c>
      <c r="Y158" s="109" t="s">
        <v>1521</v>
      </c>
      <c r="Z158" s="109" t="s">
        <v>1515</v>
      </c>
      <c r="AA158" s="109">
        <v>0</v>
      </c>
      <c r="AB158" s="109">
        <v>0</v>
      </c>
      <c r="AC158" s="109">
        <v>0</v>
      </c>
      <c r="AD158" s="109">
        <v>0</v>
      </c>
      <c r="AE158" s="110">
        <v>0</v>
      </c>
      <c r="AF158" s="77" t="str">
        <f>VLOOKUP(D158,TIPOLOGIAS!A:H,6,0)</f>
        <v>TIPO I</v>
      </c>
      <c r="AG158" s="77" t="str">
        <f>VLOOKUP(D158,TIPOLOGIAS!A:H,5,0)</f>
        <v>TERRESTRE</v>
      </c>
      <c r="AH158" s="104">
        <v>1</v>
      </c>
      <c r="AI158" s="104">
        <v>0</v>
      </c>
      <c r="AJ158" s="104">
        <v>0</v>
      </c>
      <c r="AK158" s="104">
        <v>0</v>
      </c>
      <c r="AL158" s="78">
        <f>IF(T158="SOPORTE_TELEFÓNICO",'BASE LIQUIDACION'!$B$10,IF(AF158="TIPO I",'BASE LIQUIDACION'!$C$3,IF(AF158="TIPO II",'BASE LIQUIDACION'!$C$4,IF(AF158="TIPO III",'BASE LIQUIDACION'!$C$5,'BASE LIQUIDACION'!$C$7))))</f>
        <v>65960.473639999997</v>
      </c>
      <c r="AM158" s="80">
        <f>IF(T158="SOPORTE_TELEFÓNICO",'BASE LIQUIDACION'!$B$10,(AH158*AL158+AI158*'BASE LIQUIDACION'!$B$12+AJ158*'BASE LIQUIDACION'!$B$11+INCIDENTES!AK158*'BASE LIQUIDACION'!$B$13))</f>
        <v>65960.473639999997</v>
      </c>
    </row>
    <row r="159" spans="1:39" s="4" customFormat="1">
      <c r="A159" s="104" t="s">
        <v>163</v>
      </c>
      <c r="B159" s="56" t="str">
        <f>VLOOKUP(A159,'CENTRO DE COSTOS'!A:D,4,FALSE)</f>
        <v>WILLIAM ASDRUBAL ROZO ROZO</v>
      </c>
      <c r="C159" s="56" t="str">
        <f>VLOOKUP(A159,'CENTRO DE COSTOS'!A:D,2,FALSE)</f>
        <v>0004-0004</v>
      </c>
      <c r="D159" s="104">
        <v>25053</v>
      </c>
      <c r="E159" s="104">
        <v>2349280</v>
      </c>
      <c r="F159" s="104" t="s">
        <v>2155</v>
      </c>
      <c r="G159" s="105">
        <v>45832.693749999999</v>
      </c>
      <c r="H159" s="105">
        <v>45833.397870370369</v>
      </c>
      <c r="I159" s="104" t="s">
        <v>166</v>
      </c>
      <c r="J159" s="104" t="s">
        <v>962</v>
      </c>
      <c r="K159" s="104" t="s">
        <v>2156</v>
      </c>
      <c r="L159" s="104">
        <v>23819</v>
      </c>
      <c r="M159" s="56" t="s">
        <v>1505</v>
      </c>
      <c r="N159" s="56" t="s">
        <v>119</v>
      </c>
      <c r="O159" s="104" t="s">
        <v>1524</v>
      </c>
      <c r="P159" s="56"/>
      <c r="Q159" s="104" t="s">
        <v>1506</v>
      </c>
      <c r="R159" s="106" t="s">
        <v>2157</v>
      </c>
      <c r="S159" s="107">
        <v>0</v>
      </c>
      <c r="T159" s="104" t="s">
        <v>1520</v>
      </c>
      <c r="U159" s="107">
        <v>0</v>
      </c>
      <c r="V159" s="108" t="s">
        <v>1511</v>
      </c>
      <c r="W159" s="109" t="s">
        <v>1512</v>
      </c>
      <c r="X159" s="109" t="s">
        <v>1533</v>
      </c>
      <c r="Y159" s="109" t="s">
        <v>1534</v>
      </c>
      <c r="Z159" s="109" t="s">
        <v>1511</v>
      </c>
      <c r="AA159" s="109">
        <v>0</v>
      </c>
      <c r="AB159" s="109">
        <v>0</v>
      </c>
      <c r="AC159" s="109">
        <v>0</v>
      </c>
      <c r="AD159" s="109">
        <v>0</v>
      </c>
      <c r="AE159" s="110">
        <v>0</v>
      </c>
      <c r="AF159" s="77" t="str">
        <f>VLOOKUP(D159,TIPOLOGIAS!A:H,6,0)</f>
        <v>TIPO II</v>
      </c>
      <c r="AG159" s="77" t="str">
        <f>VLOOKUP(D159,TIPOLOGIAS!A:H,5,0)</f>
        <v>TERRESTRE</v>
      </c>
      <c r="AH159" s="104">
        <v>0</v>
      </c>
      <c r="AI159" s="104">
        <v>0</v>
      </c>
      <c r="AJ159" s="104">
        <v>0</v>
      </c>
      <c r="AK159" s="104">
        <v>0</v>
      </c>
      <c r="AL159" s="78">
        <f>IF(T159="SOPORTE_TELEFÓNICO",'BASE LIQUIDACION'!$B$10,IF(AF159="TIPO I",'BASE LIQUIDACION'!$C$3,IF(AF159="TIPO II",'BASE LIQUIDACION'!$C$4,IF(AF159="TIPO III",'BASE LIQUIDACION'!$C$5,'BASE LIQUIDACION'!$C$7))))</f>
        <v>37904.65408</v>
      </c>
      <c r="AM159" s="80">
        <f>IF(T159="SOPORTE_TELEFÓNICO",'BASE LIQUIDACION'!$B$10,(AH159*AL159+AI159*'BASE LIQUIDACION'!$B$12+AJ159*'BASE LIQUIDACION'!$B$11+INCIDENTES!AK159*'BASE LIQUIDACION'!$B$13))</f>
        <v>37904.65408</v>
      </c>
    </row>
    <row r="160" spans="1:39" s="4" customFormat="1">
      <c r="A160" s="104" t="s">
        <v>298</v>
      </c>
      <c r="B160" s="56" t="str">
        <f>VLOOKUP(A160,'CENTRO DE COSTOS'!A:D,4,FALSE)</f>
        <v>KEVIN ALEXIS CORZO BUSTOS</v>
      </c>
      <c r="C160" s="56" t="str">
        <f>VLOOKUP(A160,'CENTRO DE COSTOS'!A:D,2,FALSE)</f>
        <v>0004-0007</v>
      </c>
      <c r="D160" s="104">
        <v>41668</v>
      </c>
      <c r="E160" s="104">
        <v>2338551</v>
      </c>
      <c r="F160" s="104" t="s">
        <v>2158</v>
      </c>
      <c r="G160" s="105">
        <v>45828.691666666666</v>
      </c>
      <c r="H160" s="105">
        <v>45833.433472222219</v>
      </c>
      <c r="I160" s="104" t="s">
        <v>1073</v>
      </c>
      <c r="J160" s="104" t="s">
        <v>1098</v>
      </c>
      <c r="K160" s="104" t="s">
        <v>2159</v>
      </c>
      <c r="L160" s="104">
        <v>31314</v>
      </c>
      <c r="M160" s="56" t="s">
        <v>1505</v>
      </c>
      <c r="N160" s="56" t="s">
        <v>119</v>
      </c>
      <c r="O160" s="104" t="s">
        <v>332</v>
      </c>
      <c r="P160" s="56"/>
      <c r="Q160" s="104" t="s">
        <v>1506</v>
      </c>
      <c r="R160" s="106" t="s">
        <v>2160</v>
      </c>
      <c r="S160" s="107" t="s">
        <v>1791</v>
      </c>
      <c r="T160" s="104" t="s">
        <v>1509</v>
      </c>
      <c r="U160" s="107" t="s">
        <v>2161</v>
      </c>
      <c r="V160" s="108" t="s">
        <v>1511</v>
      </c>
      <c r="W160" s="109" t="s">
        <v>1512</v>
      </c>
      <c r="X160" s="109" t="s">
        <v>1533</v>
      </c>
      <c r="Y160" s="109" t="s">
        <v>1534</v>
      </c>
      <c r="Z160" s="109" t="s">
        <v>1515</v>
      </c>
      <c r="AA160" s="109">
        <v>0</v>
      </c>
      <c r="AB160" s="109">
        <v>0</v>
      </c>
      <c r="AC160" s="109">
        <v>0</v>
      </c>
      <c r="AD160" s="109">
        <v>0</v>
      </c>
      <c r="AE160" s="110">
        <v>0</v>
      </c>
      <c r="AF160" s="77" t="str">
        <f>VLOOKUP(D160,TIPOLOGIAS!A:H,6,0)</f>
        <v>TIPO IV</v>
      </c>
      <c r="AG160" s="77" t="str">
        <f>VLOOKUP(D160,TIPOLOGIAS!A:H,5,0)</f>
        <v>TERRESTRE</v>
      </c>
      <c r="AH160" s="104">
        <v>1</v>
      </c>
      <c r="AI160" s="104">
        <v>0</v>
      </c>
      <c r="AJ160" s="104">
        <v>0</v>
      </c>
      <c r="AK160" s="104">
        <v>0</v>
      </c>
      <c r="AL160" s="78">
        <f>IF(T160="SOPORTE_TELEFÓNICO",'BASE LIQUIDACION'!$B$10,IF(AF160="TIPO I",'BASE LIQUIDACION'!$C$3,IF(AF160="TIPO II",'BASE LIQUIDACION'!$C$4,IF(AF160="TIPO III",'BASE LIQUIDACION'!$C$5,'BASE LIQUIDACION'!$C$7))))</f>
        <v>479589.73656000005</v>
      </c>
      <c r="AM160" s="80">
        <f>IF(T160="SOPORTE_TELEFÓNICO",'BASE LIQUIDACION'!$B$10,(AH160*AL160+AI160*'BASE LIQUIDACION'!$B$12+AJ160*'BASE LIQUIDACION'!$B$11+INCIDENTES!AK160*'BASE LIQUIDACION'!$B$13))</f>
        <v>479589.73656000005</v>
      </c>
    </row>
    <row r="161" spans="1:39" s="4" customFormat="1">
      <c r="A161" s="104" t="s">
        <v>128</v>
      </c>
      <c r="B161" s="56" t="str">
        <f>VLOOKUP(A161,'CENTRO DE COSTOS'!A:D,4,FALSE)</f>
        <v>JUAN SEBASTIÁN RÍOS CASTRILLÓN</v>
      </c>
      <c r="C161" s="56" t="str">
        <f>VLOOKUP(A161,'CENTRO DE COSTOS'!A:D,2,FALSE)</f>
        <v>0004-0005</v>
      </c>
      <c r="D161" s="104">
        <v>5045</v>
      </c>
      <c r="E161" s="104">
        <v>2346735</v>
      </c>
      <c r="F161" s="104" t="s">
        <v>2162</v>
      </c>
      <c r="G161" s="105">
        <v>45832.499305555553</v>
      </c>
      <c r="H161" s="105">
        <v>45833.494525462964</v>
      </c>
      <c r="I161" s="104" t="s">
        <v>131</v>
      </c>
      <c r="J161" s="104" t="s">
        <v>128</v>
      </c>
      <c r="K161" s="104" t="s">
        <v>2163</v>
      </c>
      <c r="L161" s="104">
        <v>79884</v>
      </c>
      <c r="M161" s="56" t="s">
        <v>1505</v>
      </c>
      <c r="N161" s="56" t="s">
        <v>119</v>
      </c>
      <c r="O161" s="104" t="s">
        <v>332</v>
      </c>
      <c r="P161" s="56"/>
      <c r="Q161" s="104" t="s">
        <v>1506</v>
      </c>
      <c r="R161" s="106" t="s">
        <v>2164</v>
      </c>
      <c r="S161" s="107" t="s">
        <v>1549</v>
      </c>
      <c r="T161" s="104" t="s">
        <v>1509</v>
      </c>
      <c r="U161" s="107" t="s">
        <v>2165</v>
      </c>
      <c r="V161" s="108" t="s">
        <v>1511</v>
      </c>
      <c r="W161" s="109" t="s">
        <v>1512</v>
      </c>
      <c r="X161" s="109" t="s">
        <v>1567</v>
      </c>
      <c r="Y161" s="109" t="s">
        <v>1568</v>
      </c>
      <c r="Z161" s="109" t="s">
        <v>1515</v>
      </c>
      <c r="AA161" s="109">
        <v>0</v>
      </c>
      <c r="AB161" s="109">
        <v>0</v>
      </c>
      <c r="AC161" s="109">
        <v>0</v>
      </c>
      <c r="AD161" s="109">
        <v>0</v>
      </c>
      <c r="AE161" s="110">
        <v>0</v>
      </c>
      <c r="AF161" s="77" t="str">
        <f>VLOOKUP(D161,TIPOLOGIAS!A:H,6,0)</f>
        <v>TIPO I</v>
      </c>
      <c r="AG161" s="77" t="str">
        <f>VLOOKUP(D161,TIPOLOGIAS!A:H,5,0)</f>
        <v>TERRESTRE</v>
      </c>
      <c r="AH161" s="104">
        <v>1</v>
      </c>
      <c r="AI161" s="104">
        <v>0</v>
      </c>
      <c r="AJ161" s="104">
        <v>0</v>
      </c>
      <c r="AK161" s="104">
        <v>0</v>
      </c>
      <c r="AL161" s="78">
        <f>IF(T161="SOPORTE_TELEFÓNICO",'BASE LIQUIDACION'!$B$10,IF(AF161="TIPO I",'BASE LIQUIDACION'!$C$3,IF(AF161="TIPO II",'BASE LIQUIDACION'!$C$4,IF(AF161="TIPO III",'BASE LIQUIDACION'!$C$5,'BASE LIQUIDACION'!$C$7))))</f>
        <v>65960.473639999997</v>
      </c>
      <c r="AM161" s="80">
        <f>IF(T161="SOPORTE_TELEFÓNICO",'BASE LIQUIDACION'!$B$10,(AH161*AL161+AI161*'BASE LIQUIDACION'!$B$12+AJ161*'BASE LIQUIDACION'!$B$11+INCIDENTES!AK161*'BASE LIQUIDACION'!$B$13))</f>
        <v>65960.473639999997</v>
      </c>
    </row>
    <row r="162" spans="1:39" s="4" customFormat="1">
      <c r="A162" s="104" t="s">
        <v>111</v>
      </c>
      <c r="B162" s="56" t="str">
        <f>VLOOKUP(A162,'CENTRO DE COSTOS'!A:D,4,FALSE)</f>
        <v>JUAN SEBASTIÁN RÍOS CASTRILLÓN</v>
      </c>
      <c r="C162" s="56" t="str">
        <f>VLOOKUP(A162,'CENTRO DE COSTOS'!A:D,2,FALSE)</f>
        <v>0004-0005</v>
      </c>
      <c r="D162" s="104">
        <v>5001</v>
      </c>
      <c r="E162" s="104">
        <v>2346943</v>
      </c>
      <c r="F162" s="104" t="s">
        <v>2166</v>
      </c>
      <c r="G162" s="105">
        <v>45832.524305555555</v>
      </c>
      <c r="H162" s="105">
        <v>45833.518194444441</v>
      </c>
      <c r="I162" s="104" t="s">
        <v>131</v>
      </c>
      <c r="J162" s="104" t="s">
        <v>111</v>
      </c>
      <c r="K162" s="104" t="s">
        <v>2167</v>
      </c>
      <c r="L162" s="104">
        <v>23500</v>
      </c>
      <c r="M162" s="56" t="s">
        <v>1505</v>
      </c>
      <c r="N162" s="56" t="s">
        <v>119</v>
      </c>
      <c r="O162" s="104" t="s">
        <v>425</v>
      </c>
      <c r="P162" s="56"/>
      <c r="Q162" s="104" t="s">
        <v>1506</v>
      </c>
      <c r="R162" s="106" t="s">
        <v>2168</v>
      </c>
      <c r="S162" s="107" t="s">
        <v>1561</v>
      </c>
      <c r="T162" s="104" t="s">
        <v>1509</v>
      </c>
      <c r="U162" s="107" t="s">
        <v>2169</v>
      </c>
      <c r="V162" s="108" t="s">
        <v>1511</v>
      </c>
      <c r="W162" s="109" t="s">
        <v>1512</v>
      </c>
      <c r="X162" s="109" t="s">
        <v>1533</v>
      </c>
      <c r="Y162" s="109" t="s">
        <v>1534</v>
      </c>
      <c r="Z162" s="109" t="s">
        <v>1515</v>
      </c>
      <c r="AA162" s="109">
        <v>0</v>
      </c>
      <c r="AB162" s="109">
        <v>0</v>
      </c>
      <c r="AC162" s="109">
        <v>0</v>
      </c>
      <c r="AD162" s="109">
        <v>0</v>
      </c>
      <c r="AE162" s="110" t="s">
        <v>2170</v>
      </c>
      <c r="AF162" s="77" t="str">
        <f>VLOOKUP(D162,TIPOLOGIAS!A:H,6,0)</f>
        <v>TIPO I</v>
      </c>
      <c r="AG162" s="77" t="str">
        <f>VLOOKUP(D162,TIPOLOGIAS!A:H,5,0)</f>
        <v>TERRESTRE</v>
      </c>
      <c r="AH162" s="104">
        <v>1</v>
      </c>
      <c r="AI162" s="104">
        <v>0</v>
      </c>
      <c r="AJ162" s="104">
        <v>0</v>
      </c>
      <c r="AK162" s="104">
        <v>0</v>
      </c>
      <c r="AL162" s="78">
        <f>IF(T162="SOPORTE_TELEFÓNICO",'BASE LIQUIDACION'!$B$10,IF(AF162="TIPO I",'BASE LIQUIDACION'!$C$3,IF(AF162="TIPO II",'BASE LIQUIDACION'!$C$4,IF(AF162="TIPO III",'BASE LIQUIDACION'!$C$5,'BASE LIQUIDACION'!$C$7))))</f>
        <v>65960.473639999997</v>
      </c>
      <c r="AM162" s="80">
        <f>IF(T162="SOPORTE_TELEFÓNICO",'BASE LIQUIDACION'!$B$10,(AH162*AL162+AI162*'BASE LIQUIDACION'!$B$12+AJ162*'BASE LIQUIDACION'!$B$11+INCIDENTES!AK162*'BASE LIQUIDACION'!$B$13))</f>
        <v>65960.473639999997</v>
      </c>
    </row>
    <row r="163" spans="1:39" s="4" customFormat="1">
      <c r="A163" s="104" t="s">
        <v>163</v>
      </c>
      <c r="B163" s="56" t="str">
        <f>VLOOKUP(A163,'CENTRO DE COSTOS'!A:D,4,FALSE)</f>
        <v>WILLIAM ASDRUBAL ROZO ROZO</v>
      </c>
      <c r="C163" s="56" t="str">
        <f>VLOOKUP(A163,'CENTRO DE COSTOS'!A:D,2,FALSE)</f>
        <v>0004-0004</v>
      </c>
      <c r="D163" s="104">
        <v>25245</v>
      </c>
      <c r="E163" s="104">
        <v>2353645</v>
      </c>
      <c r="F163" s="104" t="s">
        <v>2171</v>
      </c>
      <c r="G163" s="105">
        <v>45833.535416666666</v>
      </c>
      <c r="H163" s="105">
        <v>45833.676157407404</v>
      </c>
      <c r="I163" s="104" t="s">
        <v>166</v>
      </c>
      <c r="J163" s="104" t="s">
        <v>979</v>
      </c>
      <c r="K163" s="104" t="s">
        <v>2172</v>
      </c>
      <c r="L163" s="104">
        <v>34785</v>
      </c>
      <c r="M163" s="56" t="s">
        <v>1505</v>
      </c>
      <c r="N163" s="56" t="s">
        <v>119</v>
      </c>
      <c r="O163" s="104" t="s">
        <v>1845</v>
      </c>
      <c r="P163" s="56"/>
      <c r="Q163" s="104" t="s">
        <v>1506</v>
      </c>
      <c r="R163" s="106" t="s">
        <v>2173</v>
      </c>
      <c r="S163" s="107">
        <v>0</v>
      </c>
      <c r="T163" s="104" t="s">
        <v>1520</v>
      </c>
      <c r="U163" s="107">
        <v>0</v>
      </c>
      <c r="V163" s="108" t="s">
        <v>1511</v>
      </c>
      <c r="W163" s="109" t="s">
        <v>1512</v>
      </c>
      <c r="X163" s="109" t="s">
        <v>1533</v>
      </c>
      <c r="Y163" s="109" t="s">
        <v>1534</v>
      </c>
      <c r="Z163" s="109" t="s">
        <v>1515</v>
      </c>
      <c r="AA163" s="109">
        <v>0</v>
      </c>
      <c r="AB163" s="109">
        <v>0</v>
      </c>
      <c r="AC163" s="109">
        <v>0</v>
      </c>
      <c r="AD163" s="109">
        <v>0</v>
      </c>
      <c r="AE163" s="110">
        <v>0</v>
      </c>
      <c r="AF163" s="77" t="str">
        <f>VLOOKUP(D163,TIPOLOGIAS!A:H,6,0)</f>
        <v>TIPO II</v>
      </c>
      <c r="AG163" s="77" t="str">
        <f>VLOOKUP(D163,TIPOLOGIAS!A:H,5,0)</f>
        <v>TERRESTRE</v>
      </c>
      <c r="AH163" s="104">
        <v>0</v>
      </c>
      <c r="AI163" s="104">
        <v>0</v>
      </c>
      <c r="AJ163" s="104">
        <v>0</v>
      </c>
      <c r="AK163" s="104">
        <v>0</v>
      </c>
      <c r="AL163" s="78">
        <f>IF(T163="SOPORTE_TELEFÓNICO",'BASE LIQUIDACION'!$B$10,IF(AF163="TIPO I",'BASE LIQUIDACION'!$C$3,IF(AF163="TIPO II",'BASE LIQUIDACION'!$C$4,IF(AF163="TIPO III",'BASE LIQUIDACION'!$C$5,'BASE LIQUIDACION'!$C$7))))</f>
        <v>37904.65408</v>
      </c>
      <c r="AM163" s="80">
        <f>IF(T163="SOPORTE_TELEFÓNICO",'BASE LIQUIDACION'!$B$10,(AH163*AL163+AI163*'BASE LIQUIDACION'!$B$12+AJ163*'BASE LIQUIDACION'!$B$11+INCIDENTES!AK163*'BASE LIQUIDACION'!$B$13))</f>
        <v>37904.65408</v>
      </c>
    </row>
    <row r="164" spans="1:39" s="4" customFormat="1">
      <c r="A164" s="104" t="s">
        <v>111</v>
      </c>
      <c r="B164" s="56" t="str">
        <f>VLOOKUP(A164,'CENTRO DE COSTOS'!A:D,4,FALSE)</f>
        <v>JUAN SEBASTIÁN RÍOS CASTRILLÓN</v>
      </c>
      <c r="C164" s="56" t="str">
        <f>VLOOKUP(A164,'CENTRO DE COSTOS'!A:D,2,FALSE)</f>
        <v>0004-0005</v>
      </c>
      <c r="D164" s="104">
        <v>5001</v>
      </c>
      <c r="E164" s="104">
        <v>2353279</v>
      </c>
      <c r="F164" s="104" t="s">
        <v>2174</v>
      </c>
      <c r="G164" s="105">
        <v>45833.5</v>
      </c>
      <c r="H164" s="105">
        <v>45833.712013888886</v>
      </c>
      <c r="I164" s="104" t="s">
        <v>131</v>
      </c>
      <c r="J164" s="104" t="s">
        <v>111</v>
      </c>
      <c r="K164" s="104" t="s">
        <v>2175</v>
      </c>
      <c r="L164" s="104">
        <v>10314</v>
      </c>
      <c r="M164" s="56" t="s">
        <v>1505</v>
      </c>
      <c r="N164" s="56" t="s">
        <v>119</v>
      </c>
      <c r="O164" s="104" t="s">
        <v>1524</v>
      </c>
      <c r="P164" s="56"/>
      <c r="Q164" s="104" t="s">
        <v>1506</v>
      </c>
      <c r="R164" s="106" t="s">
        <v>2176</v>
      </c>
      <c r="S164" s="107" t="s">
        <v>1531</v>
      </c>
      <c r="T164" s="104" t="s">
        <v>1509</v>
      </c>
      <c r="U164" s="107" t="s">
        <v>2177</v>
      </c>
      <c r="V164" s="108" t="s">
        <v>1511</v>
      </c>
      <c r="W164" s="109" t="s">
        <v>1512</v>
      </c>
      <c r="X164" s="109" t="s">
        <v>1533</v>
      </c>
      <c r="Y164" s="109" t="s">
        <v>1534</v>
      </c>
      <c r="Z164" s="109" t="s">
        <v>1515</v>
      </c>
      <c r="AA164" s="109">
        <v>0</v>
      </c>
      <c r="AB164" s="109">
        <v>0</v>
      </c>
      <c r="AC164" s="109">
        <v>0</v>
      </c>
      <c r="AD164" s="109">
        <v>0</v>
      </c>
      <c r="AE164" s="110">
        <v>0</v>
      </c>
      <c r="AF164" s="77" t="str">
        <f>VLOOKUP(D164,TIPOLOGIAS!A:H,6,0)</f>
        <v>TIPO I</v>
      </c>
      <c r="AG164" s="77" t="str">
        <f>VLOOKUP(D164,TIPOLOGIAS!A:H,5,0)</f>
        <v>TERRESTRE</v>
      </c>
      <c r="AH164" s="104">
        <v>1</v>
      </c>
      <c r="AI164" s="104">
        <v>0</v>
      </c>
      <c r="AJ164" s="104">
        <v>0</v>
      </c>
      <c r="AK164" s="104">
        <v>0</v>
      </c>
      <c r="AL164" s="78">
        <f>IF(T164="SOPORTE_TELEFÓNICO",'BASE LIQUIDACION'!$B$10,IF(AF164="TIPO I",'BASE LIQUIDACION'!$C$3,IF(AF164="TIPO II",'BASE LIQUIDACION'!$C$4,IF(AF164="TIPO III",'BASE LIQUIDACION'!$C$5,'BASE LIQUIDACION'!$C$7))))</f>
        <v>65960.473639999997</v>
      </c>
      <c r="AM164" s="80">
        <f>IF(T164="SOPORTE_TELEFÓNICO",'BASE LIQUIDACION'!$B$10,(AH164*AL164+AI164*'BASE LIQUIDACION'!$B$12+AJ164*'BASE LIQUIDACION'!$B$11+INCIDENTES!AK164*'BASE LIQUIDACION'!$B$13))</f>
        <v>65960.473639999997</v>
      </c>
    </row>
    <row r="165" spans="1:39" s="4" customFormat="1">
      <c r="A165" s="104" t="s">
        <v>111</v>
      </c>
      <c r="B165" s="56" t="str">
        <f>VLOOKUP(A165,'CENTRO DE COSTOS'!A:D,4,FALSE)</f>
        <v>JUAN SEBASTIÁN RÍOS CASTRILLÓN</v>
      </c>
      <c r="C165" s="56" t="str">
        <f>VLOOKUP(A165,'CENTRO DE COSTOS'!A:D,2,FALSE)</f>
        <v>0004-0005</v>
      </c>
      <c r="D165" s="104">
        <v>5001</v>
      </c>
      <c r="E165" s="104">
        <v>2353913</v>
      </c>
      <c r="F165" s="104" t="s">
        <v>2178</v>
      </c>
      <c r="G165" s="105">
        <v>45833.572222222225</v>
      </c>
      <c r="H165" s="105">
        <v>45834.412789351853</v>
      </c>
      <c r="I165" s="104" t="s">
        <v>131</v>
      </c>
      <c r="J165" s="104" t="s">
        <v>111</v>
      </c>
      <c r="K165" s="104" t="s">
        <v>2179</v>
      </c>
      <c r="L165" s="104">
        <v>22768</v>
      </c>
      <c r="M165" s="56" t="s">
        <v>1505</v>
      </c>
      <c r="N165" s="56" t="s">
        <v>119</v>
      </c>
      <c r="O165" s="104" t="s">
        <v>425</v>
      </c>
      <c r="P165" s="56"/>
      <c r="Q165" s="104" t="s">
        <v>1506</v>
      </c>
      <c r="R165" s="106" t="s">
        <v>2180</v>
      </c>
      <c r="S165" s="107" t="s">
        <v>1561</v>
      </c>
      <c r="T165" s="104" t="s">
        <v>1509</v>
      </c>
      <c r="U165" s="107" t="s">
        <v>2181</v>
      </c>
      <c r="V165" s="108" t="s">
        <v>1511</v>
      </c>
      <c r="W165" s="109" t="s">
        <v>1512</v>
      </c>
      <c r="X165" s="109" t="s">
        <v>1533</v>
      </c>
      <c r="Y165" s="109" t="s">
        <v>1534</v>
      </c>
      <c r="Z165" s="109" t="s">
        <v>1515</v>
      </c>
      <c r="AA165" s="109">
        <v>0</v>
      </c>
      <c r="AB165" s="109">
        <v>0</v>
      </c>
      <c r="AC165" s="109">
        <v>0</v>
      </c>
      <c r="AD165" s="109">
        <v>0</v>
      </c>
      <c r="AE165" s="110">
        <v>0</v>
      </c>
      <c r="AF165" s="77" t="str">
        <f>VLOOKUP(D165,TIPOLOGIAS!A:H,6,0)</f>
        <v>TIPO I</v>
      </c>
      <c r="AG165" s="77" t="str">
        <f>VLOOKUP(D165,TIPOLOGIAS!A:H,5,0)</f>
        <v>TERRESTRE</v>
      </c>
      <c r="AH165" s="104">
        <v>1</v>
      </c>
      <c r="AI165" s="104">
        <v>0</v>
      </c>
      <c r="AJ165" s="104">
        <v>0</v>
      </c>
      <c r="AK165" s="104">
        <v>0</v>
      </c>
      <c r="AL165" s="78">
        <f>IF(T165="SOPORTE_TELEFÓNICO",'BASE LIQUIDACION'!$B$10,IF(AF165="TIPO I",'BASE LIQUIDACION'!$C$3,IF(AF165="TIPO II",'BASE LIQUIDACION'!$C$4,IF(AF165="TIPO III",'BASE LIQUIDACION'!$C$5,'BASE LIQUIDACION'!$C$7))))</f>
        <v>65960.473639999997</v>
      </c>
      <c r="AM165" s="80">
        <f>IF(T165="SOPORTE_TELEFÓNICO",'BASE LIQUIDACION'!$B$10,(AH165*AL165+AI165*'BASE LIQUIDACION'!$B$12+AJ165*'BASE LIQUIDACION'!$B$11+INCIDENTES!AK165*'BASE LIQUIDACION'!$B$13))</f>
        <v>65960.473639999997</v>
      </c>
    </row>
    <row r="166" spans="1:39" s="4" customFormat="1">
      <c r="A166" s="104" t="s">
        <v>195</v>
      </c>
      <c r="B166" s="56" t="str">
        <f>VLOOKUP(A166,'CENTRO DE COSTOS'!A:D,4,FALSE)</f>
        <v>DIEGO FERNANDO HENAO CARDONA</v>
      </c>
      <c r="C166" s="56" t="str">
        <f>VLOOKUP(A166,'CENTRO DE COSTOS'!A:D,2,FALSE)</f>
        <v>0004-0002</v>
      </c>
      <c r="D166" s="104">
        <v>66400</v>
      </c>
      <c r="E166" s="104">
        <v>2356585</v>
      </c>
      <c r="F166" s="104" t="s">
        <v>2182</v>
      </c>
      <c r="G166" s="105">
        <v>45834.333333333336</v>
      </c>
      <c r="H166" s="105">
        <v>45834.41443287037</v>
      </c>
      <c r="I166" s="104" t="s">
        <v>198</v>
      </c>
      <c r="J166" s="104" t="s">
        <v>1286</v>
      </c>
      <c r="K166" s="104" t="s">
        <v>2183</v>
      </c>
      <c r="L166" s="104">
        <v>56964</v>
      </c>
      <c r="M166" s="56" t="s">
        <v>1505</v>
      </c>
      <c r="N166" s="56" t="s">
        <v>119</v>
      </c>
      <c r="O166" s="104" t="s">
        <v>332</v>
      </c>
      <c r="P166" s="56"/>
      <c r="Q166" s="104" t="s">
        <v>1506</v>
      </c>
      <c r="R166" s="106" t="s">
        <v>2184</v>
      </c>
      <c r="S166" s="107" t="s">
        <v>1519</v>
      </c>
      <c r="T166" s="104" t="s">
        <v>1520</v>
      </c>
      <c r="U166" s="107">
        <v>0</v>
      </c>
      <c r="V166" s="108" t="s">
        <v>1511</v>
      </c>
      <c r="W166" s="109" t="s">
        <v>1512</v>
      </c>
      <c r="X166" s="109" t="s">
        <v>1556</v>
      </c>
      <c r="Y166" s="109" t="s">
        <v>1557</v>
      </c>
      <c r="Z166" s="109" t="s">
        <v>1515</v>
      </c>
      <c r="AA166" s="109">
        <v>0</v>
      </c>
      <c r="AB166" s="109">
        <v>0</v>
      </c>
      <c r="AC166" s="109">
        <v>0</v>
      </c>
      <c r="AD166" s="109">
        <v>0</v>
      </c>
      <c r="AE166" s="110">
        <v>0</v>
      </c>
      <c r="AF166" s="77" t="str">
        <f>VLOOKUP(D166,TIPOLOGIAS!A:H,6,0)</f>
        <v>TIPO I</v>
      </c>
      <c r="AG166" s="77" t="str">
        <f>VLOOKUP(D166,TIPOLOGIAS!A:H,5,0)</f>
        <v>TERRESTRE</v>
      </c>
      <c r="AH166" s="104">
        <v>0</v>
      </c>
      <c r="AI166" s="104">
        <v>0</v>
      </c>
      <c r="AJ166" s="104">
        <v>0</v>
      </c>
      <c r="AK166" s="104">
        <v>0</v>
      </c>
      <c r="AL166" s="78">
        <f>IF(T166="SOPORTE_TELEFÓNICO",'BASE LIQUIDACION'!$B$10,IF(AF166="TIPO I",'BASE LIQUIDACION'!$C$3,IF(AF166="TIPO II",'BASE LIQUIDACION'!$C$4,IF(AF166="TIPO III",'BASE LIQUIDACION'!$C$5,'BASE LIQUIDACION'!$C$7))))</f>
        <v>37904.65408</v>
      </c>
      <c r="AM166" s="80">
        <f>IF(T166="SOPORTE_TELEFÓNICO",'BASE LIQUIDACION'!$B$10,(AH166*AL166+AI166*'BASE LIQUIDACION'!$B$12+AJ166*'BASE LIQUIDACION'!$B$11+INCIDENTES!AK166*'BASE LIQUIDACION'!$B$13))</f>
        <v>37904.65408</v>
      </c>
    </row>
    <row r="167" spans="1:39" s="4" customFormat="1">
      <c r="A167" s="104" t="s">
        <v>138</v>
      </c>
      <c r="B167" s="56" t="str">
        <f>VLOOKUP(A167,'CENTRO DE COSTOS'!A:D,4,FALSE)</f>
        <v>DIEGO FERNANDO HENAO CARDONA</v>
      </c>
      <c r="C167" s="56" t="str">
        <f>VLOOKUP(A167,'CENTRO DE COSTOS'!A:D,2,FALSE)</f>
        <v>0004-0003</v>
      </c>
      <c r="D167" s="104">
        <v>76520</v>
      </c>
      <c r="E167" s="104">
        <v>2353268</v>
      </c>
      <c r="F167" s="104" t="s">
        <v>2185</v>
      </c>
      <c r="G167" s="105">
        <v>45833.497916666667</v>
      </c>
      <c r="H167" s="105">
        <v>45834.440740740742</v>
      </c>
      <c r="I167" s="104" t="s">
        <v>141</v>
      </c>
      <c r="J167" s="104" t="s">
        <v>1443</v>
      </c>
      <c r="K167" s="104" t="s">
        <v>2186</v>
      </c>
      <c r="L167" s="104">
        <v>78654</v>
      </c>
      <c r="M167" s="56" t="s">
        <v>1505</v>
      </c>
      <c r="N167" s="56" t="s">
        <v>119</v>
      </c>
      <c r="O167" s="104" t="s">
        <v>332</v>
      </c>
      <c r="P167" s="56"/>
      <c r="Q167" s="104" t="s">
        <v>1506</v>
      </c>
      <c r="R167" s="106" t="s">
        <v>2187</v>
      </c>
      <c r="S167" s="107" t="s">
        <v>358</v>
      </c>
      <c r="T167" s="104" t="s">
        <v>1509</v>
      </c>
      <c r="U167" s="107" t="s">
        <v>2188</v>
      </c>
      <c r="V167" s="108" t="s">
        <v>1511</v>
      </c>
      <c r="W167" s="109" t="s">
        <v>1512</v>
      </c>
      <c r="X167" s="109" t="s">
        <v>1533</v>
      </c>
      <c r="Y167" s="109" t="s">
        <v>1534</v>
      </c>
      <c r="Z167" s="109" t="s">
        <v>1515</v>
      </c>
      <c r="AA167" s="109">
        <v>0</v>
      </c>
      <c r="AB167" s="109">
        <v>0</v>
      </c>
      <c r="AC167" s="109">
        <v>0</v>
      </c>
      <c r="AD167" s="109">
        <v>0</v>
      </c>
      <c r="AE167" s="110">
        <v>0</v>
      </c>
      <c r="AF167" s="77" t="str">
        <f>VLOOKUP(D167,TIPOLOGIAS!A:H,6,0)</f>
        <v>TIPO I</v>
      </c>
      <c r="AG167" s="77" t="str">
        <f>VLOOKUP(D167,TIPOLOGIAS!A:H,5,0)</f>
        <v>TERRESTRE</v>
      </c>
      <c r="AH167" s="104">
        <v>1</v>
      </c>
      <c r="AI167" s="104">
        <v>0</v>
      </c>
      <c r="AJ167" s="104">
        <v>0</v>
      </c>
      <c r="AK167" s="104">
        <v>0</v>
      </c>
      <c r="AL167" s="78">
        <f>IF(T167="SOPORTE_TELEFÓNICO",'BASE LIQUIDACION'!$B$10,IF(AF167="TIPO I",'BASE LIQUIDACION'!$C$3,IF(AF167="TIPO II",'BASE LIQUIDACION'!$C$4,IF(AF167="TIPO III",'BASE LIQUIDACION'!$C$5,'BASE LIQUIDACION'!$C$7))))</f>
        <v>65960.473639999997</v>
      </c>
      <c r="AM167" s="80">
        <f>IF(T167="SOPORTE_TELEFÓNICO",'BASE LIQUIDACION'!$B$10,(AH167*AL167+AI167*'BASE LIQUIDACION'!$B$12+AJ167*'BASE LIQUIDACION'!$B$11+INCIDENTES!AK167*'BASE LIQUIDACION'!$B$13))</f>
        <v>65960.473639999997</v>
      </c>
    </row>
    <row r="168" spans="1:39" s="4" customFormat="1">
      <c r="A168" s="104" t="s">
        <v>338</v>
      </c>
      <c r="B168" s="56" t="str">
        <f>VLOOKUP(A168,'CENTRO DE COSTOS'!A:D,4,FALSE)</f>
        <v>DIEGO FERNANDO HENAO CARDONA</v>
      </c>
      <c r="C168" s="56" t="str">
        <f>VLOOKUP(A168,'CENTRO DE COSTOS'!A:D,2,FALSE)</f>
        <v>0004-0003</v>
      </c>
      <c r="D168" s="104">
        <v>52001</v>
      </c>
      <c r="E168" s="104">
        <v>2354575</v>
      </c>
      <c r="F168" s="104" t="s">
        <v>2189</v>
      </c>
      <c r="G168" s="105">
        <v>45833.634027777778</v>
      </c>
      <c r="H168" s="105">
        <v>45834.446574074071</v>
      </c>
      <c r="I168" s="104" t="s">
        <v>341</v>
      </c>
      <c r="J168" s="104" t="s">
        <v>338</v>
      </c>
      <c r="K168" s="104" t="s">
        <v>2190</v>
      </c>
      <c r="L168" s="104">
        <v>63204</v>
      </c>
      <c r="M168" s="56" t="s">
        <v>1505</v>
      </c>
      <c r="N168" s="56" t="s">
        <v>119</v>
      </c>
      <c r="O168" s="104" t="s">
        <v>332</v>
      </c>
      <c r="P168" s="56"/>
      <c r="Q168" s="104" t="s">
        <v>1506</v>
      </c>
      <c r="R168" s="106" t="s">
        <v>2191</v>
      </c>
      <c r="S168" s="107" t="s">
        <v>345</v>
      </c>
      <c r="T168" s="104" t="s">
        <v>1509</v>
      </c>
      <c r="U168" s="107" t="s">
        <v>2192</v>
      </c>
      <c r="V168" s="108" t="s">
        <v>1511</v>
      </c>
      <c r="W168" s="109" t="s">
        <v>1512</v>
      </c>
      <c r="X168" s="109" t="s">
        <v>1513</v>
      </c>
      <c r="Y168" s="109" t="s">
        <v>1514</v>
      </c>
      <c r="Z168" s="109" t="s">
        <v>1515</v>
      </c>
      <c r="AA168" s="109">
        <v>0</v>
      </c>
      <c r="AB168" s="109">
        <v>0</v>
      </c>
      <c r="AC168" s="109">
        <v>0</v>
      </c>
      <c r="AD168" s="109">
        <v>0</v>
      </c>
      <c r="AE168" s="110">
        <v>0</v>
      </c>
      <c r="AF168" s="77" t="str">
        <f>VLOOKUP(D168,TIPOLOGIAS!A:H,6,0)</f>
        <v>TIPO I</v>
      </c>
      <c r="AG168" s="77" t="str">
        <f>VLOOKUP(D168,TIPOLOGIAS!A:H,5,0)</f>
        <v>TERRESTRE</v>
      </c>
      <c r="AH168" s="104">
        <v>1</v>
      </c>
      <c r="AI168" s="104">
        <v>0</v>
      </c>
      <c r="AJ168" s="104">
        <v>0</v>
      </c>
      <c r="AK168" s="104">
        <v>0</v>
      </c>
      <c r="AL168" s="78">
        <f>IF(T168="SOPORTE_TELEFÓNICO",'BASE LIQUIDACION'!$B$10,IF(AF168="TIPO I",'BASE LIQUIDACION'!$C$3,IF(AF168="TIPO II",'BASE LIQUIDACION'!$C$4,IF(AF168="TIPO III",'BASE LIQUIDACION'!$C$5,'BASE LIQUIDACION'!$C$7))))</f>
        <v>65960.473639999997</v>
      </c>
      <c r="AM168" s="80">
        <f>IF(T168="SOPORTE_TELEFÓNICO",'BASE LIQUIDACION'!$B$10,(AH168*AL168+AI168*'BASE LIQUIDACION'!$B$12+AJ168*'BASE LIQUIDACION'!$B$11+INCIDENTES!AK168*'BASE LIQUIDACION'!$B$13))</f>
        <v>65960.473639999997</v>
      </c>
    </row>
    <row r="169" spans="1:39" s="4" customFormat="1">
      <c r="A169" s="104" t="s">
        <v>111</v>
      </c>
      <c r="B169" s="56" t="str">
        <f>VLOOKUP(A169,'CENTRO DE COSTOS'!A:D,4,FALSE)</f>
        <v>JUAN SEBASTIÁN RÍOS CASTRILLÓN</v>
      </c>
      <c r="C169" s="56" t="str">
        <f>VLOOKUP(A169,'CENTRO DE COSTOS'!A:D,2,FALSE)</f>
        <v>0004-0005</v>
      </c>
      <c r="D169" s="104">
        <v>5001</v>
      </c>
      <c r="E169" s="104">
        <v>2353982</v>
      </c>
      <c r="F169" s="104" t="s">
        <v>2193</v>
      </c>
      <c r="G169" s="105">
        <v>45833.591666666667</v>
      </c>
      <c r="H169" s="105">
        <v>45834.454861111109</v>
      </c>
      <c r="I169" s="104" t="s">
        <v>131</v>
      </c>
      <c r="J169" s="104" t="s">
        <v>111</v>
      </c>
      <c r="K169" s="104" t="s">
        <v>2194</v>
      </c>
      <c r="L169" s="104">
        <v>46208</v>
      </c>
      <c r="M169" s="56" t="s">
        <v>1505</v>
      </c>
      <c r="N169" s="56" t="s">
        <v>119</v>
      </c>
      <c r="O169" s="104" t="s">
        <v>1524</v>
      </c>
      <c r="P169" s="56"/>
      <c r="Q169" s="104" t="s">
        <v>1506</v>
      </c>
      <c r="R169" s="106" t="s">
        <v>2195</v>
      </c>
      <c r="S169" s="107" t="s">
        <v>1988</v>
      </c>
      <c r="T169" s="104" t="s">
        <v>1509</v>
      </c>
      <c r="U169" s="107" t="s">
        <v>2196</v>
      </c>
      <c r="V169" s="108" t="s">
        <v>1511</v>
      </c>
      <c r="W169" s="109" t="s">
        <v>1512</v>
      </c>
      <c r="X169" s="109" t="s">
        <v>1610</v>
      </c>
      <c r="Y169" s="109" t="s">
        <v>1611</v>
      </c>
      <c r="Z169" s="109" t="s">
        <v>1515</v>
      </c>
      <c r="AA169" s="109">
        <v>0</v>
      </c>
      <c r="AB169" s="109">
        <v>0</v>
      </c>
      <c r="AC169" s="109">
        <v>0</v>
      </c>
      <c r="AD169" s="109">
        <v>0</v>
      </c>
      <c r="AE169" s="110">
        <v>0</v>
      </c>
      <c r="AF169" s="77" t="str">
        <f>VLOOKUP(D169,TIPOLOGIAS!A:H,6,0)</f>
        <v>TIPO I</v>
      </c>
      <c r="AG169" s="77" t="str">
        <f>VLOOKUP(D169,TIPOLOGIAS!A:H,5,0)</f>
        <v>TERRESTRE</v>
      </c>
      <c r="AH169" s="104">
        <v>1</v>
      </c>
      <c r="AI169" s="104">
        <v>0</v>
      </c>
      <c r="AJ169" s="104">
        <v>0</v>
      </c>
      <c r="AK169" s="104">
        <v>0</v>
      </c>
      <c r="AL169" s="78">
        <f>IF(T169="SOPORTE_TELEFÓNICO",'BASE LIQUIDACION'!$B$10,IF(AF169="TIPO I",'BASE LIQUIDACION'!$C$3,IF(AF169="TIPO II",'BASE LIQUIDACION'!$C$4,IF(AF169="TIPO III",'BASE LIQUIDACION'!$C$5,'BASE LIQUIDACION'!$C$7))))</f>
        <v>65960.473639999997</v>
      </c>
      <c r="AM169" s="80">
        <f>IF(T169="SOPORTE_TELEFÓNICO",'BASE LIQUIDACION'!$B$10,(AH169*AL169+AI169*'BASE LIQUIDACION'!$B$12+AJ169*'BASE LIQUIDACION'!$B$11+INCIDENTES!AK169*'BASE LIQUIDACION'!$B$13))</f>
        <v>65960.473639999997</v>
      </c>
    </row>
    <row r="170" spans="1:39" s="4" customFormat="1">
      <c r="A170" s="104" t="s">
        <v>195</v>
      </c>
      <c r="B170" s="56" t="str">
        <f>VLOOKUP(A170,'CENTRO DE COSTOS'!A:D,4,FALSE)</f>
        <v>DIEGO FERNANDO HENAO CARDONA</v>
      </c>
      <c r="C170" s="56" t="str">
        <f>VLOOKUP(A170,'CENTRO DE COSTOS'!A:D,2,FALSE)</f>
        <v>0004-0002</v>
      </c>
      <c r="D170" s="104">
        <v>66088</v>
      </c>
      <c r="E170" s="104">
        <v>2353220</v>
      </c>
      <c r="F170" s="104" t="s">
        <v>2197</v>
      </c>
      <c r="G170" s="105">
        <v>45833.487500000003</v>
      </c>
      <c r="H170" s="105">
        <v>45834.460173611114</v>
      </c>
      <c r="I170" s="104" t="s">
        <v>198</v>
      </c>
      <c r="J170" s="104" t="s">
        <v>1282</v>
      </c>
      <c r="K170" s="104" t="s">
        <v>2198</v>
      </c>
      <c r="L170" s="104">
        <v>73652</v>
      </c>
      <c r="M170" s="56" t="s">
        <v>1505</v>
      </c>
      <c r="N170" s="56" t="s">
        <v>119</v>
      </c>
      <c r="O170" s="104" t="s">
        <v>332</v>
      </c>
      <c r="P170" s="56"/>
      <c r="Q170" s="104" t="s">
        <v>1506</v>
      </c>
      <c r="R170" s="106" t="s">
        <v>2199</v>
      </c>
      <c r="S170" s="107" t="s">
        <v>1519</v>
      </c>
      <c r="T170" s="104" t="s">
        <v>1520</v>
      </c>
      <c r="U170" s="107">
        <v>0</v>
      </c>
      <c r="V170" s="108" t="s">
        <v>1511</v>
      </c>
      <c r="W170" s="109" t="s">
        <v>1512</v>
      </c>
      <c r="X170" s="109" t="s">
        <v>1513</v>
      </c>
      <c r="Y170" s="109" t="s">
        <v>1514</v>
      </c>
      <c r="Z170" s="109" t="s">
        <v>1515</v>
      </c>
      <c r="AA170" s="109">
        <v>0</v>
      </c>
      <c r="AB170" s="109">
        <v>0</v>
      </c>
      <c r="AC170" s="109">
        <v>0</v>
      </c>
      <c r="AD170" s="109">
        <v>0</v>
      </c>
      <c r="AE170" s="110">
        <v>0</v>
      </c>
      <c r="AF170" s="77" t="str">
        <f>VLOOKUP(D170,TIPOLOGIAS!A:H,6,0)</f>
        <v>TIPO II</v>
      </c>
      <c r="AG170" s="77" t="str">
        <f>VLOOKUP(D170,TIPOLOGIAS!A:H,5,0)</f>
        <v>TERRESTRE</v>
      </c>
      <c r="AH170" s="104">
        <v>0</v>
      </c>
      <c r="AI170" s="104">
        <v>0</v>
      </c>
      <c r="AJ170" s="104">
        <v>0</v>
      </c>
      <c r="AK170" s="104">
        <v>0</v>
      </c>
      <c r="AL170" s="78">
        <f>IF(T170="SOPORTE_TELEFÓNICO",'BASE LIQUIDACION'!$B$10,IF(AF170="TIPO I",'BASE LIQUIDACION'!$C$3,IF(AF170="TIPO II",'BASE LIQUIDACION'!$C$4,IF(AF170="TIPO III",'BASE LIQUIDACION'!$C$5,'BASE LIQUIDACION'!$C$7))))</f>
        <v>37904.65408</v>
      </c>
      <c r="AM170" s="80">
        <f>IF(T170="SOPORTE_TELEFÓNICO",'BASE LIQUIDACION'!$B$10,(AH170*AL170+AI170*'BASE LIQUIDACION'!$B$12+AJ170*'BASE LIQUIDACION'!$B$11+INCIDENTES!AK170*'BASE LIQUIDACION'!$B$13))</f>
        <v>37904.65408</v>
      </c>
    </row>
    <row r="171" spans="1:39" s="4" customFormat="1">
      <c r="A171" s="104" t="s">
        <v>298</v>
      </c>
      <c r="B171" s="56" t="str">
        <f>VLOOKUP(A171,'CENTRO DE COSTOS'!A:D,4,FALSE)</f>
        <v>KEVIN ALEXIS CORZO BUSTOS</v>
      </c>
      <c r="C171" s="56" t="str">
        <f>VLOOKUP(A171,'CENTRO DE COSTOS'!A:D,2,FALSE)</f>
        <v>0004-0007</v>
      </c>
      <c r="D171" s="104">
        <v>41319</v>
      </c>
      <c r="E171" s="104">
        <v>2347790</v>
      </c>
      <c r="F171" s="104" t="s">
        <v>2200</v>
      </c>
      <c r="G171" s="105">
        <v>45832.606249999997</v>
      </c>
      <c r="H171" s="105">
        <v>45834.489490740743</v>
      </c>
      <c r="I171" s="104" t="s">
        <v>1073</v>
      </c>
      <c r="J171" s="104" t="s">
        <v>478</v>
      </c>
      <c r="K171" s="104" t="s">
        <v>2201</v>
      </c>
      <c r="L171" s="104">
        <v>70491</v>
      </c>
      <c r="M171" s="56" t="s">
        <v>1505</v>
      </c>
      <c r="N171" s="56" t="s">
        <v>119</v>
      </c>
      <c r="O171" s="104" t="s">
        <v>1524</v>
      </c>
      <c r="P171" s="56"/>
      <c r="Q171" s="104" t="s">
        <v>1506</v>
      </c>
      <c r="R171" s="106" t="s">
        <v>2202</v>
      </c>
      <c r="S171" s="107" t="s">
        <v>305</v>
      </c>
      <c r="T171" s="104" t="s">
        <v>1509</v>
      </c>
      <c r="U171" s="107" t="s">
        <v>2203</v>
      </c>
      <c r="V171" s="108" t="s">
        <v>1511</v>
      </c>
      <c r="W171" s="109" t="s">
        <v>1512</v>
      </c>
      <c r="X171" s="109" t="s">
        <v>1513</v>
      </c>
      <c r="Y171" s="109" t="s">
        <v>1514</v>
      </c>
      <c r="Z171" s="109" t="s">
        <v>1515</v>
      </c>
      <c r="AA171" s="109">
        <v>0</v>
      </c>
      <c r="AB171" s="109">
        <v>0</v>
      </c>
      <c r="AC171" s="109">
        <v>0</v>
      </c>
      <c r="AD171" s="109">
        <v>0</v>
      </c>
      <c r="AE171" s="110">
        <v>0</v>
      </c>
      <c r="AF171" s="77" t="str">
        <f>VLOOKUP(D171,TIPOLOGIAS!A:H,6,0)</f>
        <v>TIPO III</v>
      </c>
      <c r="AG171" s="77" t="str">
        <f>VLOOKUP(D171,TIPOLOGIAS!A:H,5,0)</f>
        <v>TERRESTRE</v>
      </c>
      <c r="AH171" s="104">
        <v>1</v>
      </c>
      <c r="AI171" s="104">
        <v>0</v>
      </c>
      <c r="AJ171" s="104">
        <v>0</v>
      </c>
      <c r="AK171" s="104">
        <v>0</v>
      </c>
      <c r="AL171" s="78">
        <f>IF(T171="SOPORTE_TELEFÓNICO",'BASE LIQUIDACION'!$B$10,IF(AF171="TIPO I",'BASE LIQUIDACION'!$C$3,IF(AF171="TIPO II",'BASE LIQUIDACION'!$C$4,IF(AF171="TIPO III",'BASE LIQUIDACION'!$C$5,'BASE LIQUIDACION'!$C$7))))</f>
        <v>275728.37943999999</v>
      </c>
      <c r="AM171" s="80">
        <f>IF(T171="SOPORTE_TELEFÓNICO",'BASE LIQUIDACION'!$B$10,(AH171*AL171+AI171*'BASE LIQUIDACION'!$B$12+AJ171*'BASE LIQUIDACION'!$B$11+INCIDENTES!AK171*'BASE LIQUIDACION'!$B$13))</f>
        <v>275728.37943999999</v>
      </c>
    </row>
    <row r="172" spans="1:39" s="4" customFormat="1">
      <c r="A172" s="104" t="s">
        <v>622</v>
      </c>
      <c r="B172" s="56" t="str">
        <f>VLOOKUP(A172,'CENTRO DE COSTOS'!A:D,4,FALSE)</f>
        <v>JOSE MAURICIO HERNANDEZ ROJAS</v>
      </c>
      <c r="C172" s="56" t="str">
        <f>VLOOKUP(A172,'CENTRO DE COSTOS'!A:D,2,FALSE)</f>
        <v>0004-0001</v>
      </c>
      <c r="D172" s="104">
        <v>20001</v>
      </c>
      <c r="E172" s="104">
        <v>2356623</v>
      </c>
      <c r="F172" s="104" t="s">
        <v>2204</v>
      </c>
      <c r="G172" s="105">
        <v>45834.333333333336</v>
      </c>
      <c r="H172" s="105">
        <v>45834.670624999999</v>
      </c>
      <c r="I172" s="104" t="s">
        <v>874</v>
      </c>
      <c r="J172" s="104" t="s">
        <v>622</v>
      </c>
      <c r="K172" s="104" t="s">
        <v>2205</v>
      </c>
      <c r="L172" s="104">
        <v>26090</v>
      </c>
      <c r="M172" s="56" t="s">
        <v>1505</v>
      </c>
      <c r="N172" s="56" t="s">
        <v>119</v>
      </c>
      <c r="O172" s="104" t="s">
        <v>1524</v>
      </c>
      <c r="P172" s="56"/>
      <c r="Q172" s="104" t="s">
        <v>1506</v>
      </c>
      <c r="R172" s="106" t="s">
        <v>2206</v>
      </c>
      <c r="S172" s="107" t="s">
        <v>1598</v>
      </c>
      <c r="T172" s="104" t="s">
        <v>1509</v>
      </c>
      <c r="U172" s="107" t="s">
        <v>2207</v>
      </c>
      <c r="V172" s="108" t="s">
        <v>1511</v>
      </c>
      <c r="W172" s="109" t="s">
        <v>1512</v>
      </c>
      <c r="X172" s="109" t="s">
        <v>1513</v>
      </c>
      <c r="Y172" s="109" t="s">
        <v>1521</v>
      </c>
      <c r="Z172" s="109" t="s">
        <v>1515</v>
      </c>
      <c r="AA172" s="109">
        <v>0</v>
      </c>
      <c r="AB172" s="109">
        <v>0</v>
      </c>
      <c r="AC172" s="109">
        <v>0</v>
      </c>
      <c r="AD172" s="109">
        <v>0</v>
      </c>
      <c r="AE172" s="110">
        <v>0</v>
      </c>
      <c r="AF172" s="77" t="str">
        <f>VLOOKUP(D172,TIPOLOGIAS!A:H,6,0)</f>
        <v>TIPO I</v>
      </c>
      <c r="AG172" s="77" t="str">
        <f>VLOOKUP(D172,TIPOLOGIAS!A:H,5,0)</f>
        <v>TERRESTRE</v>
      </c>
      <c r="AH172" s="104">
        <v>1</v>
      </c>
      <c r="AI172" s="104">
        <v>0</v>
      </c>
      <c r="AJ172" s="104">
        <v>0</v>
      </c>
      <c r="AK172" s="104">
        <v>0</v>
      </c>
      <c r="AL172" s="78">
        <f>IF(T172="SOPORTE_TELEFÓNICO",'BASE LIQUIDACION'!$B$10,IF(AF172="TIPO I",'BASE LIQUIDACION'!$C$3,IF(AF172="TIPO II",'BASE LIQUIDACION'!$C$4,IF(AF172="TIPO III",'BASE LIQUIDACION'!$C$5,'BASE LIQUIDACION'!$C$7))))</f>
        <v>65960.473639999997</v>
      </c>
      <c r="AM172" s="80">
        <f>IF(T172="SOPORTE_TELEFÓNICO",'BASE LIQUIDACION'!$B$10,(AH172*AL172+AI172*'BASE LIQUIDACION'!$B$12+AJ172*'BASE LIQUIDACION'!$B$11+INCIDENTES!AK172*'BASE LIQUIDACION'!$B$13))</f>
        <v>65960.473639999997</v>
      </c>
    </row>
    <row r="173" spans="1:39" s="4" customFormat="1">
      <c r="A173" s="104" t="s">
        <v>822</v>
      </c>
      <c r="B173" s="56" t="str">
        <f>VLOOKUP(A173,'CENTRO DE COSTOS'!A:D,4,FALSE)</f>
        <v>KEVIN ALEXIS CORZO BUSTOS</v>
      </c>
      <c r="C173" s="56" t="str">
        <f>VLOOKUP(A173,'CENTRO DE COSTOS'!A:D,2,FALSE)</f>
        <v>0004-0007</v>
      </c>
      <c r="D173" s="104">
        <v>50001</v>
      </c>
      <c r="E173" s="104">
        <v>2360582</v>
      </c>
      <c r="F173" s="104" t="s">
        <v>2208</v>
      </c>
      <c r="G173" s="105">
        <v>45834.604166666664</v>
      </c>
      <c r="H173" s="105">
        <v>45834.708958333336</v>
      </c>
      <c r="I173" s="104" t="s">
        <v>1148</v>
      </c>
      <c r="J173" s="104" t="s">
        <v>822</v>
      </c>
      <c r="K173" s="104" t="s">
        <v>2209</v>
      </c>
      <c r="L173" s="104">
        <v>78919</v>
      </c>
      <c r="M173" s="56" t="s">
        <v>1505</v>
      </c>
      <c r="N173" s="56" t="s">
        <v>119</v>
      </c>
      <c r="O173" s="104" t="s">
        <v>1524</v>
      </c>
      <c r="P173" s="56"/>
      <c r="Q173" s="104" t="s">
        <v>1506</v>
      </c>
      <c r="R173" s="106" t="s">
        <v>2210</v>
      </c>
      <c r="S173" s="107" t="s">
        <v>1625</v>
      </c>
      <c r="T173" s="104" t="s">
        <v>1520</v>
      </c>
      <c r="U173" s="107">
        <v>0</v>
      </c>
      <c r="V173" s="108" t="s">
        <v>1511</v>
      </c>
      <c r="W173" s="109" t="s">
        <v>1512</v>
      </c>
      <c r="X173" s="109" t="s">
        <v>1513</v>
      </c>
      <c r="Y173" s="109" t="s">
        <v>1514</v>
      </c>
      <c r="Z173" s="109" t="s">
        <v>1515</v>
      </c>
      <c r="AA173" s="109">
        <v>0</v>
      </c>
      <c r="AB173" s="109">
        <v>0</v>
      </c>
      <c r="AC173" s="109">
        <v>0</v>
      </c>
      <c r="AD173" s="109">
        <v>0</v>
      </c>
      <c r="AE173" s="110">
        <v>0</v>
      </c>
      <c r="AF173" s="77" t="str">
        <f>VLOOKUP(D173,TIPOLOGIAS!A:H,6,0)</f>
        <v>TIPO I</v>
      </c>
      <c r="AG173" s="77" t="str">
        <f>VLOOKUP(D173,TIPOLOGIAS!A:H,5,0)</f>
        <v>TERRESTRE</v>
      </c>
      <c r="AH173" s="104">
        <v>0</v>
      </c>
      <c r="AI173" s="104">
        <v>0</v>
      </c>
      <c r="AJ173" s="104">
        <v>0</v>
      </c>
      <c r="AK173" s="104">
        <v>0</v>
      </c>
      <c r="AL173" s="78">
        <f>IF(T173="SOPORTE_TELEFÓNICO",'BASE LIQUIDACION'!$B$10,IF(AF173="TIPO I",'BASE LIQUIDACION'!$C$3,IF(AF173="TIPO II",'BASE LIQUIDACION'!$C$4,IF(AF173="TIPO III",'BASE LIQUIDACION'!$C$5,'BASE LIQUIDACION'!$C$7))))</f>
        <v>37904.65408</v>
      </c>
      <c r="AM173" s="80">
        <f>IF(T173="SOPORTE_TELEFÓNICO",'BASE LIQUIDACION'!$B$10,(AH173*AL173+AI173*'BASE LIQUIDACION'!$B$12+AJ173*'BASE LIQUIDACION'!$B$11+INCIDENTES!AK173*'BASE LIQUIDACION'!$B$13))</f>
        <v>37904.65408</v>
      </c>
    </row>
    <row r="174" spans="1:39" s="4" customFormat="1">
      <c r="A174" s="104" t="s">
        <v>111</v>
      </c>
      <c r="B174" s="56" t="str">
        <f>VLOOKUP(A174,'CENTRO DE COSTOS'!A:D,4,FALSE)</f>
        <v>JUAN SEBASTIÁN RÍOS CASTRILLÓN</v>
      </c>
      <c r="C174" s="56" t="str">
        <f>VLOOKUP(A174,'CENTRO DE COSTOS'!A:D,2,FALSE)</f>
        <v>0004-0005</v>
      </c>
      <c r="D174" s="104">
        <v>5001</v>
      </c>
      <c r="E174" s="104">
        <v>2359820</v>
      </c>
      <c r="F174" s="104" t="s">
        <v>2211</v>
      </c>
      <c r="G174" s="105">
        <v>45834.490277777775</v>
      </c>
      <c r="H174" s="105">
        <v>45835.485069444447</v>
      </c>
      <c r="I174" s="104" t="s">
        <v>131</v>
      </c>
      <c r="J174" s="104" t="s">
        <v>111</v>
      </c>
      <c r="K174" s="104" t="s">
        <v>2212</v>
      </c>
      <c r="L174" s="104">
        <v>42482</v>
      </c>
      <c r="M174" s="56" t="s">
        <v>1505</v>
      </c>
      <c r="N174" s="56" t="s">
        <v>119</v>
      </c>
      <c r="O174" s="104" t="s">
        <v>332</v>
      </c>
      <c r="P174" s="56"/>
      <c r="Q174" s="104" t="s">
        <v>1506</v>
      </c>
      <c r="R174" s="106" t="s">
        <v>2213</v>
      </c>
      <c r="S174" s="107" t="s">
        <v>1988</v>
      </c>
      <c r="T174" s="104" t="s">
        <v>1509</v>
      </c>
      <c r="U174" s="107" t="s">
        <v>2214</v>
      </c>
      <c r="V174" s="108" t="s">
        <v>1511</v>
      </c>
      <c r="W174" s="109" t="s">
        <v>1512</v>
      </c>
      <c r="X174" s="109" t="s">
        <v>1610</v>
      </c>
      <c r="Y174" s="109" t="s">
        <v>1611</v>
      </c>
      <c r="Z174" s="109" t="s">
        <v>1515</v>
      </c>
      <c r="AA174" s="109">
        <v>0</v>
      </c>
      <c r="AB174" s="109">
        <v>0</v>
      </c>
      <c r="AC174" s="109">
        <v>0</v>
      </c>
      <c r="AD174" s="109">
        <v>0</v>
      </c>
      <c r="AE174" s="110">
        <v>0</v>
      </c>
      <c r="AF174" s="77" t="str">
        <f>VLOOKUP(D174,TIPOLOGIAS!A:H,6,0)</f>
        <v>TIPO I</v>
      </c>
      <c r="AG174" s="77" t="str">
        <f>VLOOKUP(D174,TIPOLOGIAS!A:H,5,0)</f>
        <v>TERRESTRE</v>
      </c>
      <c r="AH174" s="104">
        <v>1</v>
      </c>
      <c r="AI174" s="104">
        <v>0</v>
      </c>
      <c r="AJ174" s="104">
        <v>0</v>
      </c>
      <c r="AK174" s="104">
        <v>0</v>
      </c>
      <c r="AL174" s="78">
        <f>IF(T174="SOPORTE_TELEFÓNICO",'BASE LIQUIDACION'!$B$10,IF(AF174="TIPO I",'BASE LIQUIDACION'!$C$3,IF(AF174="TIPO II",'BASE LIQUIDACION'!$C$4,IF(AF174="TIPO III",'BASE LIQUIDACION'!$C$5,'BASE LIQUIDACION'!$C$7))))</f>
        <v>65960.473639999997</v>
      </c>
      <c r="AM174" s="80">
        <f>IF(T174="SOPORTE_TELEFÓNICO",'BASE LIQUIDACION'!$B$10,(AH174*AL174+AI174*'BASE LIQUIDACION'!$B$12+AJ174*'BASE LIQUIDACION'!$B$11+INCIDENTES!AK174*'BASE LIQUIDACION'!$B$13))</f>
        <v>65960.473639999997</v>
      </c>
    </row>
    <row r="175" spans="1:39" s="4" customFormat="1">
      <c r="A175" s="104" t="s">
        <v>138</v>
      </c>
      <c r="B175" s="56" t="str">
        <f>VLOOKUP(A175,'CENTRO DE COSTOS'!A:D,4,FALSE)</f>
        <v>DIEGO FERNANDO HENAO CARDONA</v>
      </c>
      <c r="C175" s="56" t="str">
        <f>VLOOKUP(A175,'CENTRO DE COSTOS'!A:D,2,FALSE)</f>
        <v>0004-0003</v>
      </c>
      <c r="D175" s="104">
        <v>76001</v>
      </c>
      <c r="E175" s="104">
        <v>2365092</v>
      </c>
      <c r="F175" s="104" t="s">
        <v>2215</v>
      </c>
      <c r="G175" s="105">
        <v>45835.45</v>
      </c>
      <c r="H175" s="105">
        <v>45835.529583333337</v>
      </c>
      <c r="I175" s="104" t="s">
        <v>141</v>
      </c>
      <c r="J175" s="104" t="s">
        <v>138</v>
      </c>
      <c r="K175" s="104" t="s">
        <v>2216</v>
      </c>
      <c r="L175" s="104">
        <v>71362</v>
      </c>
      <c r="M175" s="56" t="s">
        <v>1505</v>
      </c>
      <c r="N175" s="56" t="s">
        <v>119</v>
      </c>
      <c r="O175" s="104" t="s">
        <v>332</v>
      </c>
      <c r="P175" s="56"/>
      <c r="Q175" s="104" t="s">
        <v>1506</v>
      </c>
      <c r="R175" s="106" t="s">
        <v>2217</v>
      </c>
      <c r="S175" s="107" t="s">
        <v>1538</v>
      </c>
      <c r="T175" s="104" t="s">
        <v>1520</v>
      </c>
      <c r="U175" s="107">
        <v>0</v>
      </c>
      <c r="V175" s="108" t="s">
        <v>1511</v>
      </c>
      <c r="W175" s="109" t="s">
        <v>1512</v>
      </c>
      <c r="X175" s="109" t="s">
        <v>1513</v>
      </c>
      <c r="Y175" s="109" t="s">
        <v>1521</v>
      </c>
      <c r="Z175" s="109" t="s">
        <v>1515</v>
      </c>
      <c r="AA175" s="109">
        <v>0</v>
      </c>
      <c r="AB175" s="109">
        <v>0</v>
      </c>
      <c r="AC175" s="109">
        <v>0</v>
      </c>
      <c r="AD175" s="109">
        <v>0</v>
      </c>
      <c r="AE175" s="110">
        <v>0</v>
      </c>
      <c r="AF175" s="77" t="str">
        <f>VLOOKUP(D175,TIPOLOGIAS!A:H,6,0)</f>
        <v>TIPO I</v>
      </c>
      <c r="AG175" s="77" t="str">
        <f>VLOOKUP(D175,TIPOLOGIAS!A:H,5,0)</f>
        <v>TERRESTRE</v>
      </c>
      <c r="AH175" s="104">
        <v>0</v>
      </c>
      <c r="AI175" s="104">
        <v>0</v>
      </c>
      <c r="AJ175" s="104">
        <v>0</v>
      </c>
      <c r="AK175" s="104">
        <v>0</v>
      </c>
      <c r="AL175" s="78">
        <f>IF(T175="SOPORTE_TELEFÓNICO",'BASE LIQUIDACION'!$B$10,IF(AF175="TIPO I",'BASE LIQUIDACION'!$C$3,IF(AF175="TIPO II",'BASE LIQUIDACION'!$C$4,IF(AF175="TIPO III",'BASE LIQUIDACION'!$C$5,'BASE LIQUIDACION'!$C$7))))</f>
        <v>37904.65408</v>
      </c>
      <c r="AM175" s="80">
        <f>IF(T175="SOPORTE_TELEFÓNICO",'BASE LIQUIDACION'!$B$10,(AH175*AL175+AI175*'BASE LIQUIDACION'!$B$12+AJ175*'BASE LIQUIDACION'!$B$11+INCIDENTES!AK175*'BASE LIQUIDACION'!$B$13))</f>
        <v>37904.65408</v>
      </c>
    </row>
    <row r="176" spans="1:39" s="4" customFormat="1">
      <c r="A176" s="104" t="s">
        <v>111</v>
      </c>
      <c r="B176" s="56" t="str">
        <f>VLOOKUP(A176,'CENTRO DE COSTOS'!A:D,4,FALSE)</f>
        <v>JUAN SEBASTIÁN RÍOS CASTRILLÓN</v>
      </c>
      <c r="C176" s="56" t="str">
        <f>VLOOKUP(A176,'CENTRO DE COSTOS'!A:D,2,FALSE)</f>
        <v>0004-0005</v>
      </c>
      <c r="D176" s="104">
        <v>5789</v>
      </c>
      <c r="E176" s="104">
        <v>2361698</v>
      </c>
      <c r="F176" s="104" t="s">
        <v>2218</v>
      </c>
      <c r="G176" s="105">
        <v>45834.682175925926</v>
      </c>
      <c r="H176" s="105">
        <v>45835.603055555555</v>
      </c>
      <c r="I176" s="104" t="s">
        <v>131</v>
      </c>
      <c r="J176" s="104" t="s">
        <v>575</v>
      </c>
      <c r="K176" s="104" t="s">
        <v>2219</v>
      </c>
      <c r="L176" s="104">
        <v>57780</v>
      </c>
      <c r="M176" s="56" t="s">
        <v>1505</v>
      </c>
      <c r="N176" s="56" t="s">
        <v>119</v>
      </c>
      <c r="O176" s="104" t="s">
        <v>1524</v>
      </c>
      <c r="P176" s="56"/>
      <c r="Q176" s="104" t="s">
        <v>1506</v>
      </c>
      <c r="R176" s="106" t="s">
        <v>2220</v>
      </c>
      <c r="S176" s="107" t="s">
        <v>1561</v>
      </c>
      <c r="T176" s="104" t="s">
        <v>1509</v>
      </c>
      <c r="U176" s="107" t="s">
        <v>2221</v>
      </c>
      <c r="V176" s="108" t="s">
        <v>1511</v>
      </c>
      <c r="W176" s="109" t="s">
        <v>1512</v>
      </c>
      <c r="X176" s="109" t="s">
        <v>1533</v>
      </c>
      <c r="Y176" s="109" t="s">
        <v>1534</v>
      </c>
      <c r="Z176" s="109" t="s">
        <v>1515</v>
      </c>
      <c r="AA176" s="109">
        <v>0</v>
      </c>
      <c r="AB176" s="109">
        <v>0</v>
      </c>
      <c r="AC176" s="109">
        <v>0</v>
      </c>
      <c r="AD176" s="109">
        <v>0</v>
      </c>
      <c r="AE176" s="110">
        <v>0</v>
      </c>
      <c r="AF176" s="77" t="str">
        <f>VLOOKUP(D176,TIPOLOGIAS!A:H,6,0)</f>
        <v>TIPO III</v>
      </c>
      <c r="AG176" s="77" t="str">
        <f>VLOOKUP(D176,TIPOLOGIAS!A:H,5,0)</f>
        <v>TERRESTRE</v>
      </c>
      <c r="AH176" s="104">
        <v>1</v>
      </c>
      <c r="AI176" s="104">
        <v>0</v>
      </c>
      <c r="AJ176" s="104">
        <v>0</v>
      </c>
      <c r="AK176" s="104">
        <v>0</v>
      </c>
      <c r="AL176" s="78">
        <f>IF(T176="SOPORTE_TELEFÓNICO",'BASE LIQUIDACION'!$B$10,IF(AF176="TIPO I",'BASE LIQUIDACION'!$C$3,IF(AF176="TIPO II",'BASE LIQUIDACION'!$C$4,IF(AF176="TIPO III",'BASE LIQUIDACION'!$C$5,'BASE LIQUIDACION'!$C$7))))</f>
        <v>275728.37943999999</v>
      </c>
      <c r="AM176" s="80">
        <f>IF(T176="SOPORTE_TELEFÓNICO",'BASE LIQUIDACION'!$B$10,(AH176*AL176+AI176*'BASE LIQUIDACION'!$B$12+AJ176*'BASE LIQUIDACION'!$B$11+INCIDENTES!AK176*'BASE LIQUIDACION'!$B$13))</f>
        <v>275728.37943999999</v>
      </c>
    </row>
    <row r="177" spans="1:39" s="4" customFormat="1">
      <c r="A177" s="104" t="s">
        <v>392</v>
      </c>
      <c r="B177" s="56" t="str">
        <f>VLOOKUP(A177,'CENTRO DE COSTOS'!A:D,4,FALSE)</f>
        <v>JOSE MAURICIO HERNANDEZ ROJAS</v>
      </c>
      <c r="C177" s="56" t="str">
        <f>VLOOKUP(A177,'CENTRO DE COSTOS'!A:D,2,FALSE)</f>
        <v>0004-0001</v>
      </c>
      <c r="D177" s="104">
        <v>70001</v>
      </c>
      <c r="E177" s="104">
        <v>2362658</v>
      </c>
      <c r="F177" s="104" t="s">
        <v>2222</v>
      </c>
      <c r="G177" s="105">
        <v>45835.333333333336</v>
      </c>
      <c r="H177" s="105">
        <v>45835.555486111109</v>
      </c>
      <c r="I177" s="104" t="s">
        <v>395</v>
      </c>
      <c r="J177" s="104" t="s">
        <v>392</v>
      </c>
      <c r="K177" s="104" t="s">
        <v>2223</v>
      </c>
      <c r="L177" s="104">
        <v>76748</v>
      </c>
      <c r="M177" s="56" t="s">
        <v>1505</v>
      </c>
      <c r="N177" s="56" t="s">
        <v>119</v>
      </c>
      <c r="O177" s="104" t="s">
        <v>1524</v>
      </c>
      <c r="P177" s="56"/>
      <c r="Q177" s="104" t="s">
        <v>1506</v>
      </c>
      <c r="R177" s="106" t="s">
        <v>2224</v>
      </c>
      <c r="S177" s="107" t="s">
        <v>399</v>
      </c>
      <c r="T177" s="104" t="s">
        <v>1509</v>
      </c>
      <c r="U177" s="107" t="s">
        <v>2225</v>
      </c>
      <c r="V177" s="108" t="s">
        <v>1511</v>
      </c>
      <c r="W177" s="109" t="s">
        <v>1512</v>
      </c>
      <c r="X177" s="109" t="s">
        <v>1513</v>
      </c>
      <c r="Y177" s="109" t="s">
        <v>1514</v>
      </c>
      <c r="Z177" s="109" t="s">
        <v>1515</v>
      </c>
      <c r="AA177" s="109">
        <v>0</v>
      </c>
      <c r="AB177" s="109">
        <v>0</v>
      </c>
      <c r="AC177" s="109">
        <v>0</v>
      </c>
      <c r="AD177" s="109">
        <v>0</v>
      </c>
      <c r="AE177" s="110">
        <v>0</v>
      </c>
      <c r="AF177" s="77" t="str">
        <f>VLOOKUP(D177,TIPOLOGIAS!A:H,6,0)</f>
        <v>TIPO I</v>
      </c>
      <c r="AG177" s="77" t="str">
        <f>VLOOKUP(D177,TIPOLOGIAS!A:H,5,0)</f>
        <v>TERRESTRE</v>
      </c>
      <c r="AH177" s="104">
        <v>1</v>
      </c>
      <c r="AI177" s="104">
        <v>0</v>
      </c>
      <c r="AJ177" s="104">
        <v>0</v>
      </c>
      <c r="AK177" s="104">
        <v>0</v>
      </c>
      <c r="AL177" s="78">
        <f>IF(T177="SOPORTE_TELEFÓNICO",'BASE LIQUIDACION'!$B$10,IF(AF177="TIPO I",'BASE LIQUIDACION'!$C$3,IF(AF177="TIPO II",'BASE LIQUIDACION'!$C$4,IF(AF177="TIPO III",'BASE LIQUIDACION'!$C$5,'BASE LIQUIDACION'!$C$7))))</f>
        <v>65960.473639999997</v>
      </c>
      <c r="AM177" s="80">
        <f>IF(T177="SOPORTE_TELEFÓNICO",'BASE LIQUIDACION'!$B$10,(AH177*AL177+AI177*'BASE LIQUIDACION'!$B$12+AJ177*'BASE LIQUIDACION'!$B$11+INCIDENTES!AK177*'BASE LIQUIDACION'!$B$13))</f>
        <v>65960.473639999997</v>
      </c>
    </row>
    <row r="178" spans="1:39" s="4" customFormat="1">
      <c r="A178" s="104" t="s">
        <v>138</v>
      </c>
      <c r="B178" s="56" t="str">
        <f>VLOOKUP(A178,'CENTRO DE COSTOS'!A:D,4,FALSE)</f>
        <v>DIEGO FERNANDO HENAO CARDONA</v>
      </c>
      <c r="C178" s="56" t="str">
        <f>VLOOKUP(A178,'CENTRO DE COSTOS'!A:D,2,FALSE)</f>
        <v>0004-0003</v>
      </c>
      <c r="D178" s="104">
        <v>76275</v>
      </c>
      <c r="E178" s="104">
        <v>2364144</v>
      </c>
      <c r="F178" s="104" t="s">
        <v>2226</v>
      </c>
      <c r="G178" s="105">
        <v>45835.385601851849</v>
      </c>
      <c r="H178" s="105">
        <v>45836.354166666664</v>
      </c>
      <c r="I178" s="104" t="s">
        <v>141</v>
      </c>
      <c r="J178" s="104" t="s">
        <v>1438</v>
      </c>
      <c r="K178" s="104" t="s">
        <v>2227</v>
      </c>
      <c r="L178" s="104">
        <v>74350</v>
      </c>
      <c r="M178" s="56" t="s">
        <v>1505</v>
      </c>
      <c r="N178" s="56" t="s">
        <v>119</v>
      </c>
      <c r="O178" s="104" t="s">
        <v>332</v>
      </c>
      <c r="P178" s="56"/>
      <c r="Q178" s="104" t="s">
        <v>1506</v>
      </c>
      <c r="R178" s="106" t="s">
        <v>2228</v>
      </c>
      <c r="S178" s="107" t="s">
        <v>433</v>
      </c>
      <c r="T178" s="104" t="s">
        <v>1509</v>
      </c>
      <c r="U178" s="107" t="s">
        <v>2229</v>
      </c>
      <c r="V178" s="108" t="s">
        <v>1511</v>
      </c>
      <c r="W178" s="109" t="s">
        <v>1512</v>
      </c>
      <c r="X178" s="109" t="s">
        <v>1556</v>
      </c>
      <c r="Y178" s="109" t="s">
        <v>1557</v>
      </c>
      <c r="Z178" s="109" t="s">
        <v>1515</v>
      </c>
      <c r="AA178" s="109">
        <v>0</v>
      </c>
      <c r="AB178" s="109">
        <v>0</v>
      </c>
      <c r="AC178" s="109">
        <v>0</v>
      </c>
      <c r="AD178" s="109">
        <v>0</v>
      </c>
      <c r="AE178" s="110">
        <v>0</v>
      </c>
      <c r="AF178" s="77" t="str">
        <f>VLOOKUP(D178,TIPOLOGIAS!A:H,6,0)</f>
        <v>TIPO II</v>
      </c>
      <c r="AG178" s="77" t="str">
        <f>VLOOKUP(D178,TIPOLOGIAS!A:H,5,0)</f>
        <v>TERRESTRE</v>
      </c>
      <c r="AH178" s="104">
        <v>1</v>
      </c>
      <c r="AI178" s="104">
        <v>0</v>
      </c>
      <c r="AJ178" s="104">
        <v>0</v>
      </c>
      <c r="AK178" s="104">
        <v>0</v>
      </c>
      <c r="AL178" s="78">
        <f>IF(T178="SOPORTE_TELEFÓNICO",'BASE LIQUIDACION'!$B$10,IF(AF178="TIPO I",'BASE LIQUIDACION'!$C$3,IF(AF178="TIPO II",'BASE LIQUIDACION'!$C$4,IF(AF178="TIPO III",'BASE LIQUIDACION'!$C$5,'BASE LIQUIDACION'!$C$7))))</f>
        <v>163813.55812</v>
      </c>
      <c r="AM178" s="80">
        <f>IF(T178="SOPORTE_TELEFÓNICO",'BASE LIQUIDACION'!$B$10,(AH178*AL178+AI178*'BASE LIQUIDACION'!$B$12+AJ178*'BASE LIQUIDACION'!$B$11+INCIDENTES!AK178*'BASE LIQUIDACION'!$B$13))</f>
        <v>163813.55812</v>
      </c>
    </row>
    <row r="179" spans="1:39" s="4" customFormat="1">
      <c r="A179" s="104" t="s">
        <v>172</v>
      </c>
      <c r="B179" s="56" t="str">
        <f>VLOOKUP(A179,'CENTRO DE COSTOS'!A:D,4,FALSE)</f>
        <v>MIGUEL JULIÁN HERNÁNDEZ GUARÍN</v>
      </c>
      <c r="C179" s="56" t="str">
        <f>VLOOKUP(A179,'CENTRO DE COSTOS'!A:D,2,FALSE)</f>
        <v>0004-0008</v>
      </c>
      <c r="D179" s="104">
        <v>68001</v>
      </c>
      <c r="E179" s="104">
        <v>2367014</v>
      </c>
      <c r="F179" s="104" t="s">
        <v>2230</v>
      </c>
      <c r="G179" s="105">
        <v>45835.649108796293</v>
      </c>
      <c r="H179" s="105">
        <v>45836.42083333333</v>
      </c>
      <c r="I179" s="104" t="s">
        <v>175</v>
      </c>
      <c r="J179" s="104" t="s">
        <v>172</v>
      </c>
      <c r="K179" s="104" t="s">
        <v>2231</v>
      </c>
      <c r="L179" s="104">
        <v>11742</v>
      </c>
      <c r="M179" s="56" t="s">
        <v>1505</v>
      </c>
      <c r="N179" s="56" t="s">
        <v>119</v>
      </c>
      <c r="O179" s="104" t="s">
        <v>1524</v>
      </c>
      <c r="P179" s="56"/>
      <c r="Q179" s="104" t="s">
        <v>1506</v>
      </c>
      <c r="R179" s="106" t="s">
        <v>2232</v>
      </c>
      <c r="S179" s="107" t="s">
        <v>193</v>
      </c>
      <c r="T179" s="104" t="s">
        <v>1509</v>
      </c>
      <c r="U179" s="107" t="s">
        <v>2233</v>
      </c>
      <c r="V179" s="108" t="s">
        <v>1511</v>
      </c>
      <c r="W179" s="109" t="s">
        <v>1512</v>
      </c>
      <c r="X179" s="109" t="s">
        <v>1567</v>
      </c>
      <c r="Y179" s="109" t="s">
        <v>1649</v>
      </c>
      <c r="Z179" s="109" t="s">
        <v>1515</v>
      </c>
      <c r="AA179" s="109">
        <v>0</v>
      </c>
      <c r="AB179" s="109">
        <v>0</v>
      </c>
      <c r="AC179" s="109">
        <v>0</v>
      </c>
      <c r="AD179" s="109">
        <v>0</v>
      </c>
      <c r="AE179" s="110">
        <v>0</v>
      </c>
      <c r="AF179" s="77" t="str">
        <f>VLOOKUP(D179,TIPOLOGIAS!A:H,6,0)</f>
        <v>TIPO I</v>
      </c>
      <c r="AG179" s="77" t="str">
        <f>VLOOKUP(D179,TIPOLOGIAS!A:H,5,0)</f>
        <v>TERRESTRE</v>
      </c>
      <c r="AH179" s="104">
        <v>1</v>
      </c>
      <c r="AI179" s="104">
        <v>0</v>
      </c>
      <c r="AJ179" s="104">
        <v>0</v>
      </c>
      <c r="AK179" s="104">
        <v>0</v>
      </c>
      <c r="AL179" s="78">
        <f>IF(T179="SOPORTE_TELEFÓNICO",'BASE LIQUIDACION'!$B$10,IF(AF179="TIPO I",'BASE LIQUIDACION'!$C$3,IF(AF179="TIPO II",'BASE LIQUIDACION'!$C$4,IF(AF179="TIPO III",'BASE LIQUIDACION'!$C$5,'BASE LIQUIDACION'!$C$7))))</f>
        <v>65960.473639999997</v>
      </c>
      <c r="AM179" s="80">
        <f>IF(T179="SOPORTE_TELEFÓNICO",'BASE LIQUIDACION'!$B$10,(AH179*AL179+AI179*'BASE LIQUIDACION'!$B$12+AJ179*'BASE LIQUIDACION'!$B$11+INCIDENTES!AK179*'BASE LIQUIDACION'!$B$13))</f>
        <v>65960.473639999997</v>
      </c>
    </row>
    <row r="180" spans="1:39" s="4" customFormat="1">
      <c r="A180" s="104" t="s">
        <v>822</v>
      </c>
      <c r="B180" s="56" t="str">
        <f>VLOOKUP(A180,'CENTRO DE COSTOS'!A:D,4,FALSE)</f>
        <v>KEVIN ALEXIS CORZO BUSTOS</v>
      </c>
      <c r="C180" s="56" t="str">
        <f>VLOOKUP(A180,'CENTRO DE COSTOS'!A:D,2,FALSE)</f>
        <v>0004-0007</v>
      </c>
      <c r="D180" s="104">
        <v>50001</v>
      </c>
      <c r="E180" s="104">
        <v>2367093</v>
      </c>
      <c r="F180" s="104" t="s">
        <v>2234</v>
      </c>
      <c r="G180" s="105">
        <v>45835.673368055555</v>
      </c>
      <c r="H180" s="105">
        <v>45836.445138888892</v>
      </c>
      <c r="I180" s="104" t="s">
        <v>1148</v>
      </c>
      <c r="J180" s="104" t="s">
        <v>822</v>
      </c>
      <c r="K180" s="104" t="s">
        <v>2235</v>
      </c>
      <c r="L180" s="104">
        <v>63912</v>
      </c>
      <c r="M180" s="56" t="s">
        <v>1505</v>
      </c>
      <c r="N180" s="56" t="s">
        <v>119</v>
      </c>
      <c r="O180" s="104" t="s">
        <v>1524</v>
      </c>
      <c r="P180" s="56"/>
      <c r="Q180" s="104" t="s">
        <v>1506</v>
      </c>
      <c r="R180" s="106" t="s">
        <v>2236</v>
      </c>
      <c r="S180" s="107" t="s">
        <v>2124</v>
      </c>
      <c r="T180" s="104" t="s">
        <v>1509</v>
      </c>
      <c r="U180" s="107" t="s">
        <v>2237</v>
      </c>
      <c r="V180" s="108" t="s">
        <v>1511</v>
      </c>
      <c r="W180" s="109" t="s">
        <v>1512</v>
      </c>
      <c r="X180" s="109" t="s">
        <v>1513</v>
      </c>
      <c r="Y180" s="109" t="s">
        <v>1521</v>
      </c>
      <c r="Z180" s="109" t="s">
        <v>1515</v>
      </c>
      <c r="AA180" s="109">
        <v>0</v>
      </c>
      <c r="AB180" s="109">
        <v>0</v>
      </c>
      <c r="AC180" s="109">
        <v>0</v>
      </c>
      <c r="AD180" s="109">
        <v>0</v>
      </c>
      <c r="AE180" s="110">
        <v>0</v>
      </c>
      <c r="AF180" s="77" t="str">
        <f>VLOOKUP(D180,TIPOLOGIAS!A:H,6,0)</f>
        <v>TIPO I</v>
      </c>
      <c r="AG180" s="77" t="str">
        <f>VLOOKUP(D180,TIPOLOGIAS!A:H,5,0)</f>
        <v>TERRESTRE</v>
      </c>
      <c r="AH180" s="104">
        <v>1</v>
      </c>
      <c r="AI180" s="104">
        <v>0</v>
      </c>
      <c r="AJ180" s="104">
        <v>0</v>
      </c>
      <c r="AK180" s="104">
        <v>0</v>
      </c>
      <c r="AL180" s="78">
        <f>IF(T180="SOPORTE_TELEFÓNICO",'BASE LIQUIDACION'!$B$10,IF(AF180="TIPO I",'BASE LIQUIDACION'!$C$3,IF(AF180="TIPO II",'BASE LIQUIDACION'!$C$4,IF(AF180="TIPO III",'BASE LIQUIDACION'!$C$5,'BASE LIQUIDACION'!$C$7))))</f>
        <v>65960.473639999997</v>
      </c>
      <c r="AM180" s="80">
        <f>IF(T180="SOPORTE_TELEFÓNICO",'BASE LIQUIDACION'!$B$10,(AH180*AL180+AI180*'BASE LIQUIDACION'!$B$12+AJ180*'BASE LIQUIDACION'!$B$11+INCIDENTES!AK180*'BASE LIQUIDACION'!$B$13))</f>
        <v>65960.473639999997</v>
      </c>
    </row>
    <row r="181" spans="1:39" s="4" customFormat="1">
      <c r="A181" s="104" t="s">
        <v>111</v>
      </c>
      <c r="B181" s="56" t="str">
        <f>VLOOKUP(A181,'CENTRO DE COSTOS'!A:D,4,FALSE)</f>
        <v>JUAN SEBASTIÁN RÍOS CASTRILLÓN</v>
      </c>
      <c r="C181" s="56" t="str">
        <f>VLOOKUP(A181,'CENTRO DE COSTOS'!A:D,2,FALSE)</f>
        <v>0004-0005</v>
      </c>
      <c r="D181" s="104">
        <v>5360</v>
      </c>
      <c r="E181" s="104">
        <v>2365991</v>
      </c>
      <c r="F181" s="104" t="s">
        <v>2238</v>
      </c>
      <c r="G181" s="105">
        <v>45835.534479166665</v>
      </c>
      <c r="H181" s="105">
        <v>45836.456250000003</v>
      </c>
      <c r="I181" s="104" t="s">
        <v>131</v>
      </c>
      <c r="J181" s="104" t="s">
        <v>536</v>
      </c>
      <c r="K181" s="104" t="s">
        <v>2239</v>
      </c>
      <c r="L181" s="104">
        <v>78212</v>
      </c>
      <c r="M181" s="56" t="s">
        <v>1505</v>
      </c>
      <c r="N181" s="56" t="s">
        <v>119</v>
      </c>
      <c r="O181" s="104" t="s">
        <v>332</v>
      </c>
      <c r="P181" s="56"/>
      <c r="Q181" s="104" t="s">
        <v>1506</v>
      </c>
      <c r="R181" s="106" t="s">
        <v>2240</v>
      </c>
      <c r="S181" s="107" t="s">
        <v>1638</v>
      </c>
      <c r="T181" s="104" t="s">
        <v>1509</v>
      </c>
      <c r="U181" s="107" t="s">
        <v>2241</v>
      </c>
      <c r="V181" s="108" t="s">
        <v>1511</v>
      </c>
      <c r="W181" s="109" t="s">
        <v>1512</v>
      </c>
      <c r="X181" s="109" t="s">
        <v>1533</v>
      </c>
      <c r="Y181" s="109" t="s">
        <v>1534</v>
      </c>
      <c r="Z181" s="109" t="s">
        <v>1515</v>
      </c>
      <c r="AA181" s="109">
        <v>0</v>
      </c>
      <c r="AB181" s="109">
        <v>0</v>
      </c>
      <c r="AC181" s="109">
        <v>0</v>
      </c>
      <c r="AD181" s="109">
        <v>0</v>
      </c>
      <c r="AE181" s="110">
        <v>0</v>
      </c>
      <c r="AF181" s="77" t="str">
        <f>VLOOKUP(D181,TIPOLOGIAS!A:H,6,0)</f>
        <v>TIPO I</v>
      </c>
      <c r="AG181" s="77" t="str">
        <f>VLOOKUP(D181,TIPOLOGIAS!A:H,5,0)</f>
        <v>TERRESTRE</v>
      </c>
      <c r="AH181" s="104">
        <v>1</v>
      </c>
      <c r="AI181" s="104">
        <v>0</v>
      </c>
      <c r="AJ181" s="104">
        <v>0</v>
      </c>
      <c r="AK181" s="104">
        <v>0</v>
      </c>
      <c r="AL181" s="78">
        <f>IF(T181="SOPORTE_TELEFÓNICO",'BASE LIQUIDACION'!$B$10,IF(AF181="TIPO I",'BASE LIQUIDACION'!$C$3,IF(AF181="TIPO II",'BASE LIQUIDACION'!$C$4,IF(AF181="TIPO III",'BASE LIQUIDACION'!$C$5,'BASE LIQUIDACION'!$C$7))))</f>
        <v>65960.473639999997</v>
      </c>
      <c r="AM181" s="80">
        <f>IF(T181="SOPORTE_TELEFÓNICO",'BASE LIQUIDACION'!$B$10,(AH181*AL181+AI181*'BASE LIQUIDACION'!$B$12+AJ181*'BASE LIQUIDACION'!$B$11+INCIDENTES!AK181*'BASE LIQUIDACION'!$B$13))</f>
        <v>65960.473639999997</v>
      </c>
    </row>
    <row r="182" spans="1:39" s="4" customFormat="1">
      <c r="A182" s="104" t="s">
        <v>111</v>
      </c>
      <c r="B182" s="56" t="str">
        <f>VLOOKUP(A182,'CENTRO DE COSTOS'!A:D,4,FALSE)</f>
        <v>JUAN SEBASTIÁN RÍOS CASTRILLÓN</v>
      </c>
      <c r="C182" s="56" t="str">
        <f>VLOOKUP(A182,'CENTRO DE COSTOS'!A:D,2,FALSE)</f>
        <v>0004-0005</v>
      </c>
      <c r="D182" s="104">
        <v>5001</v>
      </c>
      <c r="E182" s="104">
        <v>2367920</v>
      </c>
      <c r="F182" s="104" t="s">
        <v>2242</v>
      </c>
      <c r="G182" s="105">
        <v>45836.333333333336</v>
      </c>
      <c r="H182" s="105">
        <v>45836.482638888891</v>
      </c>
      <c r="I182" s="104" t="s">
        <v>131</v>
      </c>
      <c r="J182" s="104" t="s">
        <v>111</v>
      </c>
      <c r="K182" s="104" t="s">
        <v>2243</v>
      </c>
      <c r="L182" s="104">
        <v>21094</v>
      </c>
      <c r="M182" s="56" t="s">
        <v>1505</v>
      </c>
      <c r="N182" s="56" t="s">
        <v>119</v>
      </c>
      <c r="O182" s="104" t="s">
        <v>425</v>
      </c>
      <c r="P182" s="56"/>
      <c r="Q182" s="104" t="s">
        <v>1506</v>
      </c>
      <c r="R182" s="106" t="s">
        <v>2244</v>
      </c>
      <c r="S182" s="107" t="s">
        <v>1988</v>
      </c>
      <c r="T182" s="104" t="s">
        <v>1520</v>
      </c>
      <c r="U182" s="107">
        <v>0</v>
      </c>
      <c r="V182" s="108" t="s">
        <v>1511</v>
      </c>
      <c r="W182" s="109" t="s">
        <v>1512</v>
      </c>
      <c r="X182" s="109" t="s">
        <v>1556</v>
      </c>
      <c r="Y182" s="109" t="s">
        <v>1557</v>
      </c>
      <c r="Z182" s="109" t="s">
        <v>1515</v>
      </c>
      <c r="AA182" s="109">
        <v>0</v>
      </c>
      <c r="AB182" s="109">
        <v>0</v>
      </c>
      <c r="AC182" s="109">
        <v>0</v>
      </c>
      <c r="AD182" s="109">
        <v>0</v>
      </c>
      <c r="AE182" s="110">
        <v>0</v>
      </c>
      <c r="AF182" s="77" t="str">
        <f>VLOOKUP(D182,TIPOLOGIAS!A:H,6,0)</f>
        <v>TIPO I</v>
      </c>
      <c r="AG182" s="77" t="str">
        <f>VLOOKUP(D182,TIPOLOGIAS!A:H,5,0)</f>
        <v>TERRESTRE</v>
      </c>
      <c r="AH182" s="104">
        <v>0</v>
      </c>
      <c r="AI182" s="104">
        <v>0</v>
      </c>
      <c r="AJ182" s="104">
        <v>0</v>
      </c>
      <c r="AK182" s="104">
        <v>0</v>
      </c>
      <c r="AL182" s="78">
        <f>IF(T182="SOPORTE_TELEFÓNICO",'BASE LIQUIDACION'!$B$10,IF(AF182="TIPO I",'BASE LIQUIDACION'!$C$3,IF(AF182="TIPO II",'BASE LIQUIDACION'!$C$4,IF(AF182="TIPO III",'BASE LIQUIDACION'!$C$5,'BASE LIQUIDACION'!$C$7))))</f>
        <v>37904.65408</v>
      </c>
      <c r="AM182" s="80">
        <f>IF(T182="SOPORTE_TELEFÓNICO",'BASE LIQUIDACION'!$B$10,(AH182*AL182+AI182*'BASE LIQUIDACION'!$B$12+AJ182*'BASE LIQUIDACION'!$B$11+INCIDENTES!AK182*'BASE LIQUIDACION'!$B$13))</f>
        <v>37904.65408</v>
      </c>
    </row>
    <row r="183" spans="1:39" s="4" customFormat="1">
      <c r="A183" s="104" t="s">
        <v>781</v>
      </c>
      <c r="B183" s="56" t="str">
        <f>VLOOKUP(A183,'CENTRO DE COSTOS'!A:D,4,FALSE)</f>
        <v>DIEGO FERNANDO HENAO CARDONA</v>
      </c>
      <c r="C183" s="56" t="str">
        <f>VLOOKUP(A183,'CENTRO DE COSTOS'!A:D,2,FALSE)</f>
        <v>0004-0002</v>
      </c>
      <c r="D183" s="104">
        <v>17001</v>
      </c>
      <c r="E183" s="104">
        <v>2368518</v>
      </c>
      <c r="F183" s="104" t="s">
        <v>2245</v>
      </c>
      <c r="G183" s="105">
        <v>45836.361111111109</v>
      </c>
      <c r="H183" s="105">
        <v>45836.48333333333</v>
      </c>
      <c r="I183" s="104" t="s">
        <v>473</v>
      </c>
      <c r="J183" s="104" t="s">
        <v>781</v>
      </c>
      <c r="K183" s="104" t="s">
        <v>2246</v>
      </c>
      <c r="L183" s="104">
        <v>59121</v>
      </c>
      <c r="M183" s="56" t="s">
        <v>1505</v>
      </c>
      <c r="N183" s="56" t="s">
        <v>119</v>
      </c>
      <c r="O183" s="104" t="s">
        <v>1524</v>
      </c>
      <c r="P183" s="56"/>
      <c r="Q183" s="104" t="s">
        <v>1506</v>
      </c>
      <c r="R183" s="106" t="s">
        <v>2247</v>
      </c>
      <c r="S183" s="107" t="s">
        <v>1519</v>
      </c>
      <c r="T183" s="104" t="s">
        <v>1520</v>
      </c>
      <c r="U183" s="107">
        <v>0</v>
      </c>
      <c r="V183" s="108" t="s">
        <v>1511</v>
      </c>
      <c r="W183" s="109" t="s">
        <v>1512</v>
      </c>
      <c r="X183" s="109" t="s">
        <v>1556</v>
      </c>
      <c r="Y183" s="109" t="s">
        <v>1557</v>
      </c>
      <c r="Z183" s="109" t="s">
        <v>1515</v>
      </c>
      <c r="AA183" s="109">
        <v>0</v>
      </c>
      <c r="AB183" s="109">
        <v>0</v>
      </c>
      <c r="AC183" s="109">
        <v>0</v>
      </c>
      <c r="AD183" s="109">
        <v>0</v>
      </c>
      <c r="AE183" s="110">
        <v>0</v>
      </c>
      <c r="AF183" s="77" t="str">
        <f>VLOOKUP(D183,TIPOLOGIAS!A:H,6,0)</f>
        <v>TIPO I</v>
      </c>
      <c r="AG183" s="77" t="str">
        <f>VLOOKUP(D183,TIPOLOGIAS!A:H,5,0)</f>
        <v>TERRESTRE</v>
      </c>
      <c r="AH183" s="104">
        <v>0</v>
      </c>
      <c r="AI183" s="104">
        <v>0</v>
      </c>
      <c r="AJ183" s="104">
        <v>0</v>
      </c>
      <c r="AK183" s="104">
        <v>0</v>
      </c>
      <c r="AL183" s="78">
        <f>IF(T183="SOPORTE_TELEFÓNICO",'BASE LIQUIDACION'!$B$10,IF(AF183="TIPO I",'BASE LIQUIDACION'!$C$3,IF(AF183="TIPO II",'BASE LIQUIDACION'!$C$4,IF(AF183="TIPO III",'BASE LIQUIDACION'!$C$5,'BASE LIQUIDACION'!$C$7))))</f>
        <v>37904.65408</v>
      </c>
      <c r="AM183" s="80">
        <f>IF(T183="SOPORTE_TELEFÓNICO",'BASE LIQUIDACION'!$B$10,(AH183*AL183+AI183*'BASE LIQUIDACION'!$B$12+AJ183*'BASE LIQUIDACION'!$B$11+INCIDENTES!AK183*'BASE LIQUIDACION'!$B$13))</f>
        <v>37904.65408</v>
      </c>
    </row>
    <row r="184" spans="1:39" s="4" customFormat="1">
      <c r="A184" s="104" t="s">
        <v>163</v>
      </c>
      <c r="B184" s="56" t="str">
        <f>VLOOKUP(A184,'CENTRO DE COSTOS'!A:D,4,FALSE)</f>
        <v>WILLIAM ASDRUBAL ROZO ROZO</v>
      </c>
      <c r="C184" s="56" t="str">
        <f>VLOOKUP(A184,'CENTRO DE COSTOS'!A:D,2,FALSE)</f>
        <v>0004-0004</v>
      </c>
      <c r="D184" s="104">
        <v>25286</v>
      </c>
      <c r="E184" s="104">
        <v>2360174</v>
      </c>
      <c r="F184" s="104" t="s">
        <v>2248</v>
      </c>
      <c r="G184" s="105">
        <v>45834.525000000001</v>
      </c>
      <c r="H184" s="105">
        <v>45836.517361111109</v>
      </c>
      <c r="I184" s="104" t="s">
        <v>166</v>
      </c>
      <c r="J184" s="104" t="s">
        <v>984</v>
      </c>
      <c r="K184" s="104" t="s">
        <v>2249</v>
      </c>
      <c r="L184" s="104">
        <v>79889</v>
      </c>
      <c r="M184" s="56" t="s">
        <v>1505</v>
      </c>
      <c r="N184" s="56" t="s">
        <v>119</v>
      </c>
      <c r="O184" s="104" t="s">
        <v>332</v>
      </c>
      <c r="P184" s="56"/>
      <c r="Q184" s="104" t="s">
        <v>1506</v>
      </c>
      <c r="R184" s="106" t="s">
        <v>2250</v>
      </c>
      <c r="S184" s="107" t="s">
        <v>2153</v>
      </c>
      <c r="T184" s="104" t="s">
        <v>1509</v>
      </c>
      <c r="U184" s="107" t="s">
        <v>2251</v>
      </c>
      <c r="V184" s="108" t="s">
        <v>1511</v>
      </c>
      <c r="W184" s="109" t="s">
        <v>1512</v>
      </c>
      <c r="X184" s="109" t="s">
        <v>1513</v>
      </c>
      <c r="Y184" s="109" t="s">
        <v>1521</v>
      </c>
      <c r="Z184" s="109" t="s">
        <v>1515</v>
      </c>
      <c r="AA184" s="109">
        <v>0</v>
      </c>
      <c r="AB184" s="109">
        <v>0</v>
      </c>
      <c r="AC184" s="109">
        <v>0</v>
      </c>
      <c r="AD184" s="109">
        <v>0</v>
      </c>
      <c r="AE184" s="110">
        <v>0</v>
      </c>
      <c r="AF184" s="77" t="str">
        <f>VLOOKUP(D184,TIPOLOGIAS!A:H,6,0)</f>
        <v>TIPO II</v>
      </c>
      <c r="AG184" s="77" t="str">
        <f>VLOOKUP(D184,TIPOLOGIAS!A:H,5,0)</f>
        <v>TERRESTRE</v>
      </c>
      <c r="AH184" s="104">
        <v>1</v>
      </c>
      <c r="AI184" s="104">
        <v>0</v>
      </c>
      <c r="AJ184" s="104">
        <v>0</v>
      </c>
      <c r="AK184" s="104">
        <v>0</v>
      </c>
      <c r="AL184" s="78">
        <f>IF(T184="SOPORTE_TELEFÓNICO",'BASE LIQUIDACION'!$B$10,IF(AF184="TIPO I",'BASE LIQUIDACION'!$C$3,IF(AF184="TIPO II",'BASE LIQUIDACION'!$C$4,IF(AF184="TIPO III",'BASE LIQUIDACION'!$C$5,'BASE LIQUIDACION'!$C$7))))</f>
        <v>163813.55812</v>
      </c>
      <c r="AM184" s="80">
        <f>IF(T184="SOPORTE_TELEFÓNICO",'BASE LIQUIDACION'!$B$10,(AH184*AL184+AI184*'BASE LIQUIDACION'!$B$12+AJ184*'BASE LIQUIDACION'!$B$11+INCIDENTES!AK184*'BASE LIQUIDACION'!$B$13))</f>
        <v>163813.55812</v>
      </c>
    </row>
    <row r="185" spans="1:39" s="4" customFormat="1">
      <c r="A185" s="104" t="s">
        <v>111</v>
      </c>
      <c r="B185" s="56" t="str">
        <f>VLOOKUP(A185,'CENTRO DE COSTOS'!A:D,4,FALSE)</f>
        <v>JUAN SEBASTIÁN RÍOS CASTRILLÓN</v>
      </c>
      <c r="C185" s="56" t="str">
        <f>VLOOKUP(A185,'CENTRO DE COSTOS'!A:D,2,FALSE)</f>
        <v>0004-0005</v>
      </c>
      <c r="D185" s="104">
        <v>5001</v>
      </c>
      <c r="E185" s="104">
        <v>2369050</v>
      </c>
      <c r="F185" s="104" t="s">
        <v>2252</v>
      </c>
      <c r="G185" s="105">
        <v>45836.615277777775</v>
      </c>
      <c r="H185" s="105">
        <v>45837.500347222223</v>
      </c>
      <c r="I185" s="104" t="s">
        <v>131</v>
      </c>
      <c r="J185" s="104" t="s">
        <v>111</v>
      </c>
      <c r="K185" s="104" t="s">
        <v>2253</v>
      </c>
      <c r="L185" s="104">
        <v>73769</v>
      </c>
      <c r="M185" s="56" t="s">
        <v>1505</v>
      </c>
      <c r="N185" s="56" t="s">
        <v>119</v>
      </c>
      <c r="O185" s="104" t="s">
        <v>332</v>
      </c>
      <c r="P185" s="56"/>
      <c r="Q185" s="104" t="s">
        <v>1506</v>
      </c>
      <c r="R185" s="106" t="s">
        <v>2254</v>
      </c>
      <c r="S185" s="107" t="s">
        <v>1932</v>
      </c>
      <c r="T185" s="104" t="s">
        <v>1520</v>
      </c>
      <c r="U185" s="107">
        <v>0</v>
      </c>
      <c r="V185" s="108" t="s">
        <v>1511</v>
      </c>
      <c r="W185" s="109" t="s">
        <v>1512</v>
      </c>
      <c r="X185" s="109" t="s">
        <v>1513</v>
      </c>
      <c r="Y185" s="109" t="s">
        <v>1514</v>
      </c>
      <c r="Z185" s="109" t="s">
        <v>1515</v>
      </c>
      <c r="AA185" s="109">
        <v>0</v>
      </c>
      <c r="AB185" s="109">
        <v>0</v>
      </c>
      <c r="AC185" s="109">
        <v>0</v>
      </c>
      <c r="AD185" s="109">
        <v>0</v>
      </c>
      <c r="AE185" s="110">
        <v>0</v>
      </c>
      <c r="AF185" s="77" t="str">
        <f>VLOOKUP(D185,TIPOLOGIAS!A:H,6,0)</f>
        <v>TIPO I</v>
      </c>
      <c r="AG185" s="77" t="str">
        <f>VLOOKUP(D185,TIPOLOGIAS!A:H,5,0)</f>
        <v>TERRESTRE</v>
      </c>
      <c r="AH185" s="104">
        <v>0</v>
      </c>
      <c r="AI185" s="104">
        <v>0</v>
      </c>
      <c r="AJ185" s="104">
        <v>0</v>
      </c>
      <c r="AK185" s="104">
        <v>0</v>
      </c>
      <c r="AL185" s="78">
        <f>IF(T185="SOPORTE_TELEFÓNICO",'BASE LIQUIDACION'!$B$10,IF(AF185="TIPO I",'BASE LIQUIDACION'!$C$3,IF(AF185="TIPO II",'BASE LIQUIDACION'!$C$4,IF(AF185="TIPO III",'BASE LIQUIDACION'!$C$5,'BASE LIQUIDACION'!$C$7))))</f>
        <v>37904.65408</v>
      </c>
      <c r="AM185" s="80">
        <f>IF(T185="SOPORTE_TELEFÓNICO",'BASE LIQUIDACION'!$B$10,(AH185*AL185+AI185*'BASE LIQUIDACION'!$B$12+AJ185*'BASE LIQUIDACION'!$B$11+INCIDENTES!AK185*'BASE LIQUIDACION'!$B$13))</f>
        <v>37904.65408</v>
      </c>
    </row>
    <row r="186" spans="1:39" s="4" customFormat="1">
      <c r="A186" s="104" t="s">
        <v>147</v>
      </c>
      <c r="B186" s="56" t="str">
        <f>VLOOKUP(A186,'CENTRO DE COSTOS'!A:D,4,FALSE)</f>
        <v>MIGUEL JULIÁN HERNÁNDEZ GUARÍN</v>
      </c>
      <c r="C186" s="56" t="str">
        <f>VLOOKUP(A186,'CENTRO DE COSTOS'!A:D,2,FALSE)</f>
        <v>0004-0008</v>
      </c>
      <c r="D186" s="104">
        <v>15001</v>
      </c>
      <c r="E186" s="104">
        <v>2369712</v>
      </c>
      <c r="F186" s="104" t="s">
        <v>2255</v>
      </c>
      <c r="G186" s="105">
        <v>45837.416666666664</v>
      </c>
      <c r="H186" s="105">
        <v>45838.369444444441</v>
      </c>
      <c r="I186" s="104" t="s">
        <v>147</v>
      </c>
      <c r="J186" s="104" t="s">
        <v>150</v>
      </c>
      <c r="K186" s="104" t="s">
        <v>2256</v>
      </c>
      <c r="L186" s="104">
        <v>78395</v>
      </c>
      <c r="M186" s="56" t="s">
        <v>1505</v>
      </c>
      <c r="N186" s="56" t="s">
        <v>119</v>
      </c>
      <c r="O186" s="104" t="s">
        <v>1524</v>
      </c>
      <c r="P186" s="73"/>
      <c r="Q186" s="104" t="s">
        <v>1506</v>
      </c>
      <c r="R186" s="106" t="s">
        <v>2257</v>
      </c>
      <c r="S186" s="107" t="s">
        <v>222</v>
      </c>
      <c r="T186" s="104" t="s">
        <v>1509</v>
      </c>
      <c r="U186" s="107">
        <v>0</v>
      </c>
      <c r="V186" s="108" t="s">
        <v>1511</v>
      </c>
      <c r="W186" s="109" t="s">
        <v>1512</v>
      </c>
      <c r="X186" s="109" t="s">
        <v>1513</v>
      </c>
      <c r="Y186" s="109" t="s">
        <v>1514</v>
      </c>
      <c r="Z186" s="109" t="s">
        <v>1515</v>
      </c>
      <c r="AA186" s="109">
        <v>0</v>
      </c>
      <c r="AB186" s="109">
        <v>0</v>
      </c>
      <c r="AC186" s="109">
        <v>0</v>
      </c>
      <c r="AD186" s="109">
        <v>0</v>
      </c>
      <c r="AE186" s="110">
        <v>0</v>
      </c>
      <c r="AF186" s="77" t="str">
        <f>VLOOKUP(D186,TIPOLOGIAS!A:H,6,0)</f>
        <v>TIPO I</v>
      </c>
      <c r="AG186" s="77" t="str">
        <f>VLOOKUP(D186,TIPOLOGIAS!A:H,5,0)</f>
        <v>TERRESTRE</v>
      </c>
      <c r="AH186" s="104">
        <v>1</v>
      </c>
      <c r="AI186" s="104">
        <v>0</v>
      </c>
      <c r="AJ186" s="104">
        <v>0</v>
      </c>
      <c r="AK186" s="104">
        <v>0</v>
      </c>
      <c r="AL186" s="78">
        <f>IF(T186="SOPORTE_TELEFÓNICO",'BASE LIQUIDACION'!$B$10,IF(AF186="TIPO I",'BASE LIQUIDACION'!$C$3,IF(AF186="TIPO II",'BASE LIQUIDACION'!$C$4,IF(AF186="TIPO III",'BASE LIQUIDACION'!$C$5,'BASE LIQUIDACION'!$C$7))))</f>
        <v>65960.473639999997</v>
      </c>
      <c r="AM186" s="80">
        <f>IF(T186="SOPORTE_TELEFÓNICO",'BASE LIQUIDACION'!$B$10,(AH186*AL186+AI186*'BASE LIQUIDACION'!$B$12+AJ186*'BASE LIQUIDACION'!$B$11+INCIDENTES!AK186*'BASE LIQUIDACION'!$B$13))</f>
        <v>65960.473639999997</v>
      </c>
    </row>
    <row r="187" spans="1:39">
      <c r="AM187" s="102">
        <f>SUM(AM2:AM186)</f>
        <v>17712902.414919998</v>
      </c>
    </row>
  </sheetData>
  <protectedRanges>
    <protectedRange algorithmName="SHA-512" hashValue="CbntCM56YWgXHu4+OOrTghpH39pBZb4D6eBjK7U1usiFrpeJYUrWINoAXH/F78Kbl2TTiZ0gVzAwB/pZlIomZg==" saltValue="Rtsq70621ICfRzd7gOQdgg==" spinCount="100000" sqref="R23" name="Rango2_5_1_1_3"/>
    <protectedRange algorithmName="SHA-512" hashValue="CbntCM56YWgXHu4+OOrTghpH39pBZb4D6eBjK7U1usiFrpeJYUrWINoAXH/F78Kbl2TTiZ0gVzAwB/pZlIomZg==" saltValue="Rtsq70621ICfRzd7gOQdgg==" spinCount="100000" sqref="R28" name="Rango2_5_2_1_5"/>
    <protectedRange algorithmName="SHA-512" hashValue="CbntCM56YWgXHu4+OOrTghpH39pBZb4D6eBjK7U1usiFrpeJYUrWINoAXH/F78Kbl2TTiZ0gVzAwB/pZlIomZg==" saltValue="Rtsq70621ICfRzd7gOQdgg==" spinCount="100000" sqref="R29:R30" name="Rango2_5_2_1_6"/>
    <protectedRange algorithmName="SHA-512" hashValue="CbntCM56YWgXHu4+OOrTghpH39pBZb4D6eBjK7U1usiFrpeJYUrWINoAXH/F78Kbl2TTiZ0gVzAwB/pZlIomZg==" saltValue="Rtsq70621ICfRzd7gOQdgg==" spinCount="100000" sqref="R31" name="Rango2_5_2_1_7"/>
    <protectedRange algorithmName="SHA-512" hashValue="CbntCM56YWgXHu4+OOrTghpH39pBZb4D6eBjK7U1usiFrpeJYUrWINoAXH/F78Kbl2TTiZ0gVzAwB/pZlIomZg==" saltValue="Rtsq70621ICfRzd7gOQdgg==" spinCount="100000" sqref="R32" name="Rango2_5_2_1_8"/>
    <protectedRange algorithmName="SHA-512" hashValue="CbntCM56YWgXHu4+OOrTghpH39pBZb4D6eBjK7U1usiFrpeJYUrWINoAXH/F78Kbl2TTiZ0gVzAwB/pZlIomZg==" saltValue="Rtsq70621ICfRzd7gOQdgg==" spinCount="100000" sqref="R33" name="Rango2_5_2_1_9"/>
    <protectedRange algorithmName="SHA-512" hashValue="CbntCM56YWgXHu4+OOrTghpH39pBZb4D6eBjK7U1usiFrpeJYUrWINoAXH/F78Kbl2TTiZ0gVzAwB/pZlIomZg==" saltValue="Rtsq70621ICfRzd7gOQdgg==" spinCount="100000" sqref="R34" name="Rango2_5_2_1_10"/>
    <protectedRange algorithmName="SHA-512" hashValue="CbntCM56YWgXHu4+OOrTghpH39pBZb4D6eBjK7U1usiFrpeJYUrWINoAXH/F78Kbl2TTiZ0gVzAwB/pZlIomZg==" saltValue="Rtsq70621ICfRzd7gOQdgg==" spinCount="100000" sqref="R35" name="Rango2_5_2_1_11"/>
    <protectedRange algorithmName="SHA-512" hashValue="CbntCM56YWgXHu4+OOrTghpH39pBZb4D6eBjK7U1usiFrpeJYUrWINoAXH/F78Kbl2TTiZ0gVzAwB/pZlIomZg==" saltValue="Rtsq70621ICfRzd7gOQdgg==" spinCount="100000" sqref="R36" name="Rango2_5_2_1_12"/>
    <protectedRange algorithmName="SHA-512" hashValue="CbntCM56YWgXHu4+OOrTghpH39pBZb4D6eBjK7U1usiFrpeJYUrWINoAXH/F78Kbl2TTiZ0gVzAwB/pZlIomZg==" saltValue="Rtsq70621ICfRzd7gOQdgg==" spinCount="100000" sqref="R37" name="Rango2_5_2_1_13"/>
    <protectedRange algorithmName="SHA-512" hashValue="CbntCM56YWgXHu4+OOrTghpH39pBZb4D6eBjK7U1usiFrpeJYUrWINoAXH/F78Kbl2TTiZ0gVzAwB/pZlIomZg==" saltValue="Rtsq70621ICfRzd7gOQdgg==" spinCount="100000" sqref="R38" name="Rango2_5_2_1_14"/>
    <protectedRange algorithmName="SHA-512" hashValue="CbntCM56YWgXHu4+OOrTghpH39pBZb4D6eBjK7U1usiFrpeJYUrWINoAXH/F78Kbl2TTiZ0gVzAwB/pZlIomZg==" saltValue="Rtsq70621ICfRzd7gOQdgg==" spinCount="100000" sqref="R39" name="Rango2_5_3_1_7"/>
    <protectedRange algorithmName="SHA-512" hashValue="CbntCM56YWgXHu4+OOrTghpH39pBZb4D6eBjK7U1usiFrpeJYUrWINoAXH/F78Kbl2TTiZ0gVzAwB/pZlIomZg==" saltValue="Rtsq70621ICfRzd7gOQdgg==" spinCount="100000" sqref="R40" name="Rango2_5_3_1_8"/>
    <protectedRange algorithmName="SHA-512" hashValue="CbntCM56YWgXHu4+OOrTghpH39pBZb4D6eBjK7U1usiFrpeJYUrWINoAXH/F78Kbl2TTiZ0gVzAwB/pZlIomZg==" saltValue="Rtsq70621ICfRzd7gOQdgg==" spinCount="100000" sqref="R41" name="Rango2_5_3_1_9"/>
    <protectedRange algorithmName="SHA-512" hashValue="CbntCM56YWgXHu4+OOrTghpH39pBZb4D6eBjK7U1usiFrpeJYUrWINoAXH/F78Kbl2TTiZ0gVzAwB/pZlIomZg==" saltValue="Rtsq70621ICfRzd7gOQdgg==" spinCount="100000" sqref="R42:R43" name="Rango2_5_3_1_10"/>
    <protectedRange algorithmName="SHA-512" hashValue="CbntCM56YWgXHu4+OOrTghpH39pBZb4D6eBjK7U1usiFrpeJYUrWINoAXH/F78Kbl2TTiZ0gVzAwB/pZlIomZg==" saltValue="Rtsq70621ICfRzd7gOQdgg==" spinCount="100000" sqref="R44" name="Rango2_5_3_1_11"/>
    <protectedRange algorithmName="SHA-512" hashValue="CbntCM56YWgXHu4+OOrTghpH39pBZb4D6eBjK7U1usiFrpeJYUrWINoAXH/F78Kbl2TTiZ0gVzAwB/pZlIomZg==" saltValue="Rtsq70621ICfRzd7gOQdgg==" spinCount="100000" sqref="R45:R47" name="Rango2_5_3_1_12"/>
    <protectedRange algorithmName="SHA-512" hashValue="CbntCM56YWgXHu4+OOrTghpH39pBZb4D6eBjK7U1usiFrpeJYUrWINoAXH/F78Kbl2TTiZ0gVzAwB/pZlIomZg==" saltValue="Rtsq70621ICfRzd7gOQdgg==" spinCount="100000" sqref="R48" name="Rango2_5_3_1_13"/>
    <protectedRange algorithmName="SHA-512" hashValue="CbntCM56YWgXHu4+OOrTghpH39pBZb4D6eBjK7U1usiFrpeJYUrWINoAXH/F78Kbl2TTiZ0gVzAwB/pZlIomZg==" saltValue="Rtsq70621ICfRzd7gOQdgg==" spinCount="100000" sqref="R49" name="Rango2_5_4_1"/>
    <protectedRange algorithmName="SHA-512" hashValue="CbntCM56YWgXHu4+OOrTghpH39pBZb4D6eBjK7U1usiFrpeJYUrWINoAXH/F78Kbl2TTiZ0gVzAwB/pZlIomZg==" saltValue="Rtsq70621ICfRzd7gOQdgg==" spinCount="100000" sqref="R50" name="Rango2_5_4_1_1"/>
    <protectedRange algorithmName="SHA-512" hashValue="CbntCM56YWgXHu4+OOrTghpH39pBZb4D6eBjK7U1usiFrpeJYUrWINoAXH/F78Kbl2TTiZ0gVzAwB/pZlIomZg==" saltValue="Rtsq70621ICfRzd7gOQdgg==" spinCount="100000" sqref="R51:R52" name="Rango2_5_4_1_2"/>
    <protectedRange algorithmName="SHA-512" hashValue="CbntCM56YWgXHu4+OOrTghpH39pBZb4D6eBjK7U1usiFrpeJYUrWINoAXH/F78Kbl2TTiZ0gVzAwB/pZlIomZg==" saltValue="Rtsq70621ICfRzd7gOQdgg==" spinCount="100000" sqref="R53" name="Rango2_5_4_1_3"/>
    <protectedRange algorithmName="SHA-512" hashValue="CbntCM56YWgXHu4+OOrTghpH39pBZb4D6eBjK7U1usiFrpeJYUrWINoAXH/F78Kbl2TTiZ0gVzAwB/pZlIomZg==" saltValue="Rtsq70621ICfRzd7gOQdgg==" spinCount="100000" sqref="R54" name="Rango2_5_4_1_4"/>
    <protectedRange algorithmName="SHA-512" hashValue="CbntCM56YWgXHu4+OOrTghpH39pBZb4D6eBjK7U1usiFrpeJYUrWINoAXH/F78Kbl2TTiZ0gVzAwB/pZlIomZg==" saltValue="Rtsq70621ICfRzd7gOQdgg==" spinCount="100000" sqref="R55" name="Rango2_5_4_1_5"/>
    <protectedRange algorithmName="SHA-512" hashValue="CbntCM56YWgXHu4+OOrTghpH39pBZb4D6eBjK7U1usiFrpeJYUrWINoAXH/F78Kbl2TTiZ0gVzAwB/pZlIomZg==" saltValue="Rtsq70621ICfRzd7gOQdgg==" spinCount="100000" sqref="R56" name="Rango2_5_4_1_6"/>
    <protectedRange algorithmName="SHA-512" hashValue="CbntCM56YWgXHu4+OOrTghpH39pBZb4D6eBjK7U1usiFrpeJYUrWINoAXH/F78Kbl2TTiZ0gVzAwB/pZlIomZg==" saltValue="Rtsq70621ICfRzd7gOQdgg==" spinCount="100000" sqref="R57" name="Rango2_5_4_1_7"/>
    <protectedRange algorithmName="SHA-512" hashValue="CbntCM56YWgXHu4+OOrTghpH39pBZb4D6eBjK7U1usiFrpeJYUrWINoAXH/F78Kbl2TTiZ0gVzAwB/pZlIomZg==" saltValue="Rtsq70621ICfRzd7gOQdgg==" spinCount="100000" sqref="R58" name="Rango2_5_4_1_8"/>
    <protectedRange algorithmName="SHA-512" hashValue="CbntCM56YWgXHu4+OOrTghpH39pBZb4D6eBjK7U1usiFrpeJYUrWINoAXH/F78Kbl2TTiZ0gVzAwB/pZlIomZg==" saltValue="Rtsq70621ICfRzd7gOQdgg==" spinCount="100000" sqref="R59" name="Rango2_5_4_1_9"/>
    <protectedRange algorithmName="SHA-512" hashValue="CbntCM56YWgXHu4+OOrTghpH39pBZb4D6eBjK7U1usiFrpeJYUrWINoAXH/F78Kbl2TTiZ0gVzAwB/pZlIomZg==" saltValue="Rtsq70621ICfRzd7gOQdgg==" spinCount="100000" sqref="R60" name="Rango2_5_5_1_2"/>
    <protectedRange algorithmName="SHA-512" hashValue="CbntCM56YWgXHu4+OOrTghpH39pBZb4D6eBjK7U1usiFrpeJYUrWINoAXH/F78Kbl2TTiZ0gVzAwB/pZlIomZg==" saltValue="Rtsq70621ICfRzd7gOQdgg==" spinCount="100000" sqref="R61" name="Rango2_5_5_1_3"/>
    <protectedRange algorithmName="SHA-512" hashValue="CbntCM56YWgXHu4+OOrTghpH39pBZb4D6eBjK7U1usiFrpeJYUrWINoAXH/F78Kbl2TTiZ0gVzAwB/pZlIomZg==" saltValue="Rtsq70621ICfRzd7gOQdgg==" spinCount="100000" sqref="R62" name="Rango2_5_5_1_4"/>
    <protectedRange algorithmName="SHA-512" hashValue="CbntCM56YWgXHu4+OOrTghpH39pBZb4D6eBjK7U1usiFrpeJYUrWINoAXH/F78Kbl2TTiZ0gVzAwB/pZlIomZg==" saltValue="Rtsq70621ICfRzd7gOQdgg==" spinCount="100000" sqref="R63" name="Rango2_5_5_1_5"/>
    <protectedRange algorithmName="SHA-512" hashValue="CbntCM56YWgXHu4+OOrTghpH39pBZb4D6eBjK7U1usiFrpeJYUrWINoAXH/F78Kbl2TTiZ0gVzAwB/pZlIomZg==" saltValue="Rtsq70621ICfRzd7gOQdgg==" spinCount="100000" sqref="R64" name="Rango2_5_5_1_6"/>
    <protectedRange algorithmName="SHA-512" hashValue="CbntCM56YWgXHu4+OOrTghpH39pBZb4D6eBjK7U1usiFrpeJYUrWINoAXH/F78Kbl2TTiZ0gVzAwB/pZlIomZg==" saltValue="Rtsq70621ICfRzd7gOQdgg==" spinCount="100000" sqref="R65" name="Rango2_5_5_1_7"/>
    <protectedRange algorithmName="SHA-512" hashValue="CbntCM56YWgXHu4+OOrTghpH39pBZb4D6eBjK7U1usiFrpeJYUrWINoAXH/F78Kbl2TTiZ0gVzAwB/pZlIomZg==" saltValue="Rtsq70621ICfRzd7gOQdgg==" spinCount="100000" sqref="R66" name="Rango2_5_5_1_8"/>
    <protectedRange algorithmName="SHA-512" hashValue="CbntCM56YWgXHu4+OOrTghpH39pBZb4D6eBjK7U1usiFrpeJYUrWINoAXH/F78Kbl2TTiZ0gVzAwB/pZlIomZg==" saltValue="Rtsq70621ICfRzd7gOQdgg==" spinCount="100000" sqref="R67" name="Rango2_5_5_1_9"/>
    <protectedRange algorithmName="SHA-512" hashValue="CbntCM56YWgXHu4+OOrTghpH39pBZb4D6eBjK7U1usiFrpeJYUrWINoAXH/F78Kbl2TTiZ0gVzAwB/pZlIomZg==" saltValue="Rtsq70621ICfRzd7gOQdgg==" spinCount="100000" sqref="R149" name="Rango2_5_7_1"/>
    <protectedRange algorithmName="SHA-512" hashValue="CbntCM56YWgXHu4+OOrTghpH39pBZb4D6eBjK7U1usiFrpeJYUrWINoAXH/F78Kbl2TTiZ0gVzAwB/pZlIomZg==" saltValue="Rtsq70621ICfRzd7gOQdgg==" spinCount="100000" sqref="R150" name="Rango2_5_7_1_1"/>
    <protectedRange algorithmName="SHA-512" hashValue="CbntCM56YWgXHu4+OOrTghpH39pBZb4D6eBjK7U1usiFrpeJYUrWINoAXH/F78Kbl2TTiZ0gVzAwB/pZlIomZg==" saltValue="Rtsq70621ICfRzd7gOQdgg==" spinCount="100000" sqref="R151" name="Rango2_5_8_1"/>
  </protectedRanges>
  <conditionalFormatting sqref="L187:L1048576">
    <cfRule type="duplicateValues" dxfId="5" priority="988"/>
    <cfRule type="duplicateValues" dxfId="4" priority="989"/>
  </conditionalFormatting>
  <conditionalFormatting sqref="E2:E17">
    <cfRule type="duplicateValues" dxfId="3" priority="2"/>
  </conditionalFormatting>
  <conditionalFormatting sqref="E2:E186">
    <cfRule type="duplicateValues" dxfId="2" priority="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7"/>
  <sheetViews>
    <sheetView topLeftCell="N1" workbookViewId="0">
      <selection activeCell="R26" sqref="R26"/>
    </sheetView>
  </sheetViews>
  <sheetFormatPr defaultColWidth="11.42578125" defaultRowHeight="13.15"/>
  <cols>
    <col min="1" max="1" width="15.42578125" style="89" bestFit="1" customWidth="1"/>
    <col min="2" max="2" width="20.85546875" style="1" customWidth="1"/>
    <col min="3" max="3" width="13.7109375" style="1" customWidth="1"/>
    <col min="4" max="4" width="13.140625" style="89" customWidth="1"/>
    <col min="5" max="5" width="11.5703125" style="89" bestFit="1" customWidth="1"/>
    <col min="6" max="6" width="11.42578125" style="89"/>
    <col min="7" max="7" width="14.42578125" style="89" bestFit="1" customWidth="1"/>
    <col min="8" max="8" width="14.42578125" style="89" customWidth="1"/>
    <col min="9" max="13" width="11.42578125" style="89"/>
    <col min="14" max="14" width="14.5703125" style="89" bestFit="1" customWidth="1"/>
    <col min="15" max="15" width="14" style="89" bestFit="1" customWidth="1"/>
    <col min="16" max="16" width="12.7109375" style="89" bestFit="1" customWidth="1"/>
    <col min="17" max="19" width="12.7109375" style="89" customWidth="1"/>
    <col min="20" max="20" width="12.7109375" style="89" bestFit="1" customWidth="1"/>
    <col min="21" max="23" width="11.42578125" style="89"/>
    <col min="24" max="25" width="11.5703125" style="89" bestFit="1" customWidth="1"/>
    <col min="26" max="26" width="11.42578125" style="89"/>
    <col min="27" max="28" width="11.42578125" style="1"/>
    <col min="29" max="33" width="11.5703125" style="89" bestFit="1" customWidth="1"/>
    <col min="34" max="34" width="12" style="89" bestFit="1" customWidth="1"/>
    <col min="35" max="16384" width="11.42578125" style="89"/>
  </cols>
  <sheetData>
    <row r="1" spans="1:34" s="84" customFormat="1" ht="79.150000000000006">
      <c r="A1" s="63" t="s">
        <v>1471</v>
      </c>
      <c r="B1" s="63" t="s">
        <v>47</v>
      </c>
      <c r="C1" s="57" t="s">
        <v>48</v>
      </c>
      <c r="D1" s="63" t="s">
        <v>1472</v>
      </c>
      <c r="E1" s="63" t="s">
        <v>77</v>
      </c>
      <c r="F1" s="63" t="s">
        <v>78</v>
      </c>
      <c r="G1" s="63" t="s">
        <v>2258</v>
      </c>
      <c r="H1" s="63" t="s">
        <v>1475</v>
      </c>
      <c r="I1" s="63" t="s">
        <v>1476</v>
      </c>
      <c r="J1" s="63" t="s">
        <v>2259</v>
      </c>
      <c r="K1" s="63" t="s">
        <v>1480</v>
      </c>
      <c r="L1" s="63" t="s">
        <v>90</v>
      </c>
      <c r="M1" s="63" t="s">
        <v>91</v>
      </c>
      <c r="N1" s="63" t="s">
        <v>2260</v>
      </c>
      <c r="O1" s="81" t="s">
        <v>2261</v>
      </c>
      <c r="P1" s="63" t="s">
        <v>92</v>
      </c>
      <c r="Q1" s="63" t="s">
        <v>2262</v>
      </c>
      <c r="R1" s="63" t="s">
        <v>2263</v>
      </c>
      <c r="S1" s="63" t="s">
        <v>2264</v>
      </c>
      <c r="T1" s="63" t="s">
        <v>2265</v>
      </c>
      <c r="U1" s="63" t="s">
        <v>1484</v>
      </c>
      <c r="V1" s="63" t="s">
        <v>2266</v>
      </c>
      <c r="W1" s="63" t="s">
        <v>2267</v>
      </c>
      <c r="X1" s="63" t="s">
        <v>2268</v>
      </c>
      <c r="Y1" s="63" t="s">
        <v>2269</v>
      </c>
      <c r="Z1" s="63" t="s">
        <v>1483</v>
      </c>
      <c r="AA1" s="63" t="s">
        <v>1496</v>
      </c>
      <c r="AB1" s="63" t="s">
        <v>1497</v>
      </c>
      <c r="AC1" s="82" t="s">
        <v>1498</v>
      </c>
      <c r="AD1" s="63" t="s">
        <v>106</v>
      </c>
      <c r="AE1" s="63" t="s">
        <v>1499</v>
      </c>
      <c r="AF1" s="63" t="s">
        <v>2270</v>
      </c>
      <c r="AG1" s="83" t="s">
        <v>2271</v>
      </c>
      <c r="AH1" s="83" t="s">
        <v>9</v>
      </c>
    </row>
    <row r="2" spans="1:34" s="4" customFormat="1">
      <c r="A2" s="113" t="s">
        <v>163</v>
      </c>
      <c r="B2" s="72" t="str">
        <f>VLOOKUP(A2,'CENTRO DE COSTOS'!A:D,4,FALSE)</f>
        <v>WILLIAM ASDRUBAL ROZO ROZO</v>
      </c>
      <c r="C2" s="56" t="str">
        <f>VLOOKUP(A2,'CENTRO DE COSTOS'!A:D,2,FALSE)</f>
        <v>0004-0004</v>
      </c>
      <c r="D2" s="109">
        <v>11001</v>
      </c>
      <c r="E2" s="109">
        <v>13323464</v>
      </c>
      <c r="F2" s="113" t="s">
        <v>2272</v>
      </c>
      <c r="G2" s="109">
        <v>73244</v>
      </c>
      <c r="H2" s="113" t="s">
        <v>166</v>
      </c>
      <c r="I2" s="113" t="s">
        <v>163</v>
      </c>
      <c r="J2" s="113" t="s">
        <v>2273</v>
      </c>
      <c r="K2" s="85" t="s">
        <v>119</v>
      </c>
      <c r="L2" s="109" t="s">
        <v>332</v>
      </c>
      <c r="M2" s="109" t="s">
        <v>397</v>
      </c>
      <c r="N2" s="113">
        <v>45811.510416666664</v>
      </c>
      <c r="O2" s="113">
        <v>45814.62777777778</v>
      </c>
      <c r="P2" s="113" t="s">
        <v>2274</v>
      </c>
      <c r="Q2" s="113" t="s">
        <v>2275</v>
      </c>
      <c r="R2" s="113" t="s">
        <v>2276</v>
      </c>
      <c r="S2" s="113" t="s">
        <v>2277</v>
      </c>
      <c r="T2" s="113" t="s">
        <v>2278</v>
      </c>
      <c r="U2" s="109" t="s">
        <v>1509</v>
      </c>
      <c r="V2" s="113" t="s">
        <v>2279</v>
      </c>
      <c r="W2" s="114" t="s">
        <v>2280</v>
      </c>
      <c r="X2" s="109" t="s">
        <v>2281</v>
      </c>
      <c r="Y2" s="109" t="s">
        <v>2282</v>
      </c>
      <c r="Z2" s="113" t="s">
        <v>439</v>
      </c>
      <c r="AA2" s="77" t="str">
        <f>VLOOKUP(D2,TIPOLOGIAS!A:F,6,0)</f>
        <v>TIPO I</v>
      </c>
      <c r="AB2" s="77" t="str">
        <f>VLOOKUP(D2,TIPOLOGIAS!A:G,5,0)</f>
        <v>TERRESTRE</v>
      </c>
      <c r="AC2" s="109">
        <v>1</v>
      </c>
      <c r="AD2" s="86">
        <v>0</v>
      </c>
      <c r="AE2" s="86">
        <v>0</v>
      </c>
      <c r="AF2" s="86">
        <v>0</v>
      </c>
      <c r="AG2" s="74">
        <f>IF(U2="SOPORTE_TELEFÓNICO",'BASE LIQUIDACION'!$B$10,IF(AA2="TIPO I",'BASE LIQUIDACION'!$C$3,IF(AA2="TIPO II",'BASE LIQUIDACION'!$C$4,IF(AA2="TIPO III",'BASE LIQUIDACION'!$C$5,'BASE LIQUIDACION'!$C$7))))</f>
        <v>65960.473639999997</v>
      </c>
      <c r="AH2" s="75">
        <f>IF(U2="SOPORTE_TELEFÓNICO",'BASE LIQUIDACION'!$B$10,(AC2*AG2+AD2*'BASE LIQUIDACION'!$B$13+AE2*'BASE LIQUIDACION'!$B$12+AF2*'BASE LIQUIDACION'!$B$11))</f>
        <v>65960.473639999997</v>
      </c>
    </row>
    <row r="3" spans="1:34" s="4" customFormat="1">
      <c r="A3" s="113" t="s">
        <v>163</v>
      </c>
      <c r="B3" s="72" t="str">
        <f>VLOOKUP(A3,'CENTRO DE COSTOS'!A:D,4,FALSE)</f>
        <v>WILLIAM ASDRUBAL ROZO ROZO</v>
      </c>
      <c r="C3" s="56" t="str">
        <f>VLOOKUP(A3,'CENTRO DE COSTOS'!A:D,2,FALSE)</f>
        <v>0004-0004</v>
      </c>
      <c r="D3" s="109">
        <v>11001</v>
      </c>
      <c r="E3" s="109">
        <v>13403305</v>
      </c>
      <c r="F3" s="113" t="s">
        <v>2283</v>
      </c>
      <c r="G3" s="109">
        <v>52996</v>
      </c>
      <c r="H3" s="113" t="s">
        <v>166</v>
      </c>
      <c r="I3" s="113" t="s">
        <v>163</v>
      </c>
      <c r="J3" s="113" t="s">
        <v>2284</v>
      </c>
      <c r="K3" s="85" t="s">
        <v>119</v>
      </c>
      <c r="L3" s="109" t="s">
        <v>1524</v>
      </c>
      <c r="M3" s="109" t="s">
        <v>1524</v>
      </c>
      <c r="N3" s="113">
        <v>45819.642361111109</v>
      </c>
      <c r="O3" s="113">
        <v>45824.588113425933</v>
      </c>
      <c r="P3" s="113" t="s">
        <v>2274</v>
      </c>
      <c r="Q3" s="113" t="s">
        <v>2285</v>
      </c>
      <c r="R3" s="113" t="s">
        <v>2276</v>
      </c>
      <c r="S3" s="113" t="s">
        <v>2277</v>
      </c>
      <c r="T3" s="113" t="s">
        <v>2278</v>
      </c>
      <c r="U3" s="109" t="s">
        <v>1509</v>
      </c>
      <c r="V3" s="113" t="s">
        <v>2286</v>
      </c>
      <c r="W3" s="114" t="s">
        <v>2145</v>
      </c>
      <c r="X3" s="109">
        <v>0</v>
      </c>
      <c r="Y3" s="109">
        <v>0</v>
      </c>
      <c r="Z3" s="113" t="s">
        <v>439</v>
      </c>
      <c r="AA3" s="77" t="str">
        <f>VLOOKUP(D3,TIPOLOGIAS!A:F,6,0)</f>
        <v>TIPO I</v>
      </c>
      <c r="AB3" s="77" t="str">
        <f>VLOOKUP(D3,TIPOLOGIAS!A:G,5,0)</f>
        <v>TERRESTRE</v>
      </c>
      <c r="AC3" s="109">
        <v>1</v>
      </c>
      <c r="AD3" s="86">
        <v>0</v>
      </c>
      <c r="AE3" s="86">
        <v>0</v>
      </c>
      <c r="AF3" s="86">
        <v>0</v>
      </c>
      <c r="AG3" s="74">
        <f>IF(U3="SOPORTE_TELEFÓNICO",'BASE LIQUIDACION'!$B$10,IF(AA3="TIPO I",'BASE LIQUIDACION'!$C$3,IF(AA3="TIPO II",'BASE LIQUIDACION'!$C$4,IF(AA3="TIPO III",'BASE LIQUIDACION'!$C$5,'BASE LIQUIDACION'!$C$7))))</f>
        <v>65960.473639999997</v>
      </c>
      <c r="AH3" s="75">
        <f>IF(U3="SOPORTE_TELEFÓNICO",'BASE LIQUIDACION'!$B$10,(AC3*AG3+AD3*'BASE LIQUIDACION'!$B$13+AE3*'BASE LIQUIDACION'!$B$12+AF3*'BASE LIQUIDACION'!$B$11))</f>
        <v>65960.473639999997</v>
      </c>
    </row>
    <row r="4" spans="1:34" s="4" customFormat="1">
      <c r="A4" s="113" t="s">
        <v>500</v>
      </c>
      <c r="B4" s="72" t="str">
        <f>VLOOKUP(A4,'CENTRO DE COSTOS'!A:D,4,FALSE)</f>
        <v>JOSE MAURICIO HERNANDEZ ROJAS</v>
      </c>
      <c r="C4" s="56" t="str">
        <f>VLOOKUP(A4,'CENTRO DE COSTOS'!A:D,2,FALSE)</f>
        <v>0004-0001</v>
      </c>
      <c r="D4" s="109">
        <v>23162</v>
      </c>
      <c r="E4" s="109">
        <v>13433928</v>
      </c>
      <c r="F4" s="113" t="s">
        <v>2287</v>
      </c>
      <c r="G4" s="109">
        <v>71384</v>
      </c>
      <c r="H4" s="113" t="s">
        <v>620</v>
      </c>
      <c r="I4" s="113" t="s">
        <v>931</v>
      </c>
      <c r="J4" s="113" t="s">
        <v>2288</v>
      </c>
      <c r="K4" s="85" t="s">
        <v>119</v>
      </c>
      <c r="L4" s="109" t="s">
        <v>1524</v>
      </c>
      <c r="M4" s="109" t="s">
        <v>1524</v>
      </c>
      <c r="N4" s="113">
        <v>45819.642361111109</v>
      </c>
      <c r="O4" s="113">
        <v>45824.709224537037</v>
      </c>
      <c r="P4" s="113" t="s">
        <v>2289</v>
      </c>
      <c r="Q4" s="113" t="s">
        <v>2290</v>
      </c>
      <c r="R4" s="113" t="s">
        <v>2276</v>
      </c>
      <c r="S4" s="113" t="s">
        <v>2277</v>
      </c>
      <c r="T4" s="113" t="s">
        <v>2278</v>
      </c>
      <c r="U4" s="109" t="s">
        <v>1520</v>
      </c>
      <c r="V4" s="113" t="s">
        <v>2291</v>
      </c>
      <c r="W4" s="114" t="s">
        <v>2145</v>
      </c>
      <c r="X4" s="109">
        <v>0</v>
      </c>
      <c r="Y4" s="109">
        <v>0</v>
      </c>
      <c r="Z4" s="113" t="s">
        <v>1719</v>
      </c>
      <c r="AA4" s="77" t="str">
        <f>VLOOKUP(D4,TIPOLOGIAS!A:F,6,0)</f>
        <v>TIPO I</v>
      </c>
      <c r="AB4" s="77" t="str">
        <f>VLOOKUP(D4,TIPOLOGIAS!A:G,5,0)</f>
        <v>TERRESTRE</v>
      </c>
      <c r="AC4" s="109">
        <v>0</v>
      </c>
      <c r="AD4" s="86">
        <v>0</v>
      </c>
      <c r="AE4" s="86">
        <v>0</v>
      </c>
      <c r="AF4" s="86">
        <v>0</v>
      </c>
      <c r="AG4" s="74">
        <f>IF(U4="SOPORTE_TELEFÓNICO",'BASE LIQUIDACION'!$B$10,IF(AA4="TIPO I",'BASE LIQUIDACION'!$C$3,IF(AA4="TIPO II",'BASE LIQUIDACION'!$C$4,IF(AA4="TIPO III",'BASE LIQUIDACION'!$C$5,'BASE LIQUIDACION'!$C$7))))</f>
        <v>37904.65408</v>
      </c>
      <c r="AH4" s="75">
        <f>IF(U4="SOPORTE_TELEFÓNICO",'BASE LIQUIDACION'!$B$10,(AC4*AG4+AD4*'BASE LIQUIDACION'!$B$13+AE4*'BASE LIQUIDACION'!$B$12+AF4*'BASE LIQUIDACION'!$B$11))</f>
        <v>37904.65408</v>
      </c>
    </row>
    <row r="5" spans="1:34" s="4" customFormat="1">
      <c r="A5" s="113" t="s">
        <v>111</v>
      </c>
      <c r="B5" s="72" t="str">
        <f>VLOOKUP(A5,'CENTRO DE COSTOS'!A:D,4,FALSE)</f>
        <v>JUAN SEBASTIÁN RÍOS CASTRILLÓN</v>
      </c>
      <c r="C5" s="56" t="str">
        <f>VLOOKUP(A5,'CENTRO DE COSTOS'!A:D,2,FALSE)</f>
        <v>0004-0005</v>
      </c>
      <c r="D5" s="109">
        <v>5044</v>
      </c>
      <c r="E5" s="109">
        <v>13515465</v>
      </c>
      <c r="F5" s="113" t="s">
        <v>2292</v>
      </c>
      <c r="G5" s="109">
        <v>67295</v>
      </c>
      <c r="H5" s="113" t="s">
        <v>131</v>
      </c>
      <c r="I5" s="113" t="s">
        <v>498</v>
      </c>
      <c r="J5" s="113" t="s">
        <v>2293</v>
      </c>
      <c r="K5" s="85" t="s">
        <v>119</v>
      </c>
      <c r="L5" s="109" t="s">
        <v>1524</v>
      </c>
      <c r="M5" s="109" t="s">
        <v>1524</v>
      </c>
      <c r="N5" s="113">
        <v>45825.506944444445</v>
      </c>
      <c r="O5" s="113">
        <v>45832.425173611111</v>
      </c>
      <c r="P5" s="113" t="s">
        <v>2274</v>
      </c>
      <c r="Q5" s="113" t="s">
        <v>2294</v>
      </c>
      <c r="R5" s="113" t="s">
        <v>2276</v>
      </c>
      <c r="S5" s="113" t="s">
        <v>2277</v>
      </c>
      <c r="T5" s="113" t="s">
        <v>2278</v>
      </c>
      <c r="U5" s="109" t="s">
        <v>1509</v>
      </c>
      <c r="V5" s="113" t="s">
        <v>2295</v>
      </c>
      <c r="W5" s="114" t="s">
        <v>2145</v>
      </c>
      <c r="X5" s="109">
        <v>0</v>
      </c>
      <c r="Y5" s="109">
        <v>0</v>
      </c>
      <c r="Z5" s="113" t="s">
        <v>260</v>
      </c>
      <c r="AA5" s="77" t="str">
        <f>VLOOKUP(D5,TIPOLOGIAS!A:F,6,0)</f>
        <v>TIPO III</v>
      </c>
      <c r="AB5" s="77" t="str">
        <f>VLOOKUP(D5,TIPOLOGIAS!A:G,5,0)</f>
        <v>TERRESTRE</v>
      </c>
      <c r="AC5" s="109">
        <v>1</v>
      </c>
      <c r="AD5" s="86">
        <v>0</v>
      </c>
      <c r="AE5" s="86">
        <v>0</v>
      </c>
      <c r="AF5" s="86">
        <v>0</v>
      </c>
      <c r="AG5" s="74">
        <f>IF(U5="SOPORTE_TELEFÓNICO",'BASE LIQUIDACION'!$B$10,IF(AA5="TIPO I",'BASE LIQUIDACION'!$C$3,IF(AA5="TIPO II",'BASE LIQUIDACION'!$C$4,IF(AA5="TIPO III",'BASE LIQUIDACION'!$C$5,'BASE LIQUIDACION'!$C$7))))</f>
        <v>275728.37943999999</v>
      </c>
      <c r="AH5" s="75">
        <f>IF(U5="SOPORTE_TELEFÓNICO",'BASE LIQUIDACION'!$B$10,(AC5*AG5+AD5*'BASE LIQUIDACION'!$B$13+AE5*'BASE LIQUIDACION'!$B$12+AF5*'BASE LIQUIDACION'!$B$11))</f>
        <v>275728.37943999999</v>
      </c>
    </row>
    <row r="6" spans="1:34" s="4" customFormat="1">
      <c r="A6" s="113" t="s">
        <v>138</v>
      </c>
      <c r="B6" s="72" t="str">
        <f>VLOOKUP(A6,'CENTRO DE COSTOS'!A:D,4,FALSE)</f>
        <v>DIEGO FERNANDO HENAO CARDONA</v>
      </c>
      <c r="C6" s="56" t="str">
        <f>VLOOKUP(A6,'CENTRO DE COSTOS'!A:D,2,FALSE)</f>
        <v>0004-0003</v>
      </c>
      <c r="D6" s="109">
        <v>76001</v>
      </c>
      <c r="E6" s="109">
        <v>13604062</v>
      </c>
      <c r="F6" s="113" t="s">
        <v>2296</v>
      </c>
      <c r="G6" s="109">
        <v>76363</v>
      </c>
      <c r="H6" s="113" t="s">
        <v>141</v>
      </c>
      <c r="I6" s="113" t="s">
        <v>138</v>
      </c>
      <c r="J6" s="113" t="s">
        <v>2297</v>
      </c>
      <c r="K6" s="85" t="s">
        <v>119</v>
      </c>
      <c r="L6" s="109" t="s">
        <v>1524</v>
      </c>
      <c r="M6" s="109" t="s">
        <v>1524</v>
      </c>
      <c r="N6" s="113">
        <v>45832.48541666667</v>
      </c>
      <c r="O6" s="113">
        <v>45835.483668981477</v>
      </c>
      <c r="P6" s="113" t="s">
        <v>2274</v>
      </c>
      <c r="Q6" s="113" t="s">
        <v>2285</v>
      </c>
      <c r="R6" s="113" t="s">
        <v>2276</v>
      </c>
      <c r="S6" s="113" t="s">
        <v>2277</v>
      </c>
      <c r="T6" s="113" t="s">
        <v>2278</v>
      </c>
      <c r="U6" s="109" t="s">
        <v>1509</v>
      </c>
      <c r="V6" s="113" t="s">
        <v>2298</v>
      </c>
      <c r="W6" s="114" t="s">
        <v>2145</v>
      </c>
      <c r="X6" s="109">
        <v>0</v>
      </c>
      <c r="Y6" s="109">
        <v>0</v>
      </c>
      <c r="Z6" s="113" t="s">
        <v>145</v>
      </c>
      <c r="AA6" s="77" t="str">
        <f>VLOOKUP(D6,TIPOLOGIAS!A:F,6,0)</f>
        <v>TIPO I</v>
      </c>
      <c r="AB6" s="77" t="str">
        <f>VLOOKUP(D6,TIPOLOGIAS!A:G,5,0)</f>
        <v>TERRESTRE</v>
      </c>
      <c r="AC6" s="109">
        <v>1</v>
      </c>
      <c r="AD6" s="86">
        <v>0</v>
      </c>
      <c r="AE6" s="86">
        <v>0</v>
      </c>
      <c r="AF6" s="86">
        <v>0</v>
      </c>
      <c r="AG6" s="74">
        <f>IF(U6="SOPORTE_TELEFÓNICO",'BASE LIQUIDACION'!$B$10,IF(AA6="TIPO I",'BASE LIQUIDACION'!$C$3,IF(AA6="TIPO II",'BASE LIQUIDACION'!$C$4,IF(AA6="TIPO III",'BASE LIQUIDACION'!$C$5,'BASE LIQUIDACION'!$C$7))))</f>
        <v>65960.473639999997</v>
      </c>
      <c r="AH6" s="75">
        <f>IF(U6="SOPORTE_TELEFÓNICO",'BASE LIQUIDACION'!$B$10,(AC6*AG6+AD6*'BASE LIQUIDACION'!$B$13+AE6*'BASE LIQUIDACION'!$B$12+AF6*'BASE LIQUIDACION'!$B$11))</f>
        <v>65960.473639999997</v>
      </c>
    </row>
    <row r="7" spans="1:34">
      <c r="AH7" s="112">
        <f>SUM(AH2:AH6)</f>
        <v>511514.45444</v>
      </c>
    </row>
  </sheetData>
  <conditionalFormatting sqref="E2:E6">
    <cfRule type="duplicateValues" dxfId="1" priority="1"/>
    <cfRule type="duplicateValues" dxfId="0" priority="2"/>
  </conditionalFormatting>
  <dataValidations count="1">
    <dataValidation type="list" allowBlank="1" showInputMessage="1" showErrorMessage="1" sqref="T2:T4 Q2:Q6 T6" xr:uid="{BAF00D13-8563-4176-A3BC-AD1FFAE7B604}">
      <formula1>INDIRECT(P2)</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7EC8A-9E29-4BF4-A0D7-5C2D955FB8B2}">
  <dimension ref="A1:D23"/>
  <sheetViews>
    <sheetView workbookViewId="0">
      <selection activeCell="A2" sqref="A2:D23"/>
    </sheetView>
  </sheetViews>
  <sheetFormatPr defaultColWidth="11.42578125" defaultRowHeight="14.45"/>
  <cols>
    <col min="1" max="1" width="15.28515625" style="21" bestFit="1" customWidth="1"/>
    <col min="2" max="2" width="18.28515625" style="21" bestFit="1" customWidth="1"/>
    <col min="3" max="4" width="30.28515625" style="21" bestFit="1" customWidth="1"/>
    <col min="5" max="16384" width="11.42578125" style="21"/>
  </cols>
  <sheetData>
    <row r="1" spans="1:4">
      <c r="A1" s="20" t="s">
        <v>75</v>
      </c>
      <c r="B1" s="20" t="s">
        <v>2299</v>
      </c>
      <c r="C1" s="20" t="s">
        <v>2300</v>
      </c>
      <c r="D1" s="20" t="s">
        <v>47</v>
      </c>
    </row>
    <row r="2" spans="1:4">
      <c r="A2" s="40" t="s">
        <v>128</v>
      </c>
      <c r="B2" s="41" t="s">
        <v>62</v>
      </c>
      <c r="C2" s="41" t="s">
        <v>60</v>
      </c>
      <c r="D2" s="41" t="s">
        <v>61</v>
      </c>
    </row>
    <row r="3" spans="1:4">
      <c r="A3" s="42" t="s">
        <v>320</v>
      </c>
      <c r="B3" s="43" t="s">
        <v>59</v>
      </c>
      <c r="C3" s="43" t="s">
        <v>55</v>
      </c>
      <c r="D3" s="43" t="s">
        <v>58</v>
      </c>
    </row>
    <row r="4" spans="1:4">
      <c r="A4" s="42" t="s">
        <v>163</v>
      </c>
      <c r="B4" s="43" t="s">
        <v>71</v>
      </c>
      <c r="C4" s="43" t="s">
        <v>52</v>
      </c>
      <c r="D4" s="43" t="s">
        <v>70</v>
      </c>
    </row>
    <row r="5" spans="1:4">
      <c r="A5" s="42" t="s">
        <v>172</v>
      </c>
      <c r="B5" s="43" t="s">
        <v>68</v>
      </c>
      <c r="C5" s="43" t="s">
        <v>66</v>
      </c>
      <c r="D5" s="43" t="s">
        <v>67</v>
      </c>
    </row>
    <row r="6" spans="1:4">
      <c r="A6" s="42" t="s">
        <v>138</v>
      </c>
      <c r="B6" s="43" t="s">
        <v>56</v>
      </c>
      <c r="C6" s="43" t="s">
        <v>69</v>
      </c>
      <c r="D6" s="43" t="s">
        <v>53</v>
      </c>
    </row>
    <row r="7" spans="1:4">
      <c r="A7" s="42" t="s">
        <v>619</v>
      </c>
      <c r="B7" s="43" t="s">
        <v>59</v>
      </c>
      <c r="C7" s="43" t="s">
        <v>55</v>
      </c>
      <c r="D7" s="43" t="s">
        <v>58</v>
      </c>
    </row>
    <row r="8" spans="1:4">
      <c r="A8" s="42" t="s">
        <v>275</v>
      </c>
      <c r="B8" s="43" t="s">
        <v>68</v>
      </c>
      <c r="C8" s="43" t="s">
        <v>66</v>
      </c>
      <c r="D8" s="43" t="s">
        <v>67</v>
      </c>
    </row>
    <row r="9" spans="1:4">
      <c r="A9" s="42" t="s">
        <v>302</v>
      </c>
      <c r="B9" s="43" t="s">
        <v>65</v>
      </c>
      <c r="C9" s="43" t="s">
        <v>63</v>
      </c>
      <c r="D9" s="43" t="s">
        <v>64</v>
      </c>
    </row>
    <row r="10" spans="1:4">
      <c r="A10" s="42" t="s">
        <v>360</v>
      </c>
      <c r="B10" s="43" t="s">
        <v>65</v>
      </c>
      <c r="C10" s="43" t="s">
        <v>63</v>
      </c>
      <c r="D10" s="43" t="s">
        <v>64</v>
      </c>
    </row>
    <row r="11" spans="1:4">
      <c r="A11" s="42" t="s">
        <v>781</v>
      </c>
      <c r="B11" s="43" t="s">
        <v>54</v>
      </c>
      <c r="C11" s="43" t="s">
        <v>57</v>
      </c>
      <c r="D11" s="43" t="s">
        <v>53</v>
      </c>
    </row>
    <row r="12" spans="1:4">
      <c r="A12" s="42" t="s">
        <v>111</v>
      </c>
      <c r="B12" s="43" t="s">
        <v>62</v>
      </c>
      <c r="C12" s="43" t="s">
        <v>60</v>
      </c>
      <c r="D12" s="43" t="s">
        <v>61</v>
      </c>
    </row>
    <row r="13" spans="1:4">
      <c r="A13" s="42" t="s">
        <v>500</v>
      </c>
      <c r="B13" s="43" t="s">
        <v>59</v>
      </c>
      <c r="C13" s="43" t="s">
        <v>55</v>
      </c>
      <c r="D13" s="43" t="s">
        <v>58</v>
      </c>
    </row>
    <row r="14" spans="1:4">
      <c r="A14" s="42" t="s">
        <v>298</v>
      </c>
      <c r="B14" s="43" t="s">
        <v>65</v>
      </c>
      <c r="C14" s="43" t="s">
        <v>63</v>
      </c>
      <c r="D14" s="43" t="s">
        <v>64</v>
      </c>
    </row>
    <row r="15" spans="1:4">
      <c r="A15" s="42" t="s">
        <v>338</v>
      </c>
      <c r="B15" s="43" t="s">
        <v>56</v>
      </c>
      <c r="C15" s="43" t="s">
        <v>69</v>
      </c>
      <c r="D15" s="43" t="s">
        <v>53</v>
      </c>
    </row>
    <row r="16" spans="1:4">
      <c r="A16" s="42" t="s">
        <v>195</v>
      </c>
      <c r="B16" s="43" t="s">
        <v>54</v>
      </c>
      <c r="C16" s="43" t="s">
        <v>57</v>
      </c>
      <c r="D16" s="43" t="s">
        <v>53</v>
      </c>
    </row>
    <row r="17" spans="1:4">
      <c r="A17" s="42" t="s">
        <v>861</v>
      </c>
      <c r="B17" s="43" t="s">
        <v>56</v>
      </c>
      <c r="C17" s="43" t="s">
        <v>69</v>
      </c>
      <c r="D17" s="43" t="s">
        <v>53</v>
      </c>
    </row>
    <row r="18" spans="1:4">
      <c r="A18" s="42" t="s">
        <v>1108</v>
      </c>
      <c r="B18" s="43" t="s">
        <v>59</v>
      </c>
      <c r="C18" s="43" t="s">
        <v>55</v>
      </c>
      <c r="D18" s="43" t="s">
        <v>58</v>
      </c>
    </row>
    <row r="19" spans="1:4">
      <c r="A19" s="42" t="s">
        <v>392</v>
      </c>
      <c r="B19" s="43" t="s">
        <v>59</v>
      </c>
      <c r="C19" s="43" t="s">
        <v>55</v>
      </c>
      <c r="D19" s="43" t="s">
        <v>58</v>
      </c>
    </row>
    <row r="20" spans="1:4">
      <c r="A20" s="42" t="s">
        <v>147</v>
      </c>
      <c r="B20" s="43" t="s">
        <v>68</v>
      </c>
      <c r="C20" s="43" t="s">
        <v>66</v>
      </c>
      <c r="D20" s="43" t="s">
        <v>67</v>
      </c>
    </row>
    <row r="21" spans="1:4">
      <c r="A21" s="42" t="s">
        <v>622</v>
      </c>
      <c r="B21" s="43" t="s">
        <v>59</v>
      </c>
      <c r="C21" s="43" t="s">
        <v>55</v>
      </c>
      <c r="D21" s="43" t="s">
        <v>58</v>
      </c>
    </row>
    <row r="22" spans="1:4">
      <c r="A22" s="42" t="s">
        <v>822</v>
      </c>
      <c r="B22" s="43" t="s">
        <v>65</v>
      </c>
      <c r="C22" s="43" t="s">
        <v>63</v>
      </c>
      <c r="D22" s="43" t="s">
        <v>64</v>
      </c>
    </row>
    <row r="23" spans="1:4">
      <c r="A23" s="42" t="s">
        <v>725</v>
      </c>
      <c r="B23" s="43" t="s">
        <v>65</v>
      </c>
      <c r="C23" s="43" t="s">
        <v>63</v>
      </c>
      <c r="D23" s="43" t="s">
        <v>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5" ma:contentTypeDescription="Create a new document." ma:contentTypeScope="" ma:versionID="9c415005ac701ba40f88f17467c19ffb">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fe9d323ac4ec1ab99dea5e1d9546ef94"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18F971-F33C-4527-A37B-7E3C0C33E2F6}"/>
</file>

<file path=customXml/itemProps2.xml><?xml version="1.0" encoding="utf-8"?>
<ds:datastoreItem xmlns:ds="http://schemas.openxmlformats.org/officeDocument/2006/customXml" ds:itemID="{11B9DF70-142A-4942-BF56-8725B125536A}"/>
</file>

<file path=customXml/itemProps3.xml><?xml version="1.0" encoding="utf-8"?>
<ds:datastoreItem xmlns:ds="http://schemas.openxmlformats.org/officeDocument/2006/customXml" ds:itemID="{F57560C4-2CB0-42B4-A8A9-DBCBF3718667}"/>
</file>

<file path=docProps/app.xml><?xml version="1.0" encoding="utf-8"?>
<Properties xmlns="http://schemas.openxmlformats.org/officeDocument/2006/extended-properties" xmlns:vt="http://schemas.openxmlformats.org/officeDocument/2006/docPropsVTypes">
  <Application>Microsoft Excel Online</Application>
  <Manager/>
  <Company>SURAMERICANA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Suramericana</dc:creator>
  <cp:keywords/>
  <dc:description/>
  <cp:lastModifiedBy>Lini Jhojana Hernandez Mora</cp:lastModifiedBy>
  <cp:revision/>
  <dcterms:created xsi:type="dcterms:W3CDTF">2010-11-30T07:07:28Z</dcterms:created>
  <dcterms:modified xsi:type="dcterms:W3CDTF">2025-07-04T05:40:12Z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