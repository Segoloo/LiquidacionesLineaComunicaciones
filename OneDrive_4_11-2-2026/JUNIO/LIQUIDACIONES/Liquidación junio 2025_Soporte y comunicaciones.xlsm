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08"/>
  <workbookPr defaultThemeVersion="124226"/>
  <mc:AlternateContent xmlns:mc="http://schemas.openxmlformats.org/markup-compatibility/2006">
    <mc:Choice Requires="x15">
      <x15ac:absPath xmlns:x15ac="http://schemas.microsoft.com/office/spreadsheetml/2010/11/ac" url="https://lineacomunicacionesco-my.sharepoint.com/personal/lini_hernandez_lineacom_co/Documents/descargas migración/"/>
    </mc:Choice>
  </mc:AlternateContent>
  <xr:revisionPtr revIDLastSave="0" documentId="8_{83451471-E1B3-4F6B-8221-D981769EE072}" xr6:coauthVersionLast="47" xr6:coauthVersionMax="47" xr10:uidLastSave="{00000000-0000-0000-0000-000000000000}"/>
  <bookViews>
    <workbookView xWindow="-108" yWindow="-108" windowWidth="23256" windowHeight="12456" tabRatio="601" xr2:uid="{00000000-000D-0000-FFFF-FFFF00000000}"/>
  </bookViews>
  <sheets>
    <sheet name="Resumen" sheetId="7" r:id="rId1"/>
    <sheet name="REDEBAN MULTICOLOR" sheetId="6" r:id="rId2"/>
    <sheet name="MANTENIMIENTOS PROGRAMADOS" sheetId="8" r:id="rId3"/>
  </sheets>
  <definedNames>
    <definedName name="_xlnm._FilterDatabase" localSheetId="1" hidden="1">'REDEBAN MULTICOLOR'!$A$1:$F$1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6" l="1"/>
  <c r="I6" i="6"/>
  <c r="B6" i="7"/>
  <c r="B7" i="7"/>
  <c r="H2" i="8"/>
  <c r="H3" i="8" s="1"/>
  <c r="I3" i="6"/>
  <c r="I4" i="6"/>
  <c r="I5" i="6"/>
  <c r="I2" i="6"/>
  <c r="C7" i="7"/>
  <c r="C6" i="7" l="1"/>
  <c r="C8" i="7" s="1"/>
  <c r="C9" i="7" s="1"/>
  <c r="C10" i="7"/>
</calcChain>
</file>

<file path=xl/sharedStrings.xml><?xml version="1.0" encoding="utf-8"?>
<sst xmlns="http://schemas.openxmlformats.org/spreadsheetml/2006/main" count="80" uniqueCount="67">
  <si>
    <t>LÍNEA COMUNICACIONES S.A.S</t>
  </si>
  <si>
    <t>FACTURACIÓN PROYECTO COMUNICACIONES</t>
  </si>
  <si>
    <t>31/06/2025</t>
  </si>
  <si>
    <t>CONCEPTOS</t>
  </si>
  <si>
    <t>CANTIDAD</t>
  </si>
  <si>
    <t>VALOR TOTAL</t>
  </si>
  <si>
    <t>Soporte</t>
  </si>
  <si>
    <t>Mantenimientos</t>
  </si>
  <si>
    <t>SUBTOTAL</t>
  </si>
  <si>
    <t>Iva</t>
  </si>
  <si>
    <t>TOTAL</t>
  </si>
  <si>
    <t>FECHA</t>
  </si>
  <si>
    <t>TICKET</t>
  </si>
  <si>
    <t>TIPO ACTIVIDAD</t>
  </si>
  <si>
    <t>CIUDAD</t>
  </si>
  <si>
    <t>COMERCIO</t>
  </si>
  <si>
    <t>SOLUCIÓN IMPLEMENTADA</t>
  </si>
  <si>
    <t>UNIDADES</t>
  </si>
  <si>
    <t>VALOR UNIDAD</t>
  </si>
  <si>
    <t>VALOR VISITA</t>
  </si>
  <si>
    <t>CANTIDAD VISITAS</t>
  </si>
  <si>
    <t>CODIGO UNICO</t>
  </si>
  <si>
    <t>REQUERIMIENTO</t>
  </si>
  <si>
    <t>DIRECCIÓN:</t>
  </si>
  <si>
    <t>ESTADO ACTIVIDAD</t>
  </si>
  <si>
    <t>TECNICO</t>
  </si>
  <si>
    <t>TA-25-720781</t>
  </si>
  <si>
    <t>SOPORTE</t>
  </si>
  <si>
    <t>MEDELLIN</t>
  </si>
  <si>
    <t>MAKRO SAN JUAN</t>
  </si>
  <si>
    <t>07-06 Llegamos a punto y se encuentra 2 técnicos de redeban en sala de comunicaciones. Se verifican canales, equipos y datafonos en conjunto con personal de rbm, se encuentra servicio operativo. Visita sin novedad. Servicio de canal y de datafonos está funcional.</t>
  </si>
  <si>
    <t>Solicitamos con urgencia la visita de primer nivel del comercio Makro San Juan CL 44 CR 66 -50, por parte del proveedor CLARO.</t>
  </si>
  <si>
    <t>CL 44 CR 66 -50</t>
  </si>
  <si>
    <t>EXITOSA</t>
  </si>
  <si>
    <t>ZAPATA LOPEZ EDWARD ASDRUBAL</t>
  </si>
  <si>
    <t>TA-25-754229</t>
  </si>
  <si>
    <t>ENVIGADO</t>
  </si>
  <si>
    <t>SURTIMAX TRIANON</t>
  </si>
  <si>
    <t>13-06 se encuentra que el equipo módem de Tigo solo tienen el PTO 3 funcional, se validan los demás puntos de red del cliente certificadando desde el modem y patch pannel para estar seguros de que tengamos los puntos de red up, a sitio llega el compañero Luis Ospina de redeban con SW el cual conectamos y para dar servicio a los datafonos, el compañero cambia 2 equipos los cuales indica que estan quemados y inicializa 1, ya que hay una caja operativa. En resumen los 4 datafonos quedan operativos.</t>
  </si>
  <si>
    <t>Se realiza visita de primer nivel y se encuentra modem y puertos de red quemados, se solicita cambio de modem y revisión puertos de red, ya que se calientan los datafonos</t>
  </si>
  <si>
    <t>CL 46 E SUR CR 42 B - 5</t>
  </si>
  <si>
    <t>TA-25-756695</t>
  </si>
  <si>
    <t>BELLO</t>
  </si>
  <si>
    <t>ÉXITO BELLO</t>
  </si>
  <si>
    <t>13-06 Se visita punto, equipo RAISECOM de claro está sin potencia, puerto optico esta sin servicio. Se reporta a ingeniero Marlon santacruz de redeban, se reinicia equipo, se desconecta y reconecta puerto optico, puerto está sin potencia y no hay servicio. Llegó personal de Claro y confirman corte de fibra, tecnico Briant López de proveedor Claro queda en sitio realizando validaciones y correciones correspondientes.</t>
  </si>
  <si>
    <t xml:space="preserve">Su colaboración para realizar Primer Nivel del comercio </t>
  </si>
  <si>
    <t>DG.51 35-12</t>
  </si>
  <si>
    <t>RIOS CASTRILLON JUAN SEBASTIAN</t>
  </si>
  <si>
    <t>TA-25-790170</t>
  </si>
  <si>
    <t>FALABELLA SANTA FE</t>
  </si>
  <si>
    <t xml:space="preserve">18-06 Se llega al sitio no dan información clara sobre el cliente a atender, se comunica con monitoreo de redeban para confirmar el cliente indica que es una falla en red claro del centro corresponsal, se espera hasta las 9:30 para el acompañamiento. Se espera acompañamiento se verifica el primer rack sótano 2 verde y no hay acceso el rack se encuentra cerrado el cliente indica que la llave la tiene los proveedores, se verifica rack sótano rojo y todo se encuentra en buen estado. El ING con la imagenes va escalar el tema con el proveedor. </t>
  </si>
  <si>
    <t>Señores Linea solicitamos de su ayuda realizando el primer nivel del servicio CCO Santa Fe Medellin, en el sistema se evidencia el enlace principal caido por parte de Claro</t>
  </si>
  <si>
    <t>CR 43 CL. 7 SUR - 130 LC. 1096</t>
  </si>
  <si>
    <t>TA-25-806392</t>
  </si>
  <si>
    <t>SURTIMAX AMERICA</t>
  </si>
  <si>
    <t>27-06 Se visitó punto, se verifican conexiones, módems y cableados y se encuentra todo operativo. Se confirma con encargado de comercio que la falla se dio solo el día de ayer, hoy están operando sin novedad. Se toma registro fotográfico de equipos funcionales, canal tigo funciona sin novedad</t>
  </si>
  <si>
    <t>SERPRO-26855</t>
  </si>
  <si>
    <t>Realizar el primer nivel del servicio Surtimax LaAmerica CRA 84 42C-78  Medellin, en el sistema se evidencia el enlace principal caído por parte de Tigo</t>
  </si>
  <si>
    <t>CRA 84 42C-78</t>
  </si>
  <si>
    <t>Fecha de visita</t>
  </si>
  <si>
    <t>Nombre</t>
  </si>
  <si>
    <t>Ciudad</t>
  </si>
  <si>
    <t>Dirección</t>
  </si>
  <si>
    <t>Estado de la actividad</t>
  </si>
  <si>
    <t xml:space="preserve">Unidades </t>
  </si>
  <si>
    <t>Valor unidad</t>
  </si>
  <si>
    <t>Valor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</si>
</sst>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 #,##0.00_-;\-&quot;$&quot;\ * #,##0.00_-;_-&quot;$&quot;\ * &quot;-&quot;??_-;_-@_-"/>
    <numFmt numFmtId="164" formatCode="[$-F400]h:mm:ss\ AM/PM"/>
    <numFmt numFmtId="165" formatCode="_(&quot;$&quot;\ * #,##0.00_);_(&quot;$&quot;\ * \(#,##0.00\);_(&quot;$&quot;\ * &quot;-&quot;??_);_(@_)"/>
    <numFmt numFmtId="166" formatCode="_(&quot;$&quot;\ * #,##0_);_(&quot;$&quot;\ * \(#,##0\);_(&quot;$&quot;\ * &quot;-&quot;??_);_(@_)"/>
    <numFmt numFmtId="167" formatCode="_-* #,##0_-;\-* #,##0_-;_-* &quot;-&quot;??_-;_-@_-"/>
    <numFmt numFmtId="168" formatCode="0.0"/>
    <numFmt numFmtId="169" formatCode="_-[$$-240A]\ * #,##0_-;\-[$$-240A]\ * #,##0_-;_-[$$-240A]\ * &quot;-&quot;??_-;_-@_-"/>
    <numFmt numFmtId="170" formatCode="_-&quot;$&quot;\ * #,##0_-;\-&quot;$&quot;\ * #,##0_-;_-&quot;$&quot;\ * &quot;-&quot;??_-;_-@_-"/>
  </numFmts>
  <fonts count="20">
    <font>
      <sz val="10"/>
      <name val="Arial"/>
    </font>
    <font>
      <sz val="12"/>
      <name val="Times New Roman"/>
      <family val="1"/>
    </font>
    <font>
      <sz val="10"/>
      <name val="Arial"/>
      <family val="2"/>
    </font>
    <font>
      <sz val="10"/>
      <name val="Arial"/>
      <family val="2"/>
    </font>
    <font>
      <sz val="8"/>
      <name val="Arial"/>
      <family val="2"/>
    </font>
    <font>
      <sz val="10"/>
      <name val="Arial"/>
      <family val="2"/>
    </font>
    <font>
      <b/>
      <sz val="8"/>
      <name val="Gelion Thin"/>
    </font>
    <font>
      <sz val="8"/>
      <name val="Gelion Thin"/>
    </font>
    <font>
      <sz val="10"/>
      <name val="Cambria"/>
      <family val="1"/>
      <scheme val="major"/>
    </font>
    <font>
      <b/>
      <sz val="11"/>
      <name val="Cambria"/>
      <family val="1"/>
      <scheme val="major"/>
    </font>
    <font>
      <sz val="11"/>
      <name val="Cambria"/>
      <family val="1"/>
      <scheme val="major"/>
    </font>
    <font>
      <b/>
      <sz val="10"/>
      <color rgb="FFFF0000"/>
      <name val="Cambria"/>
      <family val="1"/>
      <scheme val="major"/>
    </font>
    <font>
      <sz val="12"/>
      <name val="Calibri Light"/>
      <family val="2"/>
      <charset val="1"/>
    </font>
    <font>
      <sz val="10"/>
      <color theme="1"/>
      <name val="Cambria"/>
      <scheme val="major"/>
    </font>
    <font>
      <sz val="10"/>
      <name val="Cambria"/>
      <scheme val="major"/>
    </font>
    <font>
      <b/>
      <sz val="11"/>
      <color rgb="FF000000"/>
      <name val="Aptos Narrow"/>
      <family val="2"/>
    </font>
    <font>
      <sz val="11"/>
      <color rgb="FF000000"/>
      <name val="Aptos Narrow"/>
      <family val="2"/>
    </font>
    <font>
      <sz val="9"/>
      <name val="Verdana"/>
      <family val="2"/>
    </font>
    <font>
      <b/>
      <sz val="12"/>
      <color rgb="FFC00000"/>
      <name val="Calibri Light"/>
      <family val="2"/>
      <charset val="1"/>
    </font>
    <font>
      <b/>
      <sz val="10"/>
      <color rgb="FFFF0000"/>
      <name val="Cambria"/>
      <scheme val="major"/>
    </font>
  </fonts>
  <fills count="7">
    <fill>
      <patternFill patternType="none"/>
    </fill>
    <fill>
      <patternFill patternType="gray125"/>
    </fill>
    <fill>
      <patternFill patternType="solid">
        <fgColor rgb="FFFFFF99"/>
        <bgColor indexed="64"/>
      </patternFill>
    </fill>
    <fill>
      <patternFill patternType="solid">
        <fgColor rgb="FF9B9B9A"/>
        <bgColor indexed="64"/>
      </patternFill>
    </fill>
    <fill>
      <patternFill patternType="solid">
        <fgColor rgb="FF00B0F0"/>
        <bgColor indexed="64"/>
      </patternFill>
    </fill>
    <fill>
      <patternFill patternType="solid">
        <fgColor rgb="FFF2CEEF"/>
        <bgColor rgb="FF000000"/>
      </patternFill>
    </fill>
    <fill>
      <patternFill patternType="solid">
        <fgColor rgb="FFFFFFFF"/>
        <bgColor rgb="FF000000"/>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8">
    <xf numFmtId="164" fontId="0" fillId="0" borderId="0"/>
    <xf numFmtId="164" fontId="1"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3" fillId="0" borderId="0"/>
    <xf numFmtId="164" fontId="3" fillId="0" borderId="0"/>
    <xf numFmtId="164" fontId="3" fillId="0" borderId="0"/>
    <xf numFmtId="164" fontId="3" fillId="0" borderId="0"/>
    <xf numFmtId="164" fontId="2" fillId="0" borderId="0"/>
    <xf numFmtId="164" fontId="2" fillId="0" borderId="0"/>
    <xf numFmtId="164" fontId="2" fillId="0" borderId="0"/>
    <xf numFmtId="164" fontId="2" fillId="0" borderId="0"/>
    <xf numFmtId="164" fontId="2" fillId="0" borderId="0"/>
    <xf numFmtId="164" fontId="2" fillId="0" borderId="0"/>
    <xf numFmtId="164" fontId="2" fillId="0" borderId="0"/>
    <xf numFmtId="44" fontId="5" fillId="0" borderId="0" applyFont="0" applyFill="0" applyBorder="0" applyAlignment="0" applyProtection="0"/>
    <xf numFmtId="165" fontId="2" fillId="0" borderId="0" applyFont="0" applyFill="0" applyBorder="0" applyAlignment="0" applyProtection="0"/>
  </cellStyleXfs>
  <cellXfs count="60">
    <xf numFmtId="164" fontId="0" fillId="0" borderId="0" xfId="0"/>
    <xf numFmtId="0" fontId="0" fillId="0" borderId="0" xfId="0" applyNumberFormat="1"/>
    <xf numFmtId="164" fontId="6" fillId="3" borderId="1" xfId="0" applyFont="1" applyFill="1" applyBorder="1" applyAlignment="1">
      <alignment horizontal="center"/>
    </xf>
    <xf numFmtId="164" fontId="6" fillId="3" borderId="1" xfId="0" applyFont="1" applyFill="1" applyBorder="1"/>
    <xf numFmtId="164" fontId="7" fillId="0" borderId="1" xfId="0" applyFont="1" applyBorder="1"/>
    <xf numFmtId="166" fontId="7" fillId="0" borderId="1" xfId="26" applyNumberFormat="1" applyFont="1" applyBorder="1"/>
    <xf numFmtId="166" fontId="6" fillId="0" borderId="1" xfId="26" applyNumberFormat="1" applyFont="1" applyBorder="1" applyAlignment="1">
      <alignment horizontal="center" vertical="center"/>
    </xf>
    <xf numFmtId="166" fontId="6" fillId="0" borderId="1" xfId="26" applyNumberFormat="1" applyFont="1" applyBorder="1"/>
    <xf numFmtId="166" fontId="6" fillId="3" borderId="1" xfId="26" applyNumberFormat="1" applyFont="1" applyFill="1" applyBorder="1"/>
    <xf numFmtId="0" fontId="7" fillId="0" borderId="1" xfId="0" applyNumberFormat="1" applyFont="1" applyBorder="1" applyAlignment="1">
      <alignment horizontal="center"/>
    </xf>
    <xf numFmtId="22" fontId="9" fillId="2" borderId="1" xfId="0" applyNumberFormat="1" applyFont="1" applyFill="1" applyBorder="1" applyAlignment="1">
      <alignment horizontal="center" vertical="center" wrapText="1"/>
    </xf>
    <xf numFmtId="164" fontId="9" fillId="2" borderId="1" xfId="0" applyFont="1" applyFill="1" applyBorder="1" applyAlignment="1">
      <alignment horizontal="center" vertical="center" wrapText="1"/>
    </xf>
    <xf numFmtId="168" fontId="9" fillId="2" borderId="2" xfId="0" applyNumberFormat="1" applyFont="1" applyFill="1" applyBorder="1" applyAlignment="1">
      <alignment horizontal="center" vertical="center" wrapText="1"/>
    </xf>
    <xf numFmtId="164" fontId="9" fillId="2" borderId="2" xfId="0" applyFont="1" applyFill="1" applyBorder="1" applyAlignment="1">
      <alignment horizontal="center" vertical="center" wrapText="1"/>
    </xf>
    <xf numFmtId="164" fontId="9" fillId="4" borderId="2" xfId="0" applyFont="1" applyFill="1" applyBorder="1" applyAlignment="1">
      <alignment horizontal="center" vertical="center" wrapText="1"/>
    </xf>
    <xf numFmtId="164" fontId="10" fillId="0" borderId="0" xfId="0" applyFont="1" applyAlignment="1">
      <alignment wrapText="1"/>
    </xf>
    <xf numFmtId="169" fontId="12" fillId="0" borderId="6" xfId="0" applyNumberFormat="1" applyFont="1" applyBorder="1" applyAlignment="1">
      <alignment wrapText="1"/>
    </xf>
    <xf numFmtId="164" fontId="8" fillId="0" borderId="0" xfId="0" applyFont="1"/>
    <xf numFmtId="22" fontId="8" fillId="0" borderId="0" xfId="0" applyNumberFormat="1" applyFont="1"/>
    <xf numFmtId="164" fontId="11" fillId="0" borderId="0" xfId="0" applyFont="1"/>
    <xf numFmtId="164" fontId="8" fillId="0" borderId="0" xfId="0" applyFont="1" applyAlignment="1">
      <alignment wrapText="1"/>
    </xf>
    <xf numFmtId="168" fontId="8" fillId="0" borderId="0" xfId="0" applyNumberFormat="1" applyFont="1"/>
    <xf numFmtId="1" fontId="8" fillId="0" borderId="0" xfId="0" applyNumberFormat="1" applyFont="1"/>
    <xf numFmtId="167" fontId="8" fillId="0" borderId="0" xfId="0" applyNumberFormat="1" applyFont="1" applyAlignment="1">
      <alignment horizontal="center"/>
    </xf>
    <xf numFmtId="22" fontId="13" fillId="0" borderId="1" xfId="0" applyNumberFormat="1" applyFont="1" applyBorder="1" applyAlignment="1">
      <alignment horizontal="center" vertical="center"/>
    </xf>
    <xf numFmtId="164" fontId="13" fillId="0" borderId="1" xfId="0" applyFont="1" applyBorder="1" applyAlignment="1">
      <alignment horizontal="center" vertical="center"/>
    </xf>
    <xf numFmtId="164" fontId="13" fillId="0" borderId="1" xfId="0" applyFont="1" applyBorder="1" applyAlignment="1">
      <alignment vertical="center"/>
    </xf>
    <xf numFmtId="167" fontId="14" fillId="0" borderId="1" xfId="0" applyNumberFormat="1" applyFont="1" applyBorder="1" applyAlignment="1">
      <alignment horizontal="center"/>
    </xf>
    <xf numFmtId="164" fontId="14" fillId="0" borderId="1" xfId="0" applyFont="1" applyBorder="1"/>
    <xf numFmtId="164" fontId="15" fillId="5" borderId="1" xfId="0" applyFont="1" applyFill="1" applyBorder="1" applyAlignment="1">
      <alignment horizontal="center" vertical="center" wrapText="1"/>
    </xf>
    <xf numFmtId="170" fontId="16" fillId="0" borderId="1" xfId="26" applyNumberFormat="1" applyFont="1" applyBorder="1" applyAlignment="1">
      <alignment horizontal="center" vertical="center"/>
    </xf>
    <xf numFmtId="1" fontId="13" fillId="0" borderId="1" xfId="0" applyNumberFormat="1" applyFont="1" applyBorder="1" applyAlignment="1">
      <alignment horizontal="center" vertical="center"/>
    </xf>
    <xf numFmtId="164" fontId="13" fillId="0" borderId="1" xfId="0" applyFont="1" applyBorder="1" applyAlignment="1">
      <alignment horizontal="center" vertical="center" wrapText="1"/>
    </xf>
    <xf numFmtId="164" fontId="13" fillId="0" borderId="1" xfId="0" applyFont="1" applyBorder="1" applyAlignment="1">
      <alignment vertical="center" wrapText="1"/>
    </xf>
    <xf numFmtId="164" fontId="17" fillId="6" borderId="7" xfId="0" applyFont="1" applyFill="1" applyBorder="1"/>
    <xf numFmtId="169" fontId="18" fillId="0" borderId="0" xfId="0" applyNumberFormat="1" applyFont="1" applyAlignment="1">
      <alignment wrapText="1"/>
    </xf>
    <xf numFmtId="49" fontId="16" fillId="0" borderId="8" xfId="0" applyNumberFormat="1" applyFont="1" applyBorder="1" applyAlignment="1">
      <alignment horizontal="center" vertical="center"/>
    </xf>
    <xf numFmtId="164" fontId="15" fillId="5" borderId="9" xfId="0" applyFont="1" applyFill="1" applyBorder="1" applyAlignment="1">
      <alignment horizontal="center" vertical="center" wrapText="1"/>
    </xf>
    <xf numFmtId="14" fontId="0" fillId="0" borderId="6" xfId="0" applyNumberFormat="1" applyBorder="1"/>
    <xf numFmtId="164" fontId="0" fillId="0" borderId="6" xfId="0" applyBorder="1" applyAlignment="1">
      <alignment horizontal="center" vertical="center"/>
    </xf>
    <xf numFmtId="164" fontId="0" fillId="0" borderId="6" xfId="0" applyBorder="1"/>
    <xf numFmtId="164" fontId="19" fillId="0" borderId="1" xfId="0" applyFont="1" applyBorder="1" applyAlignment="1">
      <alignment horizontal="center" vertical="center" wrapText="1"/>
    </xf>
    <xf numFmtId="0" fontId="17" fillId="6" borderId="7" xfId="0" applyNumberFormat="1" applyFont="1" applyFill="1" applyBorder="1"/>
    <xf numFmtId="22" fontId="13" fillId="0" borderId="1" xfId="0" applyNumberFormat="1" applyFont="1" applyBorder="1" applyAlignment="1">
      <alignment horizontal="center" vertical="center" wrapText="1"/>
    </xf>
    <xf numFmtId="164" fontId="17" fillId="6" borderId="7" xfId="0" applyFont="1" applyFill="1" applyBorder="1" applyAlignment="1">
      <alignment wrapText="1"/>
    </xf>
    <xf numFmtId="1" fontId="13" fillId="0" borderId="1" xfId="0" applyNumberFormat="1" applyFont="1" applyBorder="1" applyAlignment="1">
      <alignment horizontal="center" vertical="center" wrapText="1"/>
    </xf>
    <xf numFmtId="167" fontId="14" fillId="0" borderId="1" xfId="0" applyNumberFormat="1" applyFont="1" applyBorder="1" applyAlignment="1">
      <alignment horizontal="center" wrapText="1"/>
    </xf>
    <xf numFmtId="0" fontId="17" fillId="6" borderId="7" xfId="0" applyNumberFormat="1" applyFont="1" applyFill="1" applyBorder="1" applyAlignment="1">
      <alignment wrapText="1"/>
    </xf>
    <xf numFmtId="164" fontId="14" fillId="0" borderId="1" xfId="0" applyFont="1" applyBorder="1" applyAlignment="1">
      <alignment wrapText="1"/>
    </xf>
    <xf numFmtId="165" fontId="6" fillId="3" borderId="4" xfId="27" applyFont="1" applyFill="1" applyBorder="1" applyAlignment="1">
      <alignment horizontal="right"/>
    </xf>
    <xf numFmtId="165" fontId="6" fillId="3" borderId="5" xfId="27" applyFont="1" applyFill="1" applyBorder="1" applyAlignment="1">
      <alignment horizontal="right"/>
    </xf>
    <xf numFmtId="164" fontId="6" fillId="3" borderId="3" xfId="0" applyFont="1" applyFill="1" applyBorder="1" applyAlignment="1">
      <alignment horizontal="center"/>
    </xf>
    <xf numFmtId="164" fontId="6" fillId="3" borderId="0" xfId="0" applyFont="1" applyFill="1" applyAlignment="1">
      <alignment horizontal="center"/>
    </xf>
    <xf numFmtId="164" fontId="6" fillId="3" borderId="1" xfId="0" applyFont="1" applyFill="1" applyBorder="1" applyAlignment="1">
      <alignment horizontal="center"/>
    </xf>
    <xf numFmtId="17" fontId="6" fillId="3" borderId="1" xfId="0" applyNumberFormat="1" applyFont="1" applyFill="1" applyBorder="1" applyAlignment="1">
      <alignment horizontal="center"/>
    </xf>
    <xf numFmtId="164" fontId="7" fillId="0" borderId="1" xfId="0" applyFont="1" applyBorder="1" applyAlignment="1">
      <alignment horizontal="center"/>
    </xf>
    <xf numFmtId="164" fontId="6" fillId="0" borderId="4" xfId="0" applyFont="1" applyBorder="1" applyAlignment="1">
      <alignment horizontal="right"/>
    </xf>
    <xf numFmtId="164" fontId="6" fillId="0" borderId="5" xfId="0" applyFont="1" applyBorder="1" applyAlignment="1">
      <alignment horizontal="right"/>
    </xf>
    <xf numFmtId="165" fontId="6" fillId="0" borderId="4" xfId="27" applyFont="1" applyBorder="1" applyAlignment="1">
      <alignment horizontal="right" indent="1"/>
    </xf>
    <xf numFmtId="165" fontId="6" fillId="0" borderId="5" xfId="27" applyFont="1" applyBorder="1" applyAlignment="1">
      <alignment horizontal="right" indent="1"/>
    </xf>
  </cellXfs>
  <cellStyles count="28">
    <cellStyle name="Estilo 1" xfId="1" xr:uid="{00000000-0005-0000-0000-000000000000}"/>
    <cellStyle name="Moneda" xfId="26" builtinId="4"/>
    <cellStyle name="Moneda 2" xfId="27" xr:uid="{EAADFAB7-B589-4A21-8584-6CDBB97596DF}"/>
    <cellStyle name="Normal" xfId="0" builtinId="0"/>
    <cellStyle name="Normal 10" xfId="2" xr:uid="{00000000-0005-0000-0000-000002000000}"/>
    <cellStyle name="Normal 11" xfId="3" xr:uid="{00000000-0005-0000-0000-000003000000}"/>
    <cellStyle name="Normal 12" xfId="4" xr:uid="{00000000-0005-0000-0000-000004000000}"/>
    <cellStyle name="Normal 13" xfId="5" xr:uid="{00000000-0005-0000-0000-000005000000}"/>
    <cellStyle name="Normal 14" xfId="6" xr:uid="{00000000-0005-0000-0000-000006000000}"/>
    <cellStyle name="Normal 16" xfId="7" xr:uid="{00000000-0005-0000-0000-000007000000}"/>
    <cellStyle name="Normal 17" xfId="8" xr:uid="{00000000-0005-0000-0000-000008000000}"/>
    <cellStyle name="Normal 18" xfId="9" xr:uid="{00000000-0005-0000-0000-000009000000}"/>
    <cellStyle name="Normal 19" xfId="10" xr:uid="{00000000-0005-0000-0000-00000A000000}"/>
    <cellStyle name="Normal 2 2" xfId="11" xr:uid="{00000000-0005-0000-0000-00000B000000}"/>
    <cellStyle name="Normal 20" xfId="12" xr:uid="{00000000-0005-0000-0000-00000C000000}"/>
    <cellStyle name="Normal 21" xfId="13" xr:uid="{00000000-0005-0000-0000-00000D000000}"/>
    <cellStyle name="Normal 22" xfId="14" xr:uid="{00000000-0005-0000-0000-00000E000000}"/>
    <cellStyle name="Normal 23" xfId="15" xr:uid="{00000000-0005-0000-0000-00000F000000}"/>
    <cellStyle name="Normal 24" xfId="16" xr:uid="{00000000-0005-0000-0000-000010000000}"/>
    <cellStyle name="Normal 27" xfId="17" xr:uid="{00000000-0005-0000-0000-000011000000}"/>
    <cellStyle name="Normal 28" xfId="18" xr:uid="{00000000-0005-0000-0000-000012000000}"/>
    <cellStyle name="Normal 3" xfId="19" xr:uid="{00000000-0005-0000-0000-000013000000}"/>
    <cellStyle name="Normal 4" xfId="20" xr:uid="{00000000-0005-0000-0000-000014000000}"/>
    <cellStyle name="Normal 5" xfId="21" xr:uid="{00000000-0005-0000-0000-000015000000}"/>
    <cellStyle name="Normal 6" xfId="22" xr:uid="{00000000-0005-0000-0000-000016000000}"/>
    <cellStyle name="Normal 7" xfId="23" xr:uid="{00000000-0005-0000-0000-000017000000}"/>
    <cellStyle name="Normal 8" xfId="24" xr:uid="{00000000-0005-0000-0000-000018000000}"/>
    <cellStyle name="Normal 9" xfId="25" xr:uid="{00000000-0005-0000-0000-000019000000}"/>
  </cellStyles>
  <dxfs count="1">
    <dxf>
      <font>
        <color rgb="FF9C0006"/>
      </font>
      <fill>
        <patternFill>
          <bgColor rgb="FFFFC7CE"/>
        </patternFill>
      </fill>
    </dxf>
  </dxfs>
  <tableStyles count="0" defaultTableStyle="TableStyleMedium9" defaultPivotStyle="PivotStyleLight16"/>
  <colors>
    <mruColors>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15"/>
  <sheetViews>
    <sheetView tabSelected="1" workbookViewId="0">
      <selection activeCell="E21" sqref="E21"/>
    </sheetView>
  </sheetViews>
  <sheetFormatPr defaultColWidth="11.42578125" defaultRowHeight="12.75"/>
  <cols>
    <col min="1" max="1" width="18.7109375" customWidth="1"/>
    <col min="2" max="2" width="13.7109375" bestFit="1" customWidth="1"/>
    <col min="9" max="9" width="16.140625" bestFit="1" customWidth="1"/>
  </cols>
  <sheetData>
    <row r="1" spans="1:7" ht="13.15">
      <c r="A1" s="51" t="s">
        <v>0</v>
      </c>
      <c r="B1" s="52"/>
      <c r="C1" s="52"/>
    </row>
    <row r="2" spans="1:7" ht="13.15">
      <c r="A2" s="53" t="s">
        <v>1</v>
      </c>
      <c r="B2" s="53"/>
      <c r="C2" s="53"/>
    </row>
    <row r="3" spans="1:7" ht="13.15">
      <c r="A3" s="54" t="s">
        <v>2</v>
      </c>
      <c r="B3" s="53"/>
      <c r="C3" s="53"/>
    </row>
    <row r="4" spans="1:7" ht="13.15">
      <c r="A4" s="55"/>
      <c r="B4" s="55"/>
      <c r="C4" s="55"/>
    </row>
    <row r="5" spans="1:7">
      <c r="A5" s="3" t="s">
        <v>3</v>
      </c>
      <c r="B5" s="2" t="s">
        <v>4</v>
      </c>
      <c r="C5" s="3" t="s">
        <v>5</v>
      </c>
      <c r="E5" s="1"/>
      <c r="G5" s="1"/>
    </row>
    <row r="6" spans="1:7">
      <c r="A6" s="4" t="s">
        <v>6</v>
      </c>
      <c r="B6" s="9">
        <f>COUNTA('REDEBAN MULTICOLOR'!A2:A12)</f>
        <v>5</v>
      </c>
      <c r="C6" s="5">
        <f>'REDEBAN MULTICOLOR'!I7</f>
        <v>548850</v>
      </c>
      <c r="G6" s="1"/>
    </row>
    <row r="7" spans="1:7">
      <c r="A7" s="4" t="s">
        <v>7</v>
      </c>
      <c r="B7" s="9">
        <f>COUNTA('MANTENIMIENTOS PROGRAMADOS'!B2:B16)</f>
        <v>0</v>
      </c>
      <c r="C7" s="5">
        <f>'MANTENIMIENTOS PROGRAMADOS'!H3</f>
        <v>0</v>
      </c>
      <c r="G7" s="1"/>
    </row>
    <row r="8" spans="1:7">
      <c r="A8" s="56" t="s">
        <v>8</v>
      </c>
      <c r="B8" s="57"/>
      <c r="C8" s="6">
        <f>SUM(C6:C7)</f>
        <v>548850</v>
      </c>
      <c r="G8" s="1"/>
    </row>
    <row r="9" spans="1:7">
      <c r="A9" s="58" t="s">
        <v>9</v>
      </c>
      <c r="B9" s="59"/>
      <c r="C9" s="7">
        <f>C8*0.19</f>
        <v>104281.5</v>
      </c>
      <c r="G9" s="1"/>
    </row>
    <row r="10" spans="1:7">
      <c r="A10" s="49" t="s">
        <v>10</v>
      </c>
      <c r="B10" s="50"/>
      <c r="C10" s="8">
        <f>C8+C9</f>
        <v>653131.5</v>
      </c>
      <c r="G10" s="1"/>
    </row>
    <row r="11" spans="1:7">
      <c r="G11" s="1"/>
    </row>
    <row r="12" spans="1:7">
      <c r="G12" s="1"/>
    </row>
    <row r="13" spans="1:7">
      <c r="G13" s="1"/>
    </row>
    <row r="14" spans="1:7">
      <c r="G14" s="1"/>
    </row>
    <row r="15" spans="1:7">
      <c r="G15" s="1"/>
    </row>
  </sheetData>
  <mergeCells count="7">
    <mergeCell ref="A10:B10"/>
    <mergeCell ref="A1:C1"/>
    <mergeCell ref="A2:C2"/>
    <mergeCell ref="A3:C3"/>
    <mergeCell ref="A4:C4"/>
    <mergeCell ref="A8:B8"/>
    <mergeCell ref="A9:B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7"/>
  <sheetViews>
    <sheetView topLeftCell="C1" zoomScaleNormal="100" workbookViewId="0">
      <selection activeCell="I8" sqref="I8"/>
    </sheetView>
  </sheetViews>
  <sheetFormatPr defaultColWidth="11.42578125" defaultRowHeight="36.75" customHeight="1"/>
  <cols>
    <col min="1" max="1" width="15.42578125" style="18" customWidth="1"/>
    <col min="2" max="2" width="15.85546875" style="19" customWidth="1"/>
    <col min="3" max="3" width="15.140625" style="20" customWidth="1"/>
    <col min="4" max="4" width="10.85546875" style="17" customWidth="1"/>
    <col min="5" max="5" width="26.5703125" style="17" customWidth="1"/>
    <col min="6" max="6" width="34.28515625" style="17" customWidth="1"/>
    <col min="7" max="7" width="17.7109375" style="21" customWidth="1"/>
    <col min="8" max="8" width="18.7109375" style="17" customWidth="1"/>
    <col min="9" max="9" width="13.85546875" style="22" customWidth="1"/>
    <col min="10" max="10" width="9.5703125" style="23" customWidth="1"/>
    <col min="11" max="11" width="16.28515625" style="17" customWidth="1"/>
    <col min="12" max="12" width="13.140625" style="17" customWidth="1"/>
    <col min="13" max="13" width="14.5703125" style="17" customWidth="1"/>
    <col min="14" max="14" width="16.140625" style="17" customWidth="1"/>
    <col min="15" max="15" width="32.85546875" style="17" customWidth="1"/>
    <col min="16" max="16384" width="11.42578125" style="17"/>
  </cols>
  <sheetData>
    <row r="1" spans="1:15" s="15" customFormat="1" ht="36.75" customHeight="1">
      <c r="A1" s="10" t="s">
        <v>11</v>
      </c>
      <c r="B1" s="11" t="s">
        <v>12</v>
      </c>
      <c r="C1" s="11" t="s">
        <v>13</v>
      </c>
      <c r="D1" s="11" t="s">
        <v>14</v>
      </c>
      <c r="E1" s="11" t="s">
        <v>15</v>
      </c>
      <c r="F1" s="11" t="s">
        <v>16</v>
      </c>
      <c r="G1" s="12" t="s">
        <v>17</v>
      </c>
      <c r="H1" s="13" t="s">
        <v>18</v>
      </c>
      <c r="I1" s="13" t="s">
        <v>19</v>
      </c>
      <c r="J1" s="14" t="s">
        <v>20</v>
      </c>
      <c r="K1" s="14" t="s">
        <v>21</v>
      </c>
      <c r="L1" s="14" t="s">
        <v>22</v>
      </c>
      <c r="M1" s="14" t="s">
        <v>23</v>
      </c>
      <c r="N1" s="14" t="s">
        <v>24</v>
      </c>
      <c r="O1" s="14" t="s">
        <v>25</v>
      </c>
    </row>
    <row r="2" spans="1:15" ht="17.25" customHeight="1">
      <c r="A2" s="24">
        <v>45815.441666666666</v>
      </c>
      <c r="B2" s="41" t="s">
        <v>26</v>
      </c>
      <c r="C2" s="32" t="s">
        <v>27</v>
      </c>
      <c r="D2" s="25" t="s">
        <v>28</v>
      </c>
      <c r="E2" s="34" t="s">
        <v>29</v>
      </c>
      <c r="F2" s="26" t="s">
        <v>30</v>
      </c>
      <c r="G2" s="31">
        <v>1</v>
      </c>
      <c r="H2" s="16">
        <v>109770</v>
      </c>
      <c r="I2" s="16">
        <f>G2*H2</f>
        <v>109770</v>
      </c>
      <c r="J2" s="27">
        <v>1</v>
      </c>
      <c r="K2" s="42">
        <v>11592268</v>
      </c>
      <c r="L2" s="28" t="s">
        <v>31</v>
      </c>
      <c r="M2" s="28" t="s">
        <v>32</v>
      </c>
      <c r="N2" s="28" t="s">
        <v>33</v>
      </c>
      <c r="O2" s="28" t="s">
        <v>34</v>
      </c>
    </row>
    <row r="3" spans="1:15" ht="17.25" customHeight="1">
      <c r="A3" s="24">
        <v>45820.584722222222</v>
      </c>
      <c r="B3" s="41" t="s">
        <v>35</v>
      </c>
      <c r="C3" s="32" t="s">
        <v>27</v>
      </c>
      <c r="D3" s="25" t="s">
        <v>36</v>
      </c>
      <c r="E3" s="34" t="s">
        <v>37</v>
      </c>
      <c r="F3" s="26" t="s">
        <v>38</v>
      </c>
      <c r="G3" s="31">
        <v>1</v>
      </c>
      <c r="H3" s="16">
        <v>109770</v>
      </c>
      <c r="I3" s="16">
        <f>G3*H3</f>
        <v>109770</v>
      </c>
      <c r="J3" s="27">
        <v>1</v>
      </c>
      <c r="K3" s="42">
        <v>188003729</v>
      </c>
      <c r="L3" s="28" t="s">
        <v>39</v>
      </c>
      <c r="M3" s="28" t="s">
        <v>40</v>
      </c>
      <c r="N3" s="28" t="s">
        <v>33</v>
      </c>
      <c r="O3" s="28" t="s">
        <v>34</v>
      </c>
    </row>
    <row r="4" spans="1:15" ht="17.25" customHeight="1">
      <c r="A4" s="24">
        <v>45821.625694444447</v>
      </c>
      <c r="B4" s="41" t="s">
        <v>41</v>
      </c>
      <c r="C4" s="32" t="s">
        <v>27</v>
      </c>
      <c r="D4" s="25" t="s">
        <v>42</v>
      </c>
      <c r="E4" s="34" t="s">
        <v>43</v>
      </c>
      <c r="F4" s="26" t="s">
        <v>44</v>
      </c>
      <c r="G4" s="31">
        <v>1</v>
      </c>
      <c r="H4" s="16">
        <v>109770</v>
      </c>
      <c r="I4" s="16">
        <f t="shared" ref="I4:I5" si="0">G4*H4</f>
        <v>109770</v>
      </c>
      <c r="J4" s="27">
        <v>1</v>
      </c>
      <c r="K4" s="42">
        <v>11112414</v>
      </c>
      <c r="L4" s="28" t="s">
        <v>45</v>
      </c>
      <c r="M4" s="28" t="s">
        <v>46</v>
      </c>
      <c r="N4" s="28" t="s">
        <v>33</v>
      </c>
      <c r="O4" s="28" t="s">
        <v>47</v>
      </c>
    </row>
    <row r="5" spans="1:15" ht="17.25" customHeight="1">
      <c r="A5" s="24">
        <v>45826.333333333336</v>
      </c>
      <c r="B5" s="41" t="s">
        <v>48</v>
      </c>
      <c r="C5" s="32" t="s">
        <v>27</v>
      </c>
      <c r="D5" s="25" t="s">
        <v>28</v>
      </c>
      <c r="E5" s="34" t="s">
        <v>49</v>
      </c>
      <c r="F5" s="26" t="s">
        <v>50</v>
      </c>
      <c r="G5" s="31">
        <v>1</v>
      </c>
      <c r="H5" s="16">
        <v>109770</v>
      </c>
      <c r="I5" s="16">
        <f t="shared" si="0"/>
        <v>109770</v>
      </c>
      <c r="J5" s="27">
        <v>1</v>
      </c>
      <c r="K5" s="42">
        <v>12688644</v>
      </c>
      <c r="L5" s="28" t="s">
        <v>51</v>
      </c>
      <c r="M5" s="28" t="s">
        <v>52</v>
      </c>
      <c r="N5" s="28" t="s">
        <v>33</v>
      </c>
      <c r="O5" s="28" t="s">
        <v>34</v>
      </c>
    </row>
    <row r="6" spans="1:15" s="20" customFormat="1" ht="18.75" customHeight="1">
      <c r="A6" s="43">
        <v>45835.333333333336</v>
      </c>
      <c r="B6" s="41" t="s">
        <v>53</v>
      </c>
      <c r="C6" s="32" t="s">
        <v>27</v>
      </c>
      <c r="D6" s="32" t="s">
        <v>28</v>
      </c>
      <c r="E6" s="44" t="s">
        <v>54</v>
      </c>
      <c r="F6" s="33" t="s">
        <v>55</v>
      </c>
      <c r="G6" s="45">
        <v>1</v>
      </c>
      <c r="H6" s="16">
        <v>109770</v>
      </c>
      <c r="I6" s="16">
        <f>G6*H6</f>
        <v>109770</v>
      </c>
      <c r="J6" s="46">
        <v>1</v>
      </c>
      <c r="K6" s="47" t="s">
        <v>56</v>
      </c>
      <c r="L6" s="48" t="s">
        <v>57</v>
      </c>
      <c r="M6" s="48" t="s">
        <v>58</v>
      </c>
      <c r="N6" s="48" t="s">
        <v>33</v>
      </c>
      <c r="O6" s="48" t="s">
        <v>34</v>
      </c>
    </row>
    <row r="7" spans="1:15" ht="36.75" customHeight="1">
      <c r="I7" s="35">
        <f>SUM(I2:I6)</f>
        <v>548850</v>
      </c>
    </row>
  </sheetData>
  <phoneticPr fontId="4" type="noConversion"/>
  <conditionalFormatting sqref="E2:E6">
    <cfRule type="duplicateValues" dxfId="0" priority="1"/>
  </conditionalFormatting>
  <printOptions horizontalCentered="1" verticalCentered="1"/>
  <pageMargins left="0.15748031496062992" right="0.15748031496062992" top="0.19685039370078741" bottom="0.19685039370078741" header="0" footer="0"/>
  <pageSetup scale="50"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886C4-AD4D-404D-83C8-D85F5CD62138}">
  <dimension ref="A1:H17"/>
  <sheetViews>
    <sheetView workbookViewId="0">
      <selection activeCell="F11" sqref="F11"/>
    </sheetView>
  </sheetViews>
  <sheetFormatPr defaultColWidth="11.42578125" defaultRowHeight="13.15"/>
  <cols>
    <col min="1" max="1" width="12.7109375" bestFit="1" customWidth="1"/>
    <col min="2" max="2" width="34" customWidth="1"/>
    <col min="3" max="3" width="13.42578125" customWidth="1"/>
    <col min="4" max="4" width="30.7109375" customWidth="1"/>
    <col min="6" max="8" width="14.42578125" customWidth="1"/>
  </cols>
  <sheetData>
    <row r="1" spans="1:8" ht="28.9">
      <c r="A1" s="37" t="s">
        <v>59</v>
      </c>
      <c r="B1" s="37" t="s">
        <v>60</v>
      </c>
      <c r="C1" s="37" t="s">
        <v>61</v>
      </c>
      <c r="D1" s="37" t="s">
        <v>62</v>
      </c>
      <c r="E1" s="37" t="s">
        <v>63</v>
      </c>
      <c r="F1" s="29" t="s">
        <v>64</v>
      </c>
      <c r="G1" s="29" t="s">
        <v>65</v>
      </c>
      <c r="H1" s="29" t="s">
        <v>66</v>
      </c>
    </row>
    <row r="2" spans="1:8" ht="15.75">
      <c r="A2" s="38"/>
      <c r="B2" s="39"/>
      <c r="C2" s="39"/>
      <c r="D2" s="39"/>
      <c r="E2" s="40"/>
      <c r="F2" s="36"/>
      <c r="G2" s="16">
        <v>109770</v>
      </c>
      <c r="H2" s="30">
        <f t="shared" ref="H2" si="0">F2*G2</f>
        <v>0</v>
      </c>
    </row>
    <row r="3" spans="1:8" ht="15">
      <c r="H3" s="30">
        <f>SUM(H2:H2)</f>
        <v>0</v>
      </c>
    </row>
    <row r="4" spans="1:8" ht="12.75"/>
    <row r="5" spans="1:8" ht="12.75"/>
    <row r="6" spans="1:8" ht="12.75"/>
    <row r="7" spans="1:8" ht="12.75"/>
    <row r="8" spans="1:8" ht="12.75"/>
    <row r="9" spans="1:8" ht="12.75"/>
    <row r="10" spans="1:8" ht="12.75"/>
    <row r="11" spans="1:8" ht="12.75"/>
    <row r="12" spans="1:8" ht="12.75"/>
    <row r="13" spans="1:8" ht="12.75"/>
    <row r="14" spans="1:8" ht="12.75"/>
    <row r="15" spans="1:8" ht="12.75"/>
    <row r="16" spans="1:8" ht="12.75"/>
    <row r="17" ht="12.7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d3b0c89e-4cf9-4131-8f93-e930e748987a" xsi:nil="true"/>
    <lcf76f155ced4ddcb4097134ff3c332f xmlns="45c089de-fbcb-4273-99e1-da05513ea3d0">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0A8736163078B46BA45051ACB50C0B2" ma:contentTypeVersion="15" ma:contentTypeDescription="Create a new document." ma:contentTypeScope="" ma:versionID="9c415005ac701ba40f88f17467c19ffb">
  <xsd:schema xmlns:xsd="http://www.w3.org/2001/XMLSchema" xmlns:xs="http://www.w3.org/2001/XMLSchema" xmlns:p="http://schemas.microsoft.com/office/2006/metadata/properties" xmlns:ns2="d3b0c89e-4cf9-4131-8f93-e930e748987a" xmlns:ns3="45c089de-fbcb-4273-99e1-da05513ea3d0" targetNamespace="http://schemas.microsoft.com/office/2006/metadata/properties" ma:root="true" ma:fieldsID="fe9d323ac4ec1ab99dea5e1d9546ef94" ns2:_="" ns3:_="">
    <xsd:import namespace="d3b0c89e-4cf9-4131-8f93-e930e748987a"/>
    <xsd:import namespace="45c089de-fbcb-4273-99e1-da05513ea3d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0c89e-4cf9-4131-8f93-e930e748987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d38b487-a1f2-45e9-84a0-a3fee2a9ffc3}" ma:internalName="TaxCatchAll" ma:showField="CatchAllData" ma:web="d3b0c89e-4cf9-4131-8f93-e930e748987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5c089de-fbcb-4273-99e1-da05513ea3d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3abf594f-9ee9-426f-ac24-f859484e1227"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FFC1BAF-41C4-4A7B-9228-DDECCE61C2BC}"/>
</file>

<file path=customXml/itemProps2.xml><?xml version="1.0" encoding="utf-8"?>
<ds:datastoreItem xmlns:ds="http://schemas.openxmlformats.org/officeDocument/2006/customXml" ds:itemID="{AC5696DF-483F-4071-B933-20D5BD534B3C}"/>
</file>

<file path=customXml/itemProps3.xml><?xml version="1.0" encoding="utf-8"?>
<ds:datastoreItem xmlns:ds="http://schemas.openxmlformats.org/officeDocument/2006/customXml" ds:itemID="{79D8BF1B-85D7-4B6D-95AE-CEE071DC8EB9}"/>
</file>

<file path=docMetadata/LabelInfo.xml><?xml version="1.0" encoding="utf-8"?>
<clbl:labelList xmlns:clbl="http://schemas.microsoft.com/office/2020/mipLabelMetadata">
  <clbl:label id="{a76c2f31-3199-4c12-b982-c92587099853}" enabled="1" method="Privileged" siteId="{22e95ac8-1e3b-4edf-92da-03d573857579}" contentBits="0"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UNE TELECOMUNICACIONES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UNE</dc:creator>
  <cp:keywords/>
  <dc:description/>
  <cp:lastModifiedBy/>
  <cp:revision/>
  <dcterms:created xsi:type="dcterms:W3CDTF">2008-10-14T16:36:30Z</dcterms:created>
  <dcterms:modified xsi:type="dcterms:W3CDTF">2025-07-15T13:52:09Z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6c2f31-3199-4c12-b982-c92587099853_Enabled">
    <vt:lpwstr>true</vt:lpwstr>
  </property>
  <property fmtid="{D5CDD505-2E9C-101B-9397-08002B2CF9AE}" pid="3" name="MSIP_Label_a76c2f31-3199-4c12-b982-c92587099853_SetDate">
    <vt:lpwstr>2021-07-09T12:15:17Z</vt:lpwstr>
  </property>
  <property fmtid="{D5CDD505-2E9C-101B-9397-08002B2CF9AE}" pid="4" name="MSIP_Label_a76c2f31-3199-4c12-b982-c92587099853_Method">
    <vt:lpwstr>Privileged</vt:lpwstr>
  </property>
  <property fmtid="{D5CDD505-2E9C-101B-9397-08002B2CF9AE}" pid="5" name="MSIP_Label_a76c2f31-3199-4c12-b982-c92587099853_Name">
    <vt:lpwstr>a76c2f31-3199-4c12-b982-c92587099853</vt:lpwstr>
  </property>
  <property fmtid="{D5CDD505-2E9C-101B-9397-08002B2CF9AE}" pid="6" name="MSIP_Label_a76c2f31-3199-4c12-b982-c92587099853_SiteId">
    <vt:lpwstr>22e95ac8-1e3b-4edf-92da-03d573857579</vt:lpwstr>
  </property>
  <property fmtid="{D5CDD505-2E9C-101B-9397-08002B2CF9AE}" pid="7" name="MSIP_Label_a76c2f31-3199-4c12-b982-c92587099853_ActionId">
    <vt:lpwstr>219b36c7-e913-4a34-9c32-d664e4198c0b</vt:lpwstr>
  </property>
  <property fmtid="{D5CDD505-2E9C-101B-9397-08002B2CF9AE}" pid="8" name="MSIP_Label_a76c2f31-3199-4c12-b982-c92587099853_ContentBits">
    <vt:lpwstr>0</vt:lpwstr>
  </property>
  <property fmtid="{D5CDD505-2E9C-101B-9397-08002B2CF9AE}" pid="9" name="ContentTypeId">
    <vt:lpwstr>0x010100C0A8736163078B46BA45051ACB50C0B2</vt:lpwstr>
  </property>
  <property fmtid="{D5CDD505-2E9C-101B-9397-08002B2CF9AE}" pid="10" name="MediaServiceImageTags">
    <vt:lpwstr/>
  </property>
</Properties>
</file>