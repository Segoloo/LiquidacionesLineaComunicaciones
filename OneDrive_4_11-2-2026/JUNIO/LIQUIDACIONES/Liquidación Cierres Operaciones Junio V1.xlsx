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FACTURACION/2025/JUNIO/"/>
    </mc:Choice>
  </mc:AlternateContent>
  <xr:revisionPtr revIDLastSave="580" documentId="13_ncr:1_{155C5C84-4AFD-48B4-90DE-8C02CB79D3F7}" xr6:coauthVersionLast="47" xr6:coauthVersionMax="47" xr10:uidLastSave="{B7F95CC2-F162-444C-9F18-82F112CD8EAE}"/>
  <bookViews>
    <workbookView xWindow="28680" yWindow="-120" windowWidth="29040" windowHeight="15720" tabRatio="866" activeTab="3" xr2:uid="{00000000-000D-0000-FFFF-FFFF00000000}"/>
  </bookViews>
  <sheets>
    <sheet name="RESUMEN" sheetId="3" r:id="rId1"/>
    <sheet name="BASE DE LIQUIDACION 2025" sheetId="7" r:id="rId2"/>
    <sheet name="Tabla Dinámica" sheetId="55" r:id="rId3"/>
    <sheet name="CIERRES" sheetId="52" r:id="rId4"/>
    <sheet name="TIPOLOGIAS" sheetId="54" state="hidden" r:id="rId5"/>
    <sheet name="CENTRO DE COSTOS" sheetId="53" state="hidden" r:id="rId6"/>
  </sheets>
  <externalReferences>
    <externalReference r:id="rId7"/>
    <externalReference r:id="rId8"/>
    <externalReference r:id="rId9"/>
    <externalReference r:id="rId10"/>
    <externalReference r:id="rId11"/>
  </externalReferences>
  <definedNames>
    <definedName name="_xlnm._FilterDatabase" localSheetId="5" hidden="1">'CENTRO DE COSTOS'!$A$1:$D$23</definedName>
    <definedName name="_xlnm._FilterDatabase" localSheetId="3" hidden="1">CIERRES!$A$1:$AE$92</definedName>
    <definedName name="ACTIVIDAD">[1]Hoja2!$P$2:$P$30</definedName>
    <definedName name="Clientes">[2]Clientes!$A$2:$A$100</definedName>
    <definedName name="COORDINADOR">[1]Hoja2!$D$2:$D$30</definedName>
    <definedName name="Coordinadores">[3]Coordinadores!$A$2:$A$1000</definedName>
    <definedName name="DOCUMENTADOR">[1]Hoja2!$A$2:$A$30</definedName>
    <definedName name="ES">[1]Hoja2!$K$2:$K$30</definedName>
    <definedName name="ESS">[1]Hoja2!$K$2:$K$30</definedName>
    <definedName name="Estado">[2]Formulas!$K$2:$K$5000</definedName>
    <definedName name="ESTADOACTIVIDAD">[1]Hoja2!$M$2:$M$30</definedName>
    <definedName name="ESTADOSCIERRES">'[4]lista desplegable'!$CX$1:$DA$1</definedName>
    <definedName name="Facturacion">'[5]Listas desplegables'!$AO$1:$AR$1</definedName>
    <definedName name="solicitudes">'[5]Listas desplegables'!$U$1:$AF$1</definedName>
    <definedName name="Tecnicos">[2]Tecnicos!$A$2:$A$1000</definedName>
  </definedNames>
  <calcPr calcId="191028"/>
  <pivotCaches>
    <pivotCache cacheId="5338"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3" l="1"/>
  <c r="Y16" i="52"/>
  <c r="Y17" i="52"/>
  <c r="Y18" i="52"/>
  <c r="Y19" i="52"/>
  <c r="Y20" i="52"/>
  <c r="Y21" i="52"/>
  <c r="Y22" i="52"/>
  <c r="Y23" i="52"/>
  <c r="Y24" i="52"/>
  <c r="Y25" i="52"/>
  <c r="Y26" i="52"/>
  <c r="Y27" i="52"/>
  <c r="Y28" i="52"/>
  <c r="Y29" i="52"/>
  <c r="Y30" i="52"/>
  <c r="Y31" i="52"/>
  <c r="Y32" i="52"/>
  <c r="Y33" i="52"/>
  <c r="Y34" i="52"/>
  <c r="Y35" i="52"/>
  <c r="Y36" i="52"/>
  <c r="Y37" i="52"/>
  <c r="Y38" i="52"/>
  <c r="Y39" i="52"/>
  <c r="Y40" i="52"/>
  <c r="Y41" i="52"/>
  <c r="Y42" i="52"/>
  <c r="Y43" i="52"/>
  <c r="Y44" i="52"/>
  <c r="Y45" i="52"/>
  <c r="Y46" i="52"/>
  <c r="Y47" i="52"/>
  <c r="Y48" i="52"/>
  <c r="Y49" i="52"/>
  <c r="Y50" i="52"/>
  <c r="Y51" i="52"/>
  <c r="Y52" i="52"/>
  <c r="Y53" i="52"/>
  <c r="Y54" i="52"/>
  <c r="Y55" i="52"/>
  <c r="Y56" i="52"/>
  <c r="Y57" i="52"/>
  <c r="Y58" i="52"/>
  <c r="Y59" i="52"/>
  <c r="Y60" i="52"/>
  <c r="Y61" i="52"/>
  <c r="Y62" i="52"/>
  <c r="Y63" i="52"/>
  <c r="Y64" i="52"/>
  <c r="Y65" i="52"/>
  <c r="Y66" i="52"/>
  <c r="Y67" i="52"/>
  <c r="Y68" i="52"/>
  <c r="Y69" i="52"/>
  <c r="Y70" i="52"/>
  <c r="Y71" i="52"/>
  <c r="Y72" i="52"/>
  <c r="Y73" i="52"/>
  <c r="Y74" i="52"/>
  <c r="Y75" i="52"/>
  <c r="Y76" i="52"/>
  <c r="Y77" i="52"/>
  <c r="Y78" i="52"/>
  <c r="Y79" i="52"/>
  <c r="Y80" i="52"/>
  <c r="Y81" i="52"/>
  <c r="Y82" i="52"/>
  <c r="Y83" i="52"/>
  <c r="Y84" i="52"/>
  <c r="Y85" i="52"/>
  <c r="Y86" i="52"/>
  <c r="Y87" i="52"/>
  <c r="Y88" i="52"/>
  <c r="Y89" i="52"/>
  <c r="Y90" i="52"/>
  <c r="Y91" i="52"/>
  <c r="Y3" i="52"/>
  <c r="Y4" i="52"/>
  <c r="Y5" i="52"/>
  <c r="Y6" i="52"/>
  <c r="Y7" i="52"/>
  <c r="Y8" i="52"/>
  <c r="Y9" i="52"/>
  <c r="Y10" i="52"/>
  <c r="Y11" i="52"/>
  <c r="Y12" i="52"/>
  <c r="Y13" i="52"/>
  <c r="Y14" i="52"/>
  <c r="Y15" i="52"/>
  <c r="Y2" i="52"/>
  <c r="B9" i="7"/>
  <c r="B3" i="52"/>
  <c r="C3" i="52"/>
  <c r="B4" i="52"/>
  <c r="C4" i="52"/>
  <c r="B5" i="52"/>
  <c r="C5" i="52"/>
  <c r="B6" i="52"/>
  <c r="C6" i="52"/>
  <c r="B7" i="52"/>
  <c r="C7" i="52"/>
  <c r="B8" i="52"/>
  <c r="C8" i="52"/>
  <c r="B9" i="52"/>
  <c r="C9" i="52"/>
  <c r="B10" i="52"/>
  <c r="C10" i="52"/>
  <c r="B11" i="52"/>
  <c r="C11" i="52"/>
  <c r="B12" i="52"/>
  <c r="C12" i="52"/>
  <c r="B13" i="52"/>
  <c r="C13" i="52"/>
  <c r="B14" i="52"/>
  <c r="C14" i="52"/>
  <c r="B15" i="52"/>
  <c r="C15" i="52"/>
  <c r="B16" i="52"/>
  <c r="C16" i="52"/>
  <c r="B17" i="52"/>
  <c r="C17" i="52"/>
  <c r="B18" i="52"/>
  <c r="C18" i="52"/>
  <c r="B19" i="52"/>
  <c r="C19" i="52"/>
  <c r="B20" i="52"/>
  <c r="C20" i="52"/>
  <c r="B21" i="52"/>
  <c r="C21" i="52"/>
  <c r="B22" i="52"/>
  <c r="C22" i="52"/>
  <c r="B23" i="52"/>
  <c r="C23" i="52"/>
  <c r="B24" i="52"/>
  <c r="C24" i="52"/>
  <c r="B25" i="52"/>
  <c r="C25" i="52"/>
  <c r="B26" i="52"/>
  <c r="C26" i="52"/>
  <c r="B27" i="52"/>
  <c r="C27" i="52"/>
  <c r="B28" i="52"/>
  <c r="C28" i="52"/>
  <c r="B29" i="52"/>
  <c r="C29" i="52"/>
  <c r="B30" i="52"/>
  <c r="C30" i="52"/>
  <c r="B31" i="52"/>
  <c r="C31" i="52"/>
  <c r="B32" i="52"/>
  <c r="C32" i="52"/>
  <c r="B33" i="52"/>
  <c r="C33" i="52"/>
  <c r="B34" i="52"/>
  <c r="C34" i="52"/>
  <c r="B35" i="52"/>
  <c r="C35" i="52"/>
  <c r="B36" i="52"/>
  <c r="C36" i="52"/>
  <c r="B37" i="52"/>
  <c r="C37" i="52"/>
  <c r="B38" i="52"/>
  <c r="C38" i="52"/>
  <c r="B39" i="52"/>
  <c r="C39" i="52"/>
  <c r="B40" i="52"/>
  <c r="C40" i="52"/>
  <c r="B41" i="52"/>
  <c r="C41" i="52"/>
  <c r="B42" i="52"/>
  <c r="C42" i="52"/>
  <c r="B43" i="52"/>
  <c r="C43" i="52"/>
  <c r="B44" i="52"/>
  <c r="C44" i="52"/>
  <c r="B45" i="52"/>
  <c r="C45" i="52"/>
  <c r="B46" i="52"/>
  <c r="C46" i="52"/>
  <c r="B47" i="52"/>
  <c r="C47" i="52"/>
  <c r="B48" i="52"/>
  <c r="C48" i="52"/>
  <c r="B49" i="52"/>
  <c r="C49" i="52"/>
  <c r="B50" i="52"/>
  <c r="C50" i="52"/>
  <c r="B51" i="52"/>
  <c r="C51" i="52"/>
  <c r="B52" i="52"/>
  <c r="C52" i="52"/>
  <c r="B53" i="52"/>
  <c r="C53" i="52"/>
  <c r="B54" i="52"/>
  <c r="C54" i="52"/>
  <c r="B55" i="52"/>
  <c r="C55" i="52"/>
  <c r="B56" i="52"/>
  <c r="C56" i="52"/>
  <c r="B57" i="52"/>
  <c r="C57" i="52"/>
  <c r="B58" i="52"/>
  <c r="C58" i="52"/>
  <c r="B59" i="52"/>
  <c r="C59" i="52"/>
  <c r="B60" i="52"/>
  <c r="C60" i="52"/>
  <c r="B61" i="52"/>
  <c r="C61" i="52"/>
  <c r="B62" i="52"/>
  <c r="C62" i="52"/>
  <c r="B63" i="52"/>
  <c r="C63" i="52"/>
  <c r="B64" i="52"/>
  <c r="C64" i="52"/>
  <c r="B65" i="52"/>
  <c r="C65" i="52"/>
  <c r="B66" i="52"/>
  <c r="C66" i="52"/>
  <c r="B67" i="52"/>
  <c r="C67" i="52"/>
  <c r="B68" i="52"/>
  <c r="C68" i="52"/>
  <c r="B69" i="52"/>
  <c r="C69" i="52"/>
  <c r="B70" i="52"/>
  <c r="C70" i="52"/>
  <c r="B71" i="52"/>
  <c r="C71" i="52"/>
  <c r="B72" i="52"/>
  <c r="C72" i="52"/>
  <c r="B73" i="52"/>
  <c r="C73" i="52"/>
  <c r="B74" i="52"/>
  <c r="C74" i="52"/>
  <c r="B75" i="52"/>
  <c r="C75" i="52"/>
  <c r="B76" i="52"/>
  <c r="C76" i="52"/>
  <c r="B77" i="52"/>
  <c r="C77" i="52"/>
  <c r="B78" i="52"/>
  <c r="C78" i="52"/>
  <c r="B79" i="52"/>
  <c r="C79" i="52"/>
  <c r="B80" i="52"/>
  <c r="C80" i="52"/>
  <c r="B81" i="52"/>
  <c r="C81" i="52"/>
  <c r="B82" i="52"/>
  <c r="C82" i="52"/>
  <c r="B83" i="52"/>
  <c r="C83" i="52"/>
  <c r="B84" i="52"/>
  <c r="C84" i="52"/>
  <c r="B85" i="52"/>
  <c r="C85" i="52"/>
  <c r="B86" i="52"/>
  <c r="C86" i="52"/>
  <c r="B87" i="52"/>
  <c r="C87" i="52"/>
  <c r="B88" i="52"/>
  <c r="C88" i="52"/>
  <c r="B89" i="52"/>
  <c r="C89" i="52"/>
  <c r="B90" i="52"/>
  <c r="C90" i="52"/>
  <c r="B91" i="52"/>
  <c r="C91" i="52"/>
  <c r="C6" i="7"/>
  <c r="C5" i="7"/>
  <c r="C4" i="7"/>
  <c r="C3" i="7"/>
  <c r="E5" i="55"/>
  <c r="E6" i="55"/>
  <c r="E7" i="55"/>
  <c r="E8" i="55"/>
  <c r="E9" i="55"/>
  <c r="E10" i="55"/>
  <c r="E4" i="55"/>
  <c r="AD30" i="52" l="1"/>
  <c r="AE30" i="52" s="1"/>
  <c r="AD3" i="52"/>
  <c r="AE3" i="52" s="1"/>
  <c r="AD6" i="52"/>
  <c r="AE6" i="52" s="1"/>
  <c r="AD7" i="52"/>
  <c r="AE7" i="52" s="1"/>
  <c r="AD8" i="52"/>
  <c r="AE8" i="52" s="1"/>
  <c r="AD9" i="52"/>
  <c r="AE9" i="52" s="1"/>
  <c r="AD11" i="52"/>
  <c r="AE11" i="52" s="1"/>
  <c r="AD12" i="52"/>
  <c r="AE12" i="52" s="1"/>
  <c r="AD14" i="52"/>
  <c r="AE14" i="52" s="1"/>
  <c r="AD15" i="52"/>
  <c r="AE15" i="52" s="1"/>
  <c r="AD16" i="52"/>
  <c r="AE16" i="52" s="1"/>
  <c r="AD18" i="52"/>
  <c r="AE18" i="52" s="1"/>
  <c r="AD21" i="52"/>
  <c r="AE21" i="52" s="1"/>
  <c r="AD22" i="52"/>
  <c r="AE22" i="52" s="1"/>
  <c r="AD23" i="52"/>
  <c r="AE23" i="52" s="1"/>
  <c r="AD25" i="52"/>
  <c r="AE25" i="52" s="1"/>
  <c r="AD27" i="52"/>
  <c r="AE27" i="52" s="1"/>
  <c r="AD28" i="52"/>
  <c r="AE28" i="52" s="1"/>
  <c r="AD29" i="52"/>
  <c r="AE29" i="52" s="1"/>
  <c r="AD31" i="52"/>
  <c r="AE31" i="52" s="1"/>
  <c r="AD35" i="52"/>
  <c r="AE35" i="52" s="1"/>
  <c r="AD37" i="52"/>
  <c r="AE37" i="52" s="1"/>
  <c r="AD40" i="52"/>
  <c r="AE40" i="52" s="1"/>
  <c r="AD41" i="52"/>
  <c r="AE41" i="52" s="1"/>
  <c r="AD42" i="52"/>
  <c r="AE42" i="52" s="1"/>
  <c r="AD46" i="52"/>
  <c r="AE46" i="52" s="1"/>
  <c r="AD48" i="52"/>
  <c r="AE48" i="52" s="1"/>
  <c r="AD49" i="52"/>
  <c r="AE49" i="52" s="1"/>
  <c r="AD50" i="52"/>
  <c r="AE50" i="52" s="1"/>
  <c r="AD51" i="52"/>
  <c r="AE51" i="52" s="1"/>
  <c r="AD52" i="52"/>
  <c r="AE52" i="52" s="1"/>
  <c r="AD54" i="52"/>
  <c r="AE54" i="52" s="1"/>
  <c r="AD55" i="52"/>
  <c r="AE55" i="52" s="1"/>
  <c r="AD56" i="52"/>
  <c r="AE56" i="52" s="1"/>
  <c r="AD59" i="52"/>
  <c r="AE59" i="52" s="1"/>
  <c r="AD60" i="52"/>
  <c r="AE60" i="52" s="1"/>
  <c r="AD62" i="52"/>
  <c r="AE62" i="52" s="1"/>
  <c r="AD63" i="52"/>
  <c r="AE63" i="52" s="1"/>
  <c r="AD65" i="52"/>
  <c r="AE65" i="52" s="1"/>
  <c r="AD66" i="52"/>
  <c r="AE66" i="52" s="1"/>
  <c r="AD67" i="52"/>
  <c r="AE67" i="52" s="1"/>
  <c r="AD69" i="52"/>
  <c r="AE69" i="52" s="1"/>
  <c r="AD71" i="52"/>
  <c r="AE71" i="52" s="1"/>
  <c r="AD73" i="52"/>
  <c r="AE73" i="52" s="1"/>
  <c r="AD76" i="52"/>
  <c r="AE76" i="52" s="1"/>
  <c r="AD78" i="52"/>
  <c r="AE78" i="52" s="1"/>
  <c r="AD79" i="52"/>
  <c r="AE79" i="52" s="1"/>
  <c r="AD86" i="52"/>
  <c r="AE86" i="52" s="1"/>
  <c r="AD87" i="52"/>
  <c r="AE87" i="52" s="1"/>
  <c r="AD88" i="52"/>
  <c r="AE88" i="52" s="1"/>
  <c r="AD91" i="52"/>
  <c r="AE91" i="52" s="1"/>
  <c r="AD5" i="52"/>
  <c r="AE5" i="52" s="1"/>
  <c r="AD10" i="52"/>
  <c r="AE10" i="52" s="1"/>
  <c r="AD13" i="52"/>
  <c r="AE13" i="52" s="1"/>
  <c r="AD32" i="52"/>
  <c r="AE32" i="52" s="1"/>
  <c r="AD36" i="52"/>
  <c r="AE36" i="52" s="1"/>
  <c r="AD39" i="52"/>
  <c r="AE39" i="52" s="1"/>
  <c r="AD43" i="52"/>
  <c r="AE43" i="52" s="1"/>
  <c r="AD44" i="52"/>
  <c r="AE44" i="52" s="1"/>
  <c r="AD70" i="52"/>
  <c r="AE70" i="52" s="1"/>
  <c r="AD74" i="52"/>
  <c r="AE74" i="52" s="1"/>
  <c r="AD77" i="52"/>
  <c r="AE77" i="52" s="1"/>
  <c r="AD81" i="52"/>
  <c r="AE81" i="52" s="1"/>
  <c r="AD82" i="52"/>
  <c r="AE82" i="52" s="1"/>
  <c r="AD83" i="52"/>
  <c r="AE83" i="52" s="1"/>
  <c r="AD89" i="52"/>
  <c r="AE89" i="52" s="1"/>
  <c r="AD26" i="52"/>
  <c r="AE26" i="52" s="1"/>
  <c r="AD33" i="52"/>
  <c r="AE33" i="52" s="1"/>
  <c r="AD19" i="52"/>
  <c r="AE19" i="52" s="1"/>
  <c r="AD34" i="52"/>
  <c r="AE34" i="52" s="1"/>
  <c r="AD75" i="52"/>
  <c r="AE75" i="52" s="1"/>
  <c r="AD90" i="52"/>
  <c r="AE90" i="52" s="1"/>
  <c r="AD4" i="52"/>
  <c r="AE4" i="52" s="1"/>
  <c r="AD17" i="52"/>
  <c r="AE17" i="52" s="1"/>
  <c r="AD20" i="52"/>
  <c r="AE20" i="52" s="1"/>
  <c r="AD24" i="52"/>
  <c r="AE24" i="52" s="1"/>
  <c r="AD38" i="52"/>
  <c r="AE38" i="52" s="1"/>
  <c r="AD45" i="52"/>
  <c r="AE45" i="52" s="1"/>
  <c r="AD47" i="52"/>
  <c r="AE47" i="52" s="1"/>
  <c r="AD53" i="52"/>
  <c r="AE53" i="52" s="1"/>
  <c r="AD57" i="52"/>
  <c r="AE57" i="52" s="1"/>
  <c r="AD58" i="52"/>
  <c r="AE58" i="52" s="1"/>
  <c r="AD61" i="52"/>
  <c r="AE61" i="52" s="1"/>
  <c r="AD64" i="52"/>
  <c r="AE64" i="52" s="1"/>
  <c r="AD68" i="52"/>
  <c r="AE68" i="52" s="1"/>
  <c r="AD72" i="52"/>
  <c r="AE72" i="52" s="1"/>
  <c r="AD80" i="52"/>
  <c r="AE80" i="52" s="1"/>
  <c r="AD84" i="52"/>
  <c r="AE84" i="52" s="1"/>
  <c r="AD85" i="52"/>
  <c r="AE85" i="52" s="1"/>
  <c r="AD2" i="52"/>
  <c r="AE2" i="52" s="1"/>
  <c r="AE92" i="52" l="1"/>
  <c r="D6" i="3" s="1"/>
  <c r="A6" i="3"/>
  <c r="C2" i="52" l="1"/>
  <c r="B2" i="52"/>
  <c r="I6" i="3" l="1"/>
  <c r="J6" i="3" s="1"/>
  <c r="I7" i="3"/>
  <c r="J7" i="3" s="1"/>
  <c r="F2" i="3" l="1"/>
  <c r="I5" i="3" l="1"/>
  <c r="I10" i="3" s="1"/>
  <c r="J5" i="3" l="1"/>
  <c r="B6" i="3"/>
  <c r="J10" i="3" l="1"/>
  <c r="D7" i="3" s="1"/>
  <c r="D8" i="3" l="1"/>
  <c r="D9" i="3" s="1"/>
  <c r="D10"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Natacha Gutierrez Tamayo</author>
  </authors>
  <commentList>
    <comment ref="C7" authorId="0" shapeId="0" xr:uid="{00000000-0006-0000-0100-000001000000}">
      <text>
        <r>
          <rPr>
            <b/>
            <sz val="9"/>
            <color indexed="81"/>
            <rFont val="Tahoma"/>
            <family val="2"/>
          </rPr>
          <t>Zoom</t>
        </r>
      </text>
    </comment>
  </commentList>
</comments>
</file>

<file path=xl/sharedStrings.xml><?xml version="1.0" encoding="utf-8"?>
<sst xmlns="http://schemas.openxmlformats.org/spreadsheetml/2006/main" count="7476" uniqueCount="1652">
  <si>
    <t>LÍNEA COMUNICACIONES S.A.S</t>
  </si>
  <si>
    <t>FACTURACIÓN CORRESPONSALES BANCARIOS TIQUIETES AÉREOS</t>
  </si>
  <si>
    <t>FACTURACIÓN VISITAS FALLIDAS CORRESPONSALES BANCARIOS</t>
  </si>
  <si>
    <t>JUNIO 2025</t>
  </si>
  <si>
    <t>CONCEPTOS</t>
  </si>
  <si>
    <t>TRAYECTOS</t>
  </si>
  <si>
    <t>TOTAL</t>
  </si>
  <si>
    <t>% ADMINISTRACIÓN</t>
  </si>
  <si>
    <t>CANT</t>
  </si>
  <si>
    <t>TIQUETES</t>
  </si>
  <si>
    <t>SUBTOTAL</t>
  </si>
  <si>
    <t>IVA</t>
  </si>
  <si>
    <t>CIERRE CB - VISITAS FALLIDAS O CIERRES NO EXITOSOS TARIFAS 2024</t>
  </si>
  <si>
    <t>Incremento 2025</t>
  </si>
  <si>
    <t xml:space="preserve">Tipificación </t>
  </si>
  <si>
    <t>Descripción</t>
  </si>
  <si>
    <t xml:space="preserve">Tarifa </t>
  </si>
  <si>
    <t>Tipo I</t>
  </si>
  <si>
    <t>Metropolitano</t>
  </si>
  <si>
    <t>Tipo II</t>
  </si>
  <si>
    <t>Hasta 3 horas</t>
  </si>
  <si>
    <t>Tipo III</t>
  </si>
  <si>
    <t>De 3 a 5 horas</t>
  </si>
  <si>
    <t>Tipo IV</t>
  </si>
  <si>
    <t>Más de 5 horas</t>
  </si>
  <si>
    <t>Trayecto Especial</t>
  </si>
  <si>
    <t>No incluye valor del Tiquete</t>
  </si>
  <si>
    <t>Valor de actividad Tipo IV + Valor tiquete aéreo (o fluvial) + 12% administración)</t>
  </si>
  <si>
    <t>Gestión telefonica</t>
  </si>
  <si>
    <t>COORDINADOR</t>
  </si>
  <si>
    <t>CENTRO DE COSTOS LINEACOM</t>
  </si>
  <si>
    <t>%</t>
  </si>
  <si>
    <t>Suma de VALOR TOTAL2</t>
  </si>
  <si>
    <t>NOMBRE CC</t>
  </si>
  <si>
    <t>DIEGO FERNANDO HENAO CARDONA</t>
  </si>
  <si>
    <t>0004-0002</t>
  </si>
  <si>
    <t>0004-0003</t>
  </si>
  <si>
    <t>JOSE MAURICIO HERNANDEZ ROJAS</t>
  </si>
  <si>
    <t>0004-0001</t>
  </si>
  <si>
    <t>JUAN SEBASTIÁN RÍOS CASTRILLÓN</t>
  </si>
  <si>
    <t>0004-0005</t>
  </si>
  <si>
    <t>KEVIN ALEXIS CORZO BUSTOS</t>
  </si>
  <si>
    <t>0004-0007</t>
  </si>
  <si>
    <t>MIGUEL JULIÁN HERNÁNDEZ GUARÍN</t>
  </si>
  <si>
    <t>0004-0008</t>
  </si>
  <si>
    <t>WILLIAM ASDRUBAL ROZO ROZO</t>
  </si>
  <si>
    <t>0004-0004</t>
  </si>
  <si>
    <t>Total general</t>
  </si>
  <si>
    <t>Ciudad Sede</t>
  </si>
  <si>
    <t>Código DANE</t>
  </si>
  <si>
    <t>TA</t>
  </si>
  <si>
    <t>FO</t>
  </si>
  <si>
    <t>Fecha Asignación a Línea Comunicaciones (DD/MM/AAAA)</t>
  </si>
  <si>
    <t>Fecha del cierre del ticket (DD/MM/AAAA)</t>
  </si>
  <si>
    <t>Departamento</t>
  </si>
  <si>
    <t>Ciudad</t>
  </si>
  <si>
    <t xml:space="preserve">Nmbre  del cb </t>
  </si>
  <si>
    <t>CB</t>
  </si>
  <si>
    <t>TIPO DE ACTIVIDAD</t>
  </si>
  <si>
    <t>SOLICITUD</t>
  </si>
  <si>
    <t>DESCRIPCIÓN</t>
  </si>
  <si>
    <t xml:space="preserve">RED </t>
  </si>
  <si>
    <t>FORMATO</t>
  </si>
  <si>
    <t>CADENA</t>
  </si>
  <si>
    <t>ESTADO</t>
  </si>
  <si>
    <t>CAUSAL</t>
  </si>
  <si>
    <t xml:space="preserve">OBSERVACIÓN </t>
  </si>
  <si>
    <t>TECNICO</t>
  </si>
  <si>
    <t xml:space="preserve">TERMINAL </t>
  </si>
  <si>
    <t>TIPOLOGIA</t>
  </si>
  <si>
    <t>TIPO DE TRAYECTO</t>
  </si>
  <si>
    <t>FORMA DE ATENCIÓN</t>
  </si>
  <si>
    <t>SERIAL / PLACA- GUIA</t>
  </si>
  <si>
    <t xml:space="preserve">LECTOR </t>
  </si>
  <si>
    <t>Dias de visita</t>
  </si>
  <si>
    <t>VALOR ACTIVIDAD</t>
  </si>
  <si>
    <t>VALOR TOTAL</t>
  </si>
  <si>
    <t>PASTO</t>
  </si>
  <si>
    <t>TA-25-680336</t>
  </si>
  <si>
    <t>FO-25-1006058</t>
  </si>
  <si>
    <t>NARIÑO</t>
  </si>
  <si>
    <t>BUESACO</t>
  </si>
  <si>
    <t>DISTRICOL MISCELANEA, VARIEDAD</t>
  </si>
  <si>
    <t>ORDEN DE CAMBIO</t>
  </si>
  <si>
    <t>CIERRE</t>
  </si>
  <si>
    <t>REDEBAN</t>
  </si>
  <si>
    <t>AGREGADOR</t>
  </si>
  <si>
    <t>DISTRICOL</t>
  </si>
  <si>
    <t>NO_EXITOSO</t>
  </si>
  <si>
    <t>CB NO ENTREGA EQUIPO</t>
  </si>
  <si>
    <t xml:space="preserve">02-06-2025 SOPORTE TELEFÓNICO: SE LLAMA AL CONTACTO E INDICA QUE NO AH SOLITARIO EL CIERRE DEL CORRESPONSAL. </t>
  </si>
  <si>
    <t>BOLAÑOS TABORDA JORGE ENRIQUE</t>
  </si>
  <si>
    <t>TIPO II</t>
  </si>
  <si>
    <t>SOPORTE_TELEFÓNICO</t>
  </si>
  <si>
    <t>TA-25-682391</t>
  </si>
  <si>
    <t>FO-25-1011023</t>
  </si>
  <si>
    <t>BARRIO GGT SANTA MARIA BUESACO</t>
  </si>
  <si>
    <t>CB UNO A UNO</t>
  </si>
  <si>
    <t xml:space="preserve">02-06-2025 SOPORTE TELEFÓNICO: CLIENTE INDICA QUE NO AH SOLICITADO EL CIERRE DEL CORREPONSAL. </t>
  </si>
  <si>
    <t>0</t>
  </si>
  <si>
    <t>NEIVA</t>
  </si>
  <si>
    <t>TA-25-673749</t>
  </si>
  <si>
    <t>FO-25-992079</t>
  </si>
  <si>
    <t>CAQUETA</t>
  </si>
  <si>
    <t>MILAN</t>
  </si>
  <si>
    <t>DISTRICOL DROG MUNDO FARMACO</t>
  </si>
  <si>
    <t>03-06-2025 SE LLEGA A LA DIRECCIÓN INDICANDA PERO COMERCIO SE ENCUENTRA CERRADO, SE LLAMA AL CLIENTE  Y MANIFIESTA QUE SE ENCUENTRA HOSPITALIZADA EN LA CLÍNICA DE FLORENCIA Y NO TIENE QUIEN HAGA LA ENTREGA DE LOS EQUIPOS, INDICA QUE CUANDO SALGA DE LA HOSPITALIZACIÓN LLAMARÁ PARA SOLICITAR LA ENTREGA DE LOS EQUIPOS.</t>
  </si>
  <si>
    <t>BERMUDEZ SANCHEZ JOSE NEYBER</t>
  </si>
  <si>
    <t>XPRZZ673</t>
  </si>
  <si>
    <t>TIPO IV</t>
  </si>
  <si>
    <t>VISITA_TÉCNICA</t>
  </si>
  <si>
    <t>BOGOTA</t>
  </si>
  <si>
    <t>TA-25-686012</t>
  </si>
  <si>
    <t>FO-25-1018582</t>
  </si>
  <si>
    <t>CUNDINAMARCA</t>
  </si>
  <si>
    <t>BARRIO NORMANDIA II BOGOTA</t>
  </si>
  <si>
    <t>RECUPERACION DE EQUIPOS</t>
  </si>
  <si>
    <t>03-06-2025 DIRECCIÓN NO EXISTE, SE SE TIENE CONTACTO CON EL COMERCIO VÍA TELEFÓNICA EL SEÑOR FABIO INDICA QUE NO SE ENCUENTRA EN LA CIUDAD DE BOGOTÁ.</t>
  </si>
  <si>
    <t>GARCIA PASTRANA KEVIN FERNANDO</t>
  </si>
  <si>
    <t>TIPO I</t>
  </si>
  <si>
    <t>TA-25-682373</t>
  </si>
  <si>
    <t>FO-25-1010988</t>
  </si>
  <si>
    <t>CARTAGENA DEL CHAIRA</t>
  </si>
  <si>
    <t>BARRIO BELLA VISTA CARTAGENA DEL CHAIRA</t>
  </si>
  <si>
    <t>03-06-2025 SE REALIZA VISITA AL CORRESPONSAL Y CLIENTE MANIFIESTA QUE NO PERMITE EL RETIRO DEL CORRESPONSAL YA QUE SE ENCUENTRA EN UNA GESTIÓN DE LA FACTURACION ELECTRÓNICA CON LA ENTIDAD Y ESPERA UNA RESPUESTA POR PARTE DEL BANCO, YA QUE ELLOS NO HAN SOLICITADO EL CIERRE DEL CORRESPONSAL.</t>
  </si>
  <si>
    <t>FA0BZ311</t>
  </si>
  <si>
    <t>TIPO IV ESPECIAL</t>
  </si>
  <si>
    <t>TA-25-682390</t>
  </si>
  <si>
    <t>FO-25-1011020</t>
  </si>
  <si>
    <t>BARBACOAS</t>
  </si>
  <si>
    <t>BARRIO CL DEL COMERCIO BARBACOAS</t>
  </si>
  <si>
    <t xml:space="preserve">04-06-2025 SE REALIZA LLAMADA TELEFONICA EL CLIENTE PARA VALIDAR CIERRE,  CLIENTE INFORMA QUE NO HA SOLICITADO NINGUN CIERRE , QUE TENIA UN TEMA DE FACTURACION CON LA ENTIDAD PERO QUE YA FUE RESUELTO, POR LO TENTO NO DESEA ENTREGAR EQUIPOS, </t>
  </si>
  <si>
    <t>HENAO CARDONA DIEGO FERNANDO</t>
  </si>
  <si>
    <t>BARRANQUILLA</t>
  </si>
  <si>
    <t>TA-25-683192</t>
  </si>
  <si>
    <t>FO-25-1013175</t>
  </si>
  <si>
    <t>ATLANTICO</t>
  </si>
  <si>
    <t>BARRIO RIOMAR BARRANQUILLA 2</t>
  </si>
  <si>
    <t>ILOCALIZADO</t>
  </si>
  <si>
    <t>CB CERRADO - DESOCUPADO</t>
  </si>
  <si>
    <t>04-06-2025 SE REALIZA VISITA AL COMERCIO PARA REALIZAR EL CIERRE DEL CORRESPONSAL BANCOLOMBIA PERO NO ES POSIBLE TRATO COMUNICACION CON EL NÚMERO ASOCIADO EN LA TAREA PERO NO CONTESTAN 3007345725</t>
  </si>
  <si>
    <t>PEÑALOZA GUTIERREZ RAFAEL GUSTAVO</t>
  </si>
  <si>
    <t>BUCARAMANGA</t>
  </si>
  <si>
    <t>TA-25-680768</t>
  </si>
  <si>
    <t>FO-25-1007152</t>
  </si>
  <si>
    <t>SANTANDER</t>
  </si>
  <si>
    <t>BARRIO CAMPOHERMOSO BUCARAMANA</t>
  </si>
  <si>
    <t xml:space="preserve">04-06-2025 SE ESTABLECE COMUNICACIÓN CON LA SEÑORA MARIA FERNANDA VIA WHATSAPP SE LE INFORMA QUE EL BANCO DIO LA INDICACIÓN DE CERRAR ORDEN DE TRABAJO GENERADA YA QUE EL CLIENTE NO CUENTA CON DISPONIBILIDAD PARA ENTREGAR LOS EQUIPOS SE LE INFORMA QUE TAN PRONTO TENGA DISPONIBILIDAD SE COMUNIQUE CON LA LINEA 018000953344 Y SOLICITE LA RECOLECCIÓN DE LOS MISMOS </t>
  </si>
  <si>
    <t>BARRERA ORTEGA MARLON STWAR</t>
  </si>
  <si>
    <t>PEREIRA</t>
  </si>
  <si>
    <t>TA-25-682398</t>
  </si>
  <si>
    <t>FO-25-1011040</t>
  </si>
  <si>
    <t>RISARALDA</t>
  </si>
  <si>
    <t>LA VIRGINIA</t>
  </si>
  <si>
    <t>LA VIRGINIA - LOS LIBERTADORES</t>
  </si>
  <si>
    <t xml:space="preserve">04-06-2025 VISITAMOS COMERCIO PERO LA PERSONA QUE ESTÁ A CARGO NO TIENE CONOCIMIENTO, NO FUE POSIBLE COMUNICARSE CON EL ADMINISTRADOR YA QUE ESTA EN UNA REUNIÓN PERO NOS INDICA QUE EL TAMPOCO DEBE TENER CONOCIMIENTO DE QUE REALIZARAN EL CIERRE DEL CORRESPONSAL, ELLOS REALIZARÁN LA VALIDACIÓN CON EL ASESOR DE LA ZONA PARA CONTINUAR CON EL CORRESPONSAL. </t>
  </si>
  <si>
    <t>ARROYAVE CANO MANUEL GUILLERMO</t>
  </si>
  <si>
    <t>LN00M144</t>
  </si>
  <si>
    <t>VILLAVICENCIO</t>
  </si>
  <si>
    <t>TA-25-682444</t>
  </si>
  <si>
    <t>FO-25-1011076</t>
  </si>
  <si>
    <t>META</t>
  </si>
  <si>
    <t>BARRIO MANANTIAL VILLAVICENCIO</t>
  </si>
  <si>
    <t xml:space="preserve">04-06-2025 SE REALIZA VISITA AL PUNTO Y COMERCIO SE ENCUENTRA CERRADO, NO ES POSIBLE CONTACTO TELEFONICO CON EL CLIENTE </t>
  </si>
  <si>
    <t>PEDREROS CONTRERAS MICHAEL STEVENS</t>
  </si>
  <si>
    <t>MONTERIA</t>
  </si>
  <si>
    <t>TA-25-682386</t>
  </si>
  <si>
    <t>FO-25-1011009</t>
  </si>
  <si>
    <t>CORDOBA</t>
  </si>
  <si>
    <t>BARRIO  CENTRO MONTERIA</t>
  </si>
  <si>
    <t xml:space="preserve">04-06-2025 SE LLEGA AL SITIO Y NOS INFORMAN QUE LA PERSONA ENCARGADA NO SE ENCUENTRA, QUE REGRESEMOS EN OTRA OCASIÓN PARA EFECTUAR LA ENTREGA. NOS ATIENDE MARÍA ALEJANDRA ORTEGA SÁNCHEZ. </t>
  </si>
  <si>
    <t>CASSIANI PEREZ RAUL RAMIRO</t>
  </si>
  <si>
    <t>CALI</t>
  </si>
  <si>
    <t>TA-25-682381</t>
  </si>
  <si>
    <t>FO-25-1011001</t>
  </si>
  <si>
    <t>CAUCA</t>
  </si>
  <si>
    <t>POPAYAN</t>
  </si>
  <si>
    <t>BARRIO BELLAVISTA POPAYAN 1</t>
  </si>
  <si>
    <t>05-06-2025 SE REALIZA LLAMADA CELULAR CB NO RESPONDE SE LLEGA AL SITIO SE ENCUENTRA CERRADO COMERCIO</t>
  </si>
  <si>
    <t>GIMBUEL LASSO LUIS GERMAN</t>
  </si>
  <si>
    <t>LA2ZZ430</t>
  </si>
  <si>
    <t>TIPO III</t>
  </si>
  <si>
    <t>TUNJA</t>
  </si>
  <si>
    <t>TA-25-716434</t>
  </si>
  <si>
    <t>FO-25-1049138</t>
  </si>
  <si>
    <t>BOYACA</t>
  </si>
  <si>
    <t>SOGAMOSO</t>
  </si>
  <si>
    <t>BARRIO EL LIBERTADOR</t>
  </si>
  <si>
    <t>SOLICITUD_CANCELADA</t>
  </si>
  <si>
    <t>CANCELADO POR LA ENTIDAD</t>
  </si>
  <si>
    <t xml:space="preserve">06-06-2025 SE CIERRA ORDEN , SE NO SE ATIENDE ACTIVIDAD , SE CANCELA ORDEN POR SOLICITUD DE LA ENTIDAD </t>
  </si>
  <si>
    <t>ALVARADO MORENO CRISTHIAN</t>
  </si>
  <si>
    <t>TA-25-716462</t>
  </si>
  <si>
    <t>FO-25-1049196</t>
  </si>
  <si>
    <t>BARRIO MINUTO DE DIOS BOGOTA 8</t>
  </si>
  <si>
    <t xml:space="preserve">06-06-2025 SE REALIZS VISITA A CB PARA REALIZAR CIERRE SE ENCUENTRA CERRADO ,SE INTENTA COMUNICAR CON CLIENTE NO CONTESTAN </t>
  </si>
  <si>
    <t>GALINDO ROJAS LUIS FELIPE</t>
  </si>
  <si>
    <t>TA-25-716443</t>
  </si>
  <si>
    <t>FO-25-1049157</t>
  </si>
  <si>
    <t>BARRIO EL DORADO MONTERIA CORD</t>
  </si>
  <si>
    <t xml:space="preserve">06-06-2025 SE LLEGA A CB, IMFOAM QUE NO ESTÁ LA PERSONA ENCARGADA DEL CB, POR ESE MOTIVO NO PERMITEN EL RETIRO DE LOS EQUIPOS DEL PUNTO </t>
  </si>
  <si>
    <t>COGOLLO ROSSO CAMILO ANDRES</t>
  </si>
  <si>
    <t>NN00N610</t>
  </si>
  <si>
    <t>TA-25-683193</t>
  </si>
  <si>
    <t>FO-25-1013178</t>
  </si>
  <si>
    <t>PATIA</t>
  </si>
  <si>
    <t>BARRIO PATIA PATIA</t>
  </si>
  <si>
    <t xml:space="preserve">06-06-2025 SE REALIZA LLAMADA CELULAR CB NO RESPONDE SE ENCUENTRA COMERCIO CERRADO </t>
  </si>
  <si>
    <t>10OZZ064</t>
  </si>
  <si>
    <t>TA-25-716460</t>
  </si>
  <si>
    <t>FO-25-1049191</t>
  </si>
  <si>
    <t>BARRIO TIERRA BUENA KENNEDY BO</t>
  </si>
  <si>
    <t xml:space="preserve">06-06-2025 SE LLEGA A SITIO SE LLAMAN A LOS NÚMEROS DE CONTACTO NO CONTESTAN SE VÁLIDA EN PORTERÍA NO RESPONDEN NI DAN INFORMACIÓN, ESTO DEBIDO A QUE NO EXISTE CORRESPONSAL BANCARIO A LA VISTA. </t>
  </si>
  <si>
    <t>INFANTE SIERRA MANUEL FERNANDO</t>
  </si>
  <si>
    <t>TA-25-716446</t>
  </si>
  <si>
    <t>FO-25-1049163</t>
  </si>
  <si>
    <t>HUILA</t>
  </si>
  <si>
    <t>BARRIO ALTICO NEIVA  3</t>
  </si>
  <si>
    <t>06-06-2025 SE REALIZA VISITA AL PUNTO , PERSONA ENCARGADA INDICA QUE NO HA HECHO SOLICITUD PARA EL CIERRE DEL PUNTO, INDICA QUE SE VA A COMUNICAR CON EL BANCO PARA VALIDAR, POR AHORA NO ENTREGA EQUIPOS, CIERRE FALLIDO .</t>
  </si>
  <si>
    <t>DEVIA REINOSO JUAN CARLOS</t>
  </si>
  <si>
    <t>FA0GZ493</t>
  </si>
  <si>
    <t>TA-25-716448</t>
  </si>
  <si>
    <t>FO-25-1049168</t>
  </si>
  <si>
    <t>FUENTE DE ORO</t>
  </si>
  <si>
    <t>BARRIO CENTRO 1 FUENTE DE ORO</t>
  </si>
  <si>
    <t>06-06-2025 SE REALIZA VISITA Y COMERCIO SE ENCUENTRA CERRADO, SE REALIZA  CONTACTO TELEFONICO Y NO ES POSIBLE</t>
  </si>
  <si>
    <t>NONE</t>
  </si>
  <si>
    <t>TA-25-719474</t>
  </si>
  <si>
    <t>FO-25-1053434</t>
  </si>
  <si>
    <t>EL PLAYON</t>
  </si>
  <si>
    <t>PTM EL PLAYON DAYECEL</t>
  </si>
  <si>
    <t>COMCARD - PTM</t>
  </si>
  <si>
    <t>06-06-2025 SE INTENTA COMUCACION CON LA ADMINISTRADORA ELCIDA ACERO AL CELULAR 3163547179 Y WHATSAPP NO FUE POSIBLE, SE LLEGA A DIRECCIÓN CRA 8 #11-83, Y YA NO ESTÁ EL CORRESPONSAL, ADMINISTRADOR DEL LOCAL EXISTENTE, INFORMA QUE ELLOS TOMARON EL LOCAL APROXIMADAMENTE 3 MESES, QUE EL PROPIETARIO ANTERIOR SE FUE PARA EL MUNICIPIO DE RIO NEGRO, SE DEJA MENSAJE POR WHATSAPP, SE REALIZA LLAMADA TELEFÓNICA Y CLIENTE NO CONTESTA SE PROCEDE A CERRAR LA ORDEN.</t>
  </si>
  <si>
    <t>MARTINEZ FLOREZ DONIS ALBERTO</t>
  </si>
  <si>
    <t>MANIZALES</t>
  </si>
  <si>
    <t>TA-25-716437</t>
  </si>
  <si>
    <t>FO-25-1049142</t>
  </si>
  <si>
    <t>CALDAS</t>
  </si>
  <si>
    <t>BARRIO SANTOS MANIZALES 1</t>
  </si>
  <si>
    <t xml:space="preserve">07-06-2025 SE LLEGA A DIRECCIÓN REGISTRADA EN EL CUAL EL ESTABLECIMIENTO SE ENCUENTRA CERRADO Y SIN PUBLICIDAD DEL CORRESPONSAL Y CON AVISO SE ARRIENDA, SE PREGUNTA EN COMERCIOS CERCANOS DICEN QUE CERRARON HACE 3 SEMANAS APROX, SE TRATA COMUNICACIÓN CON USUARIO PERO NO HAY RESPUESTA </t>
  </si>
  <si>
    <t>AGUIRRE HENAO RAUL EDUARDO</t>
  </si>
  <si>
    <t>TA-25-719466</t>
  </si>
  <si>
    <t>FO-25-1053413</t>
  </si>
  <si>
    <t>PTM MONTERIA INVERSIONES DO CA</t>
  </si>
  <si>
    <t xml:space="preserve">07-06-2025 SE LLEGA A CB, ESTÁ CERRADO, SE PREGUNTA EN LUGARES CERCANOS INFORMAN QUE TIENE TIEMPO QUE NO ABREN, SE MARCA A NÚMERO ASIGNADO 3164976081, INFORMAN QUE ES NÚMERO EQUIVOCADO </t>
  </si>
  <si>
    <t>LA2ZZ424</t>
  </si>
  <si>
    <t>TA-25-716447</t>
  </si>
  <si>
    <t>FO-25-1049165</t>
  </si>
  <si>
    <t>BARRIO PANORAMA VILLAVICENCIO</t>
  </si>
  <si>
    <t xml:space="preserve">07-06-2025 SE LLEGA AL COMERCIO SE VALIDA QUE EL CLIENTE NO ENTREGA EL EQUIPO YA QUE ESTA SOLICITANDO LA ACTIVACIÓN PORQUE HACE POCO REALIZO UN TRASLADO </t>
  </si>
  <si>
    <t>ROZO JIMENEZ EDGAR ARMANDO</t>
  </si>
  <si>
    <t>AAL06558</t>
  </si>
  <si>
    <t>TA-25-719482</t>
  </si>
  <si>
    <t>FO-25-1053457</t>
  </si>
  <si>
    <t>PAGAFACIL BOSA</t>
  </si>
  <si>
    <t>ROBUSTO</t>
  </si>
  <si>
    <t>PAGAFACIL</t>
  </si>
  <si>
    <t xml:space="preserve">07-06-2025 SE REALIZA VISITA A A CB PARA REALIZAR RETIRO DE EQUIPOS CLIENTE NO TIENE NINGÚN EQUIPO PARA RETIRAR INFORMA QUE TIENE SON UNOS CABLES PERO SE VALIDAN Y NO SON DE REDEBAN ,Y LOS DATAFONOS QUE TIENEN SON LOS QUE ACTUALMENTE ESTÁN UTILIZANDO </t>
  </si>
  <si>
    <t>CUCUTA</t>
  </si>
  <si>
    <t>TA-25-716452</t>
  </si>
  <si>
    <t>FO-25-1049177</t>
  </si>
  <si>
    <t>NORTE DE SANTANDER</t>
  </si>
  <si>
    <t>PAMPLONA</t>
  </si>
  <si>
    <t>BARRIO SIMON BOLIVAR PAMPLONA</t>
  </si>
  <si>
    <t>07-06-2025 SE REALIZA VISITA, ME INFORMAN QUE EL COMERCIO CAMBIO DE DUEÑO Y LOS EQUIPOS NO SE ENCUENTRAN EN EL LOCAL. SE INTENTA CONTACTAR TELEFÓNICAMENTE AL CLIENTE, PERO NO RESPONDE EL NÚMERO DE CONTACTO.
3124598287</t>
  </si>
  <si>
    <t>PACHECO BUITRAGO JAVIER ALONSO</t>
  </si>
  <si>
    <t>TA-25-719483</t>
  </si>
  <si>
    <t>FO-25-1053459</t>
  </si>
  <si>
    <t>MULTIPAGAS CHAPINERO</t>
  </si>
  <si>
    <t>MULTIPAGAS</t>
  </si>
  <si>
    <t>07-06-2025 COMERCIO NO PERMITE EL RETIRO DE LOS EQUIPOS QUE ESTÁN RELACIONADOS DENTRO DE LA TA EN SYTEX, INDICA QUE NO ESTÁN SOLICITANDO CIERRE SINO EL RETIRO DE EQUIPOS QUE TIENEN ALMACENADOS DESDE HACE MUCHO TIEMPO.  SE CONSULTA CON EL COORDINADOR DE LA ZONA E INDICA QUE NO SE PUEDE REALIZAR EL CIERRE</t>
  </si>
  <si>
    <t>BBBBV322</t>
  </si>
  <si>
    <t>APARTADO</t>
  </si>
  <si>
    <t>TA-25-721683</t>
  </si>
  <si>
    <t>FO-25-1061522</t>
  </si>
  <si>
    <t>ANTIOQUIA</t>
  </si>
  <si>
    <t>NECOCLI</t>
  </si>
  <si>
    <t>PTM NECOCLI AUTOSERVICIO MAX D</t>
  </si>
  <si>
    <t xml:space="preserve">09-06-2025 PTM INDICA QUE EQUIPO YA FUERON ENTREGADOS A A REDEBAN BODEGA MEDELLÍN. </t>
  </si>
  <si>
    <t>DIAZ ZABALA FRANCIS DUBAN</t>
  </si>
  <si>
    <t>TA-25-720448</t>
  </si>
  <si>
    <t>FO-25-1057186</t>
  </si>
  <si>
    <t>VALLE DEL CAUCA</t>
  </si>
  <si>
    <t>BARRIO VILLA DEL PRADO CALI 1</t>
  </si>
  <si>
    <t xml:space="preserve">09-06-2025 CLIENTE ME COMUNICA QUE NO PUEDE ENTREGAR LOS EQUIPOS EL DÍA DE HOY SE LE COMUNICA QUE TIENE QUE VOLVER A SOLICITAR EL RETIRO DE LOS EQUIPOS </t>
  </si>
  <si>
    <t>MEDELLIN</t>
  </si>
  <si>
    <t>TA-25-719458</t>
  </si>
  <si>
    <t>FO-25-1053386</t>
  </si>
  <si>
    <t>ITAGUI</t>
  </si>
  <si>
    <t>PTM ITAGUI D1 FARMA S A S</t>
  </si>
  <si>
    <t>09-06-2025 SE VISITA PUNTO Y ACTUALES DUEÑOS DE LOCAL INFORMAN QUE LOS EQUIPOS YA SE LOS LLEVARON A LA OFICINA DE PTM, NO FIRMAN POR QUE NO SON LA PERSONA QUE TENIA EL CB</t>
  </si>
  <si>
    <t>QUINTERO SANCHEZ JUAN SEBASTIAN</t>
  </si>
  <si>
    <t>GZ7ZZ115</t>
  </si>
  <si>
    <t>TA-25-719471</t>
  </si>
  <si>
    <t>FO-25-1053423</t>
  </si>
  <si>
    <t>MAGDALENA</t>
  </si>
  <si>
    <t>CONCORDIA</t>
  </si>
  <si>
    <t>DISTRICOL FERRETERIA SAN ISIDR</t>
  </si>
  <si>
    <t>09-06-2025 SE REALIZA VISITA TÉCNICA, CLIENTE INDICA QUE ENVÍO LOS EQUIPOS A MEDELLÍN, PUBLICIDAD LE DIÓ DISPOSICIÓN FINAL.</t>
  </si>
  <si>
    <t>DE AGUAS MUÑOZ DAVID JOSE</t>
  </si>
  <si>
    <t>GZ000512</t>
  </si>
  <si>
    <t>TA-25-719455</t>
  </si>
  <si>
    <t>FO-25-1053377</t>
  </si>
  <si>
    <t>PTM MED SU SALUD</t>
  </si>
  <si>
    <t xml:space="preserve">09-06-2025 SE LLEGA A DIRECCIÓN Y YA SE ENCUENTRA OTRO COMERCIO NO TIENEN IDEA DE LOS EQUIPOS, NO ES POSIBLE COMUNICACIÓN CON EL CLIENTE </t>
  </si>
  <si>
    <t>TA-25-719452</t>
  </si>
  <si>
    <t>FO-25-1053374</t>
  </si>
  <si>
    <t>COMCARD MED PIEDRANET 2</t>
  </si>
  <si>
    <t xml:space="preserve">09-06-2025 SE LLEGA A LA DIRECCIÓN NO SE ENCUENTRA PUNTO ,SE REALIZA LLAMADA AL USUARIO Y NO CONTESTA </t>
  </si>
  <si>
    <t>CERPA SUAREZ DUVAN CAMILO</t>
  </si>
  <si>
    <t>111DZ920</t>
  </si>
  <si>
    <t>TA-25-716466</t>
  </si>
  <si>
    <t>FO-25-1049203</t>
  </si>
  <si>
    <t>BARRIO FERRY I BARRANQUILLA</t>
  </si>
  <si>
    <t xml:space="preserve">10-06-2025 SE REALIZA VISITA AL COMERCIO PARA REALIZAR EL CIERRE DEL CORRESPONSAL BANCOLOMBIA PERO NO ES POSIBLE TRATO COMUNICACION CON EL NÚMERO  DADO 3246098339 PERO NO CONTESTAN PREGUNTO Y ME DICEN QUE EL ENCARGADO ESTÁ DE VIAJE LE MANIFIESTO QUE CUANDO LLEGUE SE COMUNIQUE ALA LÍNEA DE SOPORTE PARA REAGENDAR VISITA </t>
  </si>
  <si>
    <t>AA7ZZ984-11119862-ABC04331</t>
  </si>
  <si>
    <t>TA-25-722650</t>
  </si>
  <si>
    <t>FO-25-1064604</t>
  </si>
  <si>
    <t>SAN LUIS DE GACENO</t>
  </si>
  <si>
    <t>CENTRO SAN LUIS DE GACENO BOYA</t>
  </si>
  <si>
    <t xml:space="preserve">10-06-2025 SE CIERRA ORDEN , CLIENTE INDICA POR GESTION TELEFÓNICA VIA WHATSAPP AL NÚMERO CELULAR 3106091366 QUE DESCONOCE LOS MOTIVOS POR EL CUAL LE CIERRAN EL PUNTO QUE SE VA A COMUNICAR CON LA ENTIDAD BANCARIA , SE LE RECUERDA LA LINEA NACIONAL 018000953344 DEL BANCO  PARA QUE HAGA SU SOLICITUD.  SE PROCEDE A CERRAR ORDEN </t>
  </si>
  <si>
    <t xml:space="preserve">  </t>
  </si>
  <si>
    <t>TA-25-722651</t>
  </si>
  <si>
    <t>FO-25-1064609</t>
  </si>
  <si>
    <t>BARRIO ALTAMIRA PASTO</t>
  </si>
  <si>
    <t>10-06-2025 SE LLEGÓ A DIRECCIÓN INDICADA PERO SE ENCUENTRA EL CORRESPONSAL CERRADO, SE INTENTO COMUNICACIÓN A LOS TELÉFONOS DE LA USUARIA, PERO NO CONTESTA LLAMADAS NI WHATSAPP.</t>
  </si>
  <si>
    <t>GUERRERO RAMIREZ OSCAR DARIO</t>
  </si>
  <si>
    <t>FA01Z642</t>
  </si>
  <si>
    <t>TA-25-716449</t>
  </si>
  <si>
    <t>FO-25-1049170</t>
  </si>
  <si>
    <t>IPIALES</t>
  </si>
  <si>
    <t>BARRIO ESMERALDA IPIALES 1</t>
  </si>
  <si>
    <t>11-06-2025 SE HABLA CON EL CLIENTE Y SE REALIZA VALIDACION DE CIERRE, PERO EL CLIENTE INDICA QUE AUN ESTA EN UN PROCESO CON LA ENTIDAD POR ELLO NO VA A ANTREGAR LOS EQUIPOS AUN PUES ESTA EN ESPERA DE UNA RESPUESTA DE LA ENTIDAD</t>
  </si>
  <si>
    <t>TA-25-719465</t>
  </si>
  <si>
    <t>FO-25-1053410</t>
  </si>
  <si>
    <t>SUPIA</t>
  </si>
  <si>
    <t>DISTRICOL NAF BOUTIQUE</t>
  </si>
  <si>
    <t>11-06-2025 SE HABLA TELEFONICAMENTE CON EL SEÑOR YEISON QUIEN FIGURA EN EL CONTACTO PERO EL INDICA QUE ESE NEGOCIO SE ACABO HACE MAS DE 2 AÑOS Y LOS EQUIPOS FUERON DEVUELTOS, QUE EL  CORTO TODO CONTACTO CON LA ENTIDAD HACE MUCHO RATO,  INDICA QUE EL NO DEBE FIGURAR EN NADA DE ESO PUES ESO NO EXISTE HACE YA MUCHO TIEMPO.</t>
  </si>
  <si>
    <t>SANTA MARTA</t>
  </si>
  <si>
    <t>TA-25-722824</t>
  </si>
  <si>
    <t>FO-25-1065060</t>
  </si>
  <si>
    <t>DISTRICOL DROG Y VAR EBENEZER</t>
  </si>
  <si>
    <t xml:space="preserve">12-06-2025 SE LLAMA AL NÚMERO INDICADO Y LA USUARIA MARLEN ROJAS INDICA QUE EL EQUIPO YA FUE ENTREGADO </t>
  </si>
  <si>
    <t>RUA ALVAREZ RICHARD ANDRES</t>
  </si>
  <si>
    <t>TA-25-722660</t>
  </si>
  <si>
    <t>FO-25-1069367</t>
  </si>
  <si>
    <t>LA MESA</t>
  </si>
  <si>
    <t>BARRIO CENTRO LA MESA 7</t>
  </si>
  <si>
    <t>EJECUTADO_EXITOSO</t>
  </si>
  <si>
    <t>CIERRE EXITOSO</t>
  </si>
  <si>
    <t xml:space="preserve">12-06-2025 DURANTE LA VISITA TECNICA SE REALIZA RETIRO DE DATAFONO, LECTOR DE CODIGO DE BARRAS   POR CIERRE DE PUNTO PUBLICIDAD FUE RETIRADA Y DESTRUIDA POR COMERCIO INDICAN  </t>
  </si>
  <si>
    <t>GALEANO SORIANO JUAN DAVID</t>
  </si>
  <si>
    <t>EG0OZ133</t>
  </si>
  <si>
    <t>1072112</t>
  </si>
  <si>
    <t xml:space="preserve">775711  </t>
  </si>
  <si>
    <t>TA-25-722815</t>
  </si>
  <si>
    <t>FO-25-1082752</t>
  </si>
  <si>
    <t>PTM BOGOTA CIGARRERIA EL REFUG</t>
  </si>
  <si>
    <t>12-06-2025 SE VISITA DIRECCIÓN INDICADA POR EL CLIENTE PARA ENTREGAR LOS EQUIPOS, SE RETIRAN DATÁFONO EL CUAL ESTÁ ALERTADO (LLT), LECTOR DE BARRAS, BASE Y CABLEADO, NO UPS, NO SE MANIPULAN EQUIPOS, PUBLICIDAD NO TIENEN YA QUE FUE DESTRUIDA POR CLIENTE.</t>
  </si>
  <si>
    <t>VEGA MANRIQUE JONATAN MAURICIO</t>
  </si>
  <si>
    <t>9L08Z750 - AAQ0P940</t>
  </si>
  <si>
    <t>894557</t>
  </si>
  <si>
    <t xml:space="preserve">932471  </t>
  </si>
  <si>
    <t>TA-25-719473</t>
  </si>
  <si>
    <t>FO-25-1055503</t>
  </si>
  <si>
    <t>PTM BUCARAMANGA PUNTO SERVIS B</t>
  </si>
  <si>
    <t xml:space="preserve">12-06-2025 SE REALIZA VISITA A LA DIRECCIÓN DADA POR EL CLIENTE DÓNDE LA SRA MARIA PAZ TARAZONA HACE ENTREGA VOLUNTARIA DE DATÁFONO, PINPAD, HUB Y LECTORA DE BARRAS, BASE Y SUS RESPECTIVOS CABLEADO.
DIRECCIÓN PROPORCIONADA CRA 1A 55A 25 CENTAUROS 2 </t>
  </si>
  <si>
    <t>GONZALEZ ESTUPIÑAN YEISON WALTER ANTONIO</t>
  </si>
  <si>
    <t>LMOZZ278-LMOZZ350</t>
  </si>
  <si>
    <t>1219060</t>
  </si>
  <si>
    <t xml:space="preserve">1145440 1119308 NO SERIALIZADO </t>
  </si>
  <si>
    <t>TA-25-722810</t>
  </si>
  <si>
    <t>FO-25-1065021</t>
  </si>
  <si>
    <t>COTA</t>
  </si>
  <si>
    <t>DISTRICOL JN ELECTRONICA</t>
  </si>
  <si>
    <t xml:space="preserve">13-06-2025 SE VISITA COMERCIO POR CIERRE DE PUNTO AL LLEGAR A LA DIRECCIÓN REGISTRADA YA NO SE ENCUENTRA NINGÚN COMERCIO ACTIVO  EN LA DIRECCIÓN SE INTENTA COMUNICACIÓN A NÚMEROS REGISTRADOS : 3123289164, 3187292927 PERO SE VA A BUZÓN DE MENSAJES SE VALIDA CON COMERCIOS CERCANOS QUIENES CONFIRMAN HACE 2 MESES EL CLIENTE SE FUE Y NO SABEN DE EL SE PROCEDE A DILIGENCIAR FORMATO ILOCALIZABLE Y ACTA DE CIERRE FINALIZANDO ACTIVIDAD SIN MÁS NOVEDAD </t>
  </si>
  <si>
    <t>ROMERO ROJAS BREIDY JHOHAN</t>
  </si>
  <si>
    <t>IBAGUE</t>
  </si>
  <si>
    <t>TA-25-755299</t>
  </si>
  <si>
    <t>FO-25-1083790</t>
  </si>
  <si>
    <t>TOLIMA</t>
  </si>
  <si>
    <t>EL CARMEN IBAGUE TOLIMA</t>
  </si>
  <si>
    <t xml:space="preserve">13-06-2025 SE VISITA COMERCIO PERO SE ENCUENTRA CERRADO, SE COMUNICA AL NÚMERO 3182218150 SIN NINGÚN RESULTADO. VISITA FALLIDA </t>
  </si>
  <si>
    <t>BARRAGAN TAFUR EDWIN ESTEBAN</t>
  </si>
  <si>
    <t>TA-25-755291</t>
  </si>
  <si>
    <t>FO-25-1083776</t>
  </si>
  <si>
    <t>FUNZA</t>
  </si>
  <si>
    <t>BARRIO FUNZA FUNZA 3</t>
  </si>
  <si>
    <t xml:space="preserve">13-06-2025 SE REALIZA VISITA A LA DIRECCIÓN ASIGNADA POR EL CLIENTE PARA EJECUTAR CIERRE DE CB, PERO AL LLEGAR AL PUNTO LA CASA 04 DEL BLOQUE 39 SE ENCUENTRA DESOCUPADO NO HAY NINGÚN COMERCIO. 
SE INTENTA CONTACTO CON EL CLIENTE AL NÚMERO 3114725417 Y NO HAY RESPUESTA. </t>
  </si>
  <si>
    <t>CORTES VELANDIA MIGUEL ANGEL</t>
  </si>
  <si>
    <t>TA-25-724916</t>
  </si>
  <si>
    <t>FO-25-1083761</t>
  </si>
  <si>
    <t>BARRIO EL EMPEDRADO POPAYAN</t>
  </si>
  <si>
    <t>13-06-2025 SE INGRESA SE RECOGE DATÁFONO LECTOR BASE FUENTE CABLE MAGIC BOSS ESTADO OKAY NO SE RECOGE PUBLICIDAD YA QUE SE INFORMA SE DESTRUYÓ ANTES DEL TRASTEO</t>
  </si>
  <si>
    <t>JA008894</t>
  </si>
  <si>
    <t>960400</t>
  </si>
  <si>
    <t xml:space="preserve">805215  </t>
  </si>
  <si>
    <t>TA-25-755288</t>
  </si>
  <si>
    <t>FO-25-1083770</t>
  </si>
  <si>
    <t>MALAMBO</t>
  </si>
  <si>
    <t>BARRIO CENTRO MALAMBO 2</t>
  </si>
  <si>
    <t>14-06-2025 SE REALIZA VISITA TÉCNICA, CLIENTE INDICA QUE ESTÁ GESTIONANDO LA REACTIVACIÓN DEL CB CON LA ENTIDAD.</t>
  </si>
  <si>
    <t>6A0TZ943</t>
  </si>
  <si>
    <t>TA-25-756340</t>
  </si>
  <si>
    <t>FO-25-1087054</t>
  </si>
  <si>
    <t>BARRIO JORDAN CALI 1</t>
  </si>
  <si>
    <t xml:space="preserve">14-06-2025 SE VISITA EL COMERCIO ESTA CERRADO, SE CONSULTA A VECINOS CERCANOS INFORMA QUE SE FUERON Y CERRARON HACE 4 DÍAS, LLAMA AL CLIENTE A LOS NÚMEROS 3173568257, 3153694893 SIN RESPUESTA. LA VISITA ES FALLIDA CIERRE NO EXISITOSO </t>
  </si>
  <si>
    <t>HERRERA MONAR GEOVANNY</t>
  </si>
  <si>
    <t>A30KZ126</t>
  </si>
  <si>
    <t>TA-25-756339</t>
  </si>
  <si>
    <t>FO-25-1087051</t>
  </si>
  <si>
    <t>MESETAS</t>
  </si>
  <si>
    <t>JARDIN MESETAS</t>
  </si>
  <si>
    <t>14-06-2025 SE REALIZA VISITA AL PUNTO Y COMERCIO SE ENCUENTRA CERRADO, SE REALIZA CONTACTO TELEFÓNICO Y EL SEÑOR FERNANDO INDICA QUE NO SE ENCUENTRA EN EL PUEBLO</t>
  </si>
  <si>
    <t>TA-25-722811</t>
  </si>
  <si>
    <t>FO-25-1065025</t>
  </si>
  <si>
    <t>PUTUMAYO</t>
  </si>
  <si>
    <t>PUERTO ASIS</t>
  </si>
  <si>
    <t>DISTRICOL AUTOSERVICIO SUPER E</t>
  </si>
  <si>
    <t>16-06-2025 SE INTENTA COMUNICACION CON EL CLIENTE EN VARIOS OCACIONES Y POR VARIOS MEDIOS PERO NO ES POSIBLE HASTA EL DIA DE AYER QUE NOS ATIENDE LA EX ESPOSA DEL CLIENTE QUIEN INDICA QUE ESE PUNTO YA NO EXISTE Y SE EXPAREJA DEBERIA TENER LOS EQUIPO PERO NO TIENE MAS INFORMACION DEL CASO, NOS ENTREGA UN NUMERO PARA CONTACTO DIRERCTAMENTE CON EL, PERO NO CONSTESTA NI MENSAJES NI LLAMADAS, SE LE INDCIA A A LA MUJER QUE ES PARA EL RETIRO DE LOS EQUIPOS DEL CORRESPONSAL, PERO INDICA QUE DEBE SER CON EL QUE ELLA NO TIENE NI IDEA DE DONDE SE ENCONTRARAN .</t>
  </si>
  <si>
    <t>TA-25-722817</t>
  </si>
  <si>
    <t>FO-25-1065042</t>
  </si>
  <si>
    <t>PTM APARTADO CAPRICHOS BOUTIQU</t>
  </si>
  <si>
    <t xml:space="preserve">16-06-2025 SE ESTABLECE COMUNICACIÓN CON USUARIO SR JHOAN QUIÉN SE ENCUENTRA DE VIAJE SOLICITA REPROGRAMAR VISITA. SE LE INFORMA A USUARIO COMUNICARSE A LA LÍNEA NUEVAMENTE CUANDO TENGA LA DISPONIBILIDAD PARA EL RETIRO </t>
  </si>
  <si>
    <t>JULIO TUBERQUIA JOSE SEBASTIAN</t>
  </si>
  <si>
    <t>TA-25-756338</t>
  </si>
  <si>
    <t>FO-25-1091756</t>
  </si>
  <si>
    <t>PTM BOGOTA  @SHADDAI</t>
  </si>
  <si>
    <t xml:space="preserve">16-06-2025 SE RETIRA DATÁFONO Y LECTORA Y PUBLICIDAD SE DESTRUYE </t>
  </si>
  <si>
    <t>NN000799</t>
  </si>
  <si>
    <t>761528</t>
  </si>
  <si>
    <t xml:space="preserve">902783  </t>
  </si>
  <si>
    <t>TA-25-781408</t>
  </si>
  <si>
    <t>FO-25-1099103</t>
  </si>
  <si>
    <t>BARRIO MANRIQUE GAITAN MEDELLI</t>
  </si>
  <si>
    <t xml:space="preserve">17-06-2025 SE VISITA PUNTO Y EN LOCAL NO SE ENCUENTRA EL ADMINISTRADOR, EL TRABAJADOR NOS DICE QUE NO SABE NADA DEL TEMA INTENTA COMUNOCARCE CON EL DUEÑO SIN ÉXITO. HACE INTENTO DE COMUNICACIÓN EN LOS NÚMEROS REGISTRADO SIN ÉXITO </t>
  </si>
  <si>
    <t>TA-25-781390</t>
  </si>
  <si>
    <t>FO-25-1099066</t>
  </si>
  <si>
    <t>COMCARD MED OSMAR</t>
  </si>
  <si>
    <t xml:space="preserve">17-06-2025 SE VISITA COMERCIO Y SE ENCUENTRA LOCAL CERRADO. SE INTENTA COMUNICACIÓN CON EL CLIENTE A LOS NÚMEROS REGISTRADO SIN ÉXITO </t>
  </si>
  <si>
    <t>TA-25-789479</t>
  </si>
  <si>
    <t>FO-25-1104657</t>
  </si>
  <si>
    <t>BARRIO ROBLEDO ALTAMIRA MEDELL</t>
  </si>
  <si>
    <t xml:space="preserve">18-06-2025 SE LLEGA AL SITIO Y EN PORTERÍA NOS DICEN QUE ESE COMERCIO NO EXISTE Y QUE NO CONOCEN A NADIE CON ESE NOMBRE, SE LLAMA AL CLIENTES SI ÉXITO VIGILANCIA TAMBIÉN LLAMA A LOS NÚMERO HABER SI ES DE ALGÚN PROPIETARIO Y NADA </t>
  </si>
  <si>
    <t>TA-25-789476</t>
  </si>
  <si>
    <t>FO-25-1104651</t>
  </si>
  <si>
    <t>LOS PATIOS</t>
  </si>
  <si>
    <t>BARRIO LA SABANA LOS PATIOS 3</t>
  </si>
  <si>
    <t>18-06-2025 SE VISITA COMERCIO Y NOS INDICAN QUE LA TITULAR NO SE ENCUENTRA QUE ESTÁ DE VIAJE Y NO CUENTAN CON LA DISPONIBILIDAD PARA ENTREGAR LOS EQUIPOS.</t>
  </si>
  <si>
    <t>TORRES MANTILLA JOSE DANIEL</t>
  </si>
  <si>
    <t>TA-25-789455</t>
  </si>
  <si>
    <t>FO-25-1104599</t>
  </si>
  <si>
    <t>GUADALAJARA DE BUGA</t>
  </si>
  <si>
    <t>BARRIO JOSE MARIA CABAL CENTRO</t>
  </si>
  <si>
    <t xml:space="preserve">18-06-2025 SE LLEGA AL COMERCIO PERO ESTA CERRADO SE LLAMA AL CLIENTE Y NO CONTESTA SE ESPERA 20 MUNITOS PARA VER SI LLEGABA PERO NADA </t>
  </si>
  <si>
    <t>CUERO RUIZ JHONNY</t>
  </si>
  <si>
    <t>BL01M688</t>
  </si>
  <si>
    <t>TA-25-789484</t>
  </si>
  <si>
    <t>FO-25-1104674</t>
  </si>
  <si>
    <t>BARRIO MONTEBELLO CALI 4</t>
  </si>
  <si>
    <t xml:space="preserve">18-06-2025 SE LLAMA AL NÚMERO DE CONTACTO, CORRESPONSAL INDICA QUE NO AH SOLICITADO EL CIERRE Y QUE LLAMÓ A BANCOLOMBIA PARA VALIDAR EL PORQUÉ DEL BLOQUEO. PERO INDICA QUE DESEA CONTINUAR CON EL SERVICIO POR LO CUAL NO AUTORIZA CIERRE </t>
  </si>
  <si>
    <t>TA-25-789456</t>
  </si>
  <si>
    <t>FO-25-1104604</t>
  </si>
  <si>
    <t>BARRIO FLORALIA CALI 1</t>
  </si>
  <si>
    <t xml:space="preserve">18-06-2025 SE VISITA LE CORRESPONSAL,  CON EL SEÑOR CRISTIAN BERMEO  Y CLIENTE INFORMA QUE TUVO PROBLEMAS CON UNOS CRÉDITOS CON LA ENTIDAD PERO YA QUE SE PUSO AL DÍA. DICE QUE PRETENDE COMUNICARSE CON EL BANCO YA QUE DESEA CONTINUAR CON EL SERVICIO. CLIENTE NO SE ENCUENTRA EN EL PUNTO </t>
  </si>
  <si>
    <t>GZCZZ685</t>
  </si>
  <si>
    <t>CARTAGENA</t>
  </si>
  <si>
    <t>TA-25-755289</t>
  </si>
  <si>
    <t>FO-25-1083772</t>
  </si>
  <si>
    <t>BOLIVAR</t>
  </si>
  <si>
    <t>REGIDOR</t>
  </si>
  <si>
    <t>BARRIO LA UNION REGIDOR</t>
  </si>
  <si>
    <t xml:space="preserve">18-06-2025 SE LLEGA A SITIO LA CUAL QUIEN ATIENDE LA CUAL  NOS IDICA QUE EL PROPIETARIO DE CB SE LO LLEVO PARA OTRO MUNICIPIO </t>
  </si>
  <si>
    <t>MAESTRE MENGUAL EDGAR ENRIQUE</t>
  </si>
  <si>
    <t>ON008838</t>
  </si>
  <si>
    <t>VALLEDUPAR</t>
  </si>
  <si>
    <t>TA-25-756320</t>
  </si>
  <si>
    <t>FO-25-1087005</t>
  </si>
  <si>
    <t>CESAR</t>
  </si>
  <si>
    <t>PAILITAS</t>
  </si>
  <si>
    <t>DISTRICOL VIDRIERA Y MARQUETER</t>
  </si>
  <si>
    <t>19-06-2025 SE LLEGA A DIRECCIÓN NOS ATIENDE EL SEÑOR CARLOS MARIO NOS INDICA QUE LOS EQUIPOS FUERON ENVIADOS A LA CIUDAD DE MEDELLIN A NOMBRE DE LA SEÑORA VALENTINA ESCOBAR  EL DIA 09/06/2025</t>
  </si>
  <si>
    <t>9A00W509</t>
  </si>
  <si>
    <t>TA-25-789462</t>
  </si>
  <si>
    <t>FO-25-1104617</t>
  </si>
  <si>
    <t>ALBAN</t>
  </si>
  <si>
    <t>BARRIO SUR ALBAN ALBAN</t>
  </si>
  <si>
    <t>19-06-2025 SE REALIZA VALIDACION CON EL  CLIENTE LA SEÑORA LUZ DARY INFORMA QUE A ELLA LE LLEGO UN MENSAJE DE TEXTO PERO NADIE LE HA COMUNICADO NADA Y EN LA LINEA NO LE DAN INFORMACION ELLA INDICA QUE PRIMERO DEBE VALIDAR CON LA ENTIDAD PARA SABER QUE PASO POR QUE ELLA ESTA AL DIA EN TODO, POR TAL MOTIVO NO ACCEDE A LA ENTREGA DE EQUIPOS HASTA TANTO NO LE BRINDEN LA INFORMACION PERTIENENTE</t>
  </si>
  <si>
    <t>TA-25-781403</t>
  </si>
  <si>
    <t>FO-25-1099094</t>
  </si>
  <si>
    <t>CHOCO</t>
  </si>
  <si>
    <t>CONDOTO</t>
  </si>
  <si>
    <t>BARRIO VILLA FRANCO CONDOTO</t>
  </si>
  <si>
    <t xml:space="preserve">19-06-2025 SE LLEGA A SITIO SE ENCUENTRA COMERCIO CERRADO, SE TOCA PUERTAS, SE AVERIGUA EN EL COMERCIO DEL ALDO Y COMENTAN QUE NO HAN ABIERTO LA FARMACIA NI LA CASA EL DÍA DE HOY </t>
  </si>
  <si>
    <t>ROBLEDO DIAZ ANDRES FELIPE</t>
  </si>
  <si>
    <t>10NZZ033</t>
  </si>
  <si>
    <t>TA-25-756332</t>
  </si>
  <si>
    <t>FO-25-1087035</t>
  </si>
  <si>
    <t>ARAUCA</t>
  </si>
  <si>
    <t>DISTRICOL GANADEROS</t>
  </si>
  <si>
    <t xml:space="preserve">19-06-2025 SE LOGRA COMUNICACIÓN CON LA SEÑORA SARAY 3102419686 VÍA WASAT, CONFIRMA GUÍA POR MEDIO DE EMPRESA DE TRANSPORTE INTERRAPIDISIMO CON NÚMERO DE GUÍA 700160079151, CON LA CUAL HIZO LA DEVOLUCIÓN DE EQUIPOS A LA EMPRESA DISTRICOL EN LA CIUDAD DE MEDELLÍN, INFORMANDO QUE ELLA YA NO CUENTA CON ESTOS EQUIPOS, SE ADJUNTA FOTO DE GUÍA SUMINISTRADA POR CLIENTE. </t>
  </si>
  <si>
    <t>SANTOS GONZALEZ JOHAN FABIAN</t>
  </si>
  <si>
    <t>TA-25-793217</t>
  </si>
  <si>
    <t>FO-25-1114285</t>
  </si>
  <si>
    <t>BARRIO BOSA 14 BOGOTA</t>
  </si>
  <si>
    <t xml:space="preserve">20-06-2025 SE LLEGA A DIRECCIÓN CL 56FSUR  105A 03
 COMERCIAL YA NO EXISTE EN EL PUNTO SE INTENTA CONTACTÓ TELEFÓNICO CON CLIENTE A NÚMERO REGISTRADO 3183140634 TELÉFONO APAGADO. SE PREGUNTA EN COMERCIO VECINO POR EL CLIENTE HEYBAR MERA COLLAZOS  EL CUAL INFORMAN QUE EL SEÑOR SE ENCUENTRA EN CHILE Y VENDIÓ EL COMERCIO
 </t>
  </si>
  <si>
    <t>ORTIZ MARTINEZ STIVEN</t>
  </si>
  <si>
    <t>TA-25-793202</t>
  </si>
  <si>
    <t>FO-25-1114254</t>
  </si>
  <si>
    <t>DUITAMA</t>
  </si>
  <si>
    <t>BOYACA DUITAMA 2</t>
  </si>
  <si>
    <t>20-06-2025 SE VISITA PUNTO CLIENTE NO PERMITE EL  RETIRO DE LOS EQUIPOS CLIENTE LLAMA A LA ENTIDAD PARA REPORTAR LA NOVEDAD LE INDICAN QUE EL TEMA DEL BLOQUEO FUE DEBIDO A INACTIVIDAD POR EL TEMA DEL TRASLADO EL CUAL YA REGISTRA REALIZADO LE INDICAN NO ENTREGAR LOS EQUIPOS YA QUE ESTA ESCALADO EL CASO PARA LA  REACTIVACION DEL PUNTO NUEVAMENTE.</t>
  </si>
  <si>
    <t>RODRIGUEZ MURCIA YERSON IVAN</t>
  </si>
  <si>
    <t>LN00M086</t>
  </si>
  <si>
    <t>TA-25-793242</t>
  </si>
  <si>
    <t>FO-25-1114319</t>
  </si>
  <si>
    <t>BARRIO FLORESTA 5</t>
  </si>
  <si>
    <t xml:space="preserve">20-06-2025 SE REALIZA VISITA A DIRECCIÓN DE COMERCIO, SE ENCUENTRA COMERCIO CERRADO, SE REALIZA LLAMADA TELEFÓNICA SE HABLA CON LA SRA  DERLY TATIANA RODRIGUEZ QUIEN INDICA QUE YA NO TRABAJA EN ESTE COMERCIO, INDICADA COMUNICARSE CON LA SRA.GLADYS GARZÓN AL NÚMERO 3005546601 QUIEN ES LA DUEÑA DEL COMERCIO, SE INDICA A LA SRA DERLY QUE DEBEN COMUNICARSE NUEVAMENTE Y SOLICITAR LA VISITA DE RETIRO DE LOS EQUIPOS CUANDO LA SRA. GLADYS GARZÓN SE ENCUENTRE DE REGRESO EN LA CIUDAD, INDICA QUE DESCONOCE LA FECHA EXACTA DE REGRESO DE LA SRA. GLADIS A LA CIUDAD </t>
  </si>
  <si>
    <t>MURCIA HERNANDEZ HARVEY IGNACIO</t>
  </si>
  <si>
    <t>BYZZZ591</t>
  </si>
  <si>
    <t>TA-25-793210</t>
  </si>
  <si>
    <t>FO-25-1114274</t>
  </si>
  <si>
    <t>BARRIO SAN LUIS CUCUTA  23</t>
  </si>
  <si>
    <t xml:space="preserve">20-06-2025 SE REALIZÓ VISITA A LA DIRECCIÓN ASIGNADA Y SE ENCUENTRA QUE YA NO EXISTE EL CB SE INTENTARON LLAMADAS A LOS NÚMEROS 3115427001-3156162219 Y NO SE OBTUVO COMUNICACIÓN </t>
  </si>
  <si>
    <t>MORA VEGA JEAMPIER</t>
  </si>
  <si>
    <t>TA-25-793223</t>
  </si>
  <si>
    <t>FO-25-1114299</t>
  </si>
  <si>
    <t>PTM CUCUTA AUTOPARTES EL TRAIL</t>
  </si>
  <si>
    <t>20-06-2025 SE VISITA CB EN DIRECCION, NO SE ENCUENTRA CB EN SITIO, SE INTENTA COMUNICACION CON EL CLIENTE SIN RESPUESTA, CB ILOCALIZABLE.</t>
  </si>
  <si>
    <t>NARANJO AFANADOR RUBEN JESUS</t>
  </si>
  <si>
    <t>TA-25-789495</t>
  </si>
  <si>
    <t>FO-25-1110047</t>
  </si>
  <si>
    <t>SOACHA</t>
  </si>
  <si>
    <t>BARRIO DUCALES 1 SECTOR SOACHA</t>
  </si>
  <si>
    <t>20-06-2025 SE REALIZA RETIRO DE EQUIPOS SIN NOVEDAD.</t>
  </si>
  <si>
    <t>LOZADA ROJAS CHRISTIAN ANDRES</t>
  </si>
  <si>
    <t>1A00N052</t>
  </si>
  <si>
    <t>1074903</t>
  </si>
  <si>
    <t xml:space="preserve">547376  </t>
  </si>
  <si>
    <t>TA-25-793211</t>
  </si>
  <si>
    <t>FO-25-1114276</t>
  </si>
  <si>
    <t>QUINDIO</t>
  </si>
  <si>
    <t>ARMENIA</t>
  </si>
  <si>
    <t>BARRIO LA GRECIA ARMENIA</t>
  </si>
  <si>
    <t xml:space="preserve">21-06-2025 SE VISITA DIRECCIÓN PERO NO HAY NADIE EN COMERCIO SE ENTRA CERRADO, SE LLAMA A CONTACTO PERO TAMPOCO HAY RESPUESTA. </t>
  </si>
  <si>
    <t>SANCHEZ SOLORZANO JUAN SEBASTIAN</t>
  </si>
  <si>
    <t>MN0SZ966</t>
  </si>
  <si>
    <t>TA-25-793215</t>
  </si>
  <si>
    <t>FO-25-1114281</t>
  </si>
  <si>
    <t>BARRIO VALLE DEL LILI CALI 8</t>
  </si>
  <si>
    <t xml:space="preserve">21-06-2025 SE LLAMA AL CONTACTO Y CONTESTA LA SEÑORA PAOLA LÓPEZ Y SE INFORMA SOBRE LA ACTIVIDAD A REALIZAR E INDICA QUE SE HABÍA DESCUADRADO Y NO HABÍA COMPENSANDO OPORTUNAMENTE PERO QUE YA VA A REALIZAR  EL PROCESO DE COMPENSACIÓN  Y DESEA CONTINUAR CON LA OPERACIÓN. NO DESEA CERRAR EL CB Y DICE YA ESTÁ EN LA SOLUCIÓN  CON EL BANCO </t>
  </si>
  <si>
    <t>TA-25-793205</t>
  </si>
  <si>
    <t>FO-25-1114261</t>
  </si>
  <si>
    <t>PUERTO TEJADA</t>
  </si>
  <si>
    <t>BARRIO CENTRO PUERTO TEJADA 10</t>
  </si>
  <si>
    <t xml:space="preserve">21-06-2025 SE VISITA EL COMERCIO SE ENCUENTRA CERRADO, SE LLAMA AL CLIENTE A LOS NÚMEROS 3156920109, 3215931292 SIN RESPUESTA, LA VISITA ES FALLIDA CIERRE NO EXISITOSO </t>
  </si>
  <si>
    <t>1000R504</t>
  </si>
  <si>
    <t>TA-25-789449</t>
  </si>
  <si>
    <t>FO-25-1104583</t>
  </si>
  <si>
    <t>VALLE DEL GUAMUEZ</t>
  </si>
  <si>
    <t>VALLE DEL GUAMUEZ II PUTUMAYO</t>
  </si>
  <si>
    <t>24-06-2025 SE HABLA CON LA ESPOSA DEL SEÑOR WILSON QUE ES LA ENCARGADA DEL CB PERO INDICA QUE ESTAN EN UN PROCESO DE REACTIVACION CON LA ENTIDAD, POR LO TANTO ESTAN EN ESPERA DE RESPUESTA DE LA ENTIDAD YA QUE ESTAN AL DIA EN TODO POR LO TANTO NO DESEA CERRAR EL CORRESPONSAL.</t>
  </si>
  <si>
    <t>TA-25-789469</t>
  </si>
  <si>
    <t>FO-25-1104634</t>
  </si>
  <si>
    <t>TIERRALTA</t>
  </si>
  <si>
    <t>BARRIO LA PAZ TIERRALTA</t>
  </si>
  <si>
    <t xml:space="preserve">24-06-2025 SE LLEGA A CB, INFMAN QUE EL ENCARGADO DEL CB RECOGIÓ LOS EQUIPOS Y ELLOS NO SABEN DÓNDE LOS GUARDO Y TAMPOCO SE ENCUENTRA LA PERSONA ENCARGADA EN EL MUNICIPIO LE INTENTAN COMUNICAR CON LA PERSONA, NO CONTESTA </t>
  </si>
  <si>
    <t>MA00B486</t>
  </si>
  <si>
    <t>TA-25-789475</t>
  </si>
  <si>
    <t>FO-25-1118927</t>
  </si>
  <si>
    <t>GRANADA</t>
  </si>
  <si>
    <t>BARRIO VILLA OLIMPICA GRANADA</t>
  </si>
  <si>
    <t>24-06-2025 SE REALIZA CIERRE A SOLICITUD DE CLIENTE, ORUEBAS OK</t>
  </si>
  <si>
    <t>LA01Z147</t>
  </si>
  <si>
    <t>786587</t>
  </si>
  <si>
    <t xml:space="preserve">1113870  </t>
  </si>
  <si>
    <t>TA-25-793207</t>
  </si>
  <si>
    <t>FO-25-1114268</t>
  </si>
  <si>
    <t>AYAPEL</t>
  </si>
  <si>
    <t>BARRIO CENTRO AYAPEL 4</t>
  </si>
  <si>
    <t xml:space="preserve">24-06-2025 SE LLEGÓ A SITIO Y EL CLIENTE INFORMA QUE ESTÁ OPERANDO DE MANERA NORMAL, QUE NO SOLICITÓ CIERRE, QUE TENÍA PENDIENTE UN TRASLADO Y LO REALIZARON LA SEMANA PASADA. </t>
  </si>
  <si>
    <t>CALDERA SALCEDO CARLOS JULIO</t>
  </si>
  <si>
    <t>9A00N488</t>
  </si>
  <si>
    <t>TA-25-789454</t>
  </si>
  <si>
    <t>FO-25-1104595</t>
  </si>
  <si>
    <t>MOÑITOS</t>
  </si>
  <si>
    <t>BARRIO MIRAMAR MONITOS</t>
  </si>
  <si>
    <t>24-06-2025 SE LLEGA AL SITIO ATIENDE EL SR FRAI NARVÁEZ CON CC 11170895 INFORMA QUE NO ENTREGA LOS EQUIPOS YA QUE EL PROPIETARIO DEL CB INDICA QUE EL BANCO NO A NOTIFICADO EL CIERRE Y ESTÁ SE DIGORA A UNA SUCURSAL PARA SECCORARCE DEL MOTIVO DEL CIERRE, E INTENTAR ACTIVAR NUEVAMENTE, POR LO QUE NO ENTREGAN EQUIPOS.</t>
  </si>
  <si>
    <t>TA-25-793204</t>
  </si>
  <si>
    <t>FO-25-1114258</t>
  </si>
  <si>
    <t>FLORENCIA</t>
  </si>
  <si>
    <t>BARRIO LA ESTRELLA FLORENCIA</t>
  </si>
  <si>
    <t>24-06-2025 SE REALIZA VISITA AL CB Y CLIENTE NO PERMITE EL CIERRE YA QUE NO HA SOLICITADO EL CIERRE,  MANIFIESTA QUE EL DÍA JUEVES 19 DE JUNIO LE HICIERON EL TRASLADO DEL CB Y HASTA EL MOMENTO NO LE HAN DESBLOQUEADO EL CB, MANIFIESTA QUE ESTÁ A LA ESPERA DE UN CORREO DEL BANCO PARA EL DESBLOQUEO.</t>
  </si>
  <si>
    <t>V10ZZ346</t>
  </si>
  <si>
    <t>TA-25-793198</t>
  </si>
  <si>
    <t>FO-25-1114246</t>
  </si>
  <si>
    <t>BELLO</t>
  </si>
  <si>
    <t>BARRIO LA GABRIELA CALLE VIEJA</t>
  </si>
  <si>
    <t>24-06-2025 SE COMUNICA CON EL NÚMERO PARA CONFIRMAR VISITA Y ME  INDICA EL CLIENTE QUE LA ENCARGADA NO SE ENCUENTRA EN COLOMBIA Y EL OTRO ENCARGADO NO ESTA EN MEDELLÍN EN EL MOMENTO Y EN LOCAL SE ENCUENTRA CERRADO</t>
  </si>
  <si>
    <t>ZAPATA LOPEZ EDWARD ASDRUBAL</t>
  </si>
  <si>
    <t>TA-25-789474</t>
  </si>
  <si>
    <t>FO-25-1104647</t>
  </si>
  <si>
    <t>SAN JERONIMO</t>
  </si>
  <si>
    <t>BARRIO VEREDA EL POMAR SAN JER</t>
  </si>
  <si>
    <t xml:space="preserve">25-06-2025 SE LLAMA AL 3206513467 Y SE HABLA CON LA SEÑORA CAMILA LA CUAL INFORMA QUE LOS DÍAS MARTES Y VIERNES TIENE TERAPIA EN MEDELLÍN POR LO CUAL NO NOS PUEDE ATENDER EL DÍA DE HOY SOLICITA REPROGRAMAR OTRO DÍA QUE NO SEA MARTES O VIERNES </t>
  </si>
  <si>
    <t>ALVAREZ ARENAS VICTOR HUGO</t>
  </si>
  <si>
    <t>TA-25-789497</t>
  </si>
  <si>
    <t>FO-25-1104699</t>
  </si>
  <si>
    <t>25-06-2025 SE REALIZA VALIDACION CON EL CLIENTE PARA REALIZACION DE CIERRE, SE ENCUENTRA QUE LA ZONA EN ESTE MOMENTO NO SE PUEDE ACCEDER POR ESTAR EN CONFLICTO ARMADO Y ZONA ROJA,  EL CLIENTE TIENE LOS EQUIPO EN EL SITIO PERO NO SE PUEDE CONCRETAR EL ENVIO DE LOS MISMOS YA QUE POR LOS PROBLEMAS PRESENTES EN LA ZONA NO HAY TRANSPORTADORA EN EL MOMENTO, SE QUEDA EN ESPERA DE QUE MEJORE LA SITUACION PARA DESPLAZAMIENTO DEL TECNICO A LA ZONA O SE PUEDA REALIAZR EL ENVIO DE LOS EQUIPO A LA CIUDAD DE POPAYAN POR SEGURIDAD.</t>
  </si>
  <si>
    <t>TA-25-789467</t>
  </si>
  <si>
    <t>FO-25-1104629</t>
  </si>
  <si>
    <t>MORALES</t>
  </si>
  <si>
    <t>BARRIO CENTRO MORALES 2</t>
  </si>
  <si>
    <t>24-06-2025 SE REALIZA LLAMDA AL CLIENTE EN REPETIDAS OCACIONES, NO ATIENDE, SE DEJE MANSAJE DE VOZ Y POR WHAT APP, EL DIA DE HOY NOS CONTESTA LA ENCARGADA DEL CB INDICAN QUE ELLOS ESTAN REALIZANDO UN TRAMITE CON ENTIDAD YA QUE NO LES HABIAN NOTIFICADO EL CIERRE Y ESTAN A LA ESPERA DE RESPUESTA PARA MIRAR COMO PROCEDER, INDICA QUE SI DEFEINITIVAMENTE SE VA A CERRAR ELLOS NOTIFICARAN PARA LA RECOJIDA DE LOS EQUIPPOS.</t>
  </si>
  <si>
    <t>TA-25-789458</t>
  </si>
  <si>
    <t>FO-25-1104608</t>
  </si>
  <si>
    <t>ZIPAQUIRA</t>
  </si>
  <si>
    <t>BARRIO SAN PABLO ZIPAQUIRA</t>
  </si>
  <si>
    <t xml:space="preserve">18-06-2025 SE REALIZA VISITA AL COMERCIO PARA EJECUTAR CIERRE DE CB BANCOLOMBIA PERO AL LLEGAR AL PUNTO LA SRA. ANDRÉS MEJORAN INFORMA QUE NO ESTÁ AUTORIZADO PARA ENTREGAR LOS EQUIPOS, PORQUE NO SE ENCUENTRA LA PERSONA ENCARGADA. </t>
  </si>
  <si>
    <t>TA-25-793200</t>
  </si>
  <si>
    <t>FO-25-1114250</t>
  </si>
  <si>
    <t>EL CARMEN DE VIBORAL</t>
  </si>
  <si>
    <t>BARRIO CARMEN DE VIVORAL EL CARMEN DE VIBORAL</t>
  </si>
  <si>
    <t xml:space="preserve">25-06-2025 SE VISITA COMERCIO Y LA USUARIA INDICA QUE HUBO UN MAL ENTENDIDO PORQUE ELLOS SOLICITARON FUE UN TRASLADO, YA SE ESTÁN COMUNICANDO CON REDEBAN PARA ACLARAR TODO, POR LO TANTO NO SE PERMITE EL RETIRO SE EQUIPO </t>
  </si>
  <si>
    <t>SX9ZZ552</t>
  </si>
  <si>
    <t>TA-25-793224</t>
  </si>
  <si>
    <t>FO-25-1118936</t>
  </si>
  <si>
    <t>PTM BUCARAMANGA DROGUERIA FARM</t>
  </si>
  <si>
    <t>26-06-2025 SE VISITA COMERCIO PARA RETIRAR EQUIPOS DE CB BANCOLOMBIA PERO AL MOMENTO  EL SEÑOR INDICA SOLO TENER LA PLACA 911628 PERO AL VERIFICAR EN SISTEMA PERTENECE A UN CODIGO DE COMERCIO PERSONAL DE LA DROGUERÍA. POR LO ANTERIOR SE INDICA QUE NO ES LA PLACA DE EL CORRESPONSAL, YA QUE SE SOLICITA INVENTARIO CON REDEBAN, QUIEN NOS INDICA LA PLACAS INSTALADAS EN CORRESPONSAL BANCARIO, Y SE LE DA LA INFORMACIÓN AL SEÑOR PARA QUE VERIFIQUE Y BUSQUE YA QUE DICE NO ENCONTRÓ MÁS .</t>
  </si>
  <si>
    <t>PEÑA DIAZ IVAN YESID</t>
  </si>
  <si>
    <t>MN0SZ974</t>
  </si>
  <si>
    <t>TA-25-793209</t>
  </si>
  <si>
    <t>FO-25-1114272</t>
  </si>
  <si>
    <t>ACACIAS</t>
  </si>
  <si>
    <t>BARRIO BACHUE ACACIAS 1</t>
  </si>
  <si>
    <t>27-06-2025 SE REALIZA VISITA A COMERCIO LOCAL CERRADO NO EXISTE CB NO ES POSIBLE COMUNICACIÓN CON TITULAR 3133560603</t>
  </si>
  <si>
    <t>CASTRILLON URREA LONDIER LEANDRO</t>
  </si>
  <si>
    <t>TA-25-799605</t>
  </si>
  <si>
    <t>FO-25-1130557</t>
  </si>
  <si>
    <t>PTM KOLORADO VARIEDADES</t>
  </si>
  <si>
    <t>AGENDADO</t>
  </si>
  <si>
    <t>27-06-2025 SE LLEGA A LA DIRECCIÓN SUMINISTRADA POR LA APLICACIÓN SYTEX Y SE IDENTIFICA QUE ES UNA CASA FAMILIAR, LA CUAL SE TOCA Y NO ABREN LA PUERTA, SE REALIZA GESTIÓN TELEFÓNICA Y NO HAY RESPUESTA.</t>
  </si>
  <si>
    <t>BARRIENTOS HERNANDEZ CRISTIAN HORACIO</t>
  </si>
  <si>
    <t>TA-25-799611</t>
  </si>
  <si>
    <t>FO-25-1130571</t>
  </si>
  <si>
    <t>LA GUAJIRA</t>
  </si>
  <si>
    <t>RIOHACHA</t>
  </si>
  <si>
    <t>DISTRICOL BUENA VISTA GUAJIRA</t>
  </si>
  <si>
    <t>27-06-2025 SE REALIZA LA VISITA EN SITIO SE ENCUENTRA EL LOCAL COMERCIAL CERRADO SE HACE GESTIÓN TELEFÓNICA EL CLIENTE MANIFESTÓ INICIALMENTE QUE IBA A ENTREGAR LOS EQUIPOS EN OTRA DIRECCIÓN PERO DESPUÉS DE MEDIA HORA EL CLIENTE INFORMA NUEVAMENTE QUE NO PUEDE ENTREGAR LOS EQUIPOS EN EL MOMENTO YA QUE NO TIENE LA DISPONIBILIDAD</t>
  </si>
  <si>
    <t>THOMAS  CAMPO SIGIFREDO SEGUNDO</t>
  </si>
  <si>
    <t>SV00T092</t>
  </si>
  <si>
    <t>TA-25-799607</t>
  </si>
  <si>
    <t>FO-25-1130562</t>
  </si>
  <si>
    <t>PTM CUCUTA MULTISERVICIOS YADI</t>
  </si>
  <si>
    <t xml:space="preserve">27-06-2025 SE REALIZARON LLAMADAS TELEFÓNICA AL NÚMERO ASIGNADO 3115098944 Y SE ENCUENTRA APAGADO, SE PROCEDE A REALIZAR VISITA, SE LLEGA AL CONJUNTO RESIDENCIAL Y VIGILANCIA SE COMUNICA CON LA SEÑORA DIANA DÓNDE NO PERMITE LA ENTRADA. </t>
  </si>
  <si>
    <t>TA-25-809570</t>
  </si>
  <si>
    <t>FO-25-1148149</t>
  </si>
  <si>
    <t>BARRIO SANTA BARBARA CALI 2</t>
  </si>
  <si>
    <t xml:space="preserve">28-06-2025 SE HABLA CON EL CLIENTE E INDICA QUE HOY SE PONE AL DIA CON LA COMPENSACIÓN PARA QUE LE VUELVAN A REATIVAR EL CB, EL CLIENTE NO QUISO PROPORCIONAR EL CORREO ELECTRÓNICO 
</t>
  </si>
  <si>
    <t>PAREDES CASTILLO DIEGO</t>
  </si>
  <si>
    <t>COD. CIUDAD</t>
  </si>
  <si>
    <t>CIUDAD</t>
  </si>
  <si>
    <t>DEPARTAMENTO</t>
  </si>
  <si>
    <t>DESDE DONDE SE ATIENDE</t>
  </si>
  <si>
    <t>TIPO DE TRAYECTO NUEVO</t>
  </si>
  <si>
    <t>TIPOLOGIA NUEVA</t>
  </si>
  <si>
    <t>LA VICTORIA</t>
  </si>
  <si>
    <t>AMAZONAS</t>
  </si>
  <si>
    <t>AEREO</t>
  </si>
  <si>
    <t>PUERTO SANTANDER</t>
  </si>
  <si>
    <t>EL ENCANTO</t>
  </si>
  <si>
    <t>LA CHORRERA</t>
  </si>
  <si>
    <t>LA PEDRERA</t>
  </si>
  <si>
    <t>LETICIA</t>
  </si>
  <si>
    <t>MIRITI - PARANA</t>
  </si>
  <si>
    <t>PUERTO ALEGRIA</t>
  </si>
  <si>
    <t>PUERTO ARICA</t>
  </si>
  <si>
    <t>PUERTO NARIÑO</t>
  </si>
  <si>
    <t>TARAPACA</t>
  </si>
  <si>
    <t>ARGELIA</t>
  </si>
  <si>
    <t>TERRESTRE</t>
  </si>
  <si>
    <t>BARBOSA</t>
  </si>
  <si>
    <t>BETULIA</t>
  </si>
  <si>
    <t>BRICEÑO</t>
  </si>
  <si>
    <t>CONCEPCION</t>
  </si>
  <si>
    <t>GUADALUPE</t>
  </si>
  <si>
    <t>JERICO</t>
  </si>
  <si>
    <t>LA UNION</t>
  </si>
  <si>
    <t>RIONEGRO</t>
  </si>
  <si>
    <t>SABANALARGA</t>
  </si>
  <si>
    <t>SAN CARLOS</t>
  </si>
  <si>
    <t>SAN FRANCISCO</t>
  </si>
  <si>
    <t>SAN LUIS</t>
  </si>
  <si>
    <t>SAN PEDRO DE LOS MILAGROS</t>
  </si>
  <si>
    <t>SANTA BARBARA</t>
  </si>
  <si>
    <t>TOLEDO</t>
  </si>
  <si>
    <t>VALPARAISO</t>
  </si>
  <si>
    <t>VENECIA</t>
  </si>
  <si>
    <t>ABEJORRAL</t>
  </si>
  <si>
    <t>ABRIAQUI</t>
  </si>
  <si>
    <t>ALEJANDRIA</t>
  </si>
  <si>
    <t>AMAGA</t>
  </si>
  <si>
    <t>AMALFI</t>
  </si>
  <si>
    <t>ANDES</t>
  </si>
  <si>
    <t>ANGELOPOLIS</t>
  </si>
  <si>
    <t>ANGOSTURA</t>
  </si>
  <si>
    <t>ANORI</t>
  </si>
  <si>
    <t>ANZA</t>
  </si>
  <si>
    <t>ARBOLETES</t>
  </si>
  <si>
    <t>BELMIRA</t>
  </si>
  <si>
    <t>BETANIA</t>
  </si>
  <si>
    <t>BURITICA</t>
  </si>
  <si>
    <t>CACERES</t>
  </si>
  <si>
    <t>CAICEDO</t>
  </si>
  <si>
    <t>CAMPAMENTO</t>
  </si>
  <si>
    <t>CAÑASGORDAS</t>
  </si>
  <si>
    <t>CARACOLI</t>
  </si>
  <si>
    <t>CARAMANTA</t>
  </si>
  <si>
    <t>CAREPA</t>
  </si>
  <si>
    <t>CAROLINA</t>
  </si>
  <si>
    <t>CAUCASIA</t>
  </si>
  <si>
    <t>CHIGORODO</t>
  </si>
  <si>
    <t>CISNEROS</t>
  </si>
  <si>
    <t>CIUDAD BOLIVAR</t>
  </si>
  <si>
    <t>COCORNA</t>
  </si>
  <si>
    <t>COPACABANA</t>
  </si>
  <si>
    <t>DABEIBA</t>
  </si>
  <si>
    <t>DON MATIAS</t>
  </si>
  <si>
    <t>EBEJICO</t>
  </si>
  <si>
    <t>EL BAGRE</t>
  </si>
  <si>
    <t>EL SANTUARIO</t>
  </si>
  <si>
    <t>ENTRERRIOS</t>
  </si>
  <si>
    <t>ENVIGADO</t>
  </si>
  <si>
    <t>FREDONIA</t>
  </si>
  <si>
    <t>FRONTINO</t>
  </si>
  <si>
    <t>GIRALDO</t>
  </si>
  <si>
    <t>GIRARDOTA</t>
  </si>
  <si>
    <t>GOMEZ PLATA</t>
  </si>
  <si>
    <t>GUARNE</t>
  </si>
  <si>
    <t>GUATAPE</t>
  </si>
  <si>
    <t>HELICONIA</t>
  </si>
  <si>
    <t>HISPANIA</t>
  </si>
  <si>
    <t>ITUANGO</t>
  </si>
  <si>
    <t>JARDIN</t>
  </si>
  <si>
    <t>LA CEJA</t>
  </si>
  <si>
    <t>LA ESTRELLA</t>
  </si>
  <si>
    <t>LA PINTADA</t>
  </si>
  <si>
    <t>LIBORINA</t>
  </si>
  <si>
    <t>MACEO</t>
  </si>
  <si>
    <t>MARINILLA</t>
  </si>
  <si>
    <t>MONTEBELLO</t>
  </si>
  <si>
    <t>MURINDO</t>
  </si>
  <si>
    <t>FLUVIAL</t>
  </si>
  <si>
    <t>MUTATA</t>
  </si>
  <si>
    <t>NECHI</t>
  </si>
  <si>
    <t>OLAYA</t>
  </si>
  <si>
    <t>PEÑOL</t>
  </si>
  <si>
    <t>PEQUE</t>
  </si>
  <si>
    <t>PUEBLORRICO</t>
  </si>
  <si>
    <t>PUERTO BERRIO</t>
  </si>
  <si>
    <t>PUERTO NARE</t>
  </si>
  <si>
    <t>PUERTO TRIUNFO</t>
  </si>
  <si>
    <t>REMEDIOS</t>
  </si>
  <si>
    <t>RETIRO</t>
  </si>
  <si>
    <t>SABANETA</t>
  </si>
  <si>
    <t>SALGAR</t>
  </si>
  <si>
    <t>SAN ANDRES DE CUERQUIA</t>
  </si>
  <si>
    <t>SAN JOSE DE LA MONTAÑA</t>
  </si>
  <si>
    <t>SAN JUAN DE URABA</t>
  </si>
  <si>
    <t>SAN PEDRO DE URABA</t>
  </si>
  <si>
    <t>SAN RAFAEL</t>
  </si>
  <si>
    <t>SAN ROQUE</t>
  </si>
  <si>
    <t>SAN VICENTE</t>
  </si>
  <si>
    <t>SANTA FE DE ANTIOQUIA</t>
  </si>
  <si>
    <t>SANTA ROSA DE OSOS</t>
  </si>
  <si>
    <t>SANTO DOMINGO</t>
  </si>
  <si>
    <t>SEGOVIA</t>
  </si>
  <si>
    <t>SONSON</t>
  </si>
  <si>
    <t>SOPETRAN</t>
  </si>
  <si>
    <t>TAMESIS</t>
  </si>
  <si>
    <t>TARAZA</t>
  </si>
  <si>
    <t>TARSO</t>
  </si>
  <si>
    <t>TITIRIBI</t>
  </si>
  <si>
    <t>TURBO</t>
  </si>
  <si>
    <t>URAMITA</t>
  </si>
  <si>
    <t>URRAO</t>
  </si>
  <si>
    <t>VALDIVIA</t>
  </si>
  <si>
    <t>VEGACHI</t>
  </si>
  <si>
    <t>VIGIA DEL FUERTE</t>
  </si>
  <si>
    <t>YALI</t>
  </si>
  <si>
    <t>YARUMAL</t>
  </si>
  <si>
    <t>YOLOMBO</t>
  </si>
  <si>
    <t>YONDO</t>
  </si>
  <si>
    <t>ZARAGOZA</t>
  </si>
  <si>
    <t>ARAUQUITA</t>
  </si>
  <si>
    <t>CRAVO NORTE</t>
  </si>
  <si>
    <t>FORTUL</t>
  </si>
  <si>
    <t>PUERTO RONDON</t>
  </si>
  <si>
    <t>SARAVENA</t>
  </si>
  <si>
    <t>TAME</t>
  </si>
  <si>
    <t>CANDELARIA</t>
  </si>
  <si>
    <t>PUERTO COLOMBIA</t>
  </si>
  <si>
    <t>BARANOA</t>
  </si>
  <si>
    <t>CAMPO DE LA CRUZ</t>
  </si>
  <si>
    <t>GALAPA</t>
  </si>
  <si>
    <t>JUAN DE ACOSTA</t>
  </si>
  <si>
    <t>LURUACO</t>
  </si>
  <si>
    <t>MANATI</t>
  </si>
  <si>
    <t>PALMAR DE VARELA</t>
  </si>
  <si>
    <t>PIOJO</t>
  </si>
  <si>
    <t>POLONUEVO</t>
  </si>
  <si>
    <t>PONEDERA</t>
  </si>
  <si>
    <t>REPELON</t>
  </si>
  <si>
    <t>SABANAGRANDE</t>
  </si>
  <si>
    <t>SANTA LUCIA</t>
  </si>
  <si>
    <t>SANTO TOMAS</t>
  </si>
  <si>
    <t>SOLEDAD</t>
  </si>
  <si>
    <t>SUAN</t>
  </si>
  <si>
    <t>TUBARA</t>
  </si>
  <si>
    <t>USIACURI</t>
  </si>
  <si>
    <t>CALAMAR</t>
  </si>
  <si>
    <t>EL PEÑON</t>
  </si>
  <si>
    <t>SAN PABLO</t>
  </si>
  <si>
    <t>TERRESTRE/FLUVIAL</t>
  </si>
  <si>
    <t>SANTA ROSA</t>
  </si>
  <si>
    <t>VILLANUEVA</t>
  </si>
  <si>
    <t>ACHI</t>
  </si>
  <si>
    <t>ALTOS DEL ROSARIO</t>
  </si>
  <si>
    <t>ARENAL</t>
  </si>
  <si>
    <t>ARJONA</t>
  </si>
  <si>
    <t>ARROYOHONDO</t>
  </si>
  <si>
    <t>BARRANCO DE LOBA</t>
  </si>
  <si>
    <t>CANTAGALLO</t>
  </si>
  <si>
    <t>CICUCO</t>
  </si>
  <si>
    <t>CLEMENCIA</t>
  </si>
  <si>
    <t>EL CARMEN DE BOLIVAR</t>
  </si>
  <si>
    <t>EL GUAMO</t>
  </si>
  <si>
    <t>HATILLO DE LOBA</t>
  </si>
  <si>
    <t>MAGANGUE</t>
  </si>
  <si>
    <t>MAHATES</t>
  </si>
  <si>
    <t>MARGARITA</t>
  </si>
  <si>
    <t>MARIA LA BAJA</t>
  </si>
  <si>
    <t>MOMPOS</t>
  </si>
  <si>
    <t>MONTECRISTO</t>
  </si>
  <si>
    <t>NOROSI</t>
  </si>
  <si>
    <t>PINILLOS</t>
  </si>
  <si>
    <t>RIO VIEJO</t>
  </si>
  <si>
    <t>SAN CRISTOBAL</t>
  </si>
  <si>
    <t>SAN ESTANISLAO</t>
  </si>
  <si>
    <t>SAN FERNANDO</t>
  </si>
  <si>
    <t>SAN JACINTO</t>
  </si>
  <si>
    <t>SAN JACINTO DEL CAUCA</t>
  </si>
  <si>
    <t>SAN JUAN NEPOMUCENO</t>
  </si>
  <si>
    <t>SAN MARTIN DE LOBA</t>
  </si>
  <si>
    <t>SANTA CATALINA</t>
  </si>
  <si>
    <t>SANTA ROSA DEL SUR</t>
  </si>
  <si>
    <t>SIMITI</t>
  </si>
  <si>
    <t>SOPLAVIENTO</t>
  </si>
  <si>
    <t>TALAIGUA NUEVO</t>
  </si>
  <si>
    <t>TIQUISIO</t>
  </si>
  <si>
    <t>TURBACO</t>
  </si>
  <si>
    <t>TURBANA</t>
  </si>
  <si>
    <t>ZAMBRANO</t>
  </si>
  <si>
    <t>BELEN</t>
  </si>
  <si>
    <t>BUENAVISTA</t>
  </si>
  <si>
    <t>CIENAGA</t>
  </si>
  <si>
    <t>MIRAFLORES</t>
  </si>
  <si>
    <t>PAEZ</t>
  </si>
  <si>
    <t>SANTA MARIA</t>
  </si>
  <si>
    <t>ALMEIDA</t>
  </si>
  <si>
    <t>AQUITANIA</t>
  </si>
  <si>
    <t>ARCABUCO</t>
  </si>
  <si>
    <t>BERBEO</t>
  </si>
  <si>
    <t>BETEITIVA</t>
  </si>
  <si>
    <t>BOAVITA</t>
  </si>
  <si>
    <t>BUSBANZA</t>
  </si>
  <si>
    <t>CAMPOHERMOSO</t>
  </si>
  <si>
    <t>CERINZA</t>
  </si>
  <si>
    <t>CHINAVITA</t>
  </si>
  <si>
    <t>CHIQUINQUIRA</t>
  </si>
  <si>
    <t>CHIQUIZA</t>
  </si>
  <si>
    <t>CHISCAS</t>
  </si>
  <si>
    <t>CHITA</t>
  </si>
  <si>
    <t>CHITARAQUE</t>
  </si>
  <si>
    <t>CHIVATA</t>
  </si>
  <si>
    <t>CHIVOR</t>
  </si>
  <si>
    <t>COMBITA</t>
  </si>
  <si>
    <t>COPER</t>
  </si>
  <si>
    <t>CORRALES</t>
  </si>
  <si>
    <t>COVARACHIA</t>
  </si>
  <si>
    <t>CUBARA</t>
  </si>
  <si>
    <t>CUCAITA</t>
  </si>
  <si>
    <t>CUITIVA</t>
  </si>
  <si>
    <t>EL COCUY</t>
  </si>
  <si>
    <t>EL ESPINO</t>
  </si>
  <si>
    <t>FIRAVITOBA</t>
  </si>
  <si>
    <t>FLORESTA</t>
  </si>
  <si>
    <t>GACHANTIVA</t>
  </si>
  <si>
    <t>GAMEZA</t>
  </si>
  <si>
    <t>GARAGOA</t>
  </si>
  <si>
    <t>GUACAMAYAS</t>
  </si>
  <si>
    <t>GUATEQUE</t>
  </si>
  <si>
    <t>GUAYATA</t>
  </si>
  <si>
    <t>GUICAN</t>
  </si>
  <si>
    <t>IZA</t>
  </si>
  <si>
    <t>JENESANO</t>
  </si>
  <si>
    <t>LA CAPILLA</t>
  </si>
  <si>
    <t>LA UVITA</t>
  </si>
  <si>
    <t>LABRANZAGRANDE</t>
  </si>
  <si>
    <t>MACANAL</t>
  </si>
  <si>
    <t>MARIPI</t>
  </si>
  <si>
    <t>MONGUA</t>
  </si>
  <si>
    <t>MONGUI</t>
  </si>
  <si>
    <t>MONIQUIRA</t>
  </si>
  <si>
    <t>MOTAVITA</t>
  </si>
  <si>
    <t>MUZO</t>
  </si>
  <si>
    <t>NOBSA</t>
  </si>
  <si>
    <t>NUEVO COLON</t>
  </si>
  <si>
    <t>OICATA</t>
  </si>
  <si>
    <t>OTANCHE</t>
  </si>
  <si>
    <t>PACHAVITA</t>
  </si>
  <si>
    <t>PAIPA</t>
  </si>
  <si>
    <t>PAJARITO</t>
  </si>
  <si>
    <t>YOPAL</t>
  </si>
  <si>
    <t>PANQUEBA</t>
  </si>
  <si>
    <t>PAUNA</t>
  </si>
  <si>
    <t>PAYA</t>
  </si>
  <si>
    <t>PAZ DE RIO</t>
  </si>
  <si>
    <t>PESCA</t>
  </si>
  <si>
    <t>PISBA</t>
  </si>
  <si>
    <t>PUERTO BOYACA</t>
  </si>
  <si>
    <t>QUIPAMA</t>
  </si>
  <si>
    <t>RAMIRIQUI</t>
  </si>
  <si>
    <t>RAQUIRA</t>
  </si>
  <si>
    <t>RONDON</t>
  </si>
  <si>
    <t>SABOYA</t>
  </si>
  <si>
    <t>SACHICA</t>
  </si>
  <si>
    <t>SAMACA</t>
  </si>
  <si>
    <t>SAN EDUARDO</t>
  </si>
  <si>
    <t>SAN JOSE DE PARE</t>
  </si>
  <si>
    <t>SAN MATEO</t>
  </si>
  <si>
    <t>SAN MIGUEL DE SEMA</t>
  </si>
  <si>
    <t>SAN PABLO DE BORBUR</t>
  </si>
  <si>
    <t>SANTA ROSA DE VITERBO</t>
  </si>
  <si>
    <t>SANTA SOFIA</t>
  </si>
  <si>
    <t>SANTANA</t>
  </si>
  <si>
    <t>SATIVANORTE</t>
  </si>
  <si>
    <t>SATIVASUR</t>
  </si>
  <si>
    <t>SIACHOQUE</t>
  </si>
  <si>
    <t>SOATA</t>
  </si>
  <si>
    <t>SOCHA</t>
  </si>
  <si>
    <t>SOCOTA</t>
  </si>
  <si>
    <t>SOMONDOCO</t>
  </si>
  <si>
    <t>SORA</t>
  </si>
  <si>
    <t>SORACA</t>
  </si>
  <si>
    <t>SOTAQUIRA</t>
  </si>
  <si>
    <t>SUSACON</t>
  </si>
  <si>
    <t>SUTAMARCHAN</t>
  </si>
  <si>
    <t>SUTATENZA</t>
  </si>
  <si>
    <t>TASCO</t>
  </si>
  <si>
    <t>TENZA</t>
  </si>
  <si>
    <t>TIBANA</t>
  </si>
  <si>
    <t>TIBASOSA</t>
  </si>
  <si>
    <t>TINJACA</t>
  </si>
  <si>
    <t>TIPACOQUE</t>
  </si>
  <si>
    <t>TOCA</t>
  </si>
  <si>
    <t>TOGÜI</t>
  </si>
  <si>
    <t>TOPAGA</t>
  </si>
  <si>
    <t>TOTA</t>
  </si>
  <si>
    <t>TUNUNGUA</t>
  </si>
  <si>
    <t>TURMEQUE</t>
  </si>
  <si>
    <t>TUTA</t>
  </si>
  <si>
    <t>TUTAZA</t>
  </si>
  <si>
    <t>UMBITA</t>
  </si>
  <si>
    <t>VENTAQUEMADA</t>
  </si>
  <si>
    <t>VILLA DE LEYVA</t>
  </si>
  <si>
    <t>VIRACACHA</t>
  </si>
  <si>
    <t>ZETAQUIRA</t>
  </si>
  <si>
    <t>PALESTINA</t>
  </si>
  <si>
    <t>RIOSUCIO</t>
  </si>
  <si>
    <t>SALAMINA</t>
  </si>
  <si>
    <t>AGUADAS</t>
  </si>
  <si>
    <t>ANSERMA</t>
  </si>
  <si>
    <t>ARANZAZU</t>
  </si>
  <si>
    <t>BELALCAZAR</t>
  </si>
  <si>
    <t>CHINCHINA</t>
  </si>
  <si>
    <t>FILADELFIA</t>
  </si>
  <si>
    <t>LA DORADA</t>
  </si>
  <si>
    <t>LA MERCED</t>
  </si>
  <si>
    <t>MANZANARES</t>
  </si>
  <si>
    <t>MARMATO</t>
  </si>
  <si>
    <t>MARQUETALIA</t>
  </si>
  <si>
    <t>MARULANDA</t>
  </si>
  <si>
    <t>NEIRA</t>
  </si>
  <si>
    <t>NORCASIA</t>
  </si>
  <si>
    <t>PACORA</t>
  </si>
  <si>
    <t>PENSILVANIA</t>
  </si>
  <si>
    <t>SAMANA</t>
  </si>
  <si>
    <t>SAN JOSE</t>
  </si>
  <si>
    <t>VICTORIA</t>
  </si>
  <si>
    <t>VILLAMARIA</t>
  </si>
  <si>
    <t>VITERBO</t>
  </si>
  <si>
    <t>ALBANIA</t>
  </si>
  <si>
    <t>PUERTO RICO</t>
  </si>
  <si>
    <t>BELEN DE LOS ANDAQUIES</t>
  </si>
  <si>
    <t>CURILLO</t>
  </si>
  <si>
    <t>EL DONCELLO</t>
  </si>
  <si>
    <t>EL PAUJIL</t>
  </si>
  <si>
    <t>LA MONTAÑITA</t>
  </si>
  <si>
    <t>MORELIA</t>
  </si>
  <si>
    <t>SAN JOSE DEL FRAGUA</t>
  </si>
  <si>
    <t>SAN VICENTE DEL CAGUAN</t>
  </si>
  <si>
    <t>TERRESTRE / AEREO</t>
  </si>
  <si>
    <t>SOLANO</t>
  </si>
  <si>
    <t>SOLITA</t>
  </si>
  <si>
    <t>CASANARE</t>
  </si>
  <si>
    <t>AGUAZUL</t>
  </si>
  <si>
    <t>CHAMEZA</t>
  </si>
  <si>
    <t>HATO COROZAL</t>
  </si>
  <si>
    <t>LA SALINA</t>
  </si>
  <si>
    <t>MANI</t>
  </si>
  <si>
    <t>MONTERREY</t>
  </si>
  <si>
    <t>NUNCHIA</t>
  </si>
  <si>
    <t>OROCUE</t>
  </si>
  <si>
    <t>PAZ DE ARIPORO</t>
  </si>
  <si>
    <t>PORE</t>
  </si>
  <si>
    <t>RECETOR</t>
  </si>
  <si>
    <t>SACAMA</t>
  </si>
  <si>
    <t>SAN LUIS DE PALENQUE</t>
  </si>
  <si>
    <t>TAMARA</t>
  </si>
  <si>
    <t>TAURAMENA</t>
  </si>
  <si>
    <t>TRINIDAD</t>
  </si>
  <si>
    <t>BALBOA</t>
  </si>
  <si>
    <t>EL TAMBO</t>
  </si>
  <si>
    <t>LA VEGA</t>
  </si>
  <si>
    <t>SUAREZ</t>
  </si>
  <si>
    <t>SUCRE</t>
  </si>
  <si>
    <t>ALMAGUER</t>
  </si>
  <si>
    <t>BUENOS AIRES</t>
  </si>
  <si>
    <t>CAJIBIO</t>
  </si>
  <si>
    <t>CALDONO</t>
  </si>
  <si>
    <t>CALOTO</t>
  </si>
  <si>
    <t>CORINTO</t>
  </si>
  <si>
    <t>GUACHENE</t>
  </si>
  <si>
    <t>GUAPI</t>
  </si>
  <si>
    <t>INZA</t>
  </si>
  <si>
    <t>JAMBALO</t>
  </si>
  <si>
    <t>LA SIERRA</t>
  </si>
  <si>
    <t>LOPEZ</t>
  </si>
  <si>
    <t>MERCADERES</t>
  </si>
  <si>
    <t>MIRANDA</t>
  </si>
  <si>
    <t>PADILLA</t>
  </si>
  <si>
    <t>PIAMONTE</t>
  </si>
  <si>
    <t>PIENDAMO</t>
  </si>
  <si>
    <t>PURACE</t>
  </si>
  <si>
    <t>ROSAS</t>
  </si>
  <si>
    <t>SAN SEBASTIAN</t>
  </si>
  <si>
    <t>SANTANDER DE QUILICHAO</t>
  </si>
  <si>
    <t>SILVIA</t>
  </si>
  <si>
    <t>SOTARA</t>
  </si>
  <si>
    <t>TIMBIO</t>
  </si>
  <si>
    <t>TIMBIQUI</t>
  </si>
  <si>
    <t>TORIBIO</t>
  </si>
  <si>
    <t>TOTORO</t>
  </si>
  <si>
    <t>VILLA RICA</t>
  </si>
  <si>
    <t>LA PAZ</t>
  </si>
  <si>
    <t>MANAURE</t>
  </si>
  <si>
    <t>SAN MARTIN</t>
  </si>
  <si>
    <t>AGUACHICA</t>
  </si>
  <si>
    <t>AGUSTIN CODAZZI</t>
  </si>
  <si>
    <t>ASTREA</t>
  </si>
  <si>
    <t>BECERRIL</t>
  </si>
  <si>
    <t>BOSCONIA</t>
  </si>
  <si>
    <t>CHIMICHAGUA</t>
  </si>
  <si>
    <t>CHIRIGUANA</t>
  </si>
  <si>
    <t>CURUMANI</t>
  </si>
  <si>
    <t>EL COPEY</t>
  </si>
  <si>
    <t>EL PASO</t>
  </si>
  <si>
    <t>GAMARRA</t>
  </si>
  <si>
    <t>GONZALEZ</t>
  </si>
  <si>
    <t>LA GLORIA</t>
  </si>
  <si>
    <t>LA JAGUA DE IBIRICO</t>
  </si>
  <si>
    <t>PELAYA</t>
  </si>
  <si>
    <t>PUEBLO BELLO</t>
  </si>
  <si>
    <t>RIO DE ORO</t>
  </si>
  <si>
    <t>SAN ALBERTO</t>
  </si>
  <si>
    <t>SAN DIEGO</t>
  </si>
  <si>
    <t>TAMALAMEQUE</t>
  </si>
  <si>
    <t>ACANDI</t>
  </si>
  <si>
    <t>ALTO BAUDO</t>
  </si>
  <si>
    <t>ATRATO</t>
  </si>
  <si>
    <t>BAGADO</t>
  </si>
  <si>
    <t>BAHIA SOLANO</t>
  </si>
  <si>
    <t>BAJO BAUDO</t>
  </si>
  <si>
    <t>BELEN DE BAJIRA</t>
  </si>
  <si>
    <t>BOJAYA</t>
  </si>
  <si>
    <t>CARMEN DEL DARIEN</t>
  </si>
  <si>
    <t>CERTEGUI</t>
  </si>
  <si>
    <t>EL CANTON DEL SAN PABLO</t>
  </si>
  <si>
    <t>EL CARMEN DE ATRATO</t>
  </si>
  <si>
    <t>EL LITORAL DEL SAN JUAN</t>
  </si>
  <si>
    <t>TERRESTRE / FLUVIAL</t>
  </si>
  <si>
    <t>ISTMINA</t>
  </si>
  <si>
    <t>JURADO</t>
  </si>
  <si>
    <t>LLORO</t>
  </si>
  <si>
    <t>MEDIO ATRATO</t>
  </si>
  <si>
    <t>MEDIO BAUDO</t>
  </si>
  <si>
    <t>MEDIO SAN JUAN</t>
  </si>
  <si>
    <t>NOVITA</t>
  </si>
  <si>
    <t>NUQUI</t>
  </si>
  <si>
    <t>QUIBDO</t>
  </si>
  <si>
    <t>RIO IRO</t>
  </si>
  <si>
    <t>RIO QUITO</t>
  </si>
  <si>
    <t>SAN JOSE DEL PALMAR</t>
  </si>
  <si>
    <t>SIPI</t>
  </si>
  <si>
    <t>TADO</t>
  </si>
  <si>
    <t>UNGUIA</t>
  </si>
  <si>
    <t>UNION PANAMERICANA</t>
  </si>
  <si>
    <t>CHIMA</t>
  </si>
  <si>
    <t>CANALETE</t>
  </si>
  <si>
    <t>CERETE</t>
  </si>
  <si>
    <t>CHINU</t>
  </si>
  <si>
    <t>CIENAGA DE ORO</t>
  </si>
  <si>
    <t>COTORRA</t>
  </si>
  <si>
    <t>LA APARTADA</t>
  </si>
  <si>
    <t>LORICA</t>
  </si>
  <si>
    <t>LOS CORDOBAS</t>
  </si>
  <si>
    <t>MOMIL</t>
  </si>
  <si>
    <t>MONTELIBANO</t>
  </si>
  <si>
    <t>PLANETA RICA</t>
  </si>
  <si>
    <t>PUEBLO NUEVO</t>
  </si>
  <si>
    <t>PUERTO ESCONDIDO</t>
  </si>
  <si>
    <t>PUERTO LIBERTADOR</t>
  </si>
  <si>
    <t>PURISIMA</t>
  </si>
  <si>
    <t>SAHAGUN</t>
  </si>
  <si>
    <t>SAN ANDRES SOTAVENTO</t>
  </si>
  <si>
    <t>SAN ANTERO</t>
  </si>
  <si>
    <t>SAN BERNARDO DEL VIENTO</t>
  </si>
  <si>
    <t>SAN PELAYO</t>
  </si>
  <si>
    <t>VALENCIA</t>
  </si>
  <si>
    <t>CABRERA</t>
  </si>
  <si>
    <t>MOSQUERA</t>
  </si>
  <si>
    <t>RICAURTE</t>
  </si>
  <si>
    <t>SAN BERNARDO</t>
  </si>
  <si>
    <t>SAN CAYETANO</t>
  </si>
  <si>
    <t>AGUA DE DIOS</t>
  </si>
  <si>
    <t>ANAPOIMA</t>
  </si>
  <si>
    <t>ANOLAIMA</t>
  </si>
  <si>
    <t>APULO</t>
  </si>
  <si>
    <t>ARBELAEZ</t>
  </si>
  <si>
    <t>BELTRAN</t>
  </si>
  <si>
    <t>BITUIMA</t>
  </si>
  <si>
    <t>BOJACA</t>
  </si>
  <si>
    <t>CACHIPAY</t>
  </si>
  <si>
    <t>CAJICA</t>
  </si>
  <si>
    <t>CAPARRAPI</t>
  </si>
  <si>
    <t>CAQUEZA</t>
  </si>
  <si>
    <t>CARMEN DE CARUPA</t>
  </si>
  <si>
    <t>CHAGUANI</t>
  </si>
  <si>
    <t>CHIA</t>
  </si>
  <si>
    <t>CHIPAQUE</t>
  </si>
  <si>
    <t>CHOACHI</t>
  </si>
  <si>
    <t>CHOCONTA</t>
  </si>
  <si>
    <t>COGUA</t>
  </si>
  <si>
    <t>CUCUNUBA</t>
  </si>
  <si>
    <t>EL COLEGIO</t>
  </si>
  <si>
    <t>EL ROSAL</t>
  </si>
  <si>
    <t>FACATATIVA</t>
  </si>
  <si>
    <t>FOMEQUE</t>
  </si>
  <si>
    <t>FOSCA</t>
  </si>
  <si>
    <t>FUQUENE</t>
  </si>
  <si>
    <t>FUSAGASUGA</t>
  </si>
  <si>
    <t>GACHALA</t>
  </si>
  <si>
    <t>GACHANCIPA</t>
  </si>
  <si>
    <t>GACHETA</t>
  </si>
  <si>
    <t>GAMA</t>
  </si>
  <si>
    <t>GIRARDOT</t>
  </si>
  <si>
    <t>GUACHETA</t>
  </si>
  <si>
    <t>GUADUAS</t>
  </si>
  <si>
    <t>GUASCA</t>
  </si>
  <si>
    <t>GUATAQUI</t>
  </si>
  <si>
    <t>GUATAVITA</t>
  </si>
  <si>
    <t>GUAYABAL DE SIQUIMA</t>
  </si>
  <si>
    <t>GUAYABETAL</t>
  </si>
  <si>
    <t>GUTIERREZ</t>
  </si>
  <si>
    <t>JERUSALEN</t>
  </si>
  <si>
    <t>JUNIN</t>
  </si>
  <si>
    <t>LA CALERA</t>
  </si>
  <si>
    <t>LA PALMA</t>
  </si>
  <si>
    <t>LA PEÑA</t>
  </si>
  <si>
    <t>LENGUAZAQUE</t>
  </si>
  <si>
    <t>MACHETA</t>
  </si>
  <si>
    <t>MADRID</t>
  </si>
  <si>
    <t>MANTA</t>
  </si>
  <si>
    <t>MEDINA</t>
  </si>
  <si>
    <t>NEMOCON</t>
  </si>
  <si>
    <t>NILO</t>
  </si>
  <si>
    <t>NIMAIMA</t>
  </si>
  <si>
    <t>NOCAIMA</t>
  </si>
  <si>
    <t>PACHO</t>
  </si>
  <si>
    <t>PAIME</t>
  </si>
  <si>
    <t>PANDI</t>
  </si>
  <si>
    <t>PARATEBUENO</t>
  </si>
  <si>
    <t>PASCA</t>
  </si>
  <si>
    <t>PUERTO SALGAR</t>
  </si>
  <si>
    <t>PULI</t>
  </si>
  <si>
    <t>QUEBRADANEGRA</t>
  </si>
  <si>
    <t>QUETAME</t>
  </si>
  <si>
    <t>QUIPILE</t>
  </si>
  <si>
    <t>SAN ANTONIO DEL TEQUENDAMA</t>
  </si>
  <si>
    <t>SAN JUAN DE RIO SECO</t>
  </si>
  <si>
    <t>SASAIMA</t>
  </si>
  <si>
    <t>SESQUILE</t>
  </si>
  <si>
    <t>SIBATE</t>
  </si>
  <si>
    <t>SILVANIA</t>
  </si>
  <si>
    <t>SIMIJACA</t>
  </si>
  <si>
    <t>SOPO</t>
  </si>
  <si>
    <t>SUBACHOQUE</t>
  </si>
  <si>
    <t>SUESCA</t>
  </si>
  <si>
    <t>SUPATA</t>
  </si>
  <si>
    <t>SUSA</t>
  </si>
  <si>
    <t>SUTATAUSA</t>
  </si>
  <si>
    <t>TABIO</t>
  </si>
  <si>
    <t>TAUSA</t>
  </si>
  <si>
    <t>TENA</t>
  </si>
  <si>
    <t>TENJO</t>
  </si>
  <si>
    <t>TIBACUY</t>
  </si>
  <si>
    <t>TIBIRITA</t>
  </si>
  <si>
    <t>TOCAIMA</t>
  </si>
  <si>
    <t>TOCANCIPA</t>
  </si>
  <si>
    <t>TOPAIPI</t>
  </si>
  <si>
    <t>UBALA</t>
  </si>
  <si>
    <t>UBAQUE</t>
  </si>
  <si>
    <t>UNE</t>
  </si>
  <si>
    <t>UTICA</t>
  </si>
  <si>
    <t>VERGARA</t>
  </si>
  <si>
    <t>VIANI</t>
  </si>
  <si>
    <t>VILLA DE SAN DIEGO DE UBATE</t>
  </si>
  <si>
    <t>VILLAGOMEZ</t>
  </si>
  <si>
    <t>VILLAPINZON</t>
  </si>
  <si>
    <t>VILLETA</t>
  </si>
  <si>
    <t>VIOTA</t>
  </si>
  <si>
    <t>YACOPI</t>
  </si>
  <si>
    <t>ZIPACON</t>
  </si>
  <si>
    <t>GUAINIA</t>
  </si>
  <si>
    <t>BARRANCO MINAS</t>
  </si>
  <si>
    <t>CACAHUAL</t>
  </si>
  <si>
    <t>INIRIDA</t>
  </si>
  <si>
    <t>LA GUADALUPE</t>
  </si>
  <si>
    <t>MAPIRIPANA</t>
  </si>
  <si>
    <t>MORICHAL</t>
  </si>
  <si>
    <t>PANA PANA</t>
  </si>
  <si>
    <t>SAN FELIPE</t>
  </si>
  <si>
    <t>GUAVIARE</t>
  </si>
  <si>
    <t>EL RETORNO</t>
  </si>
  <si>
    <t>SAN JOSE DEL GUAVIARE</t>
  </si>
  <si>
    <t>ACEVEDO</t>
  </si>
  <si>
    <t>AGRADO</t>
  </si>
  <si>
    <t>AIPE</t>
  </si>
  <si>
    <t>ALGECIRAS</t>
  </si>
  <si>
    <t>ALTAMIRA</t>
  </si>
  <si>
    <t>BARAYA</t>
  </si>
  <si>
    <t>CAMPOALEGRE</t>
  </si>
  <si>
    <t>COLOMBIA</t>
  </si>
  <si>
    <t>ELIAS</t>
  </si>
  <si>
    <t>GARZON</t>
  </si>
  <si>
    <t>GIGANTE</t>
  </si>
  <si>
    <t>HOBO</t>
  </si>
  <si>
    <t>IQUIRA</t>
  </si>
  <si>
    <t>ISNOS</t>
  </si>
  <si>
    <t>LA ARGENTINA</t>
  </si>
  <si>
    <t>LA PLATA</t>
  </si>
  <si>
    <t>NATAGA</t>
  </si>
  <si>
    <t>OPORAPA</t>
  </si>
  <si>
    <t>PAICOL</t>
  </si>
  <si>
    <t>PALERMO</t>
  </si>
  <si>
    <t>PITAL</t>
  </si>
  <si>
    <t>PITALITO</t>
  </si>
  <si>
    <t>RIVERA</t>
  </si>
  <si>
    <t>SALADOBLANCO</t>
  </si>
  <si>
    <t>SAN AGUSTIN</t>
  </si>
  <si>
    <t>SUAZA</t>
  </si>
  <si>
    <t>TARQUI</t>
  </si>
  <si>
    <t>TELLO</t>
  </si>
  <si>
    <t>TERUEL</t>
  </si>
  <si>
    <t>TESALIA</t>
  </si>
  <si>
    <t>TIMANA</t>
  </si>
  <si>
    <t>VILLAVIEJA</t>
  </si>
  <si>
    <t>YAGUARA</t>
  </si>
  <si>
    <t>BARRANCAS</t>
  </si>
  <si>
    <t>DIBULLA</t>
  </si>
  <si>
    <t>DISTRACCION</t>
  </si>
  <si>
    <t>EL MOLINO</t>
  </si>
  <si>
    <t>FONSECA</t>
  </si>
  <si>
    <t>HATONUEVO</t>
  </si>
  <si>
    <t>LA JAGUA DEL PILAR</t>
  </si>
  <si>
    <t>MAICAO</t>
  </si>
  <si>
    <t>SAN JUAN DEL CESAR</t>
  </si>
  <si>
    <t>URIBIA</t>
  </si>
  <si>
    <t>URUMITA</t>
  </si>
  <si>
    <t>GUAMAL</t>
  </si>
  <si>
    <t>ALGARROBO</t>
  </si>
  <si>
    <t>ARACATACA</t>
  </si>
  <si>
    <t>ARIGUANI</t>
  </si>
  <si>
    <t>CERRO SAN ANTONIO</t>
  </si>
  <si>
    <t>CHIBOLO</t>
  </si>
  <si>
    <t>EL BANCO</t>
  </si>
  <si>
    <t>EL PIÑON</t>
  </si>
  <si>
    <t>EL RETEN</t>
  </si>
  <si>
    <t>FUNDACION</t>
  </si>
  <si>
    <t>NUEVA GRANADA</t>
  </si>
  <si>
    <t>PEDRAZA</t>
  </si>
  <si>
    <t>PIJIÑO DEL CARMEN</t>
  </si>
  <si>
    <t>PIVIJAY</t>
  </si>
  <si>
    <t>PLATO</t>
  </si>
  <si>
    <t>PUEBLOVIEJO</t>
  </si>
  <si>
    <t>REMOLINO</t>
  </si>
  <si>
    <t>SABANAS DE SAN ANGEL</t>
  </si>
  <si>
    <t>SAN SEBASTIAN DE BUENAVISTA</t>
  </si>
  <si>
    <t>SAN ZENON</t>
  </si>
  <si>
    <t>SANTA ANA</t>
  </si>
  <si>
    <t>SANTA BARBARA DE PINTO</t>
  </si>
  <si>
    <t>SITIONUEVO</t>
  </si>
  <si>
    <t>TENERIFE</t>
  </si>
  <si>
    <t>ZAPAYAN</t>
  </si>
  <si>
    <t>ZONA BANANERA</t>
  </si>
  <si>
    <t>RESTREPO</t>
  </si>
  <si>
    <t>BARRANCA DE UPIA</t>
  </si>
  <si>
    <t>CABUYARO</t>
  </si>
  <si>
    <t>CASTILLA LA NUEVA</t>
  </si>
  <si>
    <t>CUBARRAL</t>
  </si>
  <si>
    <t>CUMARAL</t>
  </si>
  <si>
    <t>EL CALVARIO</t>
  </si>
  <si>
    <t>EL CASTILLO</t>
  </si>
  <si>
    <t>EL DORADO</t>
  </si>
  <si>
    <t>LA MACARENA</t>
  </si>
  <si>
    <t>LEJANIAS</t>
  </si>
  <si>
    <t>MAPIRIPAN</t>
  </si>
  <si>
    <t>PUERTO CONCORDIA</t>
  </si>
  <si>
    <t>PUERTO GAITAN</t>
  </si>
  <si>
    <t>PUERTO LLERAS</t>
  </si>
  <si>
    <t>PUERTO LOPEZ</t>
  </si>
  <si>
    <t>SAN CARLOS DE GUAROA</t>
  </si>
  <si>
    <t>SAN JUAN DE ARAMA</t>
  </si>
  <si>
    <t>SAN JUANITO</t>
  </si>
  <si>
    <t>URIBE</t>
  </si>
  <si>
    <t>VISTAHERMOSA</t>
  </si>
  <si>
    <t>COLON</t>
  </si>
  <si>
    <t>PROVIDENCIA</t>
  </si>
  <si>
    <t>ALDANA</t>
  </si>
  <si>
    <t>ANCUYA</t>
  </si>
  <si>
    <t>ARBOLEDA</t>
  </si>
  <si>
    <t>CHACHAGUI</t>
  </si>
  <si>
    <t>CONSACA</t>
  </si>
  <si>
    <t>CONTADERO</t>
  </si>
  <si>
    <t>CUASPUD</t>
  </si>
  <si>
    <t>CUMBAL</t>
  </si>
  <si>
    <t>CUMBITARA</t>
  </si>
  <si>
    <t>EL CHARCO</t>
  </si>
  <si>
    <t>EL PEÑOL</t>
  </si>
  <si>
    <t>EL ROSARIO</t>
  </si>
  <si>
    <t>EL TABLON DE GOMEZ</t>
  </si>
  <si>
    <t>FRANCISCO PIZARRO</t>
  </si>
  <si>
    <t>FUNES</t>
  </si>
  <si>
    <t>GUACHUCAL</t>
  </si>
  <si>
    <t>GUAITARILLA</t>
  </si>
  <si>
    <t>GUALMATAN</t>
  </si>
  <si>
    <t>ILES</t>
  </si>
  <si>
    <t>IMUES</t>
  </si>
  <si>
    <t>LA CRUZ</t>
  </si>
  <si>
    <t>LA FLORIDA</t>
  </si>
  <si>
    <t>LA LLANADA</t>
  </si>
  <si>
    <t>LA TOLA</t>
  </si>
  <si>
    <t>LEIVA</t>
  </si>
  <si>
    <t>LINARES</t>
  </si>
  <si>
    <t>LOS ANDES</t>
  </si>
  <si>
    <t>MAGUI</t>
  </si>
  <si>
    <t>MALLAMA</t>
  </si>
  <si>
    <t>OLAYA HERRERA</t>
  </si>
  <si>
    <t>OSPINA</t>
  </si>
  <si>
    <t>POLICARPA</t>
  </si>
  <si>
    <t>POTOSI</t>
  </si>
  <si>
    <t>PUERRES</t>
  </si>
  <si>
    <t>PUPIALES</t>
  </si>
  <si>
    <t>ROBERTO PAYAN</t>
  </si>
  <si>
    <t>SAMANIEGO</t>
  </si>
  <si>
    <t>SAN ANDRES DE TUMACO</t>
  </si>
  <si>
    <t>SAN LORENZO</t>
  </si>
  <si>
    <t>SAN PEDRO DE CARTAGO</t>
  </si>
  <si>
    <t>SANDONA</t>
  </si>
  <si>
    <t>SANTACRUZ</t>
  </si>
  <si>
    <t>SAPUYES</t>
  </si>
  <si>
    <t>TAMINANGO</t>
  </si>
  <si>
    <t>TANGUA</t>
  </si>
  <si>
    <t>TUQUERRES</t>
  </si>
  <si>
    <t>YACUANQUER</t>
  </si>
  <si>
    <t>SANTIAGO</t>
  </si>
  <si>
    <t>ABREGO</t>
  </si>
  <si>
    <t>ARBOLEDAS</t>
  </si>
  <si>
    <t>BOCHALEMA</t>
  </si>
  <si>
    <t>BUCARASICA</t>
  </si>
  <si>
    <t>CACHIRA</t>
  </si>
  <si>
    <t>CACOTA</t>
  </si>
  <si>
    <t>CHINACOTA</t>
  </si>
  <si>
    <t>CHITAGA</t>
  </si>
  <si>
    <t>CONVENCION</t>
  </si>
  <si>
    <t>CUCUTILLA</t>
  </si>
  <si>
    <t>DURANIA</t>
  </si>
  <si>
    <t>EL CARMEN</t>
  </si>
  <si>
    <t>EL TARRA</t>
  </si>
  <si>
    <t>EL ZULIA</t>
  </si>
  <si>
    <t>GRAMALOTE</t>
  </si>
  <si>
    <t>HACARI</t>
  </si>
  <si>
    <t>HERRAN</t>
  </si>
  <si>
    <t>LA ESPERANZA</t>
  </si>
  <si>
    <t>LA PLAYA</t>
  </si>
  <si>
    <t>LABATECA</t>
  </si>
  <si>
    <t>LOURDES</t>
  </si>
  <si>
    <t>MUTISCUA</t>
  </si>
  <si>
    <t>OCAÑA</t>
  </si>
  <si>
    <t>PAMPLONITA</t>
  </si>
  <si>
    <t>RAGONVALIA</t>
  </si>
  <si>
    <t>SALAZAR</t>
  </si>
  <si>
    <t>SAN CALIXTO</t>
  </si>
  <si>
    <t>SARDINATA</t>
  </si>
  <si>
    <t>SILOS</t>
  </si>
  <si>
    <t>TEORAMA</t>
  </si>
  <si>
    <t>TIBU</t>
  </si>
  <si>
    <t>VILLA CARO</t>
  </si>
  <si>
    <t>VILLA DEL ROSARIO</t>
  </si>
  <si>
    <t>SAN MIGUEL</t>
  </si>
  <si>
    <t>LEGUIZAMO</t>
  </si>
  <si>
    <t>MOCOA</t>
  </si>
  <si>
    <t>ORITO</t>
  </si>
  <si>
    <t>PUERTO CAICEDO</t>
  </si>
  <si>
    <t>PUERTO GUZMAN</t>
  </si>
  <si>
    <t>SIBUNDOY</t>
  </si>
  <si>
    <t>VILLAGARZON</t>
  </si>
  <si>
    <t>CALARCA</t>
  </si>
  <si>
    <t>CIRCASIA</t>
  </si>
  <si>
    <t>FILANDIA</t>
  </si>
  <si>
    <t>GENOVA</t>
  </si>
  <si>
    <t>LA TEBAIDA</t>
  </si>
  <si>
    <t>MONTENEGRO</t>
  </si>
  <si>
    <t>PIJAO</t>
  </si>
  <si>
    <t>QUIMBAYA</t>
  </si>
  <si>
    <t>SALENTO</t>
  </si>
  <si>
    <t>APIA</t>
  </si>
  <si>
    <t>BELEN DE UMBRIA</t>
  </si>
  <si>
    <t>DOSQUEBRADAS</t>
  </si>
  <si>
    <t>GUATICA</t>
  </si>
  <si>
    <t>LA CELIA</t>
  </si>
  <si>
    <t>MARSELLA</t>
  </si>
  <si>
    <t>MISTRATO</t>
  </si>
  <si>
    <t>PUEBLO RICO</t>
  </si>
  <si>
    <t>QUINCHIA</t>
  </si>
  <si>
    <t>SANTA ROSA DE CABAL</t>
  </si>
  <si>
    <t>SANTUARIO</t>
  </si>
  <si>
    <t>ARCHIPIELAGO DE SAN ANDRES Y PROVIDENCIA</t>
  </si>
  <si>
    <t>SAN ANDRES</t>
  </si>
  <si>
    <t>AGUADA</t>
  </si>
  <si>
    <t>ARATOCA</t>
  </si>
  <si>
    <t>BARICHARA</t>
  </si>
  <si>
    <t>BARRANCABERMEJA</t>
  </si>
  <si>
    <t>CALIFORNIA</t>
  </si>
  <si>
    <t>CAPITANEJO</t>
  </si>
  <si>
    <t>CARCASI</t>
  </si>
  <si>
    <t>CEPITA</t>
  </si>
  <si>
    <t>CERRITO</t>
  </si>
  <si>
    <t>CHARALA</t>
  </si>
  <si>
    <t>CHARTA</t>
  </si>
  <si>
    <t>CHIPATA</t>
  </si>
  <si>
    <t>CIMITARRA</t>
  </si>
  <si>
    <t>CONFINES</t>
  </si>
  <si>
    <t>CONTRATACION</t>
  </si>
  <si>
    <t>COROMORO</t>
  </si>
  <si>
    <t>CURITI</t>
  </si>
  <si>
    <t>EL CARMEN DE CHUCURI</t>
  </si>
  <si>
    <t>EL GUACAMAYO</t>
  </si>
  <si>
    <t>ENCINO</t>
  </si>
  <si>
    <t>ENCISO</t>
  </si>
  <si>
    <t>FLORIAN</t>
  </si>
  <si>
    <t>FLORIDABLANCA</t>
  </si>
  <si>
    <t>GALAN</t>
  </si>
  <si>
    <t>GAMBITA</t>
  </si>
  <si>
    <t>GIRON</t>
  </si>
  <si>
    <t>GUACA</t>
  </si>
  <si>
    <t>GUAPOTA</t>
  </si>
  <si>
    <t>GUAVATA</t>
  </si>
  <si>
    <t>GUEPSA</t>
  </si>
  <si>
    <t>HATO</t>
  </si>
  <si>
    <t>JESUS MARIA</t>
  </si>
  <si>
    <t>JORDAN</t>
  </si>
  <si>
    <t>LA BELLEZA</t>
  </si>
  <si>
    <t>LANDAZURI</t>
  </si>
  <si>
    <t>LEBRIJA</t>
  </si>
  <si>
    <t>LOS SANTOS</t>
  </si>
  <si>
    <t>MACARAVITA</t>
  </si>
  <si>
    <t>MALAGA</t>
  </si>
  <si>
    <t>MATANZA</t>
  </si>
  <si>
    <t>MOGOTES</t>
  </si>
  <si>
    <t>MOLAGAVITA</t>
  </si>
  <si>
    <t>OCAMONTE</t>
  </si>
  <si>
    <t>OIBA</t>
  </si>
  <si>
    <t>ONZAGA</t>
  </si>
  <si>
    <t>PALMAR</t>
  </si>
  <si>
    <t>PALMAS DEL SOCORRO</t>
  </si>
  <si>
    <t>PARAMO</t>
  </si>
  <si>
    <t>PIEDECUESTA</t>
  </si>
  <si>
    <t>PINCHOTE</t>
  </si>
  <si>
    <t>PUENTE NACIONAL</t>
  </si>
  <si>
    <t>PUERTO PARRA</t>
  </si>
  <si>
    <t>PUERTO WILCHES</t>
  </si>
  <si>
    <t>SABANA DE TORRES</t>
  </si>
  <si>
    <t>SAN BENITO</t>
  </si>
  <si>
    <t>SAN GIL</t>
  </si>
  <si>
    <t>SAN JOAQUIN</t>
  </si>
  <si>
    <t>SAN JOSE DE MIRANDA</t>
  </si>
  <si>
    <t>SAN VICENTE DE CHUCURI</t>
  </si>
  <si>
    <t>SANTA HELENA DEL OPON</t>
  </si>
  <si>
    <t>SIMACOTA</t>
  </si>
  <si>
    <t>SOCORRO</t>
  </si>
  <si>
    <t>SUAITA</t>
  </si>
  <si>
    <t>SURATA</t>
  </si>
  <si>
    <t>TONA</t>
  </si>
  <si>
    <t>VALLE DE SAN JOSE</t>
  </si>
  <si>
    <t>VELEZ</t>
  </si>
  <si>
    <t>VETAS</t>
  </si>
  <si>
    <t>ZAPATOCA</t>
  </si>
  <si>
    <t>SINCELEJO</t>
  </si>
  <si>
    <t>SAN PEDRO</t>
  </si>
  <si>
    <t>CAIMITO</t>
  </si>
  <si>
    <t>CHALAN</t>
  </si>
  <si>
    <t>COLOSO</t>
  </si>
  <si>
    <t>COROZAL</t>
  </si>
  <si>
    <t>COVEÑAS</t>
  </si>
  <si>
    <t>EL ROBLE</t>
  </si>
  <si>
    <t>GALERAS</t>
  </si>
  <si>
    <t>GUARANDA</t>
  </si>
  <si>
    <t>LOS PALMITOS</t>
  </si>
  <si>
    <t>MAJAGUAL</t>
  </si>
  <si>
    <t>MORROA</t>
  </si>
  <si>
    <t>OVEJAS</t>
  </si>
  <si>
    <t>PALMITO</t>
  </si>
  <si>
    <t>SAMPUES</t>
  </si>
  <si>
    <t>SAN BENITO ABAD</t>
  </si>
  <si>
    <t>SAN JUAN DE BETULIA</t>
  </si>
  <si>
    <t>SAN LUIS DE SINCE</t>
  </si>
  <si>
    <t>SAN MARCOS</t>
  </si>
  <si>
    <t>SAN ONOFRE</t>
  </si>
  <si>
    <t>SANTIAGO DE TOLU</t>
  </si>
  <si>
    <t>TOLU VIEJO</t>
  </si>
  <si>
    <t>ALPUJARRA</t>
  </si>
  <si>
    <t>ALVARADO</t>
  </si>
  <si>
    <t>AMBALEMA</t>
  </si>
  <si>
    <t>ANZOATEGUI</t>
  </si>
  <si>
    <t>ARMERO</t>
  </si>
  <si>
    <t>ATACO</t>
  </si>
  <si>
    <t>CAJAMARCA</t>
  </si>
  <si>
    <t>CARMEN DE APICALA</t>
  </si>
  <si>
    <t>CASABIANCA</t>
  </si>
  <si>
    <t>CHAPARRAL</t>
  </si>
  <si>
    <t>COELLO</t>
  </si>
  <si>
    <t>COYAIMA</t>
  </si>
  <si>
    <t>CUNDAY</t>
  </si>
  <si>
    <t>DOLORES</t>
  </si>
  <si>
    <t>ESPINAL</t>
  </si>
  <si>
    <t>FALAN</t>
  </si>
  <si>
    <t>FLANDES</t>
  </si>
  <si>
    <t>FRESNO</t>
  </si>
  <si>
    <t>GUAMO</t>
  </si>
  <si>
    <t>HERVEO</t>
  </si>
  <si>
    <t>HONDA</t>
  </si>
  <si>
    <t>ICONONZO</t>
  </si>
  <si>
    <t>LERIDA</t>
  </si>
  <si>
    <t>LIBANO</t>
  </si>
  <si>
    <t>MARIQUITA</t>
  </si>
  <si>
    <t>MELGAR</t>
  </si>
  <si>
    <t>MURILLO</t>
  </si>
  <si>
    <t>NATAGAIMA</t>
  </si>
  <si>
    <t>ORTEGA</t>
  </si>
  <si>
    <t>PALOCABILDO</t>
  </si>
  <si>
    <t>PIEDRAS</t>
  </si>
  <si>
    <t>PLANADAS</t>
  </si>
  <si>
    <t>PRADO</t>
  </si>
  <si>
    <t>PURIFICACION</t>
  </si>
  <si>
    <t>RIOBLANCO</t>
  </si>
  <si>
    <t>RONCESVALLES</t>
  </si>
  <si>
    <t>ROVIRA</t>
  </si>
  <si>
    <t>SALDAÑA</t>
  </si>
  <si>
    <t>SAN ANTONIO</t>
  </si>
  <si>
    <t>SANTA ISABEL</t>
  </si>
  <si>
    <t>VALLE DE SAN JUAN</t>
  </si>
  <si>
    <t>VENADILLO</t>
  </si>
  <si>
    <t>VILLAHERMOSA</t>
  </si>
  <si>
    <t>VILLARRICA</t>
  </si>
  <si>
    <t>ALCALA</t>
  </si>
  <si>
    <t>ANDALUCIA</t>
  </si>
  <si>
    <t>ANSERMANUEVO</t>
  </si>
  <si>
    <t>BUENAVENTURA</t>
  </si>
  <si>
    <t>BUGALAGRANDE</t>
  </si>
  <si>
    <t>CAICEDONIA</t>
  </si>
  <si>
    <t>CALIMA</t>
  </si>
  <si>
    <t>CARTAGO</t>
  </si>
  <si>
    <t>DAGUA</t>
  </si>
  <si>
    <t>EL AGUILA</t>
  </si>
  <si>
    <t>EL CAIRO</t>
  </si>
  <si>
    <t>EL CERRITO</t>
  </si>
  <si>
    <t>EL DOVIO</t>
  </si>
  <si>
    <t>FLORIDA</t>
  </si>
  <si>
    <t>GINEBRA</t>
  </si>
  <si>
    <t>GUACARI</t>
  </si>
  <si>
    <t>JAMUNDI</t>
  </si>
  <si>
    <t>LA CUMBRE</t>
  </si>
  <si>
    <t>OBANDO</t>
  </si>
  <si>
    <t>PALMIRA</t>
  </si>
  <si>
    <t>PRADERA</t>
  </si>
  <si>
    <t>RIOFRIO</t>
  </si>
  <si>
    <t>ROLDANILLO</t>
  </si>
  <si>
    <t>SEVILLA</t>
  </si>
  <si>
    <t>TORO</t>
  </si>
  <si>
    <t>TRUJILLO</t>
  </si>
  <si>
    <t>TULUA</t>
  </si>
  <si>
    <t>ULLOA</t>
  </si>
  <si>
    <t>VERSALLES</t>
  </si>
  <si>
    <t>VIJES</t>
  </si>
  <si>
    <t>YOTOCO</t>
  </si>
  <si>
    <t>YUMBO</t>
  </si>
  <si>
    <t>ZARZAL</t>
  </si>
  <si>
    <t>CARURU</t>
  </si>
  <si>
    <t>VAUPES</t>
  </si>
  <si>
    <t>MITU</t>
  </si>
  <si>
    <t>PACOA</t>
  </si>
  <si>
    <t>PAPUNAUA</t>
  </si>
  <si>
    <t>TARAIRA</t>
  </si>
  <si>
    <t>YAVARATE</t>
  </si>
  <si>
    <t>CUMARIBO</t>
  </si>
  <si>
    <t>VICHADA</t>
  </si>
  <si>
    <t>LA PRIMAVERA</t>
  </si>
  <si>
    <t>PUERTO CARREÑO</t>
  </si>
  <si>
    <t>SANTA ROSALIA</t>
  </si>
  <si>
    <t>TUCHIN</t>
  </si>
  <si>
    <t>SAN JOSE DE URE</t>
  </si>
  <si>
    <t>CENTRO_COSTO</t>
  </si>
  <si>
    <t>DESCRIPCION</t>
  </si>
  <si>
    <t>Redeban Noroccidente (Medellín)</t>
  </si>
  <si>
    <t>Redeban Costa (Barranqullla)</t>
  </si>
  <si>
    <t>Redeban Centro ( Bogotá)</t>
  </si>
  <si>
    <t>Redeban Santander</t>
  </si>
  <si>
    <t>Redeban Suroccidente (Cali)</t>
  </si>
  <si>
    <t>Redeban Oriente (Otros)</t>
  </si>
  <si>
    <t>Redeban Eje Cafetero (Pereira)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</si>
</sst>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 #,##0;[Red]\-&quot;$&quot;\ #,##0"/>
    <numFmt numFmtId="43" formatCode="_-* #,##0.00_-;\-* #,##0.00_-;_-* &quot;-&quot;??_-;_-@_-"/>
    <numFmt numFmtId="164" formatCode="_(&quot;$&quot;\ * #,##0.00_);_(&quot;$&quot;\ * \(#,##0.00\);_(&quot;$&quot;\ * &quot;-&quot;??_);_(@_)"/>
    <numFmt numFmtId="165" formatCode="_-&quot;$&quot;* #,##0.00_-;\-&quot;$&quot;* #,##0.00_-;_-&quot;$&quot;* &quot;-&quot;??_-;_-@_-"/>
    <numFmt numFmtId="166" formatCode="_(&quot;$&quot;\ * #,##0_);_(&quot;$&quot;\ * \(#,##0\);_(&quot;$&quot;\ * &quot;-&quot;??_);_(@_)"/>
    <numFmt numFmtId="167" formatCode="&quot;$&quot;\ #,##0"/>
    <numFmt numFmtId="168" formatCode="_-&quot;$&quot;* #,##0_-;\-&quot;$&quot;* #,##0_-;_-&quot;$&quot;* &quot;-&quot;??_-;_-@_-"/>
  </numFmts>
  <fonts count="23">
    <font>
      <sz val="11"/>
      <color theme="1"/>
      <name val="Calibri"/>
      <family val="2"/>
      <scheme val="minor"/>
    </font>
    <font>
      <sz val="11"/>
      <color theme="1"/>
      <name val="Calibri"/>
      <family val="2"/>
      <scheme val="minor"/>
    </font>
    <font>
      <sz val="10"/>
      <color theme="1"/>
      <name val="Apex"/>
      <family val="2"/>
    </font>
    <font>
      <sz val="10"/>
      <name val="Arial"/>
      <family val="2"/>
    </font>
    <font>
      <b/>
      <sz val="9"/>
      <color indexed="81"/>
      <name val="Tahoma"/>
      <family val="2"/>
    </font>
    <font>
      <sz val="8"/>
      <color theme="1"/>
      <name val="Gelion Thin"/>
    </font>
    <font>
      <b/>
      <sz val="8"/>
      <name val="Gelion Thin"/>
    </font>
    <font>
      <b/>
      <sz val="10"/>
      <name val="Gelion Thin"/>
    </font>
    <font>
      <sz val="10"/>
      <color rgb="FF000000"/>
      <name val="Gelion Thin"/>
    </font>
    <font>
      <sz val="10"/>
      <color theme="1"/>
      <name val="Gelion Thin"/>
    </font>
    <font>
      <sz val="8"/>
      <color rgb="FF000000"/>
      <name val="Gelion Thin"/>
    </font>
    <font>
      <sz val="10"/>
      <name val="Gelion Thin"/>
    </font>
    <font>
      <sz val="8"/>
      <name val="Gelion Thin"/>
    </font>
    <font>
      <b/>
      <sz val="11"/>
      <color theme="1"/>
      <name val="Gelion Thin"/>
    </font>
    <font>
      <b/>
      <i/>
      <sz val="11"/>
      <color rgb="FFFFFFFF"/>
      <name val="Century Gothic"/>
      <family val="2"/>
    </font>
    <font>
      <sz val="10"/>
      <color rgb="FF000000"/>
      <name val="Century Gothic"/>
      <family val="2"/>
    </font>
    <font>
      <sz val="10"/>
      <color rgb="FF3A3838"/>
      <name val="Century Gothic"/>
      <family val="2"/>
    </font>
    <font>
      <sz val="11"/>
      <color rgb="FF000000"/>
      <name val="Gelion Thin"/>
    </font>
    <font>
      <sz val="8"/>
      <name val="Gelion Light"/>
    </font>
    <font>
      <sz val="10"/>
      <color rgb="FFC00000"/>
      <name val="Gelion Thin"/>
    </font>
    <font>
      <b/>
      <sz val="9"/>
      <color rgb="FFC00000"/>
      <name val="Gelion Thin"/>
    </font>
    <font>
      <sz val="11"/>
      <color rgb="FFC00000"/>
      <name val="Calibri"/>
      <family val="2"/>
      <scheme val="minor"/>
    </font>
    <font>
      <sz val="11"/>
      <name val="Calibri"/>
      <family val="2"/>
      <scheme val="minor"/>
    </font>
  </fonts>
  <fills count="11">
    <fill>
      <patternFill patternType="none"/>
    </fill>
    <fill>
      <patternFill patternType="gray125"/>
    </fill>
    <fill>
      <patternFill patternType="solid">
        <fgColor theme="0" tint="-0.34998626667073579"/>
        <bgColor indexed="64"/>
      </patternFill>
    </fill>
    <fill>
      <patternFill patternType="solid">
        <fgColor rgb="FF9B9B9A"/>
        <bgColor indexed="6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s>
  <cellStyleXfs count="8">
    <xf numFmtId="0" fontId="0" fillId="0" borderId="0"/>
    <xf numFmtId="165" fontId="1" fillId="0" borderId="0" applyFont="0" applyFill="0" applyBorder="0" applyAlignment="0" applyProtection="0"/>
    <xf numFmtId="0" fontId="1" fillId="0" borderId="0"/>
    <xf numFmtId="0" fontId="2" fillId="0" borderId="0"/>
    <xf numFmtId="164" fontId="3" fillId="0" borderId="0" applyFont="0" applyFill="0" applyBorder="0" applyAlignment="0" applyProtection="0"/>
    <xf numFmtId="0" fontId="3" fillId="0" borderId="0"/>
    <xf numFmtId="0" fontId="1" fillId="0" borderId="0"/>
    <xf numFmtId="43" fontId="1" fillId="0" borderId="0" applyFont="0" applyFill="0" applyBorder="0" applyAlignment="0" applyProtection="0"/>
  </cellStyleXfs>
  <cellXfs count="103">
    <xf numFmtId="0" fontId="0" fillId="0" borderId="0" xfId="0"/>
    <xf numFmtId="164" fontId="7" fillId="2" borderId="1" xfId="4" applyFont="1" applyFill="1" applyBorder="1" applyAlignment="1">
      <alignment horizontal="center" vertical="center"/>
    </xf>
    <xf numFmtId="0" fontId="8" fillId="0" borderId="1" xfId="0" applyFont="1" applyBorder="1" applyAlignment="1">
      <alignment vertical="center"/>
    </xf>
    <xf numFmtId="6" fontId="9" fillId="0" borderId="1" xfId="0" applyNumberFormat="1" applyFont="1" applyBorder="1" applyAlignment="1">
      <alignment vertical="center" wrapText="1"/>
    </xf>
    <xf numFmtId="0" fontId="10" fillId="0" borderId="2" xfId="0" applyFont="1" applyBorder="1" applyAlignment="1">
      <alignment vertical="center"/>
    </xf>
    <xf numFmtId="0" fontId="10" fillId="0" borderId="0" xfId="0" applyFont="1" applyAlignment="1">
      <alignment vertical="center"/>
    </xf>
    <xf numFmtId="166" fontId="5" fillId="0" borderId="0" xfId="4" applyNumberFormat="1" applyFont="1" applyAlignment="1">
      <alignment horizontal="center" vertical="center"/>
    </xf>
    <xf numFmtId="0" fontId="10" fillId="0" borderId="1" xfId="0" applyFont="1" applyBorder="1" applyAlignment="1">
      <alignment vertical="center"/>
    </xf>
    <xf numFmtId="0" fontId="5" fillId="0" borderId="0" xfId="0" applyFont="1"/>
    <xf numFmtId="0" fontId="7" fillId="0" borderId="1" xfId="0" applyFont="1" applyBorder="1" applyAlignment="1">
      <alignment horizontal="center"/>
    </xf>
    <xf numFmtId="0" fontId="11" fillId="0" borderId="1" xfId="0" applyFont="1" applyBorder="1"/>
    <xf numFmtId="167" fontId="11" fillId="0" borderId="1" xfId="0" applyNumberFormat="1" applyFont="1" applyBorder="1"/>
    <xf numFmtId="166" fontId="7" fillId="0" borderId="1" xfId="1" applyNumberFormat="1" applyFont="1" applyBorder="1"/>
    <xf numFmtId="0" fontId="5" fillId="0" borderId="1" xfId="5" applyFont="1" applyBorder="1" applyProtection="1">
      <protection locked="0"/>
    </xf>
    <xf numFmtId="0" fontId="5" fillId="0" borderId="1" xfId="5" applyFont="1" applyBorder="1"/>
    <xf numFmtId="166" fontId="5" fillId="0" borderId="1" xfId="4" applyNumberFormat="1" applyFont="1" applyBorder="1" applyAlignment="1">
      <alignment vertical="center"/>
    </xf>
    <xf numFmtId="166" fontId="5" fillId="0" borderId="1" xfId="5" applyNumberFormat="1" applyFont="1" applyBorder="1" applyAlignment="1">
      <alignment vertical="center"/>
    </xf>
    <xf numFmtId="0" fontId="13" fillId="0" borderId="1" xfId="0" applyFont="1" applyBorder="1"/>
    <xf numFmtId="0" fontId="7" fillId="3" borderId="1" xfId="0" applyFont="1" applyFill="1" applyBorder="1"/>
    <xf numFmtId="0" fontId="6" fillId="3" borderId="1" xfId="5" applyFont="1" applyFill="1" applyBorder="1" applyAlignment="1">
      <alignment horizontal="center"/>
    </xf>
    <xf numFmtId="167" fontId="6" fillId="3" borderId="1" xfId="5" applyNumberFormat="1" applyFont="1" applyFill="1" applyBorder="1" applyAlignment="1">
      <alignment horizontal="center" vertical="center"/>
    </xf>
    <xf numFmtId="166" fontId="7" fillId="3" borderId="1" xfId="1" applyNumberFormat="1" applyFont="1" applyFill="1" applyBorder="1"/>
    <xf numFmtId="0" fontId="13" fillId="0" borderId="1" xfId="6" applyFont="1" applyBorder="1"/>
    <xf numFmtId="0" fontId="12" fillId="0" borderId="7" xfId="5" applyFont="1" applyBorder="1"/>
    <xf numFmtId="0" fontId="6" fillId="3" borderId="8" xfId="5" applyFont="1" applyFill="1" applyBorder="1" applyAlignment="1">
      <alignment horizontal="center"/>
    </xf>
    <xf numFmtId="167" fontId="6" fillId="3" borderId="9" xfId="5" applyNumberFormat="1" applyFont="1" applyFill="1" applyBorder="1" applyAlignment="1">
      <alignment horizontal="center" vertical="center"/>
    </xf>
    <xf numFmtId="0" fontId="14" fillId="4" borderId="1" xfId="0" applyFont="1" applyFill="1" applyBorder="1" applyAlignment="1">
      <alignment wrapText="1"/>
    </xf>
    <xf numFmtId="0" fontId="14" fillId="4" borderId="4" xfId="0" applyFont="1" applyFill="1" applyBorder="1" applyAlignment="1">
      <alignment wrapText="1"/>
    </xf>
    <xf numFmtId="0" fontId="14" fillId="5" borderId="4" xfId="0" applyFont="1" applyFill="1" applyBorder="1" applyAlignment="1">
      <alignment wrapText="1"/>
    </xf>
    <xf numFmtId="0" fontId="15" fillId="0" borderId="5" xfId="0" applyFont="1" applyBorder="1"/>
    <xf numFmtId="0" fontId="15" fillId="6" borderId="13" xfId="0" applyFont="1" applyFill="1" applyBorder="1"/>
    <xf numFmtId="0" fontId="15" fillId="0" borderId="13" xfId="0" applyFont="1" applyBorder="1"/>
    <xf numFmtId="0" fontId="16" fillId="0" borderId="13" xfId="0" applyFont="1" applyBorder="1"/>
    <xf numFmtId="0" fontId="15" fillId="7" borderId="13" xfId="0" applyFont="1" applyFill="1" applyBorder="1"/>
    <xf numFmtId="0" fontId="17" fillId="0" borderId="1" xfId="0" applyFont="1" applyBorder="1"/>
    <xf numFmtId="0" fontId="17" fillId="0" borderId="4" xfId="0" applyFont="1" applyBorder="1"/>
    <xf numFmtId="0" fontId="17" fillId="0" borderId="5" xfId="0" applyFont="1" applyBorder="1"/>
    <xf numFmtId="0" fontId="17" fillId="0" borderId="13" xfId="0" applyFont="1" applyBorder="1"/>
    <xf numFmtId="0" fontId="0" fillId="0" borderId="0" xfId="0" pivotButton="1"/>
    <xf numFmtId="0" fontId="0" fillId="0" borderId="0" xfId="0" applyAlignment="1">
      <alignment horizontal="center"/>
    </xf>
    <xf numFmtId="10" fontId="0" fillId="0" borderId="0" xfId="0" applyNumberFormat="1" applyAlignment="1">
      <alignment horizontal="center"/>
    </xf>
    <xf numFmtId="168" fontId="0" fillId="0" borderId="0" xfId="0" applyNumberFormat="1"/>
    <xf numFmtId="6" fontId="0" fillId="0" borderId="0" xfId="0" applyNumberFormat="1"/>
    <xf numFmtId="10" fontId="0" fillId="9" borderId="7" xfId="0" applyNumberFormat="1" applyFill="1" applyBorder="1" applyAlignment="1">
      <alignment horizontal="center"/>
    </xf>
    <xf numFmtId="164" fontId="7" fillId="2" borderId="3" xfId="4" applyFont="1" applyFill="1" applyBorder="1" applyAlignment="1">
      <alignment horizontal="center" vertical="center"/>
    </xf>
    <xf numFmtId="164" fontId="7" fillId="2" borderId="8" xfId="4" applyFont="1" applyFill="1" applyBorder="1" applyAlignment="1">
      <alignment horizontal="center" vertical="center"/>
    </xf>
    <xf numFmtId="167" fontId="11" fillId="0" borderId="5" xfId="0" applyNumberFormat="1" applyFont="1" applyBorder="1"/>
    <xf numFmtId="6" fontId="9" fillId="10" borderId="1" xfId="0" applyNumberFormat="1" applyFont="1" applyFill="1" applyBorder="1" applyAlignment="1">
      <alignment horizontal="center"/>
    </xf>
    <xf numFmtId="166" fontId="5" fillId="10" borderId="1" xfId="4" applyNumberFormat="1" applyFont="1" applyFill="1" applyBorder="1" applyAlignment="1">
      <alignment horizontal="center" vertical="center"/>
    </xf>
    <xf numFmtId="0" fontId="18" fillId="0" borderId="7" xfId="0" applyFont="1" applyBorder="1" applyAlignment="1">
      <alignment horizontal="center"/>
    </xf>
    <xf numFmtId="0" fontId="11" fillId="0" borderId="7" xfId="0" applyFont="1" applyBorder="1" applyAlignment="1">
      <alignment horizontal="center" vertical="center"/>
    </xf>
    <xf numFmtId="168" fontId="11" fillId="0" borderId="7" xfId="0" applyNumberFormat="1" applyFont="1" applyBorder="1" applyAlignment="1">
      <alignment horizontal="center" vertical="center"/>
    </xf>
    <xf numFmtId="166" fontId="5" fillId="0" borderId="7" xfId="4" applyNumberFormat="1" applyFont="1" applyBorder="1" applyAlignment="1">
      <alignment vertical="center"/>
    </xf>
    <xf numFmtId="166" fontId="5" fillId="0" borderId="7" xfId="5" applyNumberFormat="1" applyFont="1" applyBorder="1" applyAlignment="1">
      <alignment vertical="center"/>
    </xf>
    <xf numFmtId="0" fontId="5" fillId="0" borderId="7" xfId="5" applyFont="1" applyBorder="1" applyAlignment="1" applyProtection="1">
      <alignment horizontal="center" vertical="center"/>
      <protection locked="0"/>
    </xf>
    <xf numFmtId="0" fontId="18" fillId="0" borderId="10" xfId="0" applyFont="1" applyBorder="1" applyAlignment="1">
      <alignment horizontal="center"/>
    </xf>
    <xf numFmtId="166" fontId="5" fillId="0" borderId="8" xfId="4" applyNumberFormat="1" applyFont="1" applyBorder="1" applyAlignment="1">
      <alignment vertical="center"/>
    </xf>
    <xf numFmtId="166" fontId="5" fillId="0" borderId="8" xfId="5" applyNumberFormat="1" applyFont="1" applyBorder="1" applyAlignment="1">
      <alignment vertical="center"/>
    </xf>
    <xf numFmtId="167" fontId="6" fillId="3" borderId="13" xfId="5" applyNumberFormat="1" applyFont="1" applyFill="1" applyBorder="1" applyAlignment="1">
      <alignment horizontal="center" vertical="center"/>
    </xf>
    <xf numFmtId="167" fontId="6" fillId="3" borderId="5" xfId="5" applyNumberFormat="1" applyFont="1" applyFill="1" applyBorder="1" applyAlignment="1">
      <alignment horizontal="center" vertical="center"/>
    </xf>
    <xf numFmtId="1" fontId="11" fillId="0" borderId="7" xfId="0" applyNumberFormat="1" applyFont="1" applyBorder="1" applyAlignment="1">
      <alignment horizontal="center"/>
    </xf>
    <xf numFmtId="168" fontId="7" fillId="8" borderId="8" xfId="1" applyNumberFormat="1" applyFont="1" applyFill="1" applyBorder="1" applyAlignment="1" applyProtection="1">
      <alignment horizontal="left" vertical="center"/>
      <protection locked="0"/>
    </xf>
    <xf numFmtId="0" fontId="7" fillId="8" borderId="8" xfId="1" applyNumberFormat="1" applyFont="1" applyFill="1" applyBorder="1" applyAlignment="1" applyProtection="1">
      <alignment horizontal="left" vertical="center"/>
      <protection locked="0"/>
    </xf>
    <xf numFmtId="168" fontId="7" fillId="8" borderId="8" xfId="1" applyNumberFormat="1" applyFont="1" applyFill="1" applyBorder="1" applyAlignment="1" applyProtection="1">
      <alignment vertical="center"/>
      <protection locked="0"/>
    </xf>
    <xf numFmtId="168" fontId="7" fillId="8" borderId="8" xfId="1" applyNumberFormat="1" applyFont="1" applyFill="1" applyBorder="1" applyAlignment="1" applyProtection="1">
      <alignment horizontal="center" vertical="center"/>
      <protection locked="0"/>
    </xf>
    <xf numFmtId="0" fontId="11" fillId="0" borderId="0" xfId="0" applyFont="1" applyAlignment="1">
      <alignment vertical="center"/>
    </xf>
    <xf numFmtId="0" fontId="11" fillId="0" borderId="0" xfId="0" applyFont="1"/>
    <xf numFmtId="0" fontId="11" fillId="0" borderId="8" xfId="0" applyFont="1" applyBorder="1"/>
    <xf numFmtId="167" fontId="11" fillId="0" borderId="8" xfId="0" applyNumberFormat="1" applyFont="1" applyBorder="1"/>
    <xf numFmtId="0" fontId="19" fillId="0" borderId="0" xfId="0" applyFont="1" applyAlignment="1">
      <alignment horizontal="center"/>
    </xf>
    <xf numFmtId="0" fontId="19" fillId="0" borderId="0" xfId="0" applyFont="1" applyAlignment="1">
      <alignment horizontal="center" vertical="center"/>
    </xf>
    <xf numFmtId="1" fontId="19" fillId="0" borderId="0" xfId="0" applyNumberFormat="1" applyFont="1" applyAlignment="1">
      <alignment horizontal="center"/>
    </xf>
    <xf numFmtId="22" fontId="19" fillId="0" borderId="0" xfId="0" applyNumberFormat="1" applyFont="1" applyAlignment="1">
      <alignment horizontal="center"/>
    </xf>
    <xf numFmtId="22" fontId="19" fillId="0" borderId="0" xfId="7" applyNumberFormat="1" applyFont="1" applyBorder="1" applyAlignment="1">
      <alignment horizontal="center"/>
    </xf>
    <xf numFmtId="168" fontId="19" fillId="0" borderId="0" xfId="0" applyNumberFormat="1" applyFont="1" applyAlignment="1">
      <alignment horizontal="center" vertical="center"/>
    </xf>
    <xf numFmtId="168" fontId="20" fillId="0" borderId="5" xfId="0" applyNumberFormat="1" applyFont="1" applyBorder="1" applyAlignment="1">
      <alignment horizontal="center"/>
    </xf>
    <xf numFmtId="0" fontId="21" fillId="0" borderId="0" xfId="0" applyFont="1"/>
    <xf numFmtId="22" fontId="11" fillId="0" borderId="0" xfId="0" applyNumberFormat="1" applyFont="1" applyAlignment="1">
      <alignment horizontal="center"/>
    </xf>
    <xf numFmtId="0" fontId="22" fillId="0" borderId="0" xfId="0" applyFont="1"/>
    <xf numFmtId="1" fontId="18" fillId="0" borderId="7" xfId="0" applyNumberFormat="1" applyFont="1" applyBorder="1" applyAlignment="1">
      <alignment horizontal="center"/>
    </xf>
    <xf numFmtId="22" fontId="18" fillId="0" borderId="7" xfId="0" applyNumberFormat="1" applyFont="1" applyBorder="1" applyAlignment="1">
      <alignment horizontal="center"/>
    </xf>
    <xf numFmtId="1" fontId="18" fillId="0" borderId="14" xfId="0" applyNumberFormat="1" applyFont="1" applyBorder="1" applyAlignment="1">
      <alignment horizontal="center" vertical="center"/>
    </xf>
    <xf numFmtId="49" fontId="18" fillId="0" borderId="7" xfId="0" applyNumberFormat="1" applyFont="1" applyBorder="1" applyAlignment="1">
      <alignment horizontal="center"/>
    </xf>
    <xf numFmtId="22" fontId="18" fillId="0" borderId="7" xfId="0" applyNumberFormat="1" applyFont="1" applyBorder="1" applyAlignment="1">
      <alignment horizontal="center" wrapText="1"/>
    </xf>
    <xf numFmtId="0" fontId="7" fillId="0" borderId="1" xfId="0" applyFont="1" applyBorder="1" applyAlignment="1">
      <alignment horizontal="center"/>
    </xf>
    <xf numFmtId="0" fontId="7" fillId="3" borderId="3" xfId="0" applyFont="1" applyFill="1" applyBorder="1" applyAlignment="1">
      <alignment horizontal="center"/>
    </xf>
    <xf numFmtId="0" fontId="7" fillId="3" borderId="6" xfId="0" applyFont="1" applyFill="1" applyBorder="1" applyAlignment="1">
      <alignment horizontal="center"/>
    </xf>
    <xf numFmtId="0" fontId="7" fillId="3" borderId="4" xfId="0" applyFont="1" applyFill="1" applyBorder="1" applyAlignment="1">
      <alignment horizontal="center"/>
    </xf>
    <xf numFmtId="0" fontId="7" fillId="0" borderId="5"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1" fontId="11" fillId="0" borderId="11" xfId="1" applyNumberFormat="1" applyFont="1" applyBorder="1" applyAlignment="1">
      <alignment horizontal="center"/>
    </xf>
    <xf numFmtId="1" fontId="11" fillId="0" borderId="12" xfId="1" applyNumberFormat="1" applyFont="1" applyBorder="1" applyAlignment="1">
      <alignment horizontal="center"/>
    </xf>
    <xf numFmtId="0" fontId="7" fillId="3" borderId="3" xfId="5" applyFont="1" applyFill="1" applyBorder="1" applyAlignment="1">
      <alignment horizontal="center"/>
    </xf>
    <xf numFmtId="0" fontId="7" fillId="3" borderId="6" xfId="5" applyFont="1" applyFill="1" applyBorder="1" applyAlignment="1">
      <alignment horizontal="center"/>
    </xf>
    <xf numFmtId="0" fontId="7" fillId="3" borderId="4" xfId="5" applyFont="1" applyFill="1" applyBorder="1" applyAlignment="1">
      <alignment horizontal="center"/>
    </xf>
    <xf numFmtId="17" fontId="7" fillId="3" borderId="3" xfId="5" applyNumberFormat="1" applyFont="1" applyFill="1" applyBorder="1" applyAlignment="1" applyProtection="1">
      <alignment horizontal="center"/>
      <protection locked="0"/>
    </xf>
    <xf numFmtId="17" fontId="7" fillId="3" borderId="6" xfId="5" applyNumberFormat="1" applyFont="1" applyFill="1" applyBorder="1" applyAlignment="1" applyProtection="1">
      <alignment horizontal="center"/>
      <protection locked="0"/>
    </xf>
    <xf numFmtId="17" fontId="7" fillId="3" borderId="4" xfId="5" applyNumberFormat="1" applyFont="1" applyFill="1" applyBorder="1" applyAlignment="1" applyProtection="1">
      <alignment horizontal="center"/>
      <protection locked="0"/>
    </xf>
    <xf numFmtId="1" fontId="11" fillId="0" borderId="1" xfId="1" applyNumberFormat="1" applyFont="1" applyBorder="1" applyAlignment="1">
      <alignment horizontal="center"/>
    </xf>
    <xf numFmtId="0" fontId="7" fillId="3" borderId="1" xfId="0" applyFont="1" applyFill="1" applyBorder="1" applyAlignment="1">
      <alignment horizontal="center"/>
    </xf>
    <xf numFmtId="49" fontId="7" fillId="3" borderId="1" xfId="0" applyNumberFormat="1" applyFont="1" applyFill="1" applyBorder="1" applyAlignment="1">
      <alignment horizontal="center"/>
    </xf>
    <xf numFmtId="0" fontId="7" fillId="2" borderId="0" xfId="0" applyFont="1" applyFill="1" applyAlignment="1">
      <alignment horizontal="center"/>
    </xf>
  </cellXfs>
  <cellStyles count="8">
    <cellStyle name="Millares" xfId="7" builtinId="3"/>
    <cellStyle name="Moneda" xfId="1" builtinId="4"/>
    <cellStyle name="Moneda 2 10" xfId="4" xr:uid="{00000000-0005-0000-0000-000001000000}"/>
    <cellStyle name="Normal" xfId="0" builtinId="0"/>
    <cellStyle name="Normal 172" xfId="3" xr:uid="{00000000-0005-0000-0000-000003000000}"/>
    <cellStyle name="Normal 177" xfId="6" xr:uid="{0A95A77B-9D49-42E9-8927-52D2AFB01FA1}"/>
    <cellStyle name="Normal 2 10 2" xfId="5" xr:uid="{00000000-0005-0000-0000-000004000000}"/>
    <cellStyle name="Normal 2 2 2 2 6 2" xfId="2" xr:uid="{00000000-0005-0000-0000-000005000000}"/>
  </cellStyles>
  <dxfs count="4">
    <dxf>
      <font>
        <color rgb="FF9C0006"/>
      </font>
      <fill>
        <patternFill>
          <bgColor rgb="FFFFC7CE"/>
        </patternFill>
      </fill>
    </dxf>
    <dxf>
      <alignment horizontal="center"/>
    </dxf>
    <dxf>
      <alignment horizontal="center"/>
    </dxf>
    <dxf>
      <numFmt numFmtId="168" formatCode="_-&quot;$&quot;* #,##0_-;\-&quot;$&quot;* #,##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pivotCacheDefinition" Target="pivotCache/pivotCacheDefinition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41.953624074071" createdVersion="8" refreshedVersion="8" minRefreshableVersion="3" recordCount="113" xr:uid="{47C888AB-724F-43CB-9535-8CFDEF0BAE70}">
  <cacheSource type="worksheet">
    <worksheetSource ref="A1:AE1048576" sheet="CIERRES"/>
  </cacheSource>
  <cacheFields count="31">
    <cacheField name="Ciudad Sede" numFmtId="0">
      <sharedItems containsBlank="1"/>
    </cacheField>
    <cacheField name="COORDINADOR" numFmtId="0">
      <sharedItems containsBlank="1" count="8">
        <s v="DIEGO FERNANDO HENAO CARDONA"/>
        <s v="KEVIN ALEXIS CORZO BUSTOS"/>
        <s v="WILLIAM ASDRUBAL ROZO ROZO"/>
        <s v="JOSE MAURICIO HERNANDEZ ROJAS"/>
        <s v="MIGUEL JULIÁN HERNÁNDEZ GUARÍN"/>
        <s v="JUAN SEBASTIÁN RÍOS CASTRILLÓN"/>
        <m/>
        <e v="#N/A" u="1"/>
      </sharedItems>
    </cacheField>
    <cacheField name="CENTRO DE COSTOS LINEACOM" numFmtId="0">
      <sharedItems containsBlank="1" count="9">
        <s v="0004-0003"/>
        <s v="0004-0007"/>
        <s v="0004-0004"/>
        <s v="0004-0001"/>
        <s v="0004-0008"/>
        <s v="0004-0002"/>
        <s v="0004-0005"/>
        <m/>
        <e v="#N/A" u="1"/>
      </sharedItems>
    </cacheField>
    <cacheField name="Código DANE" numFmtId="0">
      <sharedItems containsString="0" containsBlank="1" containsNumber="1" containsInteger="1" minValue="5001" maxValue="86865"/>
    </cacheField>
    <cacheField name="TA" numFmtId="0">
      <sharedItems containsBlank="1"/>
    </cacheField>
    <cacheField name="FO" numFmtId="0">
      <sharedItems containsBlank="1"/>
    </cacheField>
    <cacheField name="Fecha Asignación a Línea Comunicaciones (DD/MM/AAAA)" numFmtId="0">
      <sharedItems containsNonDate="0" containsDate="1" containsString="0" containsBlank="1" minDate="2025-05-26T12:49:00" maxDate="2025-06-28T08:00:00"/>
    </cacheField>
    <cacheField name="Fecha del cierre del ticket (DD/MM/AAAA)" numFmtId="0">
      <sharedItems containsNonDate="0" containsDate="1" containsString="0" containsBlank="1" minDate="2025-06-02T14:40:00" maxDate="2025-06-28T11:10:00"/>
    </cacheField>
    <cacheField name="Departamento" numFmtId="0">
      <sharedItems containsBlank="1"/>
    </cacheField>
    <cacheField name="Ciudad" numFmtId="0">
      <sharedItems containsBlank="1"/>
    </cacheField>
    <cacheField name="Nmbre  del cb " numFmtId="0">
      <sharedItems containsBlank="1"/>
    </cacheField>
    <cacheField name="CB" numFmtId="0">
      <sharedItems containsString="0" containsBlank="1" containsNumber="1" containsInteger="1" minValue="13408" maxValue="78426"/>
    </cacheField>
    <cacheField name="TIPO DE ACTIVIDAD" numFmtId="0">
      <sharedItems containsBlank="1"/>
    </cacheField>
    <cacheField name="SOLICITUD" numFmtId="0">
      <sharedItems containsBlank="1"/>
    </cacheField>
    <cacheField name="DESCRIPCIÓN" numFmtId="0">
      <sharedItems containsBlank="1"/>
    </cacheField>
    <cacheField name="RED "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numFmtId="0">
      <sharedItems containsBlank="1"/>
    </cacheField>
    <cacheField name="OBSERVACIÓN " numFmtId="0">
      <sharedItems containsBlank="1" longText="1"/>
    </cacheField>
    <cacheField name="TECNICO" numFmtId="0">
      <sharedItems containsBlank="1"/>
    </cacheField>
    <cacheField name="TERMINAL " numFmtId="0">
      <sharedItems containsBlank="1" containsMixedTypes="1" containsNumber="1" containsInteger="1" minValue="0" maxValue="0"/>
    </cacheField>
    <cacheField name="TIPOLOGIA" numFmtId="0">
      <sharedItems containsBlank="1"/>
    </cacheField>
    <cacheField name="TIPO DE TRAYECTO" numFmtId="0">
      <sharedItems containsBlank="1"/>
    </cacheField>
    <cacheField name="FORMA DE ATENCIÓN" numFmtId="0">
      <sharedItems containsBlank="1"/>
    </cacheField>
    <cacheField name="SERIAL / PLACA- GUIA" numFmtId="0">
      <sharedItems containsBlank="1" containsMixedTypes="1" containsNumber="1" containsInteger="1" minValue="0" maxValue="0"/>
    </cacheField>
    <cacheField name="LECTOR " numFmtId="0">
      <sharedItems containsBlank="1" containsMixedTypes="1" containsNumber="1" containsInteger="1" minValue="0" maxValue="0"/>
    </cacheField>
    <cacheField name="Dias de visita" numFmtId="0">
      <sharedItems containsString="0" containsBlank="1" containsNumber="1" containsInteger="1" minValue="0" maxValue="2"/>
    </cacheField>
    <cacheField name="VALOR ACTIVIDAD" numFmtId="0">
      <sharedItems containsString="0" containsBlank="1" containsNumber="1" minValue="37904.612000000001" maxValue="464809.36800000002"/>
    </cacheField>
    <cacheField name="VALOR TOTAL" numFmtId="0">
      <sharedItems containsString="0" containsBlank="1" containsNumber="1" minValue="37904.612000000001" maxValue="10083277.9799999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s v="PASTO"/>
    <x v="0"/>
    <x v="0"/>
    <n v="52110"/>
    <s v="TA-25-680336"/>
    <s v="FO-25-1006058"/>
    <d v="2025-05-28T13:13:00"/>
    <d v="2025-06-02T14:40:00"/>
    <s v="NARIÑO"/>
    <s v="BUESACO"/>
    <s v="DISTRICOL MISCELANEA, VARIEDAD"/>
    <n v="44480"/>
    <s v="ORDEN DE CAMBIO"/>
    <s v="CIERRE"/>
    <s v="CIERRE"/>
    <s v="REDEBAN"/>
    <s v="AGREGADOR"/>
    <s v="DISTRICOL"/>
    <s v="NO_EXITOSO"/>
    <s v="CB NO ENTREGA EQUIPO"/>
    <s v="02-06-2025 SOPORTE TELEFÓNICO: SE LLAMA AL CONTACTO E INDICA QUE NO AH SOLITARIO EL CIERRE DEL CORRESPONSAL. "/>
    <s v="BOLAÑOS TABORDA JORGE ENRIQUE"/>
    <n v="0"/>
    <s v="TIPO II"/>
    <s v="TERRESTRE"/>
    <s v="SOPORTE_TELEFÓNICO"/>
    <n v="0"/>
    <n v="0"/>
    <n v="0"/>
    <n v="37904.612000000001"/>
    <n v="37904.612000000001"/>
  </r>
  <r>
    <s v="PASTO"/>
    <x v="0"/>
    <x v="0"/>
    <n v="52110"/>
    <s v="TA-25-682391"/>
    <s v="FO-25-1011023"/>
    <d v="2025-05-29T11:39:00"/>
    <d v="2025-06-02T14:51:00"/>
    <s v="NARIÑO"/>
    <s v="BUESACO"/>
    <s v="BARRIO GGT SANTA MARIA BUESACO"/>
    <n v="78244"/>
    <s v="ORDEN DE CAMBIO"/>
    <s v="CIERRE"/>
    <s v="CIERRE"/>
    <s v="REDEBAN"/>
    <s v="CB UNO A UNO"/>
    <s v="CB UNO A UNO"/>
    <s v="NO_EXITOSO"/>
    <s v="CB NO ENTREGA EQUIPO"/>
    <s v="02-06-2025 SOPORTE TELEFÓNICO: CLIENTE INDICA QUE NO AH SOLICITADO EL CIERRE DEL CORREPONSAL. "/>
    <s v="BOLAÑOS TABORDA JORGE ENRIQUE"/>
    <n v="0"/>
    <s v="TIPO II"/>
    <s v="TERRESTRE"/>
    <s v="SOPORTE_TELEFÓNICO"/>
    <s v="0"/>
    <n v="0"/>
    <n v="0"/>
    <n v="37904.612000000001"/>
    <n v="37904.612000000001"/>
  </r>
  <r>
    <s v="NEIVA"/>
    <x v="1"/>
    <x v="1"/>
    <n v="18460"/>
    <s v="TA-25-673749"/>
    <s v="FO-25-992079"/>
    <d v="2025-05-26T12:49:00"/>
    <d v="2025-06-03T08:17:21"/>
    <s v="CAQUETA"/>
    <s v="MILAN"/>
    <s v="DISTRICOL DROG MUNDO FARMACO"/>
    <n v="57007"/>
    <s v="ORDEN DE CAMBIO"/>
    <s v="CIERRE"/>
    <s v="CIERRE"/>
    <s v="REDEBAN"/>
    <s v="AGREGADOR"/>
    <s v="DISTRICOL"/>
    <s v="NO_EXITOSO"/>
    <s v="CB NO ENTREGA EQUIPO"/>
    <s v="03-06-2025 SE LLEGA A LA DIRECCIÓN INDICANDA PERO COMERCIO SE ENCUENTRA CERRADO, SE LLAMA AL CLIENTE  Y MANIFIESTA QUE SE ENCUENTRA HOSPITALIZADA EN LA CLÍNICA DE FLORENCIA Y NO TIENE QUIEN HAGA LA ENTREGA DE LOS EQUIPOS, INDICA QUE CUANDO SALGA DE LA HOSPITALIZACIÓN LLAMARÁ PARA SOLICITAR LA ENTREGA DE LOS EQUIPOS."/>
    <s v="BERMUDEZ SANCHEZ JOSE NEYBER"/>
    <s v="XPRZZ673"/>
    <s v="TIPO IV"/>
    <s v="TERRESTRE"/>
    <s v="VISITA_TÉCNICA"/>
    <n v="0"/>
    <n v="0"/>
    <n v="1"/>
    <n v="464809.36800000002"/>
    <n v="464809.36800000002"/>
  </r>
  <r>
    <s v="BOGOTA"/>
    <x v="2"/>
    <x v="2"/>
    <n v="11001"/>
    <s v="TA-25-686012"/>
    <s v="FO-25-1018582"/>
    <d v="2025-05-30T15:41:00"/>
    <d v="2025-06-03T15:15:10"/>
    <s v="CUNDINAMARCA"/>
    <s v="BOGOTA"/>
    <s v="BARRIO NORMANDIA II BOGOTA"/>
    <n v="13548"/>
    <s v="ORDEN DE CAMBIO"/>
    <s v="CIERRE"/>
    <s v="RECUPERACION DE EQUIPOS"/>
    <s v="REDEBAN"/>
    <s v="CB UNO A UNO"/>
    <s v="CB UNO A UNO"/>
    <s v="NO_EXITOSO"/>
    <s v="CB NO ENTREGA EQUIPO"/>
    <s v="03-06-2025 DIRECCIÓN NO EXISTE, SE SE TIENE CONTACTO CON EL COMERCIO VÍA TELEFÓNICA EL SEÑOR FABIO INDICA QUE NO SE ENCUENTRA EN LA CIUDAD DE BOGOTÁ."/>
    <s v="GARCIA PASTRANA KEVIN FERNANDO"/>
    <n v="0"/>
    <s v="TIPO I"/>
    <s v="TERRESTRE"/>
    <s v="VISITA_TÉCNICA"/>
    <n v="0"/>
    <n v="0"/>
    <n v="1"/>
    <n v="44559.563999999998"/>
    <n v="44559.563999999998"/>
  </r>
  <r>
    <s v="NEIVA"/>
    <x v="1"/>
    <x v="1"/>
    <n v="18150"/>
    <s v="TA-25-682373"/>
    <s v="FO-25-1010988"/>
    <d v="2025-05-29T11:39:00"/>
    <d v="2025-06-03T16:25:51"/>
    <s v="CAQUETA"/>
    <s v="CARTAGENA DEL CHAIRA"/>
    <s v="BARRIO BELLA VISTA CARTAGENA DEL CHAIRA"/>
    <n v="76062"/>
    <s v="ORDEN DE CAMBIO"/>
    <s v="CIERRE"/>
    <s v="CIERRE"/>
    <s v="REDEBAN"/>
    <s v="CB UNO A UNO"/>
    <s v="CB UNO A UNO"/>
    <s v="NO_EXITOSO"/>
    <s v="CB NO ENTREGA EQUIPO"/>
    <s v="03-06-2025 SE REALIZA VISITA AL CORRESPONSAL Y CLIENTE MANIFIESTA QUE NO PERMITE EL RETIRO DEL CORRESPONSAL YA QUE SE ENCUENTRA EN UNA GESTIÓN DE LA FACTURACION ELECTRÓNICA CON LA ENTIDAD Y ESPERA UNA RESPUESTA POR PARTE DEL BANCO, YA QUE ELLOS NO HAN SOLICITADO EL CIERRE DEL CORRESPONSAL."/>
    <s v="BERMUDEZ SANCHEZ JOSE NEYBER"/>
    <s v="FA0BZ311"/>
    <s v="TIPO IV ESPECIAL"/>
    <s v="TERRESTRE"/>
    <s v="VISITA_TÉCNICA"/>
    <n v="0"/>
    <n v="0"/>
    <n v="1"/>
    <n v="464809.36800000002"/>
    <n v="464809.36800000002"/>
  </r>
  <r>
    <s v="PASTO"/>
    <x v="0"/>
    <x v="0"/>
    <n v="52079"/>
    <s v="TA-25-682390"/>
    <s v="FO-25-1011020"/>
    <d v="2025-05-29T11:39:00"/>
    <d v="2025-06-04T08:31:00"/>
    <s v="NARIÑO"/>
    <s v="BARBACOAS"/>
    <s v="BARRIO CL DEL COMERCIO BARBACOAS"/>
    <n v="78063"/>
    <s v="ORDEN DE CAMBIO"/>
    <s v="CIERRE"/>
    <s v="CIERRE"/>
    <s v="REDEBAN"/>
    <s v="CB UNO A UNO"/>
    <s v="CB UNO A UNO"/>
    <s v="NO_EXITOSO"/>
    <s v="CB NO ENTREGA EQUIPO"/>
    <s v="04-06-2025 SE REALIZA LLAMADA TELEFONICA EL CLIENTE PARA VALIDAR CIERRE,  CLIENTE INFORMA QUE NO HA SOLICITADO NINGUN CIERRE , QUE TENIA UN TEMA DE FACTURACION CON LA ENTIDAD PERO QUE YA FUE RESUELTO, POR LO TENTO NO DESEA ENTREGAR EQUIPOS, "/>
    <s v="HENAO CARDONA DIEGO FERNANDO"/>
    <n v="0"/>
    <s v="TIPO IV"/>
    <s v="TERRESTRE"/>
    <s v="SOPORTE_TELEFÓNICO"/>
    <n v="0"/>
    <n v="0"/>
    <n v="0"/>
    <n v="37904.612000000001"/>
    <n v="37904.612000000001"/>
  </r>
  <r>
    <s v="BARRANQUILLA"/>
    <x v="3"/>
    <x v="3"/>
    <n v="8001"/>
    <s v="TA-25-683192"/>
    <s v="FO-25-1013175"/>
    <d v="2025-05-29T16:03:00"/>
    <d v="2025-06-04T10:19:00"/>
    <s v="ATLANTICO"/>
    <s v="BARRANQUILLA"/>
    <s v="BARRIO RIOMAR BARRANQUILLA 2"/>
    <n v="75043"/>
    <s v="ORDEN DE CAMBIO"/>
    <s v="CIERRE"/>
    <s v="CIERRE"/>
    <s v="REDEBAN"/>
    <s v="CB UNO A UNO"/>
    <s v="CB UNO A UNO"/>
    <s v="ILOCALIZADO"/>
    <s v="CB CERRADO - DESOCUPADO"/>
    <s v="04-06-2025 SE REALIZA VISITA AL COMERCIO PARA REALIZAR EL CIERRE DEL CORRESPONSAL BANCOLOMBIA PERO NO ES POSIBLE TRATO COMUNICACION CON EL NÚMERO ASOCIADO EN LA TAREA PERO NO CONTESTAN 3007345725"/>
    <s v="PEÑALOZA GUTIERREZ RAFAEL GUSTAVO"/>
    <n v="0"/>
    <s v="TIPO I"/>
    <s v="TERRESTRE"/>
    <s v="VISITA_TÉCNICA"/>
    <n v="0"/>
    <n v="0"/>
    <n v="1"/>
    <n v="44559.563999999998"/>
    <n v="44559.563999999998"/>
  </r>
  <r>
    <s v="BUCARAMANGA"/>
    <x v="4"/>
    <x v="4"/>
    <n v="68001"/>
    <s v="TA-25-680768"/>
    <s v="FO-25-1007152"/>
    <d v="2025-05-28T13:58:00"/>
    <d v="2025-06-04T14:25:17"/>
    <s v="SANTANDER"/>
    <s v="BUCARAMANGA"/>
    <s v="BARRIO CAMPOHERMOSO BUCARAMANA"/>
    <n v="73231"/>
    <s v="ORDEN DE CAMBIO"/>
    <s v="CIERRE"/>
    <s v="CIERRE"/>
    <s v="REDEBAN"/>
    <s v="CB UNO A UNO"/>
    <s v="CB UNO A UNO"/>
    <s v="NO_EXITOSO"/>
    <s v="CB NO ENTREGA EQUIPO"/>
    <s v="04-06-2025 SE ESTABLECE COMUNICACIÓN CON LA SEÑORA MARIA FERNANDA VIA WHATSAPP SE LE INFORMA QUE EL BANCO DIO LA INDICACIÓN DE CERRAR ORDEN DE TRABAJO GENERADA YA QUE EL CLIENTE NO CUENTA CON DISPONIBILIDAD PARA ENTREGAR LOS EQUIPOS SE LE INFORMA QUE TAN PRONTO TENGA DISPONIBILIDAD SE COMUNIQUE CON LA LINEA 018000953344 Y SOLICITE LA RECOLECCIÓN DE LOS MISMOS "/>
    <s v="BARRERA ORTEGA MARLON STWAR"/>
    <n v="0"/>
    <s v="TIPO I"/>
    <s v="TERRESTRE"/>
    <s v="VISITA_TÉCNICA"/>
    <n v="0"/>
    <n v="0"/>
    <n v="1"/>
    <n v="44559.563999999998"/>
    <n v="44559.563999999998"/>
  </r>
  <r>
    <s v="PEREIRA"/>
    <x v="0"/>
    <x v="5"/>
    <n v="66400"/>
    <s v="TA-25-682398"/>
    <s v="FO-25-1011040"/>
    <d v="2025-05-29T11:39:00"/>
    <d v="2025-06-04T15:59:15"/>
    <s v="RISARALDA"/>
    <s v="LA VIRGINIA"/>
    <s v="LA VIRGINIA - LOS LIBERTADORES"/>
    <n v="71934"/>
    <s v="ORDEN DE CAMBIO"/>
    <s v="CIERRE"/>
    <s v="CIERRE"/>
    <s v="REDEBAN"/>
    <s v="CB UNO A UNO"/>
    <s v="CB UNO A UNO"/>
    <s v="NO_EXITOSO"/>
    <s v="CB NO ENTREGA EQUIPO"/>
    <s v="04-06-2025 VISITAMOS COMERCIO PERO LA PERSONA QUE ESTÁ A CARGO NO TIENE CONOCIMIENTO, NO FUE POSIBLE COMUNICARSE CON EL ADMINISTRADOR YA QUE ESTA EN UNA REUNIÓN PERO NOS INDICA QUE EL TAMPOCO DEBE TENER CONOCIMIENTO DE QUE REALIZARAN EL CIERRE DEL CORRESPONSAL, ELLOS REALIZARÁN LA VALIDACIÓN CON EL ASESOR DE LA ZONA PARA CONTINUAR CON EL CORRESPONSAL. "/>
    <s v="ARROYAVE CANO MANUEL GUILLERMO"/>
    <s v="LN00M144"/>
    <s v="TIPO I"/>
    <s v="TERRESTRE"/>
    <s v="VISITA_TÉCNICA"/>
    <n v="0"/>
    <n v="0"/>
    <n v="1"/>
    <n v="44559.563999999998"/>
    <n v="44559.563999999998"/>
  </r>
  <r>
    <s v="VILLAVICENCIO"/>
    <x v="1"/>
    <x v="1"/>
    <n v="50001"/>
    <s v="TA-25-682444"/>
    <s v="FO-25-1011076"/>
    <d v="2025-05-29T11:39:00"/>
    <d v="2025-06-04T16:45:44"/>
    <s v="META"/>
    <s v="VILLAVICENCIO"/>
    <s v="BARRIO MANANTIAL VILLAVICENCIO"/>
    <n v="69923"/>
    <s v="ORDEN DE CAMBIO"/>
    <s v="CIERRE"/>
    <s v="RECUPERACION DE EQUIPOS"/>
    <s v="REDEBAN"/>
    <s v="CB UNO A UNO"/>
    <s v="CB UNO A UNO"/>
    <s v="ILOCALIZADO"/>
    <s v="CB CERRADO - DESOCUPADO"/>
    <s v="04-06-2025 SE REALIZA VISITA AL PUNTO Y COMERCIO SE ENCUENTRA CERRADO, NO ES POSIBLE CONTACTO TELEFONICO CON EL CLIENTE "/>
    <s v="PEDREROS CONTRERAS MICHAEL STEVENS"/>
    <n v="0"/>
    <s v="TIPO I"/>
    <s v="TERRESTRE"/>
    <s v="VISITA_TÉCNICA"/>
    <n v="0"/>
    <n v="0"/>
    <n v="1"/>
    <n v="44559.563999999998"/>
    <n v="44559.563999999998"/>
  </r>
  <r>
    <s v="MONTERIA"/>
    <x v="3"/>
    <x v="3"/>
    <n v="23001"/>
    <s v="TA-25-682386"/>
    <s v="FO-25-1011009"/>
    <d v="2025-05-29T11:39:00"/>
    <d v="2025-06-04T18:13:48"/>
    <s v="CORDOBA"/>
    <s v="MONTERIA"/>
    <s v="BARRIO  CENTRO MONTERIA"/>
    <n v="74413"/>
    <s v="ORDEN DE CAMBIO"/>
    <s v="CIERRE"/>
    <s v="CIERRE"/>
    <s v="REDEBAN"/>
    <s v="CB UNO A UNO"/>
    <s v="CB UNO A UNO"/>
    <s v="NO_EXITOSO"/>
    <s v="CB NO ENTREGA EQUIPO"/>
    <s v="04-06-2025 SE LLEGA AL SITIO Y NOS INFORMAN QUE LA PERSONA ENCARGADA NO SE ENCUENTRA, QUE REGRESEMOS EN OTRA OCASIÓN PARA EFECTUAR LA ENTREGA. NOS ATIENDE MARÍA ALEJANDRA ORTEGA SÁNCHEZ. "/>
    <s v="CASSIANI PEREZ RAUL RAMIRO"/>
    <n v="0"/>
    <s v="TIPO I"/>
    <s v="TERRESTRE"/>
    <s v="VISITA_TÉCNICA"/>
    <n v="0"/>
    <n v="0"/>
    <n v="1"/>
    <n v="44559.563999999998"/>
    <n v="44559.563999999998"/>
  </r>
  <r>
    <s v="CALI"/>
    <x v="0"/>
    <x v="0"/>
    <n v="19001"/>
    <s v="TA-25-682381"/>
    <s v="FO-25-1011001"/>
    <d v="2025-05-29T11:39:00"/>
    <d v="2025-06-05T15:15:08"/>
    <s v="CAUCA"/>
    <s v="POPAYAN"/>
    <s v="BARRIO BELLAVISTA POPAYAN 1"/>
    <n v="76647"/>
    <s v="ORDEN DE CAMBIO"/>
    <s v="CIERRE"/>
    <s v="CIERRE"/>
    <s v="REDEBAN"/>
    <s v="CB UNO A UNO"/>
    <s v="CB UNO A UNO"/>
    <s v="ILOCALIZADO"/>
    <s v="CB CERRADO - DESOCUPADO"/>
    <s v="05-06-2025 SE REALIZA LLAMADA CELULAR CB NO RESPONDE SE LLEGA AL SITIO SE ENCUENTRA CERRADO COMERCIO"/>
    <s v="GIMBUEL LASSO LUIS GERMAN"/>
    <s v="LA2ZZ430"/>
    <s v="TIPO III"/>
    <s v="TERRESTRE"/>
    <s v="VISITA_TÉCNICA"/>
    <n v="0"/>
    <n v="0"/>
    <n v="1"/>
    <n v="222904.07200000001"/>
    <n v="222904.07200000001"/>
  </r>
  <r>
    <s v="TUNJA"/>
    <x v="4"/>
    <x v="4"/>
    <n v="15759"/>
    <s v="TA-25-716434"/>
    <s v="FO-25-1049138"/>
    <d v="2025-06-05T16:10:00"/>
    <d v="2025-06-06T12:30:00"/>
    <s v="BOYACA"/>
    <s v="SOGAMOSO"/>
    <s v="BARRIO EL LIBERTADOR"/>
    <n v="25666"/>
    <s v="ORDEN DE CAMBIO"/>
    <s v="CIERRE"/>
    <s v="CIERRE"/>
    <s v="REDEBAN"/>
    <s v="CB UNO A UNO"/>
    <s v="CB UNO A UNO"/>
    <s v="SOLICITUD_CANCELADA"/>
    <s v="CANCELADO POR LA ENTIDAD"/>
    <s v="06-06-2025 SE CIERRA ORDEN , SE NO SE ATIENDE ACTIVIDAD , SE CANCELA ORDEN POR SOLICITUD DE LA ENTIDAD "/>
    <s v="ALVARADO MORENO CRISTHIAN"/>
    <n v="0"/>
    <s v="TIPO II"/>
    <s v="TERRESTRE"/>
    <s v="SOPORTE_TELEFÓNICO"/>
    <n v="0"/>
    <n v="0"/>
    <n v="0"/>
    <n v="37904.612000000001"/>
    <n v="37904.612000000001"/>
  </r>
  <r>
    <s v="BOGOTA"/>
    <x v="2"/>
    <x v="2"/>
    <n v="11001"/>
    <s v="TA-25-716462"/>
    <s v="FO-25-1049196"/>
    <d v="2025-06-05T16:10:00"/>
    <d v="2025-06-06T13:40:12"/>
    <s v="CUNDINAMARCA"/>
    <s v="BOGOTA"/>
    <s v="BARRIO MINUTO DE DIOS BOGOTA 8"/>
    <n v="66835"/>
    <s v="ORDEN DE CAMBIO"/>
    <s v="CIERRE"/>
    <s v="CIERRE"/>
    <s v="REDEBAN"/>
    <s v="CB UNO A UNO"/>
    <s v="CB UNO A UNO"/>
    <s v="ILOCALIZADO"/>
    <s v="CB CERRADO - DESOCUPADO"/>
    <s v="06-06-2025 SE REALIZS VISITA A CB PARA REALIZAR CIERRE SE ENCUENTRA CERRADO ,SE INTENTA COMUNICAR CON CLIENTE NO CONTESTAN "/>
    <s v="GALINDO ROJAS LUIS FELIPE"/>
    <n v="0"/>
    <s v="TIPO I"/>
    <s v="TERRESTRE"/>
    <s v="VISITA_TÉCNICA"/>
    <n v="0"/>
    <n v="0"/>
    <n v="1"/>
    <n v="44559.563999999998"/>
    <n v="44559.563999999998"/>
  </r>
  <r>
    <s v="MONTERIA"/>
    <x v="3"/>
    <x v="3"/>
    <n v="23001"/>
    <s v="TA-25-716443"/>
    <s v="FO-25-1049157"/>
    <d v="2025-06-05T16:10:00"/>
    <d v="2025-06-06T14:19:44"/>
    <s v="CORDOBA"/>
    <s v="MONTERIA"/>
    <s v="BARRIO EL DORADO MONTERIA CORD"/>
    <n v="72141"/>
    <s v="ORDEN DE CAMBIO"/>
    <s v="CIERRE"/>
    <s v="CIERRE"/>
    <s v="REDEBAN"/>
    <s v="CB UNO A UNO"/>
    <s v="CB UNO A UNO"/>
    <s v="NO_EXITOSO"/>
    <s v="CB NO ENTREGA EQUIPO"/>
    <s v="06-06-2025 SE LLEGA A CB, IMFOAM QUE NO ESTÁ LA PERSONA ENCARGADA DEL CB, POR ESE MOTIVO NO PERMITEN EL RETIRO DE LOS EQUIPOS DEL PUNTO "/>
    <s v="COGOLLO ROSSO CAMILO ANDRES"/>
    <s v="NN00N610"/>
    <s v="TIPO I"/>
    <s v="TERRESTRE"/>
    <s v="VISITA_TÉCNICA"/>
    <n v="0"/>
    <n v="0"/>
    <n v="1"/>
    <n v="44559.563999999998"/>
    <n v="44559.563999999998"/>
  </r>
  <r>
    <s v="CALI"/>
    <x v="0"/>
    <x v="0"/>
    <n v="19532"/>
    <s v="TA-25-683193"/>
    <s v="FO-25-1013178"/>
    <d v="2025-05-29T16:03:00"/>
    <d v="2025-06-06T15:21:02"/>
    <s v="CAUCA"/>
    <s v="PATIA"/>
    <s v="BARRIO PATIA PATIA"/>
    <n v="77803"/>
    <s v="ORDEN DE CAMBIO"/>
    <s v="CIERRE"/>
    <s v="CIERRE"/>
    <s v="REDEBAN"/>
    <s v="CB UNO A UNO"/>
    <s v="CB UNO A UNO"/>
    <s v="ILOCALIZADO"/>
    <s v="CB CERRADO - DESOCUPADO"/>
    <s v="06-06-2025 SE REALIZA LLAMADA CELULAR CB NO RESPONDE SE ENCUENTRA COMERCIO CERRADO "/>
    <s v="GIMBUEL LASSO LUIS GERMAN"/>
    <s v="10OZZ064"/>
    <s v="TIPO IV"/>
    <s v="TERRESTRE"/>
    <s v="VISITA_TÉCNICA"/>
    <n v="0"/>
    <n v="0"/>
    <n v="1"/>
    <n v="464809.36800000002"/>
    <n v="464809.36800000002"/>
  </r>
  <r>
    <s v="BOGOTA"/>
    <x v="2"/>
    <x v="2"/>
    <n v="11001"/>
    <s v="TA-25-716460"/>
    <s v="FO-25-1049191"/>
    <d v="2025-06-05T16:10:00"/>
    <d v="2025-06-06T15:40:26"/>
    <s v="CUNDINAMARCA"/>
    <s v="BOGOTA"/>
    <s v="BARRIO TIERRA BUENA KENNEDY BO"/>
    <n v="59263"/>
    <s v="ORDEN DE CAMBIO"/>
    <s v="CIERRE"/>
    <s v="CIERRE"/>
    <s v="REDEBAN"/>
    <s v="CB UNO A UNO"/>
    <s v="CB UNO A UNO"/>
    <s v="ILOCALIZADO"/>
    <s v="CB CERRADO - DESOCUPADO"/>
    <s v="06-06-2025 SE LLEGA A SITIO SE LLAMAN A LOS NÚMEROS DE CONTACTO NO CONTESTAN SE VÁLIDA EN PORTERÍA NO RESPONDEN NI DAN INFORMACIÓN, ESTO DEBIDO A QUE NO EXISTE CORRESPONSAL BANCARIO A LA VISTA. "/>
    <s v="INFANTE SIERRA MANUEL FERNANDO"/>
    <n v="0"/>
    <s v="TIPO I"/>
    <s v="TERRESTRE"/>
    <s v="VISITA_TÉCNICA"/>
    <n v="0"/>
    <n v="0"/>
    <n v="1"/>
    <n v="44559.563999999998"/>
    <n v="44559.563999999998"/>
  </r>
  <r>
    <s v="NEIVA"/>
    <x v="1"/>
    <x v="1"/>
    <n v="41001"/>
    <s v="TA-25-716446"/>
    <s v="FO-25-1049163"/>
    <d v="2025-06-05T16:10:00"/>
    <d v="2025-06-06T15:40:37"/>
    <s v="HUILA"/>
    <s v="NEIVA"/>
    <s v="BARRIO ALTICO NEIVA  3"/>
    <n v="76201"/>
    <s v="ORDEN DE CAMBIO"/>
    <s v="CIERRE"/>
    <s v="CIERRE"/>
    <s v="REDEBAN"/>
    <s v="CB UNO A UNO"/>
    <s v="CB UNO A UNO"/>
    <s v="NO_EXITOSO"/>
    <s v="CB NO ENTREGA EQUIPO"/>
    <s v="06-06-2025 SE REALIZA VISITA AL PUNTO , PERSONA ENCARGADA INDICA QUE NO HA HECHO SOLICITUD PARA EL CIERRE DEL PUNTO, INDICA QUE SE VA A COMUNICAR CON EL BANCO PARA VALIDAR, POR AHORA NO ENTREGA EQUIPOS, CIERRE FALLIDO ."/>
    <s v="DEVIA REINOSO JUAN CARLOS"/>
    <s v="FA0GZ493"/>
    <s v="TIPO I"/>
    <s v="TERRESTRE"/>
    <s v="VISITA_TÉCNICA"/>
    <n v="0"/>
    <n v="0"/>
    <n v="1"/>
    <n v="44559.563999999998"/>
    <n v="44559.563999999998"/>
  </r>
  <r>
    <s v="VILLAVICENCIO"/>
    <x v="1"/>
    <x v="1"/>
    <n v="50287"/>
    <s v="TA-25-716448"/>
    <s v="FO-25-1049168"/>
    <d v="2025-06-05T16:10:00"/>
    <d v="2025-06-06T17:16:56"/>
    <s v="META"/>
    <s v="FUENTE DE ORO"/>
    <s v="BARRIO CENTRO 1 FUENTE DE ORO"/>
    <n v="34950"/>
    <s v="ORDEN DE CAMBIO"/>
    <s v="CIERRE"/>
    <s v="CIERRE"/>
    <s v="REDEBAN"/>
    <s v="CB UNO A UNO"/>
    <s v="CB UNO A UNO"/>
    <s v="ILOCALIZADO"/>
    <s v="CB CERRADO - DESOCUPADO"/>
    <s v="06-06-2025 SE REALIZA VISITA Y COMERCIO SE ENCUENTRA CERRADO, SE REALIZA  CONTACTO TELEFONICO Y NO ES POSIBLE"/>
    <s v="PEDREROS CONTRERAS MICHAEL STEVENS"/>
    <s v="NONE"/>
    <s v="TIPO III"/>
    <s v="TERRESTRE"/>
    <s v="VISITA_TÉCNICA"/>
    <n v="0"/>
    <n v="0"/>
    <n v="1"/>
    <n v="222904.07200000001"/>
    <n v="222904.07200000001"/>
  </r>
  <r>
    <s v="BUCARAMANGA"/>
    <x v="4"/>
    <x v="4"/>
    <n v="68255"/>
    <s v="TA-25-719474"/>
    <s v="FO-25-1053434"/>
    <d v="2025-06-06T10:59:00"/>
    <d v="2025-06-06T17:47:04"/>
    <s v="SANTANDER"/>
    <s v="EL PLAYON"/>
    <s v="PTM EL PLAYON DAYECEL"/>
    <n v="62274"/>
    <s v="ORDEN DE CAMBIO"/>
    <s v="CIERRE"/>
    <s v="CIERRE"/>
    <s v="REDEBAN"/>
    <s v="AGREGADOR"/>
    <s v="COMCARD - PTM"/>
    <s v="ILOCALIZADO"/>
    <s v="CB CERRADO - DESOCUPADO"/>
    <s v="06-06-2025 SE INTENTA COMUCACION CON LA ADMINISTRADORA ELCIDA ACERO AL CELULAR 3163547179 Y WHATSAPP NO FUE POSIBLE, SE LLEGA A DIRECCIÓN CRA 8 #11-83, Y YA NO ESTÁ EL CORRESPONSAL, ADMINISTRADOR DEL LOCAL EXISTENTE, INFORMA QUE ELLOS TOMARON EL LOCAL APROXIMADAMENTE 3 MESES, QUE EL PROPIETARIO ANTERIOR SE FUE PARA EL MUNICIPIO DE RIO NEGRO, SE DEJA MENSAJE POR WHATSAPP, SE REALIZA LLAMADA TELEFÓNICA Y CLIENTE NO CONTESTA SE PROCEDE A CERRAR LA ORDEN."/>
    <s v="MARTINEZ FLOREZ DONIS ALBERTO"/>
    <n v="0"/>
    <s v="TIPO II"/>
    <s v="TERRESTRE"/>
    <s v="VISITA_TÉCNICA"/>
    <n v="0"/>
    <n v="0"/>
    <n v="1"/>
    <n v="134410.88400000002"/>
    <n v="134410.88400000002"/>
  </r>
  <r>
    <s v="MANIZALES"/>
    <x v="0"/>
    <x v="5"/>
    <n v="17001"/>
    <s v="TA-25-716437"/>
    <s v="FO-25-1049142"/>
    <d v="2025-06-05T16:10:00"/>
    <d v="2025-06-07T09:31:58"/>
    <s v="CALDAS"/>
    <s v="MANIZALES"/>
    <s v="BARRIO SANTOS MANIZALES 1"/>
    <n v="51030"/>
    <s v="ORDEN DE CAMBIO"/>
    <s v="CIERRE"/>
    <s v="CIERRE"/>
    <s v="REDEBAN"/>
    <s v="CB UNO A UNO"/>
    <s v="CB UNO A UNO"/>
    <s v="ILOCALIZADO"/>
    <s v="CB CERRADO - DESOCUPADO"/>
    <s v="07-06-2025 SE LLEGA A DIRECCIÓN REGISTRADA EN EL CUAL EL ESTABLECIMIENTO SE ENCUENTRA CERRADO Y SIN PUBLICIDAD DEL CORRESPONSAL Y CON AVISO SE ARRIENDA, SE PREGUNTA EN COMERCIOS CERCANOS DICEN QUE CERRARON HACE 3 SEMANAS APROX, SE TRATA COMUNICACIÓN CON USUARIO PERO NO HAY RESPUESTA "/>
    <s v="AGUIRRE HENAO RAUL EDUARDO"/>
    <n v="0"/>
    <s v="TIPO I"/>
    <s v="TERRESTRE"/>
    <s v="VISITA_TÉCNICA"/>
    <n v="0"/>
    <n v="0"/>
    <n v="1"/>
    <n v="44559.563999999998"/>
    <n v="44559.563999999998"/>
  </r>
  <r>
    <s v="MONTERIA"/>
    <x v="3"/>
    <x v="3"/>
    <n v="23001"/>
    <s v="TA-25-719466"/>
    <s v="FO-25-1053413"/>
    <d v="2025-06-06T10:59:00"/>
    <d v="2025-06-07T10:45:35"/>
    <s v="CORDOBA"/>
    <s v="MONTERIA"/>
    <s v="PTM MONTERIA INVERSIONES DO CA"/>
    <n v="76641"/>
    <s v="ORDEN DE CAMBIO"/>
    <s v="CIERRE"/>
    <s v="CIERRE"/>
    <s v="REDEBAN"/>
    <s v="AGREGADOR"/>
    <s v="COMCARD - PTM"/>
    <s v="ILOCALIZADO"/>
    <s v="CB CERRADO - DESOCUPADO"/>
    <s v="07-06-2025 SE LLEGA A CB, ESTÁ CERRADO, SE PREGUNTA EN LUGARES CERCANOS INFORMAN QUE TIENE TIEMPO QUE NO ABREN, SE MARCA A NÚMERO ASIGNADO 3164976081, INFORMAN QUE ES NÚMERO EQUIVOCADO "/>
    <s v="COGOLLO ROSSO CAMILO ANDRES"/>
    <s v="LA2ZZ424"/>
    <s v="TIPO I"/>
    <s v="TERRESTRE"/>
    <s v="VISITA_TÉCNICA"/>
    <n v="0"/>
    <n v="0"/>
    <n v="1"/>
    <n v="44559.563999999998"/>
    <n v="44559.563999999998"/>
  </r>
  <r>
    <s v="VILLAVICENCIO"/>
    <x v="1"/>
    <x v="1"/>
    <n v="50001"/>
    <s v="TA-25-716447"/>
    <s v="FO-25-1049165"/>
    <d v="2025-06-05T16:10:00"/>
    <d v="2025-06-07T11:45:23"/>
    <s v="META"/>
    <s v="VILLAVICENCIO"/>
    <s v="BARRIO PANORAMA VILLAVICENCIO"/>
    <n v="67216"/>
    <s v="ORDEN DE CAMBIO"/>
    <s v="CIERRE"/>
    <s v="CIERRE"/>
    <s v="REDEBAN"/>
    <s v="CB UNO A UNO"/>
    <s v="CB UNO A UNO"/>
    <s v="NO_EXITOSO"/>
    <s v="CB NO ENTREGA EQUIPO"/>
    <s v="07-06-2025 SE LLEGA AL COMERCIO SE VALIDA QUE EL CLIENTE NO ENTREGA EL EQUIPO YA QUE ESTA SOLICITANDO LA ACTIVACIÓN PORQUE HACE POCO REALIZO UN TRASLADO "/>
    <s v="ROZO JIMENEZ EDGAR ARMANDO"/>
    <s v="AAL06558"/>
    <s v="TIPO I"/>
    <s v="TERRESTRE"/>
    <s v="VISITA_TÉCNICA"/>
    <n v="0"/>
    <n v="0"/>
    <n v="1"/>
    <n v="44559.563999999998"/>
    <n v="44559.563999999998"/>
  </r>
  <r>
    <s v="BOGOTA"/>
    <x v="2"/>
    <x v="2"/>
    <n v="11001"/>
    <s v="TA-25-719482"/>
    <s v="FO-25-1053457"/>
    <d v="2025-06-06T10:59:00"/>
    <d v="2025-06-07T13:08:44"/>
    <s v="CUNDINAMARCA"/>
    <s v="BOGOTA"/>
    <s v="PAGAFACIL BOSA"/>
    <n v="26555"/>
    <s v="ORDEN DE CAMBIO"/>
    <s v="CIERRE"/>
    <s v="RECUPERACION DE EQUIPOS"/>
    <s v="REDEBAN"/>
    <s v="ROBUSTO"/>
    <s v="PAGAFACIL"/>
    <s v="NO_EXITOSO"/>
    <s v="CB NO ENTREGA EQUIPO"/>
    <s v="07-06-2025 SE REALIZA VISITA A A CB PARA REALIZAR RETIRO DE EQUIPOS CLIENTE NO TIENE NINGÚN EQUIPO PARA RETIRAR INFORMA QUE TIENE SON UNOS CABLES PERO SE VALIDAN Y NO SON DE REDEBAN ,Y LOS DATAFONOS QUE TIENEN SON LOS QUE ACTUALMENTE ESTÁN UTILIZANDO "/>
    <s v="GALINDO ROJAS LUIS FELIPE"/>
    <n v="0"/>
    <s v="TIPO I"/>
    <s v="TERRESTRE"/>
    <s v="VISITA_TÉCNICA"/>
    <n v="0"/>
    <n v="0"/>
    <n v="1"/>
    <n v="44559.563999999998"/>
    <n v="44559.563999999998"/>
  </r>
  <r>
    <s v="CUCUTA"/>
    <x v="4"/>
    <x v="4"/>
    <n v="54518"/>
    <s v="TA-25-716452"/>
    <s v="FO-25-1049177"/>
    <d v="2025-06-05T16:10:00"/>
    <d v="2025-06-07T14:27:21"/>
    <s v="NORTE DE SANTANDER"/>
    <s v="PAMPLONA"/>
    <s v="BARRIO SIMON BOLIVAR PAMPLONA"/>
    <n v="29182"/>
    <s v="ORDEN DE CAMBIO"/>
    <s v="CIERRE"/>
    <s v="CIERRE"/>
    <s v="REDEBAN"/>
    <s v="CB UNO A UNO"/>
    <s v="CB UNO A UNO"/>
    <s v="NO_EXITOSO"/>
    <s v="CB NO ENTREGA EQUIPO"/>
    <s v="07-06-2025 SE REALIZA VISITA, ME INFORMAN QUE EL COMERCIO CAMBIO DE DUEÑO Y LOS EQUIPOS NO SE ENCUENTRAN EN EL LOCAL. SE INTENTA CONTACTAR TELEFÓNICAMENTE AL CLIENTE, PERO NO RESPONDE EL NÚMERO DE CONTACTO._x000a__x000a_3124598287"/>
    <s v="PACHECO BUITRAGO JAVIER ALONSO"/>
    <n v="0"/>
    <s v="TIPO III"/>
    <s v="TERRESTRE"/>
    <s v="VISITA_TÉCNICA"/>
    <n v="0"/>
    <n v="0"/>
    <n v="1"/>
    <n v="222904.07200000001"/>
    <n v="222904.07200000001"/>
  </r>
  <r>
    <s v="BOGOTA"/>
    <x v="2"/>
    <x v="2"/>
    <n v="11001"/>
    <s v="TA-25-719483"/>
    <s v="FO-25-1053459"/>
    <d v="2025-06-06T10:59:00"/>
    <d v="2025-06-07T14:27:59"/>
    <s v="CUNDINAMARCA"/>
    <s v="BOGOTA"/>
    <s v="MULTIPAGAS CHAPINERO"/>
    <n v="22814"/>
    <s v="ORDEN DE CAMBIO"/>
    <s v="CIERRE"/>
    <s v="RECUPERACION DE EQUIPOS"/>
    <s v="REDEBAN"/>
    <s v="ROBUSTO"/>
    <s v="MULTIPAGAS"/>
    <s v="NO_EXITOSO"/>
    <s v="CB NO ENTREGA EQUIPO"/>
    <s v="07-06-2025 COMERCIO NO PERMITE EL RETIRO DE LOS EQUIPOS QUE ESTÁN RELACIONADOS DENTRO DE LA TA EN SYTEX, INDICA QUE NO ESTÁN SOLICITANDO CIERRE SINO EL RETIRO DE EQUIPOS QUE TIENEN ALMACENADOS DESDE HACE MUCHO TIEMPO.  SE CONSULTA CON EL COORDINADOR DE LA ZONA E INDICA QUE NO SE PUEDE REALIZAR EL CIERRE"/>
    <s v="GARCIA PASTRANA KEVIN FERNANDO"/>
    <s v="BBBBV322"/>
    <s v="TIPO I"/>
    <s v="TERRESTRE"/>
    <s v="VISITA_TÉCNICA"/>
    <n v="0"/>
    <n v="0"/>
    <n v="1"/>
    <n v="44559.563999999998"/>
    <n v="44559.563999999998"/>
  </r>
  <r>
    <s v="APARTADO"/>
    <x v="5"/>
    <x v="6"/>
    <n v="5490"/>
    <s v="TA-25-721683"/>
    <s v="FO-25-1061522"/>
    <d v="2025-06-09T09:18:00"/>
    <d v="2025-06-09T10:26:41"/>
    <s v="ANTIOQUIA"/>
    <s v="NECOCLI"/>
    <s v="PTM NECOCLI AUTOSERVICIO MAX D"/>
    <n v="51222"/>
    <s v="ORDEN DE CAMBIO"/>
    <s v="CIERRE"/>
    <s v="CIERRE"/>
    <s v="REDEBAN"/>
    <s v="AGREGADOR"/>
    <s v="COMCARD - PTM"/>
    <s v="NO_EXITOSO"/>
    <s v="CB NO ENTREGA EQUIPO"/>
    <s v="09-06-2025 PTM INDICA QUE EQUIPO YA FUERON ENTREGADOS A A REDEBAN BODEGA MEDELLÍN. "/>
    <s v="DIAZ ZABALA FRANCIS DUBAN"/>
    <n v="0"/>
    <s v="TIPO II"/>
    <s v="TERRESTRE"/>
    <s v="VISITA_TÉCNICA"/>
    <n v="0"/>
    <n v="0"/>
    <n v="1"/>
    <n v="134410.88400000002"/>
    <n v="134410.88400000002"/>
  </r>
  <r>
    <s v="CALI"/>
    <x v="0"/>
    <x v="0"/>
    <n v="76001"/>
    <s v="TA-25-720448"/>
    <s v="FO-25-1057186"/>
    <d v="2025-06-06T12:28:00"/>
    <d v="2025-06-09T11:10:13"/>
    <s v="VALLE DEL CAUCA"/>
    <s v="CALI"/>
    <s v="BARRIO VILLA DEL PRADO CALI 1"/>
    <n v="62001"/>
    <s v="ORDEN DE CAMBIO"/>
    <s v="CIERRE"/>
    <s v="CIERRE"/>
    <s v="REDEBAN"/>
    <s v="CB UNO A UNO"/>
    <s v="CB UNO A UNO"/>
    <s v="NO_EXITOSO"/>
    <s v="CB NO ENTREGA EQUIPO"/>
    <s v="09-06-2025 CLIENTE ME COMUNICA QUE NO PUEDE ENTREGAR LOS EQUIPOS EL DÍA DE HOY SE LE COMUNICA QUE TIENE QUE VOLVER A SOLICITAR EL RETIRO DE LOS EQUIPOS "/>
    <s v="HENAO CARDONA DIEGO FERNANDO"/>
    <n v="0"/>
    <s v="TIPO I"/>
    <s v="TERRESTRE"/>
    <s v="SOPORTE_TELEFÓNICO"/>
    <n v="0"/>
    <n v="0"/>
    <n v="0"/>
    <n v="37904.612000000001"/>
    <n v="37904.612000000001"/>
  </r>
  <r>
    <s v="MEDELLIN"/>
    <x v="5"/>
    <x v="6"/>
    <n v="5360"/>
    <s v="TA-25-719458"/>
    <s v="FO-25-1053386"/>
    <d v="2025-06-06T10:59:00"/>
    <d v="2025-06-09T12:58:03"/>
    <s v="ANTIOQUIA"/>
    <s v="ITAGUI"/>
    <s v="PTM ITAGUI D1 FARMA S A S"/>
    <n v="42723"/>
    <s v="ORDEN DE CAMBIO"/>
    <s v="CIERRE"/>
    <s v="CIERRE"/>
    <s v="REDEBAN"/>
    <s v="AGREGADOR"/>
    <s v="COMCARD - PTM"/>
    <s v="NO_EXITOSO"/>
    <s v="CB NO ENTREGA EQUIPO"/>
    <s v="09-06-2025 SE VISITA PUNTO Y ACTUALES DUEÑOS DE LOCAL INFORMAN QUE LOS EQUIPOS YA SE LOS LLEVARON A LA OFICINA DE PTM, NO FIRMAN POR QUE NO SON LA PERSONA QUE TENIA EL CB"/>
    <s v="QUINTERO SANCHEZ JUAN SEBASTIAN"/>
    <s v="GZ7ZZ115"/>
    <s v="TIPO I"/>
    <s v="TERRESTRE"/>
    <s v="VISITA_TÉCNICA"/>
    <n v="0"/>
    <n v="0"/>
    <n v="1"/>
    <n v="44559.563999999998"/>
    <n v="44559.563999999998"/>
  </r>
  <r>
    <s v="BARRANQUILLA"/>
    <x v="3"/>
    <x v="3"/>
    <n v="47205"/>
    <s v="TA-25-719471"/>
    <s v="FO-25-1053423"/>
    <d v="2025-06-06T10:59:00"/>
    <d v="2025-06-09T13:57:25"/>
    <s v="MAGDALENA"/>
    <s v="CONCORDIA"/>
    <s v="DISTRICOL FERRETERIA SAN ISIDR"/>
    <n v="35491"/>
    <s v="ORDEN DE CAMBIO"/>
    <s v="CIERRE"/>
    <s v="CIERRE"/>
    <s v="REDEBAN"/>
    <s v="AGREGADOR"/>
    <s v="DISTRICOL"/>
    <s v="NO_EXITOSO"/>
    <s v="CB NO ENTREGA EQUIPO"/>
    <s v="09-06-2025 SE REALIZA VISITA TÉCNICA, CLIENTE INDICA QUE ENVÍO LOS EQUIPOS A MEDELLÍN, PUBLICIDAD LE DIÓ DISPOSICIÓN FINAL."/>
    <s v="DE AGUAS MUÑOZ DAVID JOSE"/>
    <s v="GZ000512"/>
    <s v="TIPO III"/>
    <s v="TERRESTRE"/>
    <s v="VISITA_TÉCNICA"/>
    <n v="0"/>
    <n v="0"/>
    <n v="1"/>
    <n v="222904.07200000001"/>
    <n v="222904.07200000001"/>
  </r>
  <r>
    <s v="MEDELLIN"/>
    <x v="5"/>
    <x v="6"/>
    <n v="5001"/>
    <s v="TA-25-719455"/>
    <s v="FO-25-1053377"/>
    <d v="2025-06-06T10:59:00"/>
    <d v="2025-06-09T15:00:10"/>
    <s v="ANTIOQUIA"/>
    <s v="MEDELLIN"/>
    <s v="PTM MED SU SALUD"/>
    <n v="39315"/>
    <s v="ORDEN DE CAMBIO"/>
    <s v="CIERRE"/>
    <s v="CIERRE"/>
    <s v="REDEBAN"/>
    <s v="AGREGADOR"/>
    <s v="COMCARD - PTM"/>
    <s v="ILOCALIZADO"/>
    <s v="CB CERRADO - DESOCUPADO"/>
    <s v="09-06-2025 SE LLEGA A DIRECCIÓN Y YA SE ENCUENTRA OTRO COMERCIO NO TIENEN IDEA DE LOS EQUIPOS, NO ES POSIBLE COMUNICACIÓN CON EL CLIENTE "/>
    <s v="DIAZ ZABALA FRANCIS DUBAN"/>
    <n v="0"/>
    <s v="TIPO I"/>
    <s v="TERRESTRE"/>
    <s v="VISITA_TÉCNICA"/>
    <n v="0"/>
    <n v="0"/>
    <n v="1"/>
    <n v="44559.563999999998"/>
    <n v="44559.563999999998"/>
  </r>
  <r>
    <s v="MEDELLIN"/>
    <x v="5"/>
    <x v="6"/>
    <n v="5001"/>
    <s v="TA-25-719452"/>
    <s v="FO-25-1053374"/>
    <d v="2025-06-06T10:59:00"/>
    <d v="2025-06-09T16:45:33"/>
    <s v="ANTIOQUIA"/>
    <s v="MEDELLIN"/>
    <s v="COMCARD MED PIEDRANET 2"/>
    <n v="32236"/>
    <s v="ORDEN DE CAMBIO"/>
    <s v="CIERRE"/>
    <s v="CIERRE"/>
    <s v="REDEBAN"/>
    <s v="AGREGADOR"/>
    <s v="COMCARD - PTM"/>
    <s v="ILOCALIZADO"/>
    <s v="CB CERRADO - DESOCUPADO"/>
    <s v="09-06-2025 SE LLEGA A LA DIRECCIÓN NO SE ENCUENTRA PUNTO ,SE REALIZA LLAMADA AL USUARIO Y NO CONTESTA "/>
    <s v="CERPA SUAREZ DUVAN CAMILO"/>
    <s v="111DZ920"/>
    <s v="TIPO I"/>
    <s v="TERRESTRE"/>
    <s v="VISITA_TÉCNICA"/>
    <n v="0"/>
    <n v="0"/>
    <n v="1"/>
    <n v="44559.563999999998"/>
    <n v="44559.563999999998"/>
  </r>
  <r>
    <s v="BARRANQUILLA"/>
    <x v="3"/>
    <x v="3"/>
    <n v="8001"/>
    <s v="TA-25-716466"/>
    <s v="FO-25-1049203"/>
    <d v="2025-06-05T16:10:00"/>
    <d v="2025-06-10T06:49:25"/>
    <s v="ATLANTICO"/>
    <s v="BARRANQUILLA"/>
    <s v="BARRIO FERRY I BARRANQUILLA"/>
    <n v="23367"/>
    <s v="ORDEN DE CAMBIO"/>
    <s v="CIERRE"/>
    <s v="RECUPERACION DE EQUIPOS"/>
    <s v="REDEBAN"/>
    <s v="CB UNO A UNO"/>
    <s v="CB UNO A UNO"/>
    <s v="NO_EXITOSO"/>
    <s v="CB NO ENTREGA EQUIPO"/>
    <s v="10-06-2025 SE REALIZA VISITA AL COMERCIO PARA REALIZAR EL CIERRE DEL CORRESPONSAL BANCOLOMBIA PERO NO ES POSIBLE TRATO COMUNICACION CON EL NÚMERO  DADO 3246098339 PERO NO CONTESTAN PREGUNTO Y ME DICEN QUE EL ENCARGADO ESTÁ DE VIAJE LE MANIFIESTO QUE CUANDO LLEGUE SE COMUNIQUE ALA LÍNEA DE SOPORTE PARA REAGENDAR VISITA "/>
    <s v="PEÑALOZA GUTIERREZ RAFAEL GUSTAVO"/>
    <s v="AA7ZZ984-11119862-ABC04331"/>
    <s v="TIPO I"/>
    <s v="TERRESTRE"/>
    <s v="VISITA_TÉCNICA"/>
    <n v="0"/>
    <n v="0"/>
    <n v="1"/>
    <n v="44559.563999999998"/>
    <n v="44559.563999999998"/>
  </r>
  <r>
    <s v="TUNJA"/>
    <x v="4"/>
    <x v="4"/>
    <n v="15667"/>
    <s v="TA-25-722650"/>
    <s v="FO-25-1064604"/>
    <d v="2025-06-09T13:34:00"/>
    <d v="2025-06-10T11:04:27"/>
    <s v="BOYACA"/>
    <s v="SAN LUIS DE GACENO"/>
    <s v="CENTRO SAN LUIS DE GACENO BOYA"/>
    <n v="24216"/>
    <s v="ORDEN DE CAMBIO"/>
    <s v="CIERRE"/>
    <s v="CIERRE"/>
    <s v="REDEBAN"/>
    <s v="CB UNO A UNO"/>
    <s v="CB UNO A UNO"/>
    <s v="NO_EXITOSO"/>
    <s v="CB NO ENTREGA EQUIPO"/>
    <s v="10-06-2025 SE CIERRA ORDEN , CLIENTE INDICA POR GESTION TELEFÓNICA VIA WHATSAPP AL NÚMERO CELULAR 3106091366 QUE DESCONOCE LOS MOTIVOS POR EL CUAL LE CIERRAN EL PUNTO QUE SE VA A COMUNICAR CON LA ENTIDAD BANCARIA , SE LE RECUERDA LA LINEA NACIONAL 018000953344 DEL BANCO  PARA QUE HAGA SU SOLICITUD.  SE PROCEDE A CERRAR ORDEN "/>
    <s v="ALVARADO MORENO CRISTHIAN"/>
    <n v="0"/>
    <s v="TIPO III"/>
    <s v="TERRESTRE"/>
    <s v="VISITA_TÉCNICA"/>
    <n v="0"/>
    <s v="  "/>
    <n v="1"/>
    <n v="222904.07200000001"/>
    <n v="222904.07200000001"/>
  </r>
  <r>
    <s v="PASTO"/>
    <x v="0"/>
    <x v="0"/>
    <n v="52001"/>
    <s v="TA-25-722651"/>
    <s v="FO-25-1064609"/>
    <d v="2025-06-09T13:34:00"/>
    <d v="2025-06-10T15:44:08"/>
    <s v="NARIÑO"/>
    <s v="PASTO"/>
    <s v="BARRIO ALTAMIRA PASTO"/>
    <n v="75662"/>
    <s v="ORDEN DE CAMBIO"/>
    <s v="CIERRE"/>
    <s v="CIERRE"/>
    <s v="REDEBAN"/>
    <s v="CB UNO A UNO"/>
    <s v="CB UNO A UNO"/>
    <s v="ILOCALIZADO"/>
    <s v="CB CERRADO - DESOCUPADO"/>
    <s v="10-06-2025 SE LLEGÓ A DIRECCIÓN INDICADA PERO SE ENCUENTRA EL CORRESPONSAL CERRADO, SE INTENTO COMUNICACIÓN A LOS TELÉFONOS DE LA USUARIA, PERO NO CONTESTA LLAMADAS NI WHATSAPP."/>
    <s v="GUERRERO RAMIREZ OSCAR DARIO"/>
    <s v="FA01Z642"/>
    <s v="TIPO I"/>
    <s v="TERRESTRE"/>
    <s v="VISITA_TÉCNICA"/>
    <n v="0"/>
    <n v="0"/>
    <n v="1"/>
    <n v="44559.563999999998"/>
    <n v="44559.563999999998"/>
  </r>
  <r>
    <s v="PASTO"/>
    <x v="0"/>
    <x v="0"/>
    <n v="52356"/>
    <s v="TA-25-716449"/>
    <s v="FO-25-1049170"/>
    <d v="2025-06-05T16:10:00"/>
    <d v="2025-06-11T09:25:11"/>
    <s v="NARIÑO"/>
    <s v="IPIALES"/>
    <s v="BARRIO ESMERALDA IPIALES 1"/>
    <n v="63875"/>
    <s v="ORDEN DE CAMBIO"/>
    <s v="CIERRE"/>
    <s v="CIERRE"/>
    <s v="REDEBAN"/>
    <s v="CB UNO A UNO"/>
    <s v="CB UNO A UNO"/>
    <s v="NO_EXITOSO"/>
    <s v="CB NO ENTREGA EQUIPO"/>
    <s v="11-06-2025 SE HABLA CON EL CLIENTE Y SE REALIZA VALIDACION DE CIERRE, PERO EL CLIENTE INDICA QUE AUN ESTA EN UN PROCESO CON LA ENTIDAD POR ELLO NO VA A ANTREGAR LOS EQUIPOS AUN PUES ESTA EN ESPERA DE UNA RESPUESTA DE LA ENTIDAD"/>
    <s v="HENAO CARDONA DIEGO FERNANDO"/>
    <n v="0"/>
    <s v="TIPO II"/>
    <s v="TERRESTRE"/>
    <s v="SOPORTE_TELEFÓNICO"/>
    <n v="0"/>
    <n v="0"/>
    <n v="0"/>
    <n v="37904.612000000001"/>
    <n v="37904.612000000001"/>
  </r>
  <r>
    <s v="MANIZALES"/>
    <x v="0"/>
    <x v="5"/>
    <n v="17777"/>
    <s v="TA-25-719465"/>
    <s v="FO-25-1053410"/>
    <d v="2025-06-06T10:59:00"/>
    <d v="2025-06-11T16:07:51"/>
    <s v="CALDAS"/>
    <s v="SUPIA"/>
    <s v="DISTRICOL NAF BOUTIQUE"/>
    <n v="44439"/>
    <s v="ORDEN DE CAMBIO"/>
    <s v="CIERRE"/>
    <s v="CIERRE"/>
    <s v="REDEBAN"/>
    <s v="AGREGADOR"/>
    <s v="DISTRICOL"/>
    <s v="NO_EXITOSO"/>
    <s v="CB NO ENTREGA EQUIPO"/>
    <s v="11-06-2025 SE HABLA TELEFONICAMENTE CON EL SEÑOR YEISON QUIEN FIGURA EN EL CONTACTO PERO EL INDICA QUE ESE NEGOCIO SE ACABO HACE MAS DE 2 AÑOS Y LOS EQUIPOS FUERON DEVUELTOS, QUE EL  CORTO TODO CONTACTO CON LA ENTIDAD HACE MUCHO RATO,  INDICA QUE EL NO DEBE FIGURAR EN NADA DE ESO PUES ESO NO EXISTE HACE YA MUCHO TIEMPO."/>
    <s v="HENAO CARDONA DIEGO FERNANDO"/>
    <n v="0"/>
    <s v="TIPO II"/>
    <s v="TERRESTRE"/>
    <s v="SOPORTE_TELEFÓNICO"/>
    <n v="0"/>
    <n v="0"/>
    <n v="0"/>
    <n v="37904.612000000001"/>
    <n v="37904.612000000001"/>
  </r>
  <r>
    <s v="SANTA MARTA"/>
    <x v="3"/>
    <x v="3"/>
    <n v="47001"/>
    <s v="TA-25-722824"/>
    <s v="FO-25-1065060"/>
    <d v="2025-06-09T16:10:00"/>
    <d v="2025-06-12T11:32:08"/>
    <s v="MAGDALENA"/>
    <s v="SANTA MARTA"/>
    <s v="DISTRICOL DROG Y VAR EBENEZER"/>
    <n v="70400"/>
    <s v="ORDEN DE CAMBIO"/>
    <s v="CIERRE"/>
    <s v="RECUPERACION DE EQUIPOS"/>
    <s v="REDEBAN"/>
    <s v="AGREGADOR"/>
    <s v="DISTRICOL"/>
    <s v="NO_EXITOSO"/>
    <s v="CB NO ENTREGA EQUIPO"/>
    <s v="12-06-2025 SE LLAMA AL NÚMERO INDICADO Y LA USUARIA MARLEN ROJAS INDICA QUE EL EQUIPO YA FUE ENTREGADO "/>
    <s v="RUA ALVAREZ RICHARD ANDRES"/>
    <n v="0"/>
    <s v="TIPO I"/>
    <s v="TERRESTRE"/>
    <s v="SOPORTE_TELEFÓNICO"/>
    <n v="0"/>
    <n v="0"/>
    <n v="0"/>
    <n v="37904.612000000001"/>
    <n v="37904.612000000001"/>
  </r>
  <r>
    <s v="BOGOTA"/>
    <x v="2"/>
    <x v="2"/>
    <n v="25386"/>
    <s v="TA-25-722660"/>
    <s v="FO-25-1069367"/>
    <d v="2025-06-09T13:34:00"/>
    <d v="2025-06-12T13:06:08"/>
    <s v="CUNDINAMARCA"/>
    <s v="LA MESA"/>
    <s v="BARRIO CENTRO LA MESA 7"/>
    <n v="76271"/>
    <s v="ORDEN DE CAMBIO"/>
    <s v="CIERRE"/>
    <s v="RECUPERACION DE EQUIPOS"/>
    <s v="REDEBAN"/>
    <s v="CB UNO A UNO"/>
    <s v="CB UNO A UNO"/>
    <s v="EJECUTADO_EXITOSO"/>
    <s v="CIERRE EXITOSO"/>
    <s v="12-06-2025 DURANTE LA VISITA TECNICA SE REALIZA RETIRO DE DATAFONO, LECTOR DE CODIGO DE BARRAS   POR CIERRE DE PUNTO PUBLICIDAD FUE RETIRADA Y DESTRUIDA POR COMERCIO INDICAN  "/>
    <s v="GALEANO SORIANO JUAN DAVID"/>
    <s v="EG0OZ133"/>
    <s v="TIPO II"/>
    <s v="TERRESTRE"/>
    <s v="VISITA_TÉCNICA"/>
    <s v="1072112"/>
    <s v="775711  "/>
    <n v="1"/>
    <n v="134410.88400000002"/>
    <n v="134410.88400000002"/>
  </r>
  <r>
    <s v="BOGOTA"/>
    <x v="2"/>
    <x v="2"/>
    <n v="11001"/>
    <s v="TA-25-722815"/>
    <s v="FO-25-1082752"/>
    <d v="2025-06-09T16:10:00"/>
    <d v="2025-06-12T17:06:58"/>
    <s v="CUNDINAMARCA"/>
    <s v="BOGOTA"/>
    <s v="PTM BOGOTA CIGARRERIA EL REFUG"/>
    <n v="68147"/>
    <s v="ORDEN DE CAMBIO"/>
    <s v="CIERRE"/>
    <s v="CIERRE"/>
    <s v="REDEBAN"/>
    <s v="AGREGADOR"/>
    <s v="COMCARD - PTM"/>
    <s v="EJECUTADO_EXITOSO"/>
    <s v="CIERRE EXITOSO"/>
    <s v="12-06-2025 SE VISITA DIRECCIÓN INDICADA POR EL CLIENTE PARA ENTREGAR LOS EQUIPOS, SE RETIRAN DATÁFONO EL CUAL ESTÁ ALERTADO (LLT), LECTOR DE BARRAS, BASE Y CABLEADO, NO UPS, NO SE MANIPULAN EQUIPOS, PUBLICIDAD NO TIENEN YA QUE FUE DESTRUIDA POR CLIENTE."/>
    <s v="VEGA MANRIQUE JONATAN MAURICIO"/>
    <s v="9L08Z750 - AAQ0P940"/>
    <s v="TIPO I"/>
    <s v="TERRESTRE"/>
    <s v="VISITA_TÉCNICA"/>
    <s v="894557"/>
    <s v="932471  "/>
    <n v="1"/>
    <n v="44559.563999999998"/>
    <n v="44559.563999999998"/>
  </r>
  <r>
    <s v="BUCARAMANGA"/>
    <x v="4"/>
    <x v="4"/>
    <n v="68001"/>
    <s v="TA-25-719473"/>
    <s v="FO-25-1055503"/>
    <d v="2025-06-06T10:59:00"/>
    <d v="2025-06-12T21:02:14"/>
    <s v="SANTANDER"/>
    <s v="BUCARAMANGA"/>
    <s v="PTM BUCARAMANGA PUNTO SERVIS B"/>
    <n v="78127"/>
    <s v="ORDEN DE CAMBIO"/>
    <s v="CIERRE"/>
    <s v="CIERRE"/>
    <s v="REDEBAN"/>
    <s v="AGREGADOR"/>
    <s v="COMCARD - PTM"/>
    <s v="EJECUTADO_EXITOSO"/>
    <s v="CIERRE EXITOSO"/>
    <s v="12-06-2025 SE REALIZA VISITA A LA DIRECCIÓN DADA POR EL CLIENTE DÓNDE LA SRA MARIA PAZ TARAZONA HACE ENTREGA VOLUNTARIA DE DATÁFONO, PINPAD, HUB Y LECTORA DE BARRAS, BASE Y SUS RESPECTIVOS CABLEADO._x000a_DIRECCIÓN PROPORCIONADA CRA 1A 55A 25 CENTAUROS 2 "/>
    <s v="GONZALEZ ESTUPIÑAN YEISON WALTER ANTONIO"/>
    <s v="LMOZZ278-LMOZZ350"/>
    <s v="TIPO I"/>
    <s v="TERRESTRE"/>
    <s v="VISITA_TÉCNICA"/>
    <s v="1219060"/>
    <s v="1145440 1119308 NO SERIALIZADO "/>
    <n v="1"/>
    <n v="44559.563999999998"/>
    <n v="44559.563999999998"/>
  </r>
  <r>
    <s v="BOGOTA"/>
    <x v="2"/>
    <x v="2"/>
    <n v="25214"/>
    <s v="TA-25-722810"/>
    <s v="FO-25-1065021"/>
    <d v="2025-06-09T16:10:00"/>
    <d v="2025-06-13T11:58:11"/>
    <s v="CUNDINAMARCA"/>
    <s v="COTA"/>
    <s v="DISTRICOL JN ELECTRONICA"/>
    <n v="44112"/>
    <s v="ORDEN DE CAMBIO"/>
    <s v="CIERRE"/>
    <s v="CIERRE"/>
    <s v="REDEBAN"/>
    <s v="AGREGADOR"/>
    <s v="DISTRICOL"/>
    <s v="ILOCALIZADO"/>
    <s v="CB CERRADO - DESOCUPADO"/>
    <s v="13-06-2025 SE VISITA COMERCIO POR CIERRE DE PUNTO AL LLEGAR A LA DIRECCIÓN REGISTRADA YA NO SE ENCUENTRA NINGÚN COMERCIO ACTIVO  EN LA DIRECCIÓN SE INTENTA COMUNICACIÓN A NÚMEROS REGISTRADOS : 3123289164, 3187292927 PERO SE VA A BUZÓN DE MENSAJES SE VALIDA CON COMERCIOS CERCANOS QUIENES CONFIRMAN HACE 2 MESES EL CLIENTE SE FUE Y NO SABEN DE EL SE PROCEDE A DILIGENCIAR FORMATO ILOCALIZABLE Y ACTA DE CIERRE FINALIZANDO ACTIVIDAD SIN MÁS NOVEDAD "/>
    <s v="ROMERO ROJAS BREIDY JHOHAN"/>
    <n v="0"/>
    <s v="TIPO II"/>
    <s v="TERRESTRE"/>
    <s v="VISITA_TÉCNICA"/>
    <n v="0"/>
    <n v="0"/>
    <n v="1"/>
    <n v="134410.88400000002"/>
    <n v="134410.88400000002"/>
  </r>
  <r>
    <s v="IBAGUE"/>
    <x v="1"/>
    <x v="1"/>
    <n v="73001"/>
    <s v="TA-25-755299"/>
    <s v="FO-25-1083790"/>
    <d v="2025-06-12T14:00:00"/>
    <d v="2025-06-13T14:55:58"/>
    <s v="TOLIMA"/>
    <s v="IBAGUE"/>
    <s v="EL CARMEN IBAGUE TOLIMA"/>
    <n v="72512"/>
    <s v="ORDEN DE CAMBIO"/>
    <s v="CIERRE"/>
    <s v="CIERRE"/>
    <s v="REDEBAN"/>
    <s v="CB UNO A UNO"/>
    <s v="CB UNO A UNO"/>
    <s v="ILOCALIZADO"/>
    <s v="CB CERRADO - DESOCUPADO"/>
    <s v="13-06-2025 SE VISITA COMERCIO PERO SE ENCUENTRA CERRADO, SE COMUNICA AL NÚMERO 3182218150 SIN NINGÚN RESULTADO. VISITA FALLIDA "/>
    <s v="BARRAGAN TAFUR EDWIN ESTEBAN"/>
    <n v="0"/>
    <s v="TIPO I"/>
    <s v="TERRESTRE"/>
    <s v="VISITA_TÉCNICA"/>
    <n v="0"/>
    <n v="0"/>
    <n v="1"/>
    <n v="44559.563999999998"/>
    <n v="44559.563999999998"/>
  </r>
  <r>
    <s v="BOGOTA"/>
    <x v="2"/>
    <x v="2"/>
    <n v="25286"/>
    <s v="TA-25-755291"/>
    <s v="FO-25-1083776"/>
    <d v="2025-06-12T14:00:00"/>
    <d v="2025-06-13T16:33:08"/>
    <s v="CUNDINAMARCA"/>
    <s v="FUNZA"/>
    <s v="BARRIO FUNZA FUNZA 3"/>
    <n v="46905"/>
    <s v="ORDEN DE CAMBIO"/>
    <s v="CIERRE"/>
    <s v="CIERRE"/>
    <s v="REDEBAN"/>
    <s v="CB UNO A UNO"/>
    <s v="CB UNO A UNO"/>
    <s v="ILOCALIZADO"/>
    <s v="CB CERRADO - DESOCUPADO"/>
    <s v="13-06-2025 SE REALIZA VISITA A LA DIRECCIÓN ASIGNADA POR EL CLIENTE PARA EJECUTAR CIERRE DE CB, PERO AL LLEGAR AL PUNTO LA CASA 04 DEL BLOQUE 39 SE ENCUENTRA DESOCUPADO NO HAY NINGÚN COMERCIO. _x000a_SE INTENTA CONTACTO CON EL CLIENTE AL NÚMERO 3114725417 Y NO HAY RESPUESTA. "/>
    <s v="CORTES VELANDIA MIGUEL ANGEL"/>
    <n v="0"/>
    <s v="TIPO II"/>
    <s v="TERRESTRE"/>
    <s v="VISITA_TÉCNICA"/>
    <n v="0"/>
    <n v="0"/>
    <n v="1"/>
    <n v="134410.88400000002"/>
    <n v="134410.88400000002"/>
  </r>
  <r>
    <s v="CALI"/>
    <x v="0"/>
    <x v="0"/>
    <n v="19001"/>
    <s v="TA-25-724916"/>
    <s v="FO-25-1083761"/>
    <d v="2025-06-10T12:37:00"/>
    <d v="2025-06-13T16:40:00"/>
    <s v="CAUCA"/>
    <s v="POPAYAN"/>
    <s v="BARRIO EL EMPEDRADO POPAYAN"/>
    <n v="59632"/>
    <s v="ORDEN DE CAMBIO"/>
    <s v="CIERRE"/>
    <s v="RECUPERACION DE EQUIPOS"/>
    <s v="REDEBAN"/>
    <s v="CB UNO A UNO"/>
    <s v="CB UNO A UNO"/>
    <s v="EJECUTADO_EXITOSO"/>
    <s v="CIERRE EXITOSO"/>
    <s v="13-06-2025 SE INGRESA SE RECOGE DATÁFONO LECTOR BASE FUENTE CABLE MAGIC BOSS ESTADO OKAY NO SE RECOGE PUBLICIDAD YA QUE SE INFORMA SE DESTRUYÓ ANTES DEL TRASTEO"/>
    <s v="GIMBUEL LASSO LUIS GERMAN"/>
    <s v="JA008894"/>
    <s v="TIPO III"/>
    <s v="TERRESTRE"/>
    <s v="VISITA_TÉCNICA"/>
    <s v="960400"/>
    <s v="805215  "/>
    <n v="1"/>
    <n v="222904.07200000001"/>
    <n v="222904.07200000001"/>
  </r>
  <r>
    <s v="BARRANQUILLA"/>
    <x v="3"/>
    <x v="3"/>
    <n v="8433"/>
    <s v="TA-25-755288"/>
    <s v="FO-25-1083770"/>
    <d v="2025-06-12T14:00:00"/>
    <d v="2025-06-14T10:20:00"/>
    <s v="ATLANTICO"/>
    <s v="MALAMBO"/>
    <s v="BARRIO CENTRO MALAMBO 2"/>
    <n v="67355"/>
    <s v="ORDEN DE CAMBIO"/>
    <s v="CIERRE"/>
    <s v="CIERRE"/>
    <s v="REDEBAN"/>
    <s v="CB UNO A UNO"/>
    <s v="CB UNO A UNO"/>
    <s v="NO_EXITOSO"/>
    <s v="CB NO ENTREGA EQUIPO"/>
    <s v="14-06-2025 SE REALIZA VISITA TÉCNICA, CLIENTE INDICA QUE ESTÁ GESTIONANDO LA REACTIVACIÓN DEL CB CON LA ENTIDAD."/>
    <s v="DE AGUAS MUÑOZ DAVID JOSE"/>
    <s v="6A0TZ943"/>
    <s v="TIPO II"/>
    <s v="TERRESTRE"/>
    <s v="VISITA_TÉCNICA"/>
    <n v="0"/>
    <n v="0"/>
    <n v="1"/>
    <n v="134410.88400000002"/>
    <n v="134410.88400000002"/>
  </r>
  <r>
    <s v="CALI"/>
    <x v="0"/>
    <x v="0"/>
    <n v="76001"/>
    <s v="TA-25-756340"/>
    <s v="FO-25-1087054"/>
    <d v="2025-06-13T12:06:00"/>
    <d v="2025-06-14T12:27:00"/>
    <s v="VALLE DEL CAUCA"/>
    <s v="CALI"/>
    <s v="BARRIO JORDAN CALI 1"/>
    <n v="71559"/>
    <s v="ORDEN DE CAMBIO"/>
    <s v="CIERRE"/>
    <s v="CIERRE"/>
    <s v="REDEBAN"/>
    <s v="CB UNO A UNO"/>
    <s v="CB UNO A UNO"/>
    <s v="ILOCALIZADO"/>
    <s v="CB CERRADO - DESOCUPADO"/>
    <s v="14-06-2025 SE VISITA EL COMERCIO ESTA CERRADO, SE CONSULTA A VECINOS CERCANOS INFORMA QUE SE FUERON Y CERRARON HACE 4 DÍAS, LLAMA AL CLIENTE A LOS NÚMEROS 3173568257, 3153694893 SIN RESPUESTA. LA VISITA ES FALLIDA CIERRE NO EXISITOSO "/>
    <s v="HERRERA MONAR GEOVANNY"/>
    <s v="A30KZ126"/>
    <s v="TIPO I"/>
    <s v="TERRESTRE"/>
    <s v="VISITA_TÉCNICA"/>
    <n v="0"/>
    <n v="0"/>
    <n v="1"/>
    <n v="44559.563999999998"/>
    <n v="44559.563999999998"/>
  </r>
  <r>
    <s v="VILLAVICENCIO"/>
    <x v="1"/>
    <x v="1"/>
    <n v="50330"/>
    <s v="TA-25-756339"/>
    <s v="FO-25-1087051"/>
    <d v="2025-06-13T12:06:00"/>
    <d v="2025-06-14T12:33:00"/>
    <s v="META"/>
    <s v="MESETAS"/>
    <s v="JARDIN MESETAS"/>
    <n v="17174"/>
    <s v="ORDEN DE CAMBIO"/>
    <s v="CIERRE"/>
    <s v="CIERRE"/>
    <s v="REDEBAN"/>
    <s v="CB UNO A UNO"/>
    <s v="CB UNO A UNO"/>
    <s v="NO_EXITOSO"/>
    <s v="CB NO ENTREGA EQUIPO"/>
    <s v="14-06-2025 SE REALIZA VISITA AL PUNTO Y COMERCIO SE ENCUENTRA CERRADO, SE REALIZA CONTACTO TELEFÓNICO Y EL SEÑOR FERNANDO INDICA QUE NO SE ENCUENTRA EN EL PUEBLO"/>
    <s v="PEDREROS CONTRERAS MICHAEL STEVENS"/>
    <s v="NONE"/>
    <s v="TIPO III"/>
    <s v="TERRESTRE"/>
    <s v="VISITA_TÉCNICA"/>
    <n v="0"/>
    <s v="  "/>
    <n v="1"/>
    <n v="222904.07200000001"/>
    <n v="222904.07200000001"/>
  </r>
  <r>
    <s v="PASTO"/>
    <x v="0"/>
    <x v="0"/>
    <n v="86568"/>
    <s v="TA-25-722811"/>
    <s v="FO-25-1065025"/>
    <d v="2025-06-09T16:10:00"/>
    <d v="2025-06-16T09:06:52"/>
    <s v="PUTUMAYO"/>
    <s v="PUERTO ASIS"/>
    <s v="DISTRICOL AUTOSERVICIO SUPER E"/>
    <n v="47839"/>
    <s v="ORDEN DE CAMBIO"/>
    <s v="CIERRE"/>
    <s v="CIERRE"/>
    <s v="REDEBAN"/>
    <s v="AGREGADOR"/>
    <s v="DISTRICOL"/>
    <s v="NO_EXITOSO"/>
    <s v="CB NO ENTREGA EQUIPO"/>
    <s v="16-06-2025 SE INTENTA COMUNICACION CON EL CLIENTE EN VARIOS OCACIONES Y POR VARIOS MEDIOS PERO NO ES POSIBLE HASTA EL DIA DE AYER QUE NOS ATIENDE LA EX ESPOSA DEL CLIENTE QUIEN INDICA QUE ESE PUNTO YA NO EXISTE Y SE EXPAREJA DEBERIA TENER LOS EQUIPO PERO NO TIENE MAS INFORMACION DEL CASO, NOS ENTREGA UN NUMERO PARA CONTACTO DIRERCTAMENTE CON EL, PERO NO CONSTESTA NI MENSAJES NI LLAMADAS, SE LE INDCIA A A LA MUJER QUE ES PARA EL RETIRO DE LOS EQUIPOS DEL CORRESPONSAL, PERO INDICA QUE DEBE SER CON EL QUE ELLA NO TIENE NI IDEA DE DONDE SE ENCONTRARAN ."/>
    <s v="HENAO CARDONA DIEGO FERNANDO"/>
    <n v="0"/>
    <s v="TIPO IV"/>
    <s v="TERRESTRE"/>
    <s v="SOPORTE_TELEFÓNICO"/>
    <n v="0"/>
    <n v="0"/>
    <n v="0"/>
    <n v="37904.612000000001"/>
    <n v="37904.612000000001"/>
  </r>
  <r>
    <s v="APARTADO"/>
    <x v="5"/>
    <x v="6"/>
    <n v="5045"/>
    <s v="TA-25-722817"/>
    <s v="FO-25-1065042"/>
    <d v="2025-06-09T16:10:00"/>
    <d v="2025-06-16T13:10:00"/>
    <s v="ANTIOQUIA"/>
    <s v="APARTADO"/>
    <s v="PTM APARTADO CAPRICHOS BOUTIQU"/>
    <n v="75588"/>
    <s v="ORDEN DE CAMBIO"/>
    <s v="CIERRE"/>
    <s v="CIERRE"/>
    <s v="REDEBAN"/>
    <s v="AGREGADOR"/>
    <s v="COMCARD - PTM"/>
    <s v="NO_EXITOSO"/>
    <s v="CB NO ENTREGA EQUIPO"/>
    <s v="16-06-2025 SE ESTABLECE COMUNICACIÓN CON USUARIO SR JHOAN QUIÉN SE ENCUENTRA DE VIAJE SOLICITA REPROGRAMAR VISITA. SE LE INFORMA A USUARIO COMUNICARSE A LA LÍNEA NUEVAMENTE CUANDO TENGA LA DISPONIBILIDAD PARA EL RETIRO "/>
    <s v="JULIO TUBERQUIA JOSE SEBASTIAN"/>
    <n v="0"/>
    <s v="TIPO I"/>
    <s v="TERRESTRE"/>
    <s v="SOPORTE_TELEFÓNICO"/>
    <n v="0"/>
    <n v="0"/>
    <n v="0"/>
    <n v="37904.612000000001"/>
    <n v="37904.612000000001"/>
  </r>
  <r>
    <s v="BOGOTA"/>
    <x v="2"/>
    <x v="2"/>
    <n v="11001"/>
    <s v="TA-25-756338"/>
    <s v="FO-25-1091756"/>
    <d v="2025-06-13T12:06:00"/>
    <d v="2025-06-16T15:40:31"/>
    <s v="CUNDINAMARCA"/>
    <s v="BOGOTA"/>
    <s v="PTM BOGOTA  @SHADDAI"/>
    <n v="69773"/>
    <s v="ORDEN DE CAMBIO"/>
    <s v="CIERRE"/>
    <s v="RECUPERACION DE EQUIPOS"/>
    <s v="REDEBAN"/>
    <s v="AGREGADOR"/>
    <s v="COMCARD - PTM"/>
    <s v="EJECUTADO_EXITOSO"/>
    <s v="CIERRE EXITOSO"/>
    <s v="16-06-2025 SE RETIRA DATÁFONO Y LECTORA Y PUBLICIDAD SE DESTRUYE "/>
    <s v="INFANTE SIERRA MANUEL FERNANDO"/>
    <s v="NN000799"/>
    <s v="TIPO I"/>
    <s v="TERRESTRE"/>
    <s v="VISITA_TÉCNICA"/>
    <s v="761528"/>
    <s v="902783  "/>
    <n v="1"/>
    <n v="44559.563999999998"/>
    <n v="44559.563999999998"/>
  </r>
  <r>
    <s v="MEDELLIN"/>
    <x v="5"/>
    <x v="6"/>
    <n v="5001"/>
    <s v="TA-25-781408"/>
    <s v="FO-25-1099103"/>
    <d v="2025-06-16T15:31:00"/>
    <d v="2025-06-17T12:30:37"/>
    <s v="ANTIOQUIA"/>
    <s v="MEDELLIN"/>
    <s v="BARRIO MANRIQUE GAITAN MEDELLI"/>
    <n v="13408"/>
    <s v="ORDEN DE CAMBIO"/>
    <s v="CIERRE"/>
    <s v="CIERRE"/>
    <s v="REDEBAN"/>
    <s v="CB UNO A UNO"/>
    <s v="CB UNO A UNO"/>
    <s v="NO_EXITOSO"/>
    <s v="CB NO ENTREGA EQUIPO"/>
    <s v="17-06-2025 SE VISITA PUNTO Y EN LOCAL NO SE ENCUENTRA EL ADMINISTRADOR, EL TRABAJADOR NOS DICE QUE NO SABE NADA DEL TEMA INTENTA COMUNOCARCE CON EL DUEÑO SIN ÉXITO. HACE INTENTO DE COMUNICACIÓN EN LOS NÚMEROS REGISTRADO SIN ÉXITO "/>
    <s v="DIAZ ZABALA FRANCIS DUBAN"/>
    <n v="0"/>
    <s v="TIPO I"/>
    <s v="TERRESTRE"/>
    <s v="VISITA_TÉCNICA"/>
    <n v="0"/>
    <n v="0"/>
    <n v="1"/>
    <n v="44559.563999999998"/>
    <n v="44559.563999999998"/>
  </r>
  <r>
    <s v="MEDELLIN"/>
    <x v="5"/>
    <x v="6"/>
    <n v="5001"/>
    <s v="TA-25-781390"/>
    <s v="FO-25-1099066"/>
    <d v="2025-06-16T15:31:00"/>
    <d v="2025-06-17T14:07:08"/>
    <s v="ANTIOQUIA"/>
    <s v="MEDELLIN"/>
    <s v="COMCARD MED OSMAR"/>
    <n v="28227"/>
    <s v="ORDEN DE CAMBIO"/>
    <s v="CIERRE"/>
    <s v="CIERRE"/>
    <s v="REDEBAN"/>
    <s v="AGREGADOR"/>
    <s v="COMCARD - PTM"/>
    <s v="ILOCALIZADO"/>
    <s v="CB CERRADO - DESOCUPADO"/>
    <s v="17-06-2025 SE VISITA COMERCIO Y SE ENCUENTRA LOCAL CERRADO. SE INTENTA COMUNICACIÓN CON EL CLIENTE A LOS NÚMEROS REGISTRADO SIN ÉXITO "/>
    <s v="DIAZ ZABALA FRANCIS DUBAN"/>
    <n v="0"/>
    <s v="TIPO I"/>
    <s v="TERRESTRE"/>
    <s v="VISITA_TÉCNICA"/>
    <n v="0"/>
    <n v="0"/>
    <n v="1"/>
    <n v="44559.563999999998"/>
    <n v="44559.563999999998"/>
  </r>
  <r>
    <s v="MEDELLIN"/>
    <x v="5"/>
    <x v="6"/>
    <n v="5001"/>
    <s v="TA-25-789479"/>
    <s v="FO-25-1104657"/>
    <d v="2025-06-17T15:03:00"/>
    <d v="2025-06-18T11:02:48"/>
    <s v="ANTIOQUIA"/>
    <s v="MEDELLIN"/>
    <s v="BARRIO ROBLEDO ALTAMIRA MEDELL"/>
    <n v="69515"/>
    <s v="ORDEN DE CAMBIO"/>
    <s v="CIERRE"/>
    <s v="CIERRE"/>
    <s v="REDEBAN"/>
    <s v="CB UNO A UNO"/>
    <s v="CB UNO A UNO"/>
    <s v="ILOCALIZADO"/>
    <s v="CB CERRADO - DESOCUPADO"/>
    <s v="18-06-2025 SE LLEGA AL SITIO Y EN PORTERÍA NOS DICEN QUE ESE COMERCIO NO EXISTE Y QUE NO CONOCEN A NADIE CON ESE NOMBRE, SE LLAMA AL CLIENTES SI ÉXITO VIGILANCIA TAMBIÉN LLAMA A LOS NÚMERO HABER SI ES DE ALGÚN PROPIETARIO Y NADA "/>
    <s v="DIAZ ZABALA FRANCIS DUBAN"/>
    <n v="0"/>
    <s v="TIPO I"/>
    <s v="TERRESTRE"/>
    <s v="VISITA_TÉCNICA"/>
    <n v="0"/>
    <n v="0"/>
    <n v="1"/>
    <n v="44559.563999999998"/>
    <n v="44559.563999999998"/>
  </r>
  <r>
    <s v="CUCUTA"/>
    <x v="4"/>
    <x v="4"/>
    <n v="54405"/>
    <s v="TA-25-789476"/>
    <s v="FO-25-1104651"/>
    <d v="2025-06-17T15:03:00"/>
    <d v="2025-06-18T11:45:58"/>
    <s v="NORTE DE SANTANDER"/>
    <s v="LOS PATIOS"/>
    <s v="BARRIO LA SABANA LOS PATIOS 3"/>
    <n v="64594"/>
    <s v="ORDEN DE CAMBIO"/>
    <s v="CIERRE"/>
    <s v="CIERRE"/>
    <s v="REDEBAN"/>
    <s v="CB UNO A UNO"/>
    <s v="CB UNO A UNO"/>
    <s v="NO_EXITOSO"/>
    <s v="CB NO ENTREGA EQUIPO"/>
    <s v="18-06-2025 SE VISITA COMERCIO Y NOS INDICAN QUE LA TITULAR NO SE ENCUENTRA QUE ESTÁ DE VIAJE Y NO CUENTAN CON LA DISPONIBILIDAD PARA ENTREGAR LOS EQUIPOS."/>
    <s v="TORRES MANTILLA JOSE DANIEL"/>
    <n v="0"/>
    <s v="TIPO I"/>
    <s v="TERRESTRE"/>
    <s v="VISITA_TÉCNICA"/>
    <n v="0"/>
    <n v="0"/>
    <n v="1"/>
    <n v="44559.563999999998"/>
    <n v="44559.563999999998"/>
  </r>
  <r>
    <s v="CALI"/>
    <x v="0"/>
    <x v="0"/>
    <n v="76111"/>
    <s v="TA-25-789455"/>
    <s v="FO-25-1104599"/>
    <d v="2025-06-17T15:03:00"/>
    <d v="2025-06-18T14:13:37"/>
    <s v="VALLE DEL CAUCA"/>
    <s v="GUADALAJARA DE BUGA"/>
    <s v="BARRIO JOSE MARIA CABAL CENTRO"/>
    <n v="34841"/>
    <s v="ORDEN DE CAMBIO"/>
    <s v="CIERRE"/>
    <s v="CIERRE"/>
    <s v="REDEBAN"/>
    <s v="CB UNO A UNO"/>
    <s v="CB UNO A UNO"/>
    <s v="ILOCALIZADO"/>
    <s v="CB CERRADO - DESOCUPADO"/>
    <s v="18-06-2025 SE LLEGA AL COMERCIO PERO ESTA CERRADO SE LLAMA AL CLIENTE Y NO CONTESTA SE ESPERA 20 MUNITOS PARA VER SI LLEGABA PERO NADA "/>
    <s v="CUERO RUIZ JHONNY"/>
    <s v="BL01M688"/>
    <s v="TIPO II"/>
    <s v="TERRESTRE"/>
    <s v="VISITA_TÉCNICA"/>
    <n v="0"/>
    <n v="0"/>
    <n v="1"/>
    <n v="134410.88400000002"/>
    <n v="134410.88400000002"/>
  </r>
  <r>
    <s v="CALI"/>
    <x v="0"/>
    <x v="0"/>
    <n v="76001"/>
    <s v="TA-25-789484"/>
    <s v="FO-25-1104674"/>
    <d v="2025-06-17T15:03:00"/>
    <d v="2025-06-18T16:02:44"/>
    <s v="VALLE DEL CAUCA"/>
    <s v="CALI"/>
    <s v="BARRIO MONTEBELLO CALI 4"/>
    <n v="75934"/>
    <s v="ORDEN DE CAMBIO"/>
    <s v="CIERRE"/>
    <s v="CIERRE"/>
    <s v="REDEBAN"/>
    <s v="CB UNO A UNO"/>
    <s v="CB UNO A UNO"/>
    <s v="NO_EXITOSO"/>
    <s v="CB NO ENTREGA EQUIPO"/>
    <s v="18-06-2025 SE LLAMA AL NÚMERO DE CONTACTO, CORRESPONSAL INDICA QUE NO AH SOLICITADO EL CIERRE Y QUE LLAMÓ A BANCOLOMBIA PARA VALIDAR EL PORQUÉ DEL BLOQUEO. PERO INDICA QUE DESEA CONTINUAR CON EL SERVICIO POR LO CUAL NO AUTORIZA CIERRE "/>
    <s v="BOLAÑOS TABORDA JORGE ENRIQUE"/>
    <n v="0"/>
    <s v="TIPO I"/>
    <s v="TERRESTRE"/>
    <s v="SOPORTE_TELEFÓNICO"/>
    <n v="0"/>
    <n v="0"/>
    <n v="0"/>
    <n v="37904.612000000001"/>
    <n v="37904.612000000001"/>
  </r>
  <r>
    <s v="CALI"/>
    <x v="0"/>
    <x v="0"/>
    <n v="76001"/>
    <s v="TA-25-789456"/>
    <s v="FO-25-1104604"/>
    <d v="2025-06-17T15:03:00"/>
    <d v="2025-06-18T16:43:54"/>
    <s v="VALLE DEL CAUCA"/>
    <s v="CALI"/>
    <s v="BARRIO FLORALIA CALI 1"/>
    <n v="36012"/>
    <s v="ORDEN DE CAMBIO"/>
    <s v="CIERRE"/>
    <s v="CIERRE"/>
    <s v="REDEBAN"/>
    <s v="CB UNO A UNO"/>
    <s v="CB UNO A UNO"/>
    <s v="NO_EXITOSO"/>
    <s v="CB NO ENTREGA EQUIPO"/>
    <s v="18-06-2025 SE VISITA LE CORRESPONSAL,  CON EL SEÑOR CRISTIAN BERMEO  Y CLIENTE INFORMA QUE TUVO PROBLEMAS CON UNOS CRÉDITOS CON LA ENTIDAD PERO YA QUE SE PUSO AL DÍA. DICE QUE PRETENDE COMUNICARSE CON EL BANCO YA QUE DESEA CONTINUAR CON EL SERVICIO. CLIENTE NO SE ENCUENTRA EN EL PUNTO "/>
    <s v="BOLAÑOS TABORDA JORGE ENRIQUE"/>
    <s v="GZCZZ685"/>
    <s v="TIPO I"/>
    <s v="TERRESTRE"/>
    <s v="VISITA_TÉCNICA"/>
    <n v="0"/>
    <n v="0"/>
    <n v="1"/>
    <n v="44559.563999999998"/>
    <n v="44559.563999999998"/>
  </r>
  <r>
    <s v="CARTAGENA"/>
    <x v="3"/>
    <x v="3"/>
    <n v="13580"/>
    <s v="TA-25-755289"/>
    <s v="FO-25-1083772"/>
    <d v="2025-06-12T14:00:00"/>
    <d v="2025-06-18T17:38:21"/>
    <s v="BOLIVAR"/>
    <s v="REGIDOR"/>
    <s v="BARRIO LA UNION REGIDOR"/>
    <n v="41418"/>
    <s v="ORDEN DE CAMBIO"/>
    <s v="CIERRE"/>
    <s v="CIERRE"/>
    <s v="REDEBAN"/>
    <s v="CB UNO A UNO"/>
    <s v="CB UNO A UNO"/>
    <s v="NO_EXITOSO"/>
    <s v="CB NO ENTREGA EQUIPO"/>
    <s v="18-06-2025 SE LLEGA A SITIO LA CUAL QUIEN ATIENDE LA CUAL  NOS IDICA QUE EL PROPIETARIO DE CB SE LO LLEVO PARA OTRO MUNICIPIO "/>
    <s v="MAESTRE MENGUAL EDGAR ENRIQUE"/>
    <s v="ON008838"/>
    <s v="TIPO IV"/>
    <s v="TERRESTRE"/>
    <s v="VISITA_TÉCNICA"/>
    <n v="0"/>
    <n v="0"/>
    <n v="1"/>
    <n v="464809.36800000002"/>
    <n v="464809.36800000002"/>
  </r>
  <r>
    <s v="VALLEDUPAR"/>
    <x v="3"/>
    <x v="3"/>
    <n v="20517"/>
    <s v="TA-25-756320"/>
    <s v="FO-25-1087005"/>
    <d v="2025-06-13T12:06:00"/>
    <d v="2025-06-19T09:07:38"/>
    <s v="CESAR"/>
    <s v="PAILITAS"/>
    <s v="DISTRICOL VIDRIERA Y MARQUETER"/>
    <n v="38219"/>
    <s v="ORDEN DE CAMBIO"/>
    <s v="CIERRE"/>
    <s v="CIERRE"/>
    <s v="REDEBAN"/>
    <s v="AGREGADOR"/>
    <s v="DISTRICOL"/>
    <s v="NO_EXITOSO"/>
    <s v="CB NO ENTREGA EQUIPO"/>
    <s v="19-06-2025 SE LLEGA A DIRECCIÓN NOS ATIENDE EL SEÑOR CARLOS MARIO NOS INDICA QUE LOS EQUIPOS FUERON ENVIADOS A LA CIUDAD DE MEDELLIN A NOMBRE DE LA SEÑORA VALENTINA ESCOBAR  EL DIA 09/06/2025"/>
    <s v="MAESTRE MENGUAL EDGAR ENRIQUE"/>
    <s v="9A00W509"/>
    <s v="TIPO IV"/>
    <s v="TERRESTRE"/>
    <s v="VISITA_TÉCNICA"/>
    <n v="0"/>
    <n v="0"/>
    <n v="1"/>
    <n v="464809.36800000002"/>
    <n v="464809.36800000002"/>
  </r>
  <r>
    <s v="PASTO"/>
    <x v="0"/>
    <x v="0"/>
    <n v="52019"/>
    <s v="TA-25-789462"/>
    <s v="FO-25-1104617"/>
    <d v="2025-06-17T15:03:00"/>
    <d v="2025-06-19T12:35:02"/>
    <s v="NARIÑO"/>
    <s v="ALBAN"/>
    <s v="BARRIO SUR ALBAN ALBAN"/>
    <n v="51948"/>
    <s v="ORDEN DE CAMBIO"/>
    <s v="CIERRE"/>
    <s v="CIERRE"/>
    <s v="REDEBAN"/>
    <s v="CB UNO A UNO"/>
    <s v="CB UNO A UNO"/>
    <s v="NO_EXITOSO"/>
    <s v="CB NO ENTREGA EQUIPO"/>
    <s v="19-06-2025 SE REALIZA VALIDACION CON EL  CLIENTE LA SEÑORA LUZ DARY INFORMA QUE A ELLA LE LLEGO UN MENSAJE DE TEXTO PERO NADIE LE HA COMUNICADO NADA Y EN LA LINEA NO LE DAN INFORMACION ELLA INDICA QUE PRIMERO DEBE VALIDAR CON LA ENTIDAD PARA SABER QUE PASO POR QUE ELLA ESTA AL DIA EN TODO, POR TAL MOTIVO NO ACCEDE A LA ENTREGA DE EQUIPOS HASTA TANTO NO LE BRINDEN LA INFORMACION PERTIENENTE"/>
    <s v="HENAO CARDONA DIEGO FERNANDO"/>
    <n v="0"/>
    <s v="TIPO II"/>
    <s v="TERRESTRE"/>
    <s v="SOPORTE_TELEFÓNICO"/>
    <n v="0"/>
    <n v="0"/>
    <n v="0"/>
    <n v="37904.612000000001"/>
    <n v="37904.612000000001"/>
  </r>
  <r>
    <s v="MEDELLIN"/>
    <x v="5"/>
    <x v="6"/>
    <n v="27205"/>
    <s v="TA-25-781403"/>
    <s v="FO-25-1099094"/>
    <d v="2025-06-16T15:31:00"/>
    <d v="2025-06-19T16:54:33"/>
    <s v="CHOCO"/>
    <s v="CONDOTO"/>
    <s v="BARRIO VILLA FRANCO CONDOTO"/>
    <n v="77743"/>
    <s v="ORDEN DE CAMBIO"/>
    <s v="CIERRE"/>
    <s v="CIERRE"/>
    <s v="REDEBAN"/>
    <s v="CB UNO A UNO"/>
    <s v="CB UNO A UNO"/>
    <s v="ILOCALIZADO"/>
    <s v="CB CERRADO - DESOCUPADO"/>
    <s v="19-06-2025 SE LLEGA A SITIO SE ENCUENTRA COMERCIO CERRADO, SE TOCA PUERTAS, SE AVERIGUA EN EL COMERCIO DEL ALDO Y COMENTAN QUE NO HAN ABIERTO LA FARMACIA NI LA CASA EL DÍA DE HOY "/>
    <s v="ROBLEDO DIAZ ANDRES FELIPE"/>
    <s v="10NZZ033"/>
    <s v="TIPO IV ESPECIAL"/>
    <s v="AEREO"/>
    <s v="VISITA_TÉCNICA"/>
    <n v="0"/>
    <n v="0"/>
    <n v="1"/>
    <n v="464809.36800000002"/>
    <n v="464809.36800000002"/>
  </r>
  <r>
    <s v="BUCARAMANGA"/>
    <x v="4"/>
    <x v="4"/>
    <n v="81001"/>
    <s v="TA-25-756332"/>
    <s v="FO-25-1087035"/>
    <d v="2025-06-13T12:06:00"/>
    <d v="2025-06-19T17:28:00"/>
    <s v="ARAUCA"/>
    <s v="ARAUCA"/>
    <s v="DISTRICOL GANADEROS"/>
    <n v="72184"/>
    <s v="ORDEN DE CAMBIO"/>
    <s v="CIERRE"/>
    <s v="CIERRE"/>
    <s v="REDEBAN"/>
    <s v="AGREGADOR"/>
    <s v="DISTRICOL"/>
    <s v="NO_EXITOSO"/>
    <s v="CB NO ENTREGA EQUIPO"/>
    <s v="19-06-2025 SE LOGRA COMUNICACIÓN CON LA SEÑORA SARAY 3102419686 VÍA WASAT, CONFIRMA GUÍA POR MEDIO DE EMPRESA DE TRANSPORTE INTERRAPIDISIMO CON NÚMERO DE GUÍA 700160079151, CON LA CUAL HIZO LA DEVOLUCIÓN DE EQUIPOS A LA EMPRESA DISTRICOL EN LA CIUDAD DE MEDELLÍN, INFORMANDO QUE ELLA YA NO CUENTA CON ESTOS EQUIPOS, SE ADJUNTA FOTO DE GUÍA SUMINISTRADA POR CLIENTE. "/>
    <s v="SANTOS GONZALEZ JOHAN FABIAN"/>
    <n v="0"/>
    <s v="TIPO IV ESPECIAL"/>
    <s v="AEREO"/>
    <s v="SOPORTE_TELEFÓNICO"/>
    <n v="0"/>
    <n v="0"/>
    <n v="0"/>
    <n v="37904.612000000001"/>
    <n v="37904.612000000001"/>
  </r>
  <r>
    <s v="BOGOTA"/>
    <x v="2"/>
    <x v="2"/>
    <n v="11001"/>
    <s v="TA-25-793217"/>
    <s v="FO-25-1114285"/>
    <d v="2025-06-19T13:31:00"/>
    <d v="2025-06-20T14:26:47"/>
    <s v="CUNDINAMARCA"/>
    <s v="BOGOTA"/>
    <s v="BARRIO BOSA 14 BOGOTA"/>
    <n v="28568"/>
    <s v="ORDEN DE CAMBIO"/>
    <s v="CIERRE"/>
    <s v="CIERRE"/>
    <s v="REDEBAN"/>
    <s v="CB UNO A UNO"/>
    <s v="CB UNO A UNO"/>
    <s v="ILOCALIZADO"/>
    <s v="CB CERRADO - DESOCUPADO"/>
    <s v="20-06-2025 SE LLEGA A DIRECCIÓN CL 56FSUR  105A 03_x000a_ COMERCIAL YA NO EXISTE EN EL PUNTO SE INTENTA CONTACTÓ TELEFÓNICO CON CLIENTE A NÚMERO REGISTRADO 3183140634 TELÉFONO APAGADO. SE PREGUNTA EN COMERCIO VECINO POR EL CLIENTE HEYBAR MERA COLLAZOS  EL CUAL INFORMAN QUE EL SEÑOR SE ENCUENTRA EN CHILE Y VENDIÓ EL COMERCIO_x000a_ "/>
    <s v="ORTIZ MARTINEZ STIVEN"/>
    <n v="0"/>
    <s v="TIPO I"/>
    <s v="TERRESTRE"/>
    <s v="VISITA_TÉCNICA"/>
    <n v="0"/>
    <n v="0"/>
    <n v="1"/>
    <n v="44559.563999999998"/>
    <n v="44559.563999999998"/>
  </r>
  <r>
    <s v="TUNJA"/>
    <x v="4"/>
    <x v="4"/>
    <n v="15238"/>
    <s v="TA-25-793202"/>
    <s v="FO-25-1114254"/>
    <d v="2025-06-19T13:31:00"/>
    <d v="2025-06-20T14:39:05"/>
    <s v="BOYACA"/>
    <s v="DUITAMA"/>
    <s v="BOYACA DUITAMA 2"/>
    <n v="71876"/>
    <s v="ORDEN DE CAMBIO"/>
    <s v="CIERRE"/>
    <s v="CIERRE"/>
    <s v="REDEBAN"/>
    <s v="CB UNO A UNO"/>
    <s v="CB UNO A UNO"/>
    <s v="SOLICITUD_CANCELADA"/>
    <s v="CANCELADO POR LA ENTIDAD"/>
    <s v="20-06-2025 SE VISITA PUNTO CLIENTE NO PERMITE EL  RETIRO DE LOS EQUIPOS CLIENTE LLAMA A LA ENTIDAD PARA REPORTAR LA NOVEDAD LE INDICAN QUE EL TEMA DEL BLOQUEO FUE DEBIDO A INACTIVIDAD POR EL TEMA DEL TRASLADO EL CUAL YA REGISTRA REALIZADO LE INDICAN NO ENTREGAR LOS EQUIPOS YA QUE ESTA ESCALADO EL CASO PARA LA  REACTIVACION DEL PUNTO NUEVAMENTE."/>
    <s v="RODRIGUEZ MURCIA YERSON IVAN"/>
    <s v="LN00M086"/>
    <s v="TIPO II"/>
    <s v="TERRESTRE"/>
    <s v="VISITA_TÉCNICA"/>
    <n v="0"/>
    <n v="0"/>
    <n v="1"/>
    <n v="134410.88400000002"/>
    <n v="134410.88400000002"/>
  </r>
  <r>
    <s v="BOGOTA"/>
    <x v="2"/>
    <x v="2"/>
    <n v="11001"/>
    <s v="TA-25-793242"/>
    <s v="FO-25-1114319"/>
    <d v="2025-06-19T13:31:00"/>
    <d v="2025-06-20T14:53:35"/>
    <s v="CUNDINAMARCA"/>
    <s v="BOGOTA"/>
    <s v="BARRIO FLORESTA 5"/>
    <n v="31094"/>
    <s v="ORDEN DE CAMBIO"/>
    <s v="CIERRE"/>
    <s v="CIERRE"/>
    <s v="REDEBAN"/>
    <s v="CB UNO A UNO"/>
    <s v="CB UNO A UNO"/>
    <s v="NO_EXITOSO"/>
    <s v="CB NO ENTREGA EQUIPO"/>
    <s v="20-06-2025 SE REALIZA VISITA A DIRECCIÓN DE COMERCIO, SE ENCUENTRA COMERCIO CERRADO, SE REALIZA LLAMADA TELEFÓNICA SE HABLA CON LA SRA  DERLY TATIANA RODRIGUEZ QUIEN INDICA QUE YA NO TRABAJA EN ESTE COMERCIO, INDICADA COMUNICARSE CON LA SRA.GLADYS GARZÓN AL NÚMERO 3005546601 QUIEN ES LA DUEÑA DEL COMERCIO, SE INDICA A LA SRA DERLY QUE DEBEN COMUNICARSE NUEVAMENTE Y SOLICITAR LA VISITA DE RETIRO DE LOS EQUIPOS CUANDO LA SRA. GLADYS GARZÓN SE ENCUENTRE DE REGRESO EN LA CIUDAD, INDICA QUE DESCONOCE LA FECHA EXACTA DE REGRESO DE LA SRA. GLADIS A LA CIUDAD "/>
    <s v="MURCIA HERNANDEZ HARVEY IGNACIO"/>
    <s v="BYZZZ591"/>
    <s v="TIPO I"/>
    <s v="TERRESTRE"/>
    <s v="VISITA_TÉCNICA"/>
    <n v="0"/>
    <s v="  "/>
    <n v="1"/>
    <n v="44559.563999999998"/>
    <n v="44559.563999999998"/>
  </r>
  <r>
    <s v="CUCUTA"/>
    <x v="4"/>
    <x v="4"/>
    <n v="54001"/>
    <s v="TA-25-793210"/>
    <s v="FO-25-1114274"/>
    <d v="2025-06-19T13:31:00"/>
    <d v="2025-06-20T15:17:28"/>
    <s v="NORTE DE SANTANDER"/>
    <s v="CUCUTA"/>
    <s v="BARRIO SAN LUIS CUCUTA  23"/>
    <n v="71617"/>
    <s v="ORDEN DE CAMBIO"/>
    <s v="CIERRE"/>
    <s v="CIERRE"/>
    <s v="REDEBAN"/>
    <s v="CB UNO A UNO"/>
    <s v="CB UNO A UNO"/>
    <s v="ILOCALIZADO"/>
    <s v="CB CERRADO - DESOCUPADO"/>
    <s v="20-06-2025 SE REALIZÓ VISITA A LA DIRECCIÓN ASIGNADA Y SE ENCUENTRA QUE YA NO EXISTE EL CB SE INTENTARON LLAMADAS A LOS NÚMEROS 3115427001-3156162219 Y NO SE OBTUVO COMUNICACIÓN "/>
    <s v="MORA VEGA JEAMPIER"/>
    <n v="0"/>
    <s v="TIPO I"/>
    <s v="TERRESTRE"/>
    <s v="VISITA_TÉCNICA"/>
    <n v="0"/>
    <n v="0"/>
    <n v="1"/>
    <n v="44559.563999999998"/>
    <n v="44559.563999999998"/>
  </r>
  <r>
    <s v="CUCUTA"/>
    <x v="4"/>
    <x v="4"/>
    <n v="54001"/>
    <s v="TA-25-793223"/>
    <s v="FO-25-1114299"/>
    <d v="2025-06-19T13:31:00"/>
    <d v="2025-06-20T17:40:19"/>
    <s v="NORTE DE SANTANDER"/>
    <s v="CUCUTA"/>
    <s v="PTM CUCUTA AUTOPARTES EL TRAIL"/>
    <n v="49137"/>
    <s v="ORDEN DE CAMBIO"/>
    <s v="CIERRE"/>
    <s v="RECUPERACION DE EQUIPOS"/>
    <s v="REDEBAN"/>
    <s v="AGREGADOR"/>
    <s v="COMCARD - PTM"/>
    <s v="ILOCALIZADO"/>
    <s v="CB CERRADO - DESOCUPADO"/>
    <s v="20-06-2025 SE VISITA CB EN DIRECCION, NO SE ENCUENTRA CB EN SITIO, SE INTENTA COMUNICACION CON EL CLIENTE SIN RESPUESTA, CB ILOCALIZABLE."/>
    <s v="NARANJO AFANADOR RUBEN JESUS"/>
    <n v="0"/>
    <s v="TIPO I"/>
    <s v="TERRESTRE"/>
    <s v="VISITA_TÉCNICA"/>
    <n v="0"/>
    <n v="0"/>
    <n v="1"/>
    <n v="44559.563999999998"/>
    <n v="44559.563999999998"/>
  </r>
  <r>
    <s v="BOGOTA"/>
    <x v="2"/>
    <x v="2"/>
    <n v="25754"/>
    <s v="TA-25-789495"/>
    <s v="FO-25-1110047"/>
    <d v="2025-06-17T15:03:00"/>
    <d v="2025-06-20T18:07:43"/>
    <s v="CUNDINAMARCA"/>
    <s v="SOACHA"/>
    <s v="BARRIO DUCALES 1 SECTOR SOACHA"/>
    <n v="66140"/>
    <s v="ORDEN DE CAMBIO"/>
    <s v="CIERRE"/>
    <s v="RECUPERACION DE EQUIPOS"/>
    <s v="REDEBAN"/>
    <s v="CB UNO A UNO"/>
    <s v="CB UNO A UNO"/>
    <s v="EJECUTADO_EXITOSO"/>
    <s v="CIERRE EXITOSO"/>
    <s v="20-06-2025 SE REALIZA RETIRO DE EQUIPOS SIN NOVEDAD."/>
    <s v="LOZADA ROJAS CHRISTIAN ANDRES"/>
    <s v="1A00N052"/>
    <s v="TIPO I"/>
    <s v="TERRESTRE"/>
    <s v="VISITA_TÉCNICA"/>
    <s v="1074903"/>
    <s v="547376  "/>
    <n v="1"/>
    <n v="44559.563999999998"/>
    <n v="44559.563999999998"/>
  </r>
  <r>
    <s v="PEREIRA"/>
    <x v="0"/>
    <x v="5"/>
    <n v="63001"/>
    <s v="TA-25-793211"/>
    <s v="FO-25-1114276"/>
    <d v="2025-06-19T13:31:00"/>
    <d v="2025-06-21T10:16:40"/>
    <s v="QUINDIO"/>
    <s v="ARMENIA"/>
    <s v="BARRIO LA GRECIA ARMENIA"/>
    <n v="73952"/>
    <s v="ORDEN DE CAMBIO"/>
    <s v="CIERRE"/>
    <s v="CIERRE"/>
    <s v="REDEBAN"/>
    <s v="CB UNO A UNO"/>
    <s v="CB UNO A UNO"/>
    <s v="ILOCALIZADO"/>
    <s v="CB CERRADO - DESOCUPADO"/>
    <s v="21-06-2025 SE VISITA DIRECCIÓN PERO NO HAY NADIE EN COMERCIO SE ENTRA CERRADO, SE LLAMA A CONTACTO PERO TAMPOCO HAY RESPUESTA. "/>
    <s v="SANCHEZ SOLORZANO JUAN SEBASTIAN"/>
    <s v="MN0SZ966"/>
    <s v="TIPO II"/>
    <s v="TERRESTRE"/>
    <s v="VISITA_TÉCNICA"/>
    <n v="0"/>
    <n v="0"/>
    <n v="1"/>
    <n v="134410.88400000002"/>
    <n v="134410.88400000002"/>
  </r>
  <r>
    <s v="CALI"/>
    <x v="0"/>
    <x v="0"/>
    <n v="76001"/>
    <s v="TA-25-793215"/>
    <s v="FO-25-1114281"/>
    <d v="2025-06-19T13:31:00"/>
    <d v="2025-06-21T11:46:48"/>
    <s v="VALLE DEL CAUCA"/>
    <s v="CALI"/>
    <s v="BARRIO VALLE DEL LILI CALI 8"/>
    <n v="75111"/>
    <s v="ORDEN DE CAMBIO"/>
    <s v="CIERRE"/>
    <s v="CIERRE"/>
    <s v="REDEBAN"/>
    <s v="CB UNO A UNO"/>
    <s v="CB UNO A UNO"/>
    <s v="NO_EXITOSO"/>
    <s v="CB NO ENTREGA EQUIPO"/>
    <s v="21-06-2025 SE LLAMA AL CONTACTO Y CONTESTA LA SEÑORA PAOLA LÓPEZ Y SE INFORMA SOBRE LA ACTIVIDAD A REALIZAR E INDICA QUE SE HABÍA DESCUADRADO Y NO HABÍA COMPENSANDO OPORTUNAMENTE PERO QUE YA VA A REALIZAR  EL PROCESO DE COMPENSACIÓN  Y DESEA CONTINUAR CON LA OPERACIÓN. NO DESEA CERRAR EL CB Y DICE YA ESTÁ EN LA SOLUCIÓN  CON EL BANCO "/>
    <s v="BOLAÑOS TABORDA JORGE ENRIQUE"/>
    <n v="0"/>
    <s v="TIPO I"/>
    <s v="TERRESTRE"/>
    <s v="SOPORTE_TELEFÓNICO"/>
    <n v="0"/>
    <n v="0"/>
    <n v="0"/>
    <n v="37904.612000000001"/>
    <n v="37904.612000000001"/>
  </r>
  <r>
    <s v="CALI"/>
    <x v="0"/>
    <x v="0"/>
    <n v="19573"/>
    <s v="TA-25-793205"/>
    <s v="FO-25-1114261"/>
    <d v="2025-06-19T13:31:00"/>
    <d v="2025-06-21T11:50:42"/>
    <s v="CAUCA"/>
    <s v="PUERTO TEJADA"/>
    <s v="BARRIO CENTRO PUERTO TEJADA 10"/>
    <n v="75686"/>
    <s v="ORDEN DE CAMBIO"/>
    <s v="CIERRE"/>
    <s v="CIERRE"/>
    <s v="REDEBAN"/>
    <s v="CB UNO A UNO"/>
    <s v="CB UNO A UNO"/>
    <s v="ILOCALIZADO"/>
    <s v="CB CERRADO - DESOCUPADO"/>
    <s v="21-06-2025 SE VISITA EL COMERCIO SE ENCUENTRA CERRADO, SE LLAMA AL CLIENTE A LOS NÚMEROS 3156920109, 3215931292 SIN RESPUESTA, LA VISITA ES FALLIDA CIERRE NO EXISITOSO "/>
    <s v="HERRERA MONAR GEOVANNY"/>
    <s v="1000R504"/>
    <s v="TIPO II"/>
    <s v="TERRESTRE"/>
    <s v="VISITA_TÉCNICA"/>
    <n v="0"/>
    <n v="0"/>
    <n v="1"/>
    <n v="134410.88400000002"/>
    <n v="134410.88400000002"/>
  </r>
  <r>
    <s v="PASTO"/>
    <x v="0"/>
    <x v="0"/>
    <n v="86865"/>
    <s v="TA-25-789449"/>
    <s v="FO-25-1104583"/>
    <d v="2025-06-17T15:03:00"/>
    <d v="2025-06-24T08:43:50"/>
    <s v="PUTUMAYO"/>
    <s v="VALLE DEL GUAMUEZ"/>
    <s v="VALLE DEL GUAMUEZ II PUTUMAYO"/>
    <n v="13589"/>
    <s v="ORDEN DE CAMBIO"/>
    <s v="CIERRE"/>
    <s v="CIERRE"/>
    <s v="REDEBAN"/>
    <s v="CB UNO A UNO"/>
    <s v="CB UNO A UNO"/>
    <s v="NO_EXITOSO"/>
    <s v="CB NO ENTREGA EQUIPO"/>
    <s v="24-06-2025 SE HABLA CON LA ESPOSA DEL SEÑOR WILSON QUE ES LA ENCARGADA DEL CB PERO INDICA QUE ESTAN EN UN PROCESO DE REACTIVACION CON LA ENTIDAD, POR LO TANTO ESTAN EN ESPERA DE RESPUESTA DE LA ENTIDAD YA QUE ESTAN AL DIA EN TODO POR LO TANTO NO DESEA CERRAR EL CORRESPONSAL."/>
    <s v="HENAO CARDONA DIEGO FERNANDO"/>
    <n v="0"/>
    <s v="TIPO IV"/>
    <s v="TERRESTRE"/>
    <s v="SOPORTE_TELEFÓNICO"/>
    <n v="0"/>
    <n v="0"/>
    <n v="0"/>
    <n v="37904.612000000001"/>
    <n v="37904.612000000001"/>
  </r>
  <r>
    <s v="MONTERIA"/>
    <x v="3"/>
    <x v="3"/>
    <n v="23807"/>
    <s v="TA-25-789469"/>
    <s v="FO-25-1104634"/>
    <d v="2025-06-17T15:03:00"/>
    <d v="2025-06-24T11:39:24"/>
    <s v="CORDOBA"/>
    <s v="TIERRALTA"/>
    <s v="BARRIO LA PAZ TIERRALTA"/>
    <n v="60080"/>
    <s v="ORDEN DE CAMBIO"/>
    <s v="CIERRE"/>
    <s v="CIERRE"/>
    <s v="REDEBAN"/>
    <s v="CB UNO A UNO"/>
    <s v="CB UNO A UNO"/>
    <s v="NO_EXITOSO"/>
    <s v="CB NO ENTREGA EQUIPO"/>
    <s v="24-06-2025 SE LLEGA A CB, INFMAN QUE EL ENCARGADO DEL CB RECOGIÓ LOS EQUIPOS Y ELLOS NO SABEN DÓNDE LOS GUARDO Y TAMPOCO SE ENCUENTRA LA PERSONA ENCARGADA EN EL MUNICIPIO LE INTENTAN COMUNICAR CON LA PERSONA, NO CONTESTA "/>
    <s v="COGOLLO ROSSO CAMILO ANDRES"/>
    <s v="MA00B486"/>
    <s v="TIPO III"/>
    <s v="TERRESTRE"/>
    <s v="VISITA_TÉCNICA"/>
    <n v="0"/>
    <n v="0"/>
    <n v="1"/>
    <n v="222904.07200000001"/>
    <n v="222904.07200000001"/>
  </r>
  <r>
    <s v="VILLAVICENCIO"/>
    <x v="1"/>
    <x v="1"/>
    <n v="50313"/>
    <s v="TA-25-789475"/>
    <s v="FO-25-1118927"/>
    <d v="2025-06-17T15:03:00"/>
    <d v="2025-06-24T12:05:30"/>
    <s v="META"/>
    <s v="GRANADA"/>
    <s v="BARRIO VILLA OLIMPICA GRANADA"/>
    <n v="64162"/>
    <s v="ORDEN DE CAMBIO"/>
    <s v="CIERRE"/>
    <s v="CIERRE"/>
    <s v="REDEBAN"/>
    <s v="CB UNO A UNO"/>
    <s v="CB UNO A UNO"/>
    <s v="EJECUTADO_EXITOSO"/>
    <s v="CIERRE EXITOSO"/>
    <s v="24-06-2025 SE REALIZA CIERRE A SOLICITUD DE CLIENTE, ORUEBAS OK"/>
    <s v="PEDREROS CONTRERAS MICHAEL STEVENS"/>
    <s v="LA01Z147"/>
    <s v="TIPO II"/>
    <s v="TERRESTRE"/>
    <s v="VISITA_TÉCNICA"/>
    <s v="786587"/>
    <s v="1113870  "/>
    <n v="1"/>
    <n v="134410.88400000002"/>
    <n v="134410.88400000002"/>
  </r>
  <r>
    <s v="MONTERIA"/>
    <x v="3"/>
    <x v="3"/>
    <n v="23068"/>
    <s v="TA-25-793207"/>
    <s v="FO-25-1114268"/>
    <d v="2025-06-19T13:31:00"/>
    <d v="2025-06-24T13:02:35"/>
    <s v="CORDOBA"/>
    <s v="AYAPEL"/>
    <s v="BARRIO CENTRO AYAPEL 4"/>
    <n v="66024"/>
    <s v="ORDEN DE CAMBIO"/>
    <s v="CIERRE"/>
    <s v="CIERRE"/>
    <s v="REDEBAN"/>
    <s v="CB UNO A UNO"/>
    <s v="CB UNO A UNO"/>
    <s v="NO_EXITOSO"/>
    <s v="CB NO ENTREGA EQUIPO"/>
    <s v="24-06-2025 SE LLEGÓ A SITIO Y EL CLIENTE INFORMA QUE ESTÁ OPERANDO DE MANERA NORMAL, QUE NO SOLICITÓ CIERRE, QUE TENÍA PENDIENTE UN TRASLADO Y LO REALIZARON LA SEMANA PASADA. "/>
    <s v="CALDERA SALCEDO CARLOS JULIO"/>
    <s v="9A00N488"/>
    <s v="TIPO III"/>
    <s v="TERRESTRE"/>
    <s v="VISITA_TÉCNICA"/>
    <n v="0"/>
    <n v="0"/>
    <n v="1"/>
    <n v="222904.07200000001"/>
    <n v="222904.07200000001"/>
  </r>
  <r>
    <s v="MONTERIA"/>
    <x v="3"/>
    <x v="3"/>
    <n v="23500"/>
    <s v="TA-25-789454"/>
    <s v="FO-25-1104595"/>
    <d v="2025-06-17T15:03:00"/>
    <d v="2025-06-24T14:59:35"/>
    <s v="CORDOBA"/>
    <s v="MOÑITOS"/>
    <s v="BARRIO MIRAMAR MONITOS"/>
    <n v="31698"/>
    <s v="ORDEN DE CAMBIO"/>
    <s v="CIERRE"/>
    <s v="CIERRE"/>
    <s v="REDEBAN"/>
    <s v="CB UNO A UNO"/>
    <s v="CB UNO A UNO"/>
    <s v="NO_EXITOSO"/>
    <s v="CB NO ENTREGA EQUIPO"/>
    <s v="24-06-2025 SE LLEGA AL SITIO ATIENDE EL SR FRAI NARVÁEZ CON CC 11170895 INFORMA QUE NO ENTREGA LOS EQUIPOS YA QUE EL PROPIETARIO DEL CB INDICA QUE EL BANCO NO A NOTIFICADO EL CIERRE Y ESTÁ SE DIGORA A UNA SUCURSAL PARA SECCORARCE DEL MOTIVO DEL CIERRE, E INTENTAR ACTIVAR NUEVAMENTE, POR LO QUE NO ENTREGAN EQUIPOS."/>
    <s v="CASSIANI PEREZ RAUL RAMIRO"/>
    <n v="0"/>
    <s v="TIPO III"/>
    <s v="TERRESTRE"/>
    <s v="VISITA_TÉCNICA"/>
    <n v="0"/>
    <n v="0"/>
    <n v="1"/>
    <n v="222904.07200000001"/>
    <n v="222904.07200000001"/>
  </r>
  <r>
    <s v="NEIVA"/>
    <x v="1"/>
    <x v="1"/>
    <n v="18001"/>
    <s v="TA-25-793204"/>
    <s v="FO-25-1114258"/>
    <d v="2025-06-19T13:31:00"/>
    <d v="2025-06-24T15:09:50"/>
    <s v="CAQUETA"/>
    <s v="FLORENCIA"/>
    <s v="BARRIO LA ESTRELLA FLORENCIA"/>
    <n v="78426"/>
    <s v="ORDEN DE CAMBIO"/>
    <s v="CIERRE"/>
    <s v="CIERRE"/>
    <s v="REDEBAN"/>
    <s v="CB UNO A UNO"/>
    <s v="CB UNO A UNO"/>
    <s v="SOLICITUD_CANCELADA"/>
    <s v="CANCELADO POR LA ENTIDAD"/>
    <s v="24-06-2025 SE REALIZA VISITA AL CB Y CLIENTE NO PERMITE EL CIERRE YA QUE NO HA SOLICITADO EL CIERRE,  MANIFIESTA QUE EL DÍA JUEVES 19 DE JUNIO LE HICIERON EL TRASLADO DEL CB Y HASTA EL MOMENTO NO LE HAN DESBLOQUEADO EL CB, MANIFIESTA QUE ESTÁ A LA ESPERA DE UN CORREO DEL BANCO PARA EL DESBLOQUEO."/>
    <s v="BERMUDEZ SANCHEZ JOSE NEYBER"/>
    <s v="V10ZZ346"/>
    <s v="TIPO IV"/>
    <s v="TERRESTRE"/>
    <s v="VISITA_TÉCNICA"/>
    <n v="0"/>
    <n v="0"/>
    <n v="1"/>
    <n v="464809.36800000002"/>
    <n v="464809.36800000002"/>
  </r>
  <r>
    <s v="MEDELLIN"/>
    <x v="5"/>
    <x v="6"/>
    <n v="5088"/>
    <s v="TA-25-793198"/>
    <s v="FO-25-1114246"/>
    <d v="2025-06-19T13:31:00"/>
    <d v="2025-06-24T16:52:40"/>
    <s v="ANTIOQUIA"/>
    <s v="BELLO"/>
    <s v="BARRIO LA GABRIELA CALLE VIEJA"/>
    <n v="57039"/>
    <s v="ORDEN DE CAMBIO"/>
    <s v="CIERRE"/>
    <s v="CIERRE"/>
    <s v="REDEBAN"/>
    <s v="CB UNO A UNO"/>
    <s v="CB UNO A UNO"/>
    <s v="NO_EXITOSO"/>
    <s v="CB NO ENTREGA EQUIPO"/>
    <s v="24-06-2025 SE COMUNICA CON EL NÚMERO PARA CONFIRMAR VISITA Y ME  INDICA EL CLIENTE QUE LA ENCARGADA NO SE ENCUENTRA EN COLOMBIA Y EL OTRO ENCARGADO NO ESTA EN MEDELLÍN EN EL MOMENTO Y EN LOCAL SE ENCUENTRA CERRADO"/>
    <s v="ZAPATA LOPEZ EDWARD ASDRUBAL"/>
    <n v="0"/>
    <s v="TIPO I"/>
    <s v="TERRESTRE"/>
    <s v="SOPORTE_TELEFÓNICO"/>
    <n v="0"/>
    <n v="0"/>
    <n v="0"/>
    <n v="37904.612000000001"/>
    <n v="37904.612000000001"/>
  </r>
  <r>
    <s v="MEDELLIN"/>
    <x v="5"/>
    <x v="6"/>
    <n v="5656"/>
    <s v="TA-25-789474"/>
    <s v="FO-25-1104647"/>
    <d v="2025-06-17T15:03:00"/>
    <d v="2025-06-25T08:00:00"/>
    <s v="ANTIOQUIA"/>
    <s v="SAN JERONIMO"/>
    <s v="BARRIO VEREDA EL POMAR SAN JER"/>
    <n v="64064"/>
    <s v="ORDEN DE CAMBIO"/>
    <s v="CIERRE"/>
    <s v="CIERRE"/>
    <s v="REDEBAN"/>
    <s v="CB UNO A UNO"/>
    <s v="CB UNO A UNO"/>
    <s v="NO_EXITOSO"/>
    <s v="CB NO ENTREGA EQUIPO"/>
    <s v="25-06-2025 SE LLAMA AL 3206513467 Y SE HABLA CON LA SEÑORA CAMILA LA CUAL INFORMA QUE LOS DÍAS MARTES Y VIERNES TIENE TERAPIA EN MEDELLÍN POR LO CUAL NO NOS PUEDE ATENDER EL DÍA DE HOY SOLICITA REPROGRAMAR OTRO DÍA QUE NO SEA MARTES O VIERNES "/>
    <s v="ALVAREZ ARENAS VICTOR HUGO"/>
    <n v="0"/>
    <s v="TIPO II"/>
    <s v="TERRESTRE"/>
    <s v="SOPORTE_TELEFÓNICO"/>
    <n v="0"/>
    <n v="0"/>
    <n v="0"/>
    <n v="37904.612000000001"/>
    <n v="37904.612000000001"/>
  </r>
  <r>
    <s v="CALI"/>
    <x v="0"/>
    <x v="0"/>
    <n v="19532"/>
    <s v="TA-25-789497"/>
    <s v="FO-25-1104699"/>
    <d v="2025-06-17T15:03:00"/>
    <d v="2025-06-25T08:24:49"/>
    <s v="CAUCA"/>
    <s v="PATIA"/>
    <s v="BARRIO PATIA PATIA"/>
    <n v="77803"/>
    <s v="ORDEN DE CAMBIO"/>
    <s v="CIERRE"/>
    <s v="RECUPERACION DE EQUIPOS"/>
    <s v="REDEBAN"/>
    <s v="CB UNO A UNO"/>
    <s v="CB UNO A UNO"/>
    <s v="NO_EXITOSO"/>
    <s v="CB NO ENTREGA EQUIPO"/>
    <s v="25-06-2025 SE REALIZA VALIDACION CON EL CLIENTE PARA REALIZACION DE CIERRE, SE ENCUENTRA QUE LA ZONA EN ESTE MOMENTO NO SE PUEDE ACCEDER POR ESTAR EN CONFLICTO ARMADO Y ZONA ROJA,  EL CLIENTE TIENE LOS EQUIPO EN EL SITIO PERO NO SE PUEDE CONCRETAR EL ENVIO DE LOS MISMOS YA QUE POR LOS PROBLEMAS PRESENTES EN LA ZONA NO HAY TRANSPORTADORA EN EL MOMENTO, SE QUEDA EN ESPERA DE QUE MEJORE LA SITUACION PARA DESPLAZAMIENTO DEL TECNICO A LA ZONA O SE PUEDA REALIAZR EL ENVIO DE LOS EQUIPO A LA CIUDAD DE POPAYAN POR SEGURIDAD."/>
    <s v="HENAO CARDONA DIEGO FERNANDO"/>
    <n v="0"/>
    <s v="TIPO IV"/>
    <s v="TERRESTRE"/>
    <s v="SOPORTE_TELEFÓNICO"/>
    <n v="0"/>
    <n v="0"/>
    <n v="0"/>
    <n v="37904.612000000001"/>
    <n v="37904.612000000001"/>
  </r>
  <r>
    <s v="CALI"/>
    <x v="0"/>
    <x v="0"/>
    <n v="19473"/>
    <s v="TA-25-789467"/>
    <s v="FO-25-1104629"/>
    <d v="2025-06-17T15:03:00"/>
    <d v="2025-06-25T09:00:00"/>
    <s v="CAUCA"/>
    <s v="MORALES"/>
    <s v="BARRIO CENTRO MORALES 2"/>
    <n v="58865"/>
    <s v="ORDEN DE CAMBIO"/>
    <s v="CIERRE"/>
    <s v="CIERRE"/>
    <s v="REDEBAN"/>
    <s v="CB UNO A UNO"/>
    <s v="CB UNO A UNO"/>
    <s v="NO_EXITOSO"/>
    <s v="CB NO ENTREGA EQUIPO"/>
    <s v="24-06-2025 SE REALIZA LLAMDA AL CLIENTE EN REPETIDAS OCACIONES, NO ATIENDE, SE DEJE MANSAJE DE VOZ Y POR WHAT APP, EL DIA DE HOY NOS CONTESTA LA ENCARGADA DEL CB INDICAN QUE ELLOS ESTAN REALIZANDO UN TRAMITE CON ENTIDAD YA QUE NO LES HABIAN NOTIFICADO EL CIERRE Y ESTAN A LA ESPERA DE RESPUESTA PARA MIRAR COMO PROCEDER, INDICA QUE SI DEFEINITIVAMENTE SE VA A CERRAR ELLOS NOTIFICARAN PARA LA RECOJIDA DE LOS EQUIPPOS."/>
    <s v="HENAO CARDONA DIEGO FERNANDO"/>
    <n v="0"/>
    <s v="TIPO III"/>
    <s v="TERRESTRE"/>
    <s v="SOPORTE_TELEFÓNICO"/>
    <n v="0"/>
    <n v="0"/>
    <n v="0"/>
    <n v="37904.612000000001"/>
    <n v="37904.612000000001"/>
  </r>
  <r>
    <s v="BOGOTA"/>
    <x v="2"/>
    <x v="2"/>
    <n v="25899"/>
    <s v="TA-25-789458"/>
    <s v="FO-25-1104608"/>
    <d v="2025-06-17T15:03:00"/>
    <d v="2025-06-25T11:09:52"/>
    <s v="CUNDINAMARCA"/>
    <s v="ZIPAQUIRA"/>
    <s v="BARRIO SAN PABLO ZIPAQUIRA"/>
    <n v="40361"/>
    <s v="ORDEN DE CAMBIO"/>
    <s v="CIERRE"/>
    <s v="CIERRE"/>
    <s v="REDEBAN"/>
    <s v="CB UNO A UNO"/>
    <s v="CB UNO A UNO"/>
    <s v="NO_EXITOSO"/>
    <s v="CB NO ENTREGA EQUIPO"/>
    <s v="18-06-2025 SE REALIZA VISITA AL COMERCIO PARA EJECUTAR CIERRE DE CB BANCOLOMBIA PERO AL LLEGAR AL PUNTO LA SRA. ANDRÉS MEJORAN INFORMA QUE NO ESTÁ AUTORIZADO PARA ENTREGAR LOS EQUIPOS, PORQUE NO SE ENCUENTRA LA PERSONA ENCARGADA. "/>
    <s v="CORTES VELANDIA MIGUEL ANGEL"/>
    <n v="0"/>
    <s v="TIPO II"/>
    <s v="TERRESTRE"/>
    <s v="VISITA_TÉCNICA"/>
    <n v="0"/>
    <n v="0"/>
    <n v="1"/>
    <n v="134410.88400000002"/>
    <n v="134410.88400000002"/>
  </r>
  <r>
    <s v="MEDELLIN"/>
    <x v="5"/>
    <x v="6"/>
    <n v="5148"/>
    <s v="TA-25-793200"/>
    <s v="FO-25-1114250"/>
    <d v="2025-06-19T13:31:00"/>
    <d v="2025-06-25T11:25:15"/>
    <s v="ANTIOQUIA"/>
    <s v="EL CARMEN DE VIBORAL"/>
    <s v="BARRIO CARMEN DE VIVORAL EL CARMEN DE VIBORAL"/>
    <n v="77264"/>
    <s v="ORDEN DE CAMBIO"/>
    <s v="CIERRE"/>
    <s v="CIERRE"/>
    <s v="REDEBAN"/>
    <s v="CB UNO A UNO"/>
    <s v="CB UNO A UNO"/>
    <s v="SOLICITUD_CANCELADA"/>
    <s v="CANCELADO POR LA ENTIDAD"/>
    <s v="25-06-2025 SE VISITA COMERCIO Y LA USUARIA INDICA QUE HUBO UN MAL ENTENDIDO PORQUE ELLOS SOLICITARON FUE UN TRASLADO, YA SE ESTÁN COMUNICANDO CON REDEBAN PARA ACLARAR TODO, POR LO TANTO NO SE PERMITE EL RETIRO SE EQUIPO "/>
    <s v="RUA ALVAREZ RICHARD ANDRES"/>
    <s v="SX9ZZ552"/>
    <s v="TIPO II"/>
    <s v="TERRESTRE"/>
    <s v="VISITA_TÉCNICA"/>
    <n v="0"/>
    <n v="0"/>
    <n v="1"/>
    <n v="134410.88400000002"/>
    <n v="134410.88400000002"/>
  </r>
  <r>
    <s v="BUCARAMANGA"/>
    <x v="4"/>
    <x v="4"/>
    <n v="68001"/>
    <s v="TA-25-793224"/>
    <s v="FO-25-1118936"/>
    <d v="2025-06-19T13:31:00"/>
    <d v="2025-06-27T08:15:00"/>
    <s v="SANTANDER"/>
    <s v="BUCARAMANGA"/>
    <s v="PTM BUCARAMANGA DROGUERIA FARM"/>
    <n v="73960"/>
    <s v="ORDEN DE CAMBIO"/>
    <s v="CIERRE"/>
    <s v="RECUPERACION DE EQUIPOS"/>
    <s v="REDEBAN"/>
    <s v="AGREGADOR"/>
    <s v="COMCARD - PTM"/>
    <s v="NO_EXITOSO"/>
    <s v="CB NO ENTREGA EQUIPO"/>
    <s v="26-06-2025 SE VISITA COMERCIO PARA RETIRAR EQUIPOS DE CB BANCOLOMBIA PERO AL MOMENTO  EL SEÑOR INDICA SOLO TENER LA PLACA 911628 PERO AL VERIFICAR EN SISTEMA PERTENECE A UN CODIGO DE COMERCIO PERSONAL DE LA DROGUERÍA. POR LO ANTERIOR SE INDICA QUE NO ES LA PLACA DE EL CORRESPONSAL, YA QUE SE SOLICITA INVENTARIO CON REDEBAN, QUIEN NOS INDICA LA PLACAS INSTALADAS EN CORRESPONSAL BANCARIO, Y SE LE DA LA INFORMACIÓN AL SEÑOR PARA QUE VERIFIQUE Y BUSQUE YA QUE DICE NO ENCONTRÓ MÁS ."/>
    <s v="PEÑA DIAZ IVAN YESID"/>
    <s v="MN0SZ974"/>
    <s v="TIPO I"/>
    <s v="TERRESTRE"/>
    <s v="VISITA_TÉCNICA"/>
    <n v="0"/>
    <n v="0"/>
    <n v="2"/>
    <n v="44559.563999999998"/>
    <n v="89119.127999999997"/>
  </r>
  <r>
    <s v="VILLAVICENCIO"/>
    <x v="1"/>
    <x v="1"/>
    <n v="50006"/>
    <s v="TA-25-793209"/>
    <s v="FO-25-1114272"/>
    <d v="2025-06-19T13:31:00"/>
    <d v="2025-06-27T10:09:24"/>
    <s v="META"/>
    <s v="ACACIAS"/>
    <s v="BARRIO BACHUE ACACIAS 1"/>
    <n v="48109"/>
    <s v="ORDEN DE CAMBIO"/>
    <s v="CIERRE"/>
    <s v="CIERRE"/>
    <s v="REDEBAN"/>
    <s v="CB UNO A UNO"/>
    <s v="CB UNO A UNO"/>
    <s v="ILOCALIZADO"/>
    <s v="CB CERRADO - DESOCUPADO"/>
    <s v="27-06-2025 SE REALIZA VISITA A COMERCIO LOCAL CERRADO NO EXISTE CB NO ES POSIBLE COMUNICACIÓN CON TITULAR 3133560603"/>
    <s v="CASTRILLON URREA LONDIER LEANDRO"/>
    <n v="0"/>
    <s v="TIPO II"/>
    <s v="TERRESTRE"/>
    <s v="VISITA_TÉCNICA"/>
    <n v="0"/>
    <n v="0"/>
    <n v="1"/>
    <n v="134410.88400000002"/>
    <n v="134410.88400000002"/>
  </r>
  <r>
    <s v="MEDELLIN"/>
    <x v="5"/>
    <x v="6"/>
    <n v="5001"/>
    <s v="TA-25-799605"/>
    <s v="FO-25-1130557"/>
    <d v="2025-06-24T14:22:00"/>
    <d v="2025-06-27T10:59:40"/>
    <s v="ANTIOQUIA"/>
    <s v="MEDELLIN"/>
    <s v="PTM KOLORADO VARIEDADES"/>
    <n v="59432"/>
    <s v="ORDEN DE CAMBIO"/>
    <s v="CIERRE"/>
    <s v="CIERRE"/>
    <s v="REDEBAN"/>
    <s v="AGREGADOR"/>
    <s v="COMCARD - PTM"/>
    <s v="ILOCALIZADO"/>
    <s v="AGENDADO"/>
    <s v="27-06-2025 SE LLEGA A LA DIRECCIÓN SUMINISTRADA POR LA APLICACIÓN SYTEX Y SE IDENTIFICA QUE ES UNA CASA FAMILIAR, LA CUAL SE TOCA Y NO ABREN LA PUERTA, SE REALIZA GESTIÓN TELEFÓNICA Y NO HAY RESPUESTA."/>
    <s v="BARRIENTOS HERNANDEZ CRISTIAN HORACIO"/>
    <n v="0"/>
    <s v="TIPO I"/>
    <s v="TERRESTRE"/>
    <s v="VISITA_TÉCNICA"/>
    <n v="0"/>
    <n v="0"/>
    <n v="1"/>
    <n v="44559.563999999998"/>
    <n v="44559.563999999998"/>
  </r>
  <r>
    <s v="SANTA MARTA"/>
    <x v="3"/>
    <x v="3"/>
    <n v="44001"/>
    <s v="TA-25-799611"/>
    <s v="FO-25-1130571"/>
    <d v="2025-06-24T14:22:00"/>
    <d v="2025-06-27T12:59:18"/>
    <s v="LA GUAJIRA"/>
    <s v="RIOHACHA"/>
    <s v="DISTRICOL BUENA VISTA GUAJIRA"/>
    <n v="73212"/>
    <s v="ORDEN DE CAMBIO"/>
    <s v="CIERRE"/>
    <s v="CIERRE"/>
    <s v="REDEBAN"/>
    <s v="AGREGADOR"/>
    <s v="DISTRICOL"/>
    <s v="NO_EXITOSO"/>
    <s v="CB NO ENTREGA EQUIPO"/>
    <s v="27-06-2025 SE REALIZA LA VISITA EN SITIO SE ENCUENTRA EL LOCAL COMERCIAL CERRADO SE HACE GESTIÓN TELEFÓNICA EL CLIENTE MANIFESTÓ INICIALMENTE QUE IBA A ENTREGAR LOS EQUIPOS EN OTRA DIRECCIÓN PERO DESPUÉS DE MEDIA HORA EL CLIENTE INFORMA NUEVAMENTE QUE NO PUEDE ENTREGAR LOS EQUIPOS EN EL MOMENTO YA QUE NO TIENE LA DISPONIBILIDAD"/>
    <s v="THOMAS  CAMPO SIGIFREDO SEGUNDO"/>
    <s v="SV00T092"/>
    <s v="TIPO III"/>
    <s v="TERRESTRE"/>
    <s v="VISITA_TÉCNICA"/>
    <n v="0"/>
    <n v="0"/>
    <n v="1"/>
    <n v="222904.07200000001"/>
    <n v="222904.07200000001"/>
  </r>
  <r>
    <s v="CUCUTA"/>
    <x v="4"/>
    <x v="4"/>
    <n v="54001"/>
    <s v="TA-25-799607"/>
    <s v="FO-25-1130562"/>
    <d v="2025-06-24T14:22:00"/>
    <d v="2025-06-27T16:23:49"/>
    <s v="NORTE DE SANTANDER"/>
    <s v="CUCUTA"/>
    <s v="PTM CUCUTA MULTISERVICIOS YADI"/>
    <n v="55696"/>
    <s v="ORDEN DE CAMBIO"/>
    <s v="CIERRE"/>
    <s v="CIERRE"/>
    <s v="REDEBAN"/>
    <s v="AGREGADOR"/>
    <s v="COMCARD - PTM"/>
    <s v="ILOCALIZADO"/>
    <s v="CB CERRADO - DESOCUPADO"/>
    <s v="27-06-2025 SE REALIZARON LLAMADAS TELEFÓNICA AL NÚMERO ASIGNADO 3115098944 Y SE ENCUENTRA APAGADO, SE PROCEDE A REALIZAR VISITA, SE LLEGA AL CONJUNTO RESIDENCIAL Y VIGILANCIA SE COMUNICA CON LA SEÑORA DIANA DÓNDE NO PERMITE LA ENTRADA. "/>
    <s v="MORA VEGA JEAMPIER"/>
    <n v="0"/>
    <s v="TIPO I"/>
    <s v="TERRESTRE"/>
    <s v="VISITA_TÉCNICA"/>
    <n v="0"/>
    <n v="0"/>
    <n v="1"/>
    <n v="44559.563999999998"/>
    <n v="44559.563999999998"/>
  </r>
  <r>
    <s v="CALI"/>
    <x v="0"/>
    <x v="0"/>
    <n v="76001"/>
    <s v="TA-25-809570"/>
    <s v="FO-25-1148149"/>
    <d v="2025-06-28T08:00:00"/>
    <d v="2025-06-28T11:10:00"/>
    <s v="VALLE DEL CAUCA"/>
    <s v="CALI"/>
    <s v="BARRIO SANTA BARBARA CALI 2"/>
    <n v="58693"/>
    <s v="ORDEN DE CAMBIO"/>
    <s v="CIERRE"/>
    <s v="CIERRE"/>
    <s v="REDEBAN"/>
    <s v="CB UNO A UNO"/>
    <s v="CB UNO A UNO"/>
    <s v="NO_EXITOSO"/>
    <s v="CB NO ENTREGA EQUIPO"/>
    <s v="28-06-2025 SE HABLA CON EL CLIENTE E INDICA QUE HOY SE PONE AL DIA CON LA COMPENSACIÓN PARA QUE LE VUELVAN A REATIVAR EL CB, EL CLIENTE NO QUISO PROPORCIONAR EL CORREO ELECTRÓNICO _x000a_"/>
    <s v="PAREDES CASTILLO DIEGO"/>
    <n v="0"/>
    <s v="TIPO I"/>
    <s v="TERRESTRE"/>
    <s v="SOPORTE_TELEFÓNICO"/>
    <n v="0"/>
    <n v="0"/>
    <n v="0"/>
    <n v="37904.612000000001"/>
    <n v="37904.612000000001"/>
  </r>
  <r>
    <m/>
    <x v="6"/>
    <x v="7"/>
    <m/>
    <m/>
    <m/>
    <m/>
    <m/>
    <m/>
    <m/>
    <m/>
    <m/>
    <m/>
    <m/>
    <m/>
    <m/>
    <m/>
    <m/>
    <m/>
    <m/>
    <m/>
    <m/>
    <m/>
    <m/>
    <m/>
    <m/>
    <m/>
    <m/>
    <m/>
    <m/>
    <n v="10083277.979999995"/>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98F422-378D-4B3A-9EF3-E354DDA3582B}" name="TablaDinámica1" cacheId="5338"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31">
    <pivotField compact="0" outline="0" showAll="0"/>
    <pivotField axis="axisRow" compact="0" outline="0" showAll="0" defaultSubtotal="0">
      <items count="8">
        <item x="0"/>
        <item x="3"/>
        <item x="5"/>
        <item x="1"/>
        <item x="4"/>
        <item x="2"/>
        <item h="1" x="6"/>
        <item h="1" m="1" x="7"/>
      </items>
    </pivotField>
    <pivotField axis="axisRow" compact="0" outline="0" showAll="0">
      <items count="10">
        <item x="3"/>
        <item x="5"/>
        <item x="0"/>
        <item x="2"/>
        <item x="6"/>
        <item x="1"/>
        <item x="4"/>
        <item x="7"/>
        <item m="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0" showDataAs="percentOfTotal" baseField="0" baseItem="0" numFmtId="10"/>
    <dataField name="Suma de VALOR TOTAL2" fld="30" baseField="0" baseItem="0" numFmtId="168"/>
  </dataFields>
  <formats count="3">
    <format dxfId="1">
      <pivotArea outline="0"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 dxfId="3">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workbookViewId="0">
      <selection activeCell="D16" sqref="D16"/>
    </sheetView>
  </sheetViews>
  <sheetFormatPr defaultColWidth="11.42578125" defaultRowHeight="14.45"/>
  <cols>
    <col min="1" max="1" width="31" customWidth="1"/>
    <col min="4" max="4" width="13.7109375" bestFit="1" customWidth="1"/>
    <col min="5" max="5" width="4" customWidth="1"/>
    <col min="6" max="7" width="21.5703125" customWidth="1"/>
    <col min="9" max="9" width="16.42578125" bestFit="1" customWidth="1"/>
    <col min="15" max="15" width="20.140625" customWidth="1"/>
  </cols>
  <sheetData>
    <row r="1" spans="1:10">
      <c r="A1" s="100" t="s">
        <v>0</v>
      </c>
      <c r="B1" s="100"/>
      <c r="C1" s="100"/>
      <c r="D1" s="100"/>
      <c r="F1" s="93" t="s">
        <v>1</v>
      </c>
      <c r="G1" s="94"/>
      <c r="H1" s="94"/>
      <c r="I1" s="94"/>
      <c r="J1" s="95"/>
    </row>
    <row r="2" spans="1:10">
      <c r="A2" s="100" t="s">
        <v>2</v>
      </c>
      <c r="B2" s="100"/>
      <c r="C2" s="100"/>
      <c r="D2" s="100"/>
      <c r="F2" s="96" t="str">
        <f>A3</f>
        <v>JUNIO 2025</v>
      </c>
      <c r="G2" s="97"/>
      <c r="H2" s="97"/>
      <c r="I2" s="97"/>
      <c r="J2" s="98"/>
    </row>
    <row r="3" spans="1:10">
      <c r="A3" s="101" t="s">
        <v>3</v>
      </c>
      <c r="B3" s="101"/>
      <c r="C3" s="101"/>
      <c r="D3" s="101"/>
      <c r="F3" s="13"/>
      <c r="G3" s="13"/>
      <c r="H3" s="13"/>
      <c r="I3" s="14"/>
      <c r="J3" s="14"/>
    </row>
    <row r="4" spans="1:10">
      <c r="A4" s="9"/>
      <c r="B4" s="89"/>
      <c r="C4" s="90"/>
      <c r="D4" s="9"/>
      <c r="F4" s="24" t="s">
        <v>4</v>
      </c>
      <c r="G4" s="19" t="s">
        <v>5</v>
      </c>
      <c r="H4" s="19" t="s">
        <v>6</v>
      </c>
      <c r="I4" s="19" t="s">
        <v>7</v>
      </c>
      <c r="J4" s="20" t="s">
        <v>6</v>
      </c>
    </row>
    <row r="5" spans="1:10">
      <c r="A5" s="18" t="s">
        <v>4</v>
      </c>
      <c r="B5" s="85" t="s">
        <v>8</v>
      </c>
      <c r="C5" s="87"/>
      <c r="D5" s="18" t="s">
        <v>6</v>
      </c>
      <c r="F5" s="49"/>
      <c r="G5" s="49"/>
      <c r="H5" s="15"/>
      <c r="I5" s="16">
        <f>H5*0.12</f>
        <v>0</v>
      </c>
      <c r="J5" s="16">
        <f>H5+I5</f>
        <v>0</v>
      </c>
    </row>
    <row r="6" spans="1:10">
      <c r="A6" s="67" t="str">
        <f>CONCATENATE("CIERRES NO EXITOSOS ",A3)</f>
        <v>CIERRES NO EXITOSOS JUNIO 2025</v>
      </c>
      <c r="B6" s="91">
        <f>COUNTA(CIERRES!A:A)-1</f>
        <v>90</v>
      </c>
      <c r="C6" s="92"/>
      <c r="D6" s="68">
        <f>CIERRES!AE92</f>
        <v>10083277.979999995</v>
      </c>
      <c r="F6" s="55"/>
      <c r="G6" s="55"/>
      <c r="H6" s="56"/>
      <c r="I6" s="57">
        <f>H6*0.12</f>
        <v>0</v>
      </c>
      <c r="J6" s="57">
        <f>H6+I6</f>
        <v>0</v>
      </c>
    </row>
    <row r="7" spans="1:10">
      <c r="A7" s="10" t="s">
        <v>9</v>
      </c>
      <c r="B7" s="99">
        <v>0</v>
      </c>
      <c r="C7" s="99"/>
      <c r="D7" s="11">
        <f>J10</f>
        <v>0</v>
      </c>
      <c r="F7" s="23"/>
      <c r="G7" s="23"/>
      <c r="H7" s="52"/>
      <c r="I7" s="53">
        <f>H7*0.12</f>
        <v>0</v>
      </c>
      <c r="J7" s="53">
        <f>H7+I7</f>
        <v>0</v>
      </c>
    </row>
    <row r="8" spans="1:10">
      <c r="A8" s="88" t="s">
        <v>10</v>
      </c>
      <c r="B8" s="88"/>
      <c r="C8" s="88"/>
      <c r="D8" s="46">
        <f>SUM(D6:D7)</f>
        <v>10083277.979999995</v>
      </c>
      <c r="F8" s="23"/>
      <c r="G8" s="54"/>
      <c r="H8" s="52"/>
      <c r="I8" s="53"/>
      <c r="J8" s="53"/>
    </row>
    <row r="9" spans="1:10">
      <c r="A9" s="84" t="s">
        <v>11</v>
      </c>
      <c r="B9" s="84"/>
      <c r="C9" s="84"/>
      <c r="D9" s="12">
        <f>D8*0.19</f>
        <v>1915822.8161999991</v>
      </c>
      <c r="F9" s="23"/>
      <c r="G9" s="54"/>
      <c r="H9" s="52"/>
      <c r="I9" s="53"/>
      <c r="J9" s="53"/>
    </row>
    <row r="10" spans="1:10">
      <c r="A10" s="85" t="s">
        <v>6</v>
      </c>
      <c r="B10" s="86"/>
      <c r="C10" s="87"/>
      <c r="D10" s="21">
        <f>SUM(D8:D9)</f>
        <v>11999100.796199994</v>
      </c>
      <c r="F10" s="25" t="s">
        <v>6</v>
      </c>
      <c r="G10" s="58"/>
      <c r="H10" s="59">
        <f>SUM(H5:H7)</f>
        <v>0</v>
      </c>
      <c r="I10" s="59">
        <f>SUM(I5:I7)</f>
        <v>0</v>
      </c>
      <c r="J10" s="59">
        <f>SUM(J5:J7)</f>
        <v>0</v>
      </c>
    </row>
  </sheetData>
  <mergeCells count="12">
    <mergeCell ref="F1:J1"/>
    <mergeCell ref="F2:J2"/>
    <mergeCell ref="B7:C7"/>
    <mergeCell ref="A1:D1"/>
    <mergeCell ref="A2:D2"/>
    <mergeCell ref="A3:D3"/>
    <mergeCell ref="A9:C9"/>
    <mergeCell ref="A10:C10"/>
    <mergeCell ref="A8:C8"/>
    <mergeCell ref="B4:C4"/>
    <mergeCell ref="B5:C5"/>
    <mergeCell ref="B6:C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election activeCell="C22" sqref="C22"/>
    </sheetView>
  </sheetViews>
  <sheetFormatPr defaultColWidth="11.42578125" defaultRowHeight="14.45"/>
  <cols>
    <col min="1" max="1" width="15" bestFit="1" customWidth="1"/>
    <col min="2" max="2" width="22.7109375" bestFit="1" customWidth="1"/>
    <col min="3" max="3" width="42" customWidth="1"/>
    <col min="4" max="4" width="14.42578125" customWidth="1"/>
  </cols>
  <sheetData>
    <row r="1" spans="1:4">
      <c r="A1" s="102" t="s">
        <v>12</v>
      </c>
      <c r="B1" s="102"/>
      <c r="C1" s="102"/>
      <c r="D1" s="45" t="s">
        <v>13</v>
      </c>
    </row>
    <row r="2" spans="1:4">
      <c r="A2" s="1" t="s">
        <v>14</v>
      </c>
      <c r="B2" s="1" t="s">
        <v>15</v>
      </c>
      <c r="C2" s="44" t="s">
        <v>16</v>
      </c>
      <c r="D2" s="43">
        <v>5.1999999999999998E-2</v>
      </c>
    </row>
    <row r="3" spans="1:4">
      <c r="A3" s="2" t="s">
        <v>17</v>
      </c>
      <c r="B3" s="2" t="s">
        <v>18</v>
      </c>
      <c r="C3" s="47">
        <f>42357*(1+$D$2)</f>
        <v>44559.563999999998</v>
      </c>
      <c r="D3" s="42"/>
    </row>
    <row r="4" spans="1:4">
      <c r="A4" s="2" t="s">
        <v>19</v>
      </c>
      <c r="B4" s="2" t="s">
        <v>20</v>
      </c>
      <c r="C4" s="47">
        <f>127767*(1+$D$2)</f>
        <v>134410.88400000002</v>
      </c>
      <c r="D4" s="42"/>
    </row>
    <row r="5" spans="1:4">
      <c r="A5" s="2" t="s">
        <v>21</v>
      </c>
      <c r="B5" s="2" t="s">
        <v>22</v>
      </c>
      <c r="C5" s="47">
        <f>211886*(1+$D$2)</f>
        <v>222904.07200000001</v>
      </c>
      <c r="D5" s="42"/>
    </row>
    <row r="6" spans="1:4">
      <c r="A6" s="2" t="s">
        <v>23</v>
      </c>
      <c r="B6" s="2" t="s">
        <v>24</v>
      </c>
      <c r="C6" s="47">
        <f>441834*(1+$D$2)</f>
        <v>464809.36800000002</v>
      </c>
      <c r="D6" s="42"/>
    </row>
    <row r="7" spans="1:4" ht="24.75" customHeight="1">
      <c r="A7" s="2" t="s">
        <v>25</v>
      </c>
      <c r="B7" s="2" t="s">
        <v>26</v>
      </c>
      <c r="C7" s="3" t="s">
        <v>27</v>
      </c>
      <c r="D7" s="42"/>
    </row>
    <row r="8" spans="1:4">
      <c r="A8" s="4"/>
      <c r="B8" s="5"/>
      <c r="C8" s="6"/>
    </row>
    <row r="9" spans="1:4">
      <c r="A9" s="7" t="s">
        <v>28</v>
      </c>
      <c r="B9" s="48">
        <f>36031*(1+$D$2)</f>
        <v>37904.612000000001</v>
      </c>
      <c r="C9" s="8"/>
    </row>
  </sheetData>
  <mergeCells count="1">
    <mergeCell ref="A1:C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D87C1-98F8-4E35-87EF-7DADBAA268DD}">
  <dimension ref="A3:E11"/>
  <sheetViews>
    <sheetView workbookViewId="0">
      <selection activeCell="B8" sqref="B4:B10"/>
    </sheetView>
  </sheetViews>
  <sheetFormatPr defaultColWidth="8.85546875" defaultRowHeight="14.45"/>
  <cols>
    <col min="1" max="1" width="33.42578125" bestFit="1" customWidth="1"/>
    <col min="2" max="2" width="30.140625" bestFit="1" customWidth="1"/>
    <col min="3" max="3" width="8" style="39" bestFit="1" customWidth="1"/>
    <col min="4" max="4" width="21.7109375" bestFit="1" customWidth="1"/>
  </cols>
  <sheetData>
    <row r="3" spans="1:5">
      <c r="A3" s="38" t="s">
        <v>29</v>
      </c>
      <c r="B3" s="38" t="s">
        <v>30</v>
      </c>
      <c r="C3" s="39" t="s">
        <v>31</v>
      </c>
      <c r="D3" t="s">
        <v>32</v>
      </c>
      <c r="E3" t="s">
        <v>33</v>
      </c>
    </row>
    <row r="4" spans="1:5">
      <c r="A4" t="s">
        <v>34</v>
      </c>
      <c r="B4" t="s">
        <v>35</v>
      </c>
      <c r="C4" s="40">
        <v>2.592754305877026E-2</v>
      </c>
      <c r="D4" s="41">
        <v>261434.62400000001</v>
      </c>
      <c r="E4" t="str">
        <f>VLOOKUP(B4,'CENTRO DE COSTOS'!B:C,2,0)</f>
        <v>Redeban Eje Cafetero (Pereira)</v>
      </c>
    </row>
    <row r="5" spans="1:5">
      <c r="B5" t="s">
        <v>36</v>
      </c>
      <c r="C5" s="40">
        <v>0.1790963148672412</v>
      </c>
      <c r="D5" s="41">
        <v>1805877.9279999998</v>
      </c>
      <c r="E5" t="str">
        <f>VLOOKUP(B5,'CENTRO DE COSTOS'!B:C,2,0)</f>
        <v>Redeban Suroccidente (Cali)</v>
      </c>
    </row>
    <row r="6" spans="1:5">
      <c r="A6" t="s">
        <v>37</v>
      </c>
      <c r="B6" t="s">
        <v>38</v>
      </c>
      <c r="C6" s="40">
        <v>0.24191065810525239</v>
      </c>
      <c r="D6" s="41">
        <v>2439252.412</v>
      </c>
      <c r="E6" t="str">
        <f>VLOOKUP(B6,'CENTRO DE COSTOS'!B:C,2,0)</f>
        <v>Redeban Costa (Barranqullla)</v>
      </c>
    </row>
    <row r="7" spans="1:5">
      <c r="A7" t="s">
        <v>39</v>
      </c>
      <c r="B7" t="s">
        <v>40</v>
      </c>
      <c r="C7" s="40">
        <v>0.11496875542848023</v>
      </c>
      <c r="D7" s="41">
        <v>1159261.9200000002</v>
      </c>
      <c r="E7" t="str">
        <f>VLOOKUP(B7,'CENTRO DE COSTOS'!B:C,2,0)</f>
        <v>Redeban Noroccidente (Medellín)</v>
      </c>
    </row>
    <row r="8" spans="1:5">
      <c r="A8" t="s">
        <v>41</v>
      </c>
      <c r="B8" t="s">
        <v>42</v>
      </c>
      <c r="C8" s="40">
        <v>0.22684054496333544</v>
      </c>
      <c r="D8" s="41">
        <v>2287296.2720000003</v>
      </c>
      <c r="E8" t="str">
        <f>VLOOKUP(B8,'CENTRO DE COSTOS'!B:C,2,0)</f>
        <v>Redeban Oriente (Otros)</v>
      </c>
    </row>
    <row r="9" spans="1:5">
      <c r="A9" t="s">
        <v>43</v>
      </c>
      <c r="B9" t="s">
        <v>44</v>
      </c>
      <c r="C9" s="40">
        <v>0.11374432503744183</v>
      </c>
      <c r="D9" s="41">
        <v>1146915.648</v>
      </c>
      <c r="E9" t="str">
        <f>VLOOKUP(B9,'CENTRO DE COSTOS'!B:C,2,0)</f>
        <v>Redeban Santander</v>
      </c>
    </row>
    <row r="10" spans="1:5">
      <c r="A10" t="s">
        <v>45</v>
      </c>
      <c r="B10" t="s">
        <v>46</v>
      </c>
      <c r="C10" s="40">
        <v>9.7511858539478663E-2</v>
      </c>
      <c r="D10" s="41">
        <v>983239.17600000021</v>
      </c>
      <c r="E10" t="str">
        <f>VLOOKUP(B10,'CENTRO DE COSTOS'!B:C,2,0)</f>
        <v>Redeban Centro ( Bogotá)</v>
      </c>
    </row>
    <row r="11" spans="1:5">
      <c r="A11" t="s">
        <v>47</v>
      </c>
      <c r="C11" s="40">
        <v>1</v>
      </c>
      <c r="D11" s="41">
        <v>10083277.98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7"/>
  <sheetViews>
    <sheetView tabSelected="1" topLeftCell="L1" zoomScaleNormal="100" workbookViewId="0">
      <pane ySplit="1" topLeftCell="Y63" activePane="bottomLeft" state="frozen"/>
      <selection pane="bottomLeft" activeCell="Y56" sqref="Y56"/>
    </sheetView>
  </sheetViews>
  <sheetFormatPr defaultColWidth="11.42578125" defaultRowHeight="14.45"/>
  <cols>
    <col min="1" max="1" width="15.42578125" style="76" bestFit="1" customWidth="1"/>
    <col min="2" max="3" width="13.140625" style="76" customWidth="1"/>
    <col min="4" max="4" width="11.85546875" style="76" customWidth="1"/>
    <col min="5" max="6" width="11.42578125" style="76" customWidth="1"/>
    <col min="7" max="8" width="17.28515625" style="76" customWidth="1"/>
    <col min="9" max="9" width="17.42578125" style="76" bestFit="1" customWidth="1"/>
    <col min="10" max="10" width="12.42578125" style="76" bestFit="1" customWidth="1"/>
    <col min="11" max="11" width="32" style="76" bestFit="1" customWidth="1"/>
    <col min="12" max="12" width="11.5703125" style="76" bestFit="1" customWidth="1"/>
    <col min="13" max="13" width="11.42578125" style="76" customWidth="1"/>
    <col min="14" max="18" width="11.42578125" style="76"/>
    <col min="19" max="20" width="16.28515625" style="76" customWidth="1"/>
    <col min="21" max="21" width="11.5703125" style="76" bestFit="1" customWidth="1"/>
    <col min="22" max="22" width="28.140625" style="76" bestFit="1" customWidth="1"/>
    <col min="23" max="23" width="11.5703125" style="76" bestFit="1" customWidth="1"/>
    <col min="24" max="24" width="12.85546875" style="76" bestFit="1" customWidth="1"/>
    <col min="25" max="25" width="11.42578125" style="78"/>
    <col min="26" max="26" width="12" style="76" bestFit="1" customWidth="1"/>
    <col min="27" max="27" width="11.5703125" style="76" bestFit="1" customWidth="1"/>
    <col min="28" max="28" width="24" style="76" bestFit="1" customWidth="1"/>
    <col min="29" max="30" width="11.5703125" style="76" bestFit="1" customWidth="1"/>
    <col min="31" max="31" width="12.28515625" style="76" bestFit="1" customWidth="1"/>
    <col min="32" max="16384" width="11.42578125" style="76"/>
  </cols>
  <sheetData>
    <row r="1" spans="1:31" s="65" customFormat="1" ht="30.75" customHeight="1">
      <c r="A1" s="61" t="s">
        <v>48</v>
      </c>
      <c r="B1" s="61" t="s">
        <v>29</v>
      </c>
      <c r="C1" s="61" t="s">
        <v>30</v>
      </c>
      <c r="D1" s="62" t="s">
        <v>49</v>
      </c>
      <c r="E1" s="61" t="s">
        <v>50</v>
      </c>
      <c r="F1" s="61" t="s">
        <v>51</v>
      </c>
      <c r="G1" s="61" t="s">
        <v>52</v>
      </c>
      <c r="H1" s="61" t="s">
        <v>53</v>
      </c>
      <c r="I1" s="63" t="s">
        <v>54</v>
      </c>
      <c r="J1" s="61" t="s">
        <v>55</v>
      </c>
      <c r="K1" s="61" t="s">
        <v>56</v>
      </c>
      <c r="L1" s="61" t="s">
        <v>57</v>
      </c>
      <c r="M1" s="61" t="s">
        <v>58</v>
      </c>
      <c r="N1" s="61" t="s">
        <v>59</v>
      </c>
      <c r="O1" s="61" t="s">
        <v>60</v>
      </c>
      <c r="P1" s="61" t="s">
        <v>61</v>
      </c>
      <c r="Q1" s="61" t="s">
        <v>62</v>
      </c>
      <c r="R1" s="61" t="s">
        <v>63</v>
      </c>
      <c r="S1" s="61" t="s">
        <v>64</v>
      </c>
      <c r="T1" s="61" t="s">
        <v>65</v>
      </c>
      <c r="U1" s="61" t="s">
        <v>66</v>
      </c>
      <c r="V1" s="61" t="s">
        <v>67</v>
      </c>
      <c r="W1" s="61" t="s">
        <v>68</v>
      </c>
      <c r="X1" s="64" t="s">
        <v>69</v>
      </c>
      <c r="Y1" s="64" t="s">
        <v>70</v>
      </c>
      <c r="Z1" s="61" t="s">
        <v>71</v>
      </c>
      <c r="AA1" s="61" t="s">
        <v>72</v>
      </c>
      <c r="AB1" s="61" t="s">
        <v>73</v>
      </c>
      <c r="AC1" s="61" t="s">
        <v>74</v>
      </c>
      <c r="AD1" s="61" t="s">
        <v>75</v>
      </c>
      <c r="AE1" s="61" t="s">
        <v>76</v>
      </c>
    </row>
    <row r="2" spans="1:31" s="66" customFormat="1" ht="13.15">
      <c r="A2" s="49" t="s">
        <v>77</v>
      </c>
      <c r="B2" s="50" t="str">
        <f>VLOOKUP(A2,'CENTRO DE COSTOS'!A:D,4,FALSE)</f>
        <v>DIEGO FERNANDO HENAO CARDONA</v>
      </c>
      <c r="C2" s="50" t="str">
        <f>VLOOKUP(A2,'CENTRO DE COSTOS'!A:C,2,FALSE)</f>
        <v>0004-0003</v>
      </c>
      <c r="D2" s="79">
        <v>52110</v>
      </c>
      <c r="E2" s="79" t="s">
        <v>78</v>
      </c>
      <c r="F2" s="80" t="s">
        <v>79</v>
      </c>
      <c r="G2" s="80">
        <v>45805.550694444442</v>
      </c>
      <c r="H2" s="80">
        <v>45810.611111111109</v>
      </c>
      <c r="I2" s="49" t="s">
        <v>80</v>
      </c>
      <c r="J2" s="49" t="s">
        <v>81</v>
      </c>
      <c r="K2" s="49" t="s">
        <v>82</v>
      </c>
      <c r="L2" s="49">
        <v>44480</v>
      </c>
      <c r="M2" s="79" t="s">
        <v>83</v>
      </c>
      <c r="N2" s="79" t="s">
        <v>84</v>
      </c>
      <c r="O2" s="79" t="s">
        <v>84</v>
      </c>
      <c r="P2" s="79" t="s">
        <v>85</v>
      </c>
      <c r="Q2" s="49" t="s">
        <v>86</v>
      </c>
      <c r="R2" s="49" t="s">
        <v>87</v>
      </c>
      <c r="S2" s="79" t="s">
        <v>88</v>
      </c>
      <c r="T2" s="79" t="s">
        <v>89</v>
      </c>
      <c r="U2" s="49" t="s">
        <v>90</v>
      </c>
      <c r="V2" s="79" t="s">
        <v>91</v>
      </c>
      <c r="W2" s="79">
        <v>0</v>
      </c>
      <c r="X2" s="81" t="s">
        <v>92</v>
      </c>
      <c r="Y2" s="60" t="str">
        <f>VLOOKUP(D2,TIPOLOGIAS!A:F,5,0)</f>
        <v>TERRESTRE</v>
      </c>
      <c r="Z2" s="79" t="s">
        <v>93</v>
      </c>
      <c r="AA2" s="82">
        <v>0</v>
      </c>
      <c r="AB2" s="79">
        <v>0</v>
      </c>
      <c r="AC2" s="79">
        <v>0</v>
      </c>
      <c r="AD2" s="51">
        <f>IF(AND(Z2="SOPORTE_TELEFÓNICO",OR(T2="SIN CONTACTO CON EL CB",T2="NÚMEROS DE CONTACTO ERRADOS")),0,IF(Z2="SOPORTE_TELEFÓNICO",'BASE DE LIQUIDACION 2025'!$B$9,IF(X2="TIPO I",'BASE DE LIQUIDACION 2025'!$C$3,IF(X2="TIPO II",'BASE DE LIQUIDACION 2025'!$C$4,IF(X2="TIPO III",'BASE DE LIQUIDACION 2025'!$C$5,'BASE DE LIQUIDACION 2025'!$C$6)))))</f>
        <v>37904.612000000001</v>
      </c>
      <c r="AE2" s="51">
        <f>IF(Z2="SOPORTE_TELEFÓNICO",AD2,CIERRES!AC2*CIERRES!AD2)</f>
        <v>37904.612000000001</v>
      </c>
    </row>
    <row r="3" spans="1:31" s="66" customFormat="1" ht="13.15">
      <c r="A3" s="49" t="s">
        <v>77</v>
      </c>
      <c r="B3" s="50" t="str">
        <f>VLOOKUP(A3,'CENTRO DE COSTOS'!A:D,4,FALSE)</f>
        <v>DIEGO FERNANDO HENAO CARDONA</v>
      </c>
      <c r="C3" s="50" t="str">
        <f>VLOOKUP(A3,'CENTRO DE COSTOS'!A:C,2,FALSE)</f>
        <v>0004-0003</v>
      </c>
      <c r="D3" s="79">
        <v>52110</v>
      </c>
      <c r="E3" s="79" t="s">
        <v>94</v>
      </c>
      <c r="F3" s="80" t="s">
        <v>95</v>
      </c>
      <c r="G3" s="80">
        <v>45806.48541666667</v>
      </c>
      <c r="H3" s="80">
        <v>45810.618750000001</v>
      </c>
      <c r="I3" s="49" t="s">
        <v>80</v>
      </c>
      <c r="J3" s="49" t="s">
        <v>81</v>
      </c>
      <c r="K3" s="49" t="s">
        <v>96</v>
      </c>
      <c r="L3" s="49">
        <v>78244</v>
      </c>
      <c r="M3" s="79" t="s">
        <v>83</v>
      </c>
      <c r="N3" s="79" t="s">
        <v>84</v>
      </c>
      <c r="O3" s="79" t="s">
        <v>84</v>
      </c>
      <c r="P3" s="79" t="s">
        <v>85</v>
      </c>
      <c r="Q3" s="49" t="s">
        <v>97</v>
      </c>
      <c r="R3" s="49" t="s">
        <v>97</v>
      </c>
      <c r="S3" s="79" t="s">
        <v>88</v>
      </c>
      <c r="T3" s="79" t="s">
        <v>89</v>
      </c>
      <c r="U3" s="49" t="s">
        <v>98</v>
      </c>
      <c r="V3" s="79" t="s">
        <v>91</v>
      </c>
      <c r="W3" s="79">
        <v>0</v>
      </c>
      <c r="X3" s="81" t="s">
        <v>92</v>
      </c>
      <c r="Y3" s="60" t="str">
        <f>VLOOKUP(D3,TIPOLOGIAS!A:F,5,0)</f>
        <v>TERRESTRE</v>
      </c>
      <c r="Z3" s="79" t="s">
        <v>93</v>
      </c>
      <c r="AA3" s="82" t="s">
        <v>99</v>
      </c>
      <c r="AB3" s="79">
        <v>0</v>
      </c>
      <c r="AC3" s="79">
        <v>0</v>
      </c>
      <c r="AD3" s="51">
        <f>IF(AND(Z3="SOPORTE_TELEFÓNICO",OR(T3="SIN CONTACTO CON EL CB",T3="NÚMEROS DE CONTACTO ERRADOS")),0,IF(Z3="SOPORTE_TELEFÓNICO",'BASE DE LIQUIDACION 2025'!$B$9,IF(X3="TIPO I",'BASE DE LIQUIDACION 2025'!$C$3,IF(X3="TIPO II",'BASE DE LIQUIDACION 2025'!$C$4,IF(X3="TIPO III",'BASE DE LIQUIDACION 2025'!$C$5,'BASE DE LIQUIDACION 2025'!$C$6)))))</f>
        <v>37904.612000000001</v>
      </c>
      <c r="AE3" s="51">
        <f>IF(Z3="SOPORTE_TELEFÓNICO",AD3,CIERRES!AC3*CIERRES!AD3)</f>
        <v>37904.612000000001</v>
      </c>
    </row>
    <row r="4" spans="1:31" s="66" customFormat="1" ht="13.15">
      <c r="A4" s="49" t="s">
        <v>100</v>
      </c>
      <c r="B4" s="50" t="str">
        <f>VLOOKUP(A4,'CENTRO DE COSTOS'!A:D,4,FALSE)</f>
        <v>KEVIN ALEXIS CORZO BUSTOS</v>
      </c>
      <c r="C4" s="50" t="str">
        <f>VLOOKUP(A4,'CENTRO DE COSTOS'!A:C,2,FALSE)</f>
        <v>0004-0007</v>
      </c>
      <c r="D4" s="79">
        <v>18460</v>
      </c>
      <c r="E4" s="79" t="s">
        <v>101</v>
      </c>
      <c r="F4" s="80" t="s">
        <v>102</v>
      </c>
      <c r="G4" s="80">
        <v>45803.53402777778</v>
      </c>
      <c r="H4" s="80">
        <v>45811.345381944448</v>
      </c>
      <c r="I4" s="49" t="s">
        <v>103</v>
      </c>
      <c r="J4" s="49" t="s">
        <v>104</v>
      </c>
      <c r="K4" s="49" t="s">
        <v>105</v>
      </c>
      <c r="L4" s="49">
        <v>57007</v>
      </c>
      <c r="M4" s="79" t="s">
        <v>83</v>
      </c>
      <c r="N4" s="79" t="s">
        <v>84</v>
      </c>
      <c r="O4" s="79" t="s">
        <v>84</v>
      </c>
      <c r="P4" s="79" t="s">
        <v>85</v>
      </c>
      <c r="Q4" s="49" t="s">
        <v>86</v>
      </c>
      <c r="R4" s="49" t="s">
        <v>87</v>
      </c>
      <c r="S4" s="79" t="s">
        <v>88</v>
      </c>
      <c r="T4" s="79" t="s">
        <v>89</v>
      </c>
      <c r="U4" s="49" t="s">
        <v>106</v>
      </c>
      <c r="V4" s="79" t="s">
        <v>107</v>
      </c>
      <c r="W4" s="79" t="s">
        <v>108</v>
      </c>
      <c r="X4" s="81" t="s">
        <v>109</v>
      </c>
      <c r="Y4" s="60" t="str">
        <f>VLOOKUP(D4,TIPOLOGIAS!A:F,5,0)</f>
        <v>TERRESTRE</v>
      </c>
      <c r="Z4" s="79" t="s">
        <v>110</v>
      </c>
      <c r="AA4" s="82">
        <v>0</v>
      </c>
      <c r="AB4" s="79">
        <v>0</v>
      </c>
      <c r="AC4" s="79">
        <v>1</v>
      </c>
      <c r="AD4" s="51">
        <f>IF(AND(Z4="SOPORTE_TELEFÓNICO",OR(T4="SIN CONTACTO CON EL CB",T4="NÚMEROS DE CONTACTO ERRADOS")),0,IF(Z4="SOPORTE_TELEFÓNICO",'BASE DE LIQUIDACION 2025'!$B$9,IF(X4="TIPO I",'BASE DE LIQUIDACION 2025'!$C$3,IF(X4="TIPO II",'BASE DE LIQUIDACION 2025'!$C$4,IF(X4="TIPO III",'BASE DE LIQUIDACION 2025'!$C$5,'BASE DE LIQUIDACION 2025'!$C$6)))))</f>
        <v>464809.36800000002</v>
      </c>
      <c r="AE4" s="51">
        <f>IF(Z4="SOPORTE_TELEFÓNICO",AD4,CIERRES!AC4*CIERRES!AD4)</f>
        <v>464809.36800000002</v>
      </c>
    </row>
    <row r="5" spans="1:31" s="66" customFormat="1" ht="13.15">
      <c r="A5" s="49" t="s">
        <v>111</v>
      </c>
      <c r="B5" s="50" t="str">
        <f>VLOOKUP(A5,'CENTRO DE COSTOS'!A:D,4,FALSE)</f>
        <v>WILLIAM ASDRUBAL ROZO ROZO</v>
      </c>
      <c r="C5" s="50" t="str">
        <f>VLOOKUP(A5,'CENTRO DE COSTOS'!A:C,2,FALSE)</f>
        <v>0004-0004</v>
      </c>
      <c r="D5" s="79">
        <v>11001</v>
      </c>
      <c r="E5" s="79" t="s">
        <v>112</v>
      </c>
      <c r="F5" s="80" t="s">
        <v>113</v>
      </c>
      <c r="G5" s="80">
        <v>45807.65347222222</v>
      </c>
      <c r="H5" s="80">
        <v>45811.63553240741</v>
      </c>
      <c r="I5" s="49" t="s">
        <v>114</v>
      </c>
      <c r="J5" s="49" t="s">
        <v>111</v>
      </c>
      <c r="K5" s="49" t="s">
        <v>115</v>
      </c>
      <c r="L5" s="49">
        <v>13548</v>
      </c>
      <c r="M5" s="79" t="s">
        <v>83</v>
      </c>
      <c r="N5" s="79" t="s">
        <v>84</v>
      </c>
      <c r="O5" s="79" t="s">
        <v>116</v>
      </c>
      <c r="P5" s="79" t="s">
        <v>85</v>
      </c>
      <c r="Q5" s="49" t="s">
        <v>97</v>
      </c>
      <c r="R5" s="49" t="s">
        <v>97</v>
      </c>
      <c r="S5" s="79" t="s">
        <v>88</v>
      </c>
      <c r="T5" s="79" t="s">
        <v>89</v>
      </c>
      <c r="U5" s="49" t="s">
        <v>117</v>
      </c>
      <c r="V5" s="79" t="s">
        <v>118</v>
      </c>
      <c r="W5" s="79">
        <v>0</v>
      </c>
      <c r="X5" s="81" t="s">
        <v>119</v>
      </c>
      <c r="Y5" s="60" t="str">
        <f>VLOOKUP(D5,TIPOLOGIAS!A:F,5,0)</f>
        <v>TERRESTRE</v>
      </c>
      <c r="Z5" s="79" t="s">
        <v>110</v>
      </c>
      <c r="AA5" s="82">
        <v>0</v>
      </c>
      <c r="AB5" s="79">
        <v>0</v>
      </c>
      <c r="AC5" s="79">
        <v>1</v>
      </c>
      <c r="AD5" s="51">
        <f>IF(AND(Z5="SOPORTE_TELEFÓNICO",OR(T5="SIN CONTACTO CON EL CB",T5="NÚMEROS DE CONTACTO ERRADOS")),0,IF(Z5="SOPORTE_TELEFÓNICO",'BASE DE LIQUIDACION 2025'!$B$9,IF(X5="TIPO I",'BASE DE LIQUIDACION 2025'!$C$3,IF(X5="TIPO II",'BASE DE LIQUIDACION 2025'!$C$4,IF(X5="TIPO III",'BASE DE LIQUIDACION 2025'!$C$5,'BASE DE LIQUIDACION 2025'!$C$6)))))</f>
        <v>44559.563999999998</v>
      </c>
      <c r="AE5" s="51">
        <f>IF(Z5="SOPORTE_TELEFÓNICO",AD5,CIERRES!AC5*CIERRES!AD5)</f>
        <v>44559.563999999998</v>
      </c>
    </row>
    <row r="6" spans="1:31" s="66" customFormat="1" ht="13.15">
      <c r="A6" s="49" t="s">
        <v>100</v>
      </c>
      <c r="B6" s="50" t="str">
        <f>VLOOKUP(A6,'CENTRO DE COSTOS'!A:D,4,FALSE)</f>
        <v>KEVIN ALEXIS CORZO BUSTOS</v>
      </c>
      <c r="C6" s="50" t="str">
        <f>VLOOKUP(A6,'CENTRO DE COSTOS'!A:C,2,FALSE)</f>
        <v>0004-0007</v>
      </c>
      <c r="D6" s="79">
        <v>18150</v>
      </c>
      <c r="E6" s="79" t="s">
        <v>120</v>
      </c>
      <c r="F6" s="80" t="s">
        <v>121</v>
      </c>
      <c r="G6" s="80">
        <v>45806.48541666667</v>
      </c>
      <c r="H6" s="80">
        <v>45811.684618055559</v>
      </c>
      <c r="I6" s="49" t="s">
        <v>103</v>
      </c>
      <c r="J6" s="49" t="s">
        <v>122</v>
      </c>
      <c r="K6" s="49" t="s">
        <v>123</v>
      </c>
      <c r="L6" s="49">
        <v>76062</v>
      </c>
      <c r="M6" s="79" t="s">
        <v>83</v>
      </c>
      <c r="N6" s="79" t="s">
        <v>84</v>
      </c>
      <c r="O6" s="79" t="s">
        <v>84</v>
      </c>
      <c r="P6" s="79" t="s">
        <v>85</v>
      </c>
      <c r="Q6" s="49" t="s">
        <v>97</v>
      </c>
      <c r="R6" s="49" t="s">
        <v>97</v>
      </c>
      <c r="S6" s="79" t="s">
        <v>88</v>
      </c>
      <c r="T6" s="79" t="s">
        <v>89</v>
      </c>
      <c r="U6" s="49" t="s">
        <v>124</v>
      </c>
      <c r="V6" s="79" t="s">
        <v>107</v>
      </c>
      <c r="W6" s="79" t="s">
        <v>125</v>
      </c>
      <c r="X6" s="81" t="s">
        <v>126</v>
      </c>
      <c r="Y6" s="60" t="str">
        <f>VLOOKUP(D6,TIPOLOGIAS!A:F,5,0)</f>
        <v>TERRESTRE</v>
      </c>
      <c r="Z6" s="79" t="s">
        <v>110</v>
      </c>
      <c r="AA6" s="82">
        <v>0</v>
      </c>
      <c r="AB6" s="79">
        <v>0</v>
      </c>
      <c r="AC6" s="79">
        <v>1</v>
      </c>
      <c r="AD6" s="51">
        <f>IF(AND(Z6="SOPORTE_TELEFÓNICO",OR(T6="SIN CONTACTO CON EL CB",T6="NÚMEROS DE CONTACTO ERRADOS")),0,IF(Z6="SOPORTE_TELEFÓNICO",'BASE DE LIQUIDACION 2025'!$B$9,IF(X6="TIPO I",'BASE DE LIQUIDACION 2025'!$C$3,IF(X6="TIPO II",'BASE DE LIQUIDACION 2025'!$C$4,IF(X6="TIPO III",'BASE DE LIQUIDACION 2025'!$C$5,'BASE DE LIQUIDACION 2025'!$C$6)))))</f>
        <v>464809.36800000002</v>
      </c>
      <c r="AE6" s="51">
        <f>IF(Z6="SOPORTE_TELEFÓNICO",AD6,CIERRES!AC6*CIERRES!AD6)</f>
        <v>464809.36800000002</v>
      </c>
    </row>
    <row r="7" spans="1:31" s="66" customFormat="1" ht="13.15">
      <c r="A7" s="49" t="s">
        <v>77</v>
      </c>
      <c r="B7" s="50" t="str">
        <f>VLOOKUP(A7,'CENTRO DE COSTOS'!A:D,4,FALSE)</f>
        <v>DIEGO FERNANDO HENAO CARDONA</v>
      </c>
      <c r="C7" s="50" t="str">
        <f>VLOOKUP(A7,'CENTRO DE COSTOS'!A:C,2,FALSE)</f>
        <v>0004-0003</v>
      </c>
      <c r="D7" s="79">
        <v>52079</v>
      </c>
      <c r="E7" s="79" t="s">
        <v>127</v>
      </c>
      <c r="F7" s="80" t="s">
        <v>128</v>
      </c>
      <c r="G7" s="80">
        <v>45806.48541666667</v>
      </c>
      <c r="H7" s="80">
        <v>45812.354861111111</v>
      </c>
      <c r="I7" s="49" t="s">
        <v>80</v>
      </c>
      <c r="J7" s="49" t="s">
        <v>129</v>
      </c>
      <c r="K7" s="49" t="s">
        <v>130</v>
      </c>
      <c r="L7" s="49">
        <v>78063</v>
      </c>
      <c r="M7" s="79" t="s">
        <v>83</v>
      </c>
      <c r="N7" s="79" t="s">
        <v>84</v>
      </c>
      <c r="O7" s="79" t="s">
        <v>84</v>
      </c>
      <c r="P7" s="79" t="s">
        <v>85</v>
      </c>
      <c r="Q7" s="49" t="s">
        <v>97</v>
      </c>
      <c r="R7" s="49" t="s">
        <v>97</v>
      </c>
      <c r="S7" s="79" t="s">
        <v>88</v>
      </c>
      <c r="T7" s="79" t="s">
        <v>89</v>
      </c>
      <c r="U7" s="49" t="s">
        <v>131</v>
      </c>
      <c r="V7" s="79" t="s">
        <v>132</v>
      </c>
      <c r="W7" s="79">
        <v>0</v>
      </c>
      <c r="X7" s="81" t="s">
        <v>109</v>
      </c>
      <c r="Y7" s="60" t="str">
        <f>VLOOKUP(D7,TIPOLOGIAS!A:F,5,0)</f>
        <v>TERRESTRE</v>
      </c>
      <c r="Z7" s="79" t="s">
        <v>93</v>
      </c>
      <c r="AA7" s="82">
        <v>0</v>
      </c>
      <c r="AB7" s="79">
        <v>0</v>
      </c>
      <c r="AC7" s="79">
        <v>0</v>
      </c>
      <c r="AD7" s="51">
        <f>IF(AND(Z7="SOPORTE_TELEFÓNICO",OR(T7="SIN CONTACTO CON EL CB",T7="NÚMEROS DE CONTACTO ERRADOS")),0,IF(Z7="SOPORTE_TELEFÓNICO",'BASE DE LIQUIDACION 2025'!$B$9,IF(X7="TIPO I",'BASE DE LIQUIDACION 2025'!$C$3,IF(X7="TIPO II",'BASE DE LIQUIDACION 2025'!$C$4,IF(X7="TIPO III",'BASE DE LIQUIDACION 2025'!$C$5,'BASE DE LIQUIDACION 2025'!$C$6)))))</f>
        <v>37904.612000000001</v>
      </c>
      <c r="AE7" s="51">
        <f>IF(Z7="SOPORTE_TELEFÓNICO",AD7,CIERRES!AC7*CIERRES!AD7)</f>
        <v>37904.612000000001</v>
      </c>
    </row>
    <row r="8" spans="1:31" s="66" customFormat="1" ht="13.15">
      <c r="A8" s="49" t="s">
        <v>133</v>
      </c>
      <c r="B8" s="50" t="str">
        <f>VLOOKUP(A8,'CENTRO DE COSTOS'!A:D,4,FALSE)</f>
        <v>JOSE MAURICIO HERNANDEZ ROJAS</v>
      </c>
      <c r="C8" s="50" t="str">
        <f>VLOOKUP(A8,'CENTRO DE COSTOS'!A:C,2,FALSE)</f>
        <v>0004-0001</v>
      </c>
      <c r="D8" s="79">
        <v>8001</v>
      </c>
      <c r="E8" s="79" t="s">
        <v>134</v>
      </c>
      <c r="F8" s="80" t="s">
        <v>135</v>
      </c>
      <c r="G8" s="80">
        <v>45806.668749999997</v>
      </c>
      <c r="H8" s="80">
        <v>45812.429861111108</v>
      </c>
      <c r="I8" s="49" t="s">
        <v>136</v>
      </c>
      <c r="J8" s="49" t="s">
        <v>133</v>
      </c>
      <c r="K8" s="49" t="s">
        <v>137</v>
      </c>
      <c r="L8" s="49">
        <v>75043</v>
      </c>
      <c r="M8" s="79" t="s">
        <v>83</v>
      </c>
      <c r="N8" s="79" t="s">
        <v>84</v>
      </c>
      <c r="O8" s="79" t="s">
        <v>84</v>
      </c>
      <c r="P8" s="79" t="s">
        <v>85</v>
      </c>
      <c r="Q8" s="49" t="s">
        <v>97</v>
      </c>
      <c r="R8" s="49" t="s">
        <v>97</v>
      </c>
      <c r="S8" s="79" t="s">
        <v>138</v>
      </c>
      <c r="T8" s="79" t="s">
        <v>139</v>
      </c>
      <c r="U8" s="49" t="s">
        <v>140</v>
      </c>
      <c r="V8" s="79" t="s">
        <v>141</v>
      </c>
      <c r="W8" s="79">
        <v>0</v>
      </c>
      <c r="X8" s="81" t="s">
        <v>119</v>
      </c>
      <c r="Y8" s="60" t="str">
        <f>VLOOKUP(D8,TIPOLOGIAS!A:F,5,0)</f>
        <v>TERRESTRE</v>
      </c>
      <c r="Z8" s="79" t="s">
        <v>110</v>
      </c>
      <c r="AA8" s="82">
        <v>0</v>
      </c>
      <c r="AB8" s="79">
        <v>0</v>
      </c>
      <c r="AC8" s="79">
        <v>1</v>
      </c>
      <c r="AD8" s="51">
        <f>IF(AND(Z8="SOPORTE_TELEFÓNICO",OR(T8="SIN CONTACTO CON EL CB",T8="NÚMEROS DE CONTACTO ERRADOS")),0,IF(Z8="SOPORTE_TELEFÓNICO",'BASE DE LIQUIDACION 2025'!$B$9,IF(X8="TIPO I",'BASE DE LIQUIDACION 2025'!$C$3,IF(X8="TIPO II",'BASE DE LIQUIDACION 2025'!$C$4,IF(X8="TIPO III",'BASE DE LIQUIDACION 2025'!$C$5,'BASE DE LIQUIDACION 2025'!$C$6)))))</f>
        <v>44559.563999999998</v>
      </c>
      <c r="AE8" s="51">
        <f>IF(Z8="SOPORTE_TELEFÓNICO",AD8,CIERRES!AC8*CIERRES!AD8)</f>
        <v>44559.563999999998</v>
      </c>
    </row>
    <row r="9" spans="1:31" s="66" customFormat="1" ht="13.15">
      <c r="A9" s="49" t="s">
        <v>142</v>
      </c>
      <c r="B9" s="50" t="str">
        <f>VLOOKUP(A9,'CENTRO DE COSTOS'!A:D,4,FALSE)</f>
        <v>MIGUEL JULIÁN HERNÁNDEZ GUARÍN</v>
      </c>
      <c r="C9" s="50" t="str">
        <f>VLOOKUP(A9,'CENTRO DE COSTOS'!A:C,2,FALSE)</f>
        <v>0004-0008</v>
      </c>
      <c r="D9" s="79">
        <v>68001</v>
      </c>
      <c r="E9" s="79" t="s">
        <v>143</v>
      </c>
      <c r="F9" s="80" t="s">
        <v>144</v>
      </c>
      <c r="G9" s="80">
        <v>45805.581944444442</v>
      </c>
      <c r="H9" s="80">
        <v>45812.600891203707</v>
      </c>
      <c r="I9" s="49" t="s">
        <v>145</v>
      </c>
      <c r="J9" s="49" t="s">
        <v>142</v>
      </c>
      <c r="K9" s="49" t="s">
        <v>146</v>
      </c>
      <c r="L9" s="49">
        <v>73231</v>
      </c>
      <c r="M9" s="79" t="s">
        <v>83</v>
      </c>
      <c r="N9" s="79" t="s">
        <v>84</v>
      </c>
      <c r="O9" s="79" t="s">
        <v>84</v>
      </c>
      <c r="P9" s="79" t="s">
        <v>85</v>
      </c>
      <c r="Q9" s="49" t="s">
        <v>97</v>
      </c>
      <c r="R9" s="49" t="s">
        <v>97</v>
      </c>
      <c r="S9" s="79" t="s">
        <v>88</v>
      </c>
      <c r="T9" s="79" t="s">
        <v>89</v>
      </c>
      <c r="U9" s="49" t="s">
        <v>147</v>
      </c>
      <c r="V9" s="79" t="s">
        <v>148</v>
      </c>
      <c r="W9" s="79">
        <v>0</v>
      </c>
      <c r="X9" s="81" t="s">
        <v>119</v>
      </c>
      <c r="Y9" s="60" t="str">
        <f>VLOOKUP(D9,TIPOLOGIAS!A:F,5,0)</f>
        <v>TERRESTRE</v>
      </c>
      <c r="Z9" s="79" t="s">
        <v>110</v>
      </c>
      <c r="AA9" s="82">
        <v>0</v>
      </c>
      <c r="AB9" s="79">
        <v>0</v>
      </c>
      <c r="AC9" s="79">
        <v>1</v>
      </c>
      <c r="AD9" s="51">
        <f>IF(AND(Z9="SOPORTE_TELEFÓNICO",OR(T9="SIN CONTACTO CON EL CB",T9="NÚMEROS DE CONTACTO ERRADOS")),0,IF(Z9="SOPORTE_TELEFÓNICO",'BASE DE LIQUIDACION 2025'!$B$9,IF(X9="TIPO I",'BASE DE LIQUIDACION 2025'!$C$3,IF(X9="TIPO II",'BASE DE LIQUIDACION 2025'!$C$4,IF(X9="TIPO III",'BASE DE LIQUIDACION 2025'!$C$5,'BASE DE LIQUIDACION 2025'!$C$6)))))</f>
        <v>44559.563999999998</v>
      </c>
      <c r="AE9" s="51">
        <f>IF(Z9="SOPORTE_TELEFÓNICO",AD9,CIERRES!AC9*CIERRES!AD9)</f>
        <v>44559.563999999998</v>
      </c>
    </row>
    <row r="10" spans="1:31" s="66" customFormat="1" ht="13.15">
      <c r="A10" s="49" t="s">
        <v>149</v>
      </c>
      <c r="B10" s="50" t="str">
        <f>VLOOKUP(A10,'CENTRO DE COSTOS'!A:D,4,FALSE)</f>
        <v>DIEGO FERNANDO HENAO CARDONA</v>
      </c>
      <c r="C10" s="50" t="str">
        <f>VLOOKUP(A10,'CENTRO DE COSTOS'!A:C,2,FALSE)</f>
        <v>0004-0002</v>
      </c>
      <c r="D10" s="79">
        <v>66400</v>
      </c>
      <c r="E10" s="79" t="s">
        <v>150</v>
      </c>
      <c r="F10" s="80" t="s">
        <v>151</v>
      </c>
      <c r="G10" s="80">
        <v>45806.48541666667</v>
      </c>
      <c r="H10" s="80">
        <v>45812.666145833333</v>
      </c>
      <c r="I10" s="49" t="s">
        <v>152</v>
      </c>
      <c r="J10" s="49" t="s">
        <v>153</v>
      </c>
      <c r="K10" s="49" t="s">
        <v>154</v>
      </c>
      <c r="L10" s="49">
        <v>71934</v>
      </c>
      <c r="M10" s="79" t="s">
        <v>83</v>
      </c>
      <c r="N10" s="79" t="s">
        <v>84</v>
      </c>
      <c r="O10" s="79" t="s">
        <v>84</v>
      </c>
      <c r="P10" s="79" t="s">
        <v>85</v>
      </c>
      <c r="Q10" s="49" t="s">
        <v>97</v>
      </c>
      <c r="R10" s="49" t="s">
        <v>97</v>
      </c>
      <c r="S10" s="79" t="s">
        <v>88</v>
      </c>
      <c r="T10" s="79" t="s">
        <v>89</v>
      </c>
      <c r="U10" s="49" t="s">
        <v>155</v>
      </c>
      <c r="V10" s="79" t="s">
        <v>156</v>
      </c>
      <c r="W10" s="79" t="s">
        <v>157</v>
      </c>
      <c r="X10" s="81" t="s">
        <v>119</v>
      </c>
      <c r="Y10" s="60" t="str">
        <f>VLOOKUP(D10,TIPOLOGIAS!A:F,5,0)</f>
        <v>TERRESTRE</v>
      </c>
      <c r="Z10" s="79" t="s">
        <v>110</v>
      </c>
      <c r="AA10" s="82">
        <v>0</v>
      </c>
      <c r="AB10" s="79">
        <v>0</v>
      </c>
      <c r="AC10" s="79">
        <v>1</v>
      </c>
      <c r="AD10" s="51">
        <f>IF(AND(Z10="SOPORTE_TELEFÓNICO",OR(T10="SIN CONTACTO CON EL CB",T10="NÚMEROS DE CONTACTO ERRADOS")),0,IF(Z10="SOPORTE_TELEFÓNICO",'BASE DE LIQUIDACION 2025'!$B$9,IF(X10="TIPO I",'BASE DE LIQUIDACION 2025'!$C$3,IF(X10="TIPO II",'BASE DE LIQUIDACION 2025'!$C$4,IF(X10="TIPO III",'BASE DE LIQUIDACION 2025'!$C$5,'BASE DE LIQUIDACION 2025'!$C$6)))))</f>
        <v>44559.563999999998</v>
      </c>
      <c r="AE10" s="51">
        <f>IF(Z10="SOPORTE_TELEFÓNICO",AD10,CIERRES!AC10*CIERRES!AD10)</f>
        <v>44559.563999999998</v>
      </c>
    </row>
    <row r="11" spans="1:31" s="66" customFormat="1" ht="13.15">
      <c r="A11" s="49" t="s">
        <v>158</v>
      </c>
      <c r="B11" s="50" t="str">
        <f>VLOOKUP(A11,'CENTRO DE COSTOS'!A:D,4,FALSE)</f>
        <v>KEVIN ALEXIS CORZO BUSTOS</v>
      </c>
      <c r="C11" s="50" t="str">
        <f>VLOOKUP(A11,'CENTRO DE COSTOS'!A:C,2,FALSE)</f>
        <v>0004-0007</v>
      </c>
      <c r="D11" s="79">
        <v>50001</v>
      </c>
      <c r="E11" s="79" t="s">
        <v>159</v>
      </c>
      <c r="F11" s="80" t="s">
        <v>160</v>
      </c>
      <c r="G11" s="80">
        <v>45806.48541666667</v>
      </c>
      <c r="H11" s="80">
        <v>45812.698425925933</v>
      </c>
      <c r="I11" s="49" t="s">
        <v>161</v>
      </c>
      <c r="J11" s="49" t="s">
        <v>158</v>
      </c>
      <c r="K11" s="49" t="s">
        <v>162</v>
      </c>
      <c r="L11" s="49">
        <v>69923</v>
      </c>
      <c r="M11" s="79" t="s">
        <v>83</v>
      </c>
      <c r="N11" s="79" t="s">
        <v>84</v>
      </c>
      <c r="O11" s="79" t="s">
        <v>116</v>
      </c>
      <c r="P11" s="79" t="s">
        <v>85</v>
      </c>
      <c r="Q11" s="49" t="s">
        <v>97</v>
      </c>
      <c r="R11" s="49" t="s">
        <v>97</v>
      </c>
      <c r="S11" s="79" t="s">
        <v>138</v>
      </c>
      <c r="T11" s="79" t="s">
        <v>139</v>
      </c>
      <c r="U11" s="49" t="s">
        <v>163</v>
      </c>
      <c r="V11" s="79" t="s">
        <v>164</v>
      </c>
      <c r="W11" s="79">
        <v>0</v>
      </c>
      <c r="X11" s="81" t="s">
        <v>119</v>
      </c>
      <c r="Y11" s="60" t="str">
        <f>VLOOKUP(D11,TIPOLOGIAS!A:F,5,0)</f>
        <v>TERRESTRE</v>
      </c>
      <c r="Z11" s="79" t="s">
        <v>110</v>
      </c>
      <c r="AA11" s="82">
        <v>0</v>
      </c>
      <c r="AB11" s="79">
        <v>0</v>
      </c>
      <c r="AC11" s="79">
        <v>1</v>
      </c>
      <c r="AD11" s="51">
        <f>IF(AND(Z11="SOPORTE_TELEFÓNICO",OR(T11="SIN CONTACTO CON EL CB",T11="NÚMEROS DE CONTACTO ERRADOS")),0,IF(Z11="SOPORTE_TELEFÓNICO",'BASE DE LIQUIDACION 2025'!$B$9,IF(X11="TIPO I",'BASE DE LIQUIDACION 2025'!$C$3,IF(X11="TIPO II",'BASE DE LIQUIDACION 2025'!$C$4,IF(X11="TIPO III",'BASE DE LIQUIDACION 2025'!$C$5,'BASE DE LIQUIDACION 2025'!$C$6)))))</f>
        <v>44559.563999999998</v>
      </c>
      <c r="AE11" s="51">
        <f>IF(Z11="SOPORTE_TELEFÓNICO",AD11,CIERRES!AC11*CIERRES!AD11)</f>
        <v>44559.563999999998</v>
      </c>
    </row>
    <row r="12" spans="1:31" s="66" customFormat="1" ht="13.15">
      <c r="A12" s="49" t="s">
        <v>165</v>
      </c>
      <c r="B12" s="50" t="str">
        <f>VLOOKUP(A12,'CENTRO DE COSTOS'!A:D,4,FALSE)</f>
        <v>JOSE MAURICIO HERNANDEZ ROJAS</v>
      </c>
      <c r="C12" s="50" t="str">
        <f>VLOOKUP(A12,'CENTRO DE COSTOS'!A:C,2,FALSE)</f>
        <v>0004-0001</v>
      </c>
      <c r="D12" s="79">
        <v>23001</v>
      </c>
      <c r="E12" s="79" t="s">
        <v>166</v>
      </c>
      <c r="F12" s="80" t="s">
        <v>167</v>
      </c>
      <c r="G12" s="80">
        <v>45806.48541666667</v>
      </c>
      <c r="H12" s="80">
        <v>45812.759583333333</v>
      </c>
      <c r="I12" s="49" t="s">
        <v>168</v>
      </c>
      <c r="J12" s="49" t="s">
        <v>165</v>
      </c>
      <c r="K12" s="49" t="s">
        <v>169</v>
      </c>
      <c r="L12" s="49">
        <v>74413</v>
      </c>
      <c r="M12" s="79" t="s">
        <v>83</v>
      </c>
      <c r="N12" s="79" t="s">
        <v>84</v>
      </c>
      <c r="O12" s="79" t="s">
        <v>84</v>
      </c>
      <c r="P12" s="79" t="s">
        <v>85</v>
      </c>
      <c r="Q12" s="49" t="s">
        <v>97</v>
      </c>
      <c r="R12" s="49" t="s">
        <v>97</v>
      </c>
      <c r="S12" s="79" t="s">
        <v>88</v>
      </c>
      <c r="T12" s="79" t="s">
        <v>89</v>
      </c>
      <c r="U12" s="49" t="s">
        <v>170</v>
      </c>
      <c r="V12" s="79" t="s">
        <v>171</v>
      </c>
      <c r="W12" s="79">
        <v>0</v>
      </c>
      <c r="X12" s="81" t="s">
        <v>119</v>
      </c>
      <c r="Y12" s="60" t="str">
        <f>VLOOKUP(D12,TIPOLOGIAS!A:F,5,0)</f>
        <v>TERRESTRE</v>
      </c>
      <c r="Z12" s="79" t="s">
        <v>110</v>
      </c>
      <c r="AA12" s="82">
        <v>0</v>
      </c>
      <c r="AB12" s="79">
        <v>0</v>
      </c>
      <c r="AC12" s="79">
        <v>1</v>
      </c>
      <c r="AD12" s="51">
        <f>IF(AND(Z12="SOPORTE_TELEFÓNICO",OR(T12="SIN CONTACTO CON EL CB",T12="NÚMEROS DE CONTACTO ERRADOS")),0,IF(Z12="SOPORTE_TELEFÓNICO",'BASE DE LIQUIDACION 2025'!$B$9,IF(X12="TIPO I",'BASE DE LIQUIDACION 2025'!$C$3,IF(X12="TIPO II",'BASE DE LIQUIDACION 2025'!$C$4,IF(X12="TIPO III",'BASE DE LIQUIDACION 2025'!$C$5,'BASE DE LIQUIDACION 2025'!$C$6)))))</f>
        <v>44559.563999999998</v>
      </c>
      <c r="AE12" s="51">
        <f>IF(Z12="SOPORTE_TELEFÓNICO",AD12,CIERRES!AC12*CIERRES!AD12)</f>
        <v>44559.563999999998</v>
      </c>
    </row>
    <row r="13" spans="1:31" s="66" customFormat="1" ht="13.15">
      <c r="A13" s="49" t="s">
        <v>172</v>
      </c>
      <c r="B13" s="50" t="str">
        <f>VLOOKUP(A13,'CENTRO DE COSTOS'!A:D,4,FALSE)</f>
        <v>DIEGO FERNANDO HENAO CARDONA</v>
      </c>
      <c r="C13" s="50" t="str">
        <f>VLOOKUP(A13,'CENTRO DE COSTOS'!A:C,2,FALSE)</f>
        <v>0004-0003</v>
      </c>
      <c r="D13" s="79">
        <v>19001</v>
      </c>
      <c r="E13" s="79" t="s">
        <v>173</v>
      </c>
      <c r="F13" s="80" t="s">
        <v>174</v>
      </c>
      <c r="G13" s="80">
        <v>45806.48541666667</v>
      </c>
      <c r="H13" s="80">
        <v>45813.635509259257</v>
      </c>
      <c r="I13" s="49" t="s">
        <v>175</v>
      </c>
      <c r="J13" s="49" t="s">
        <v>176</v>
      </c>
      <c r="K13" s="49" t="s">
        <v>177</v>
      </c>
      <c r="L13" s="49">
        <v>76647</v>
      </c>
      <c r="M13" s="79" t="s">
        <v>83</v>
      </c>
      <c r="N13" s="79" t="s">
        <v>84</v>
      </c>
      <c r="O13" s="79" t="s">
        <v>84</v>
      </c>
      <c r="P13" s="79" t="s">
        <v>85</v>
      </c>
      <c r="Q13" s="49" t="s">
        <v>97</v>
      </c>
      <c r="R13" s="49" t="s">
        <v>97</v>
      </c>
      <c r="S13" s="79" t="s">
        <v>138</v>
      </c>
      <c r="T13" s="79" t="s">
        <v>139</v>
      </c>
      <c r="U13" s="49" t="s">
        <v>178</v>
      </c>
      <c r="V13" s="79" t="s">
        <v>179</v>
      </c>
      <c r="W13" s="79" t="s">
        <v>180</v>
      </c>
      <c r="X13" s="81" t="s">
        <v>181</v>
      </c>
      <c r="Y13" s="60" t="str">
        <f>VLOOKUP(D13,TIPOLOGIAS!A:F,5,0)</f>
        <v>TERRESTRE</v>
      </c>
      <c r="Z13" s="79" t="s">
        <v>110</v>
      </c>
      <c r="AA13" s="82">
        <v>0</v>
      </c>
      <c r="AB13" s="79">
        <v>0</v>
      </c>
      <c r="AC13" s="79">
        <v>1</v>
      </c>
      <c r="AD13" s="51">
        <f>IF(AND(Z13="SOPORTE_TELEFÓNICO",OR(T13="SIN CONTACTO CON EL CB",T13="NÚMEROS DE CONTACTO ERRADOS")),0,IF(Z13="SOPORTE_TELEFÓNICO",'BASE DE LIQUIDACION 2025'!$B$9,IF(X13="TIPO I",'BASE DE LIQUIDACION 2025'!$C$3,IF(X13="TIPO II",'BASE DE LIQUIDACION 2025'!$C$4,IF(X13="TIPO III",'BASE DE LIQUIDACION 2025'!$C$5,'BASE DE LIQUIDACION 2025'!$C$6)))))</f>
        <v>222904.07200000001</v>
      </c>
      <c r="AE13" s="51">
        <f>IF(Z13="SOPORTE_TELEFÓNICO",AD13,CIERRES!AC13*CIERRES!AD13)</f>
        <v>222904.07200000001</v>
      </c>
    </row>
    <row r="14" spans="1:31" s="66" customFormat="1" ht="13.15">
      <c r="A14" s="49" t="s">
        <v>182</v>
      </c>
      <c r="B14" s="50" t="str">
        <f>VLOOKUP(A14,'CENTRO DE COSTOS'!A:D,4,FALSE)</f>
        <v>MIGUEL JULIÁN HERNÁNDEZ GUARÍN</v>
      </c>
      <c r="C14" s="50" t="str">
        <f>VLOOKUP(A14,'CENTRO DE COSTOS'!A:C,2,FALSE)</f>
        <v>0004-0008</v>
      </c>
      <c r="D14" s="79">
        <v>15759</v>
      </c>
      <c r="E14" s="79" t="s">
        <v>183</v>
      </c>
      <c r="F14" s="80" t="s">
        <v>184</v>
      </c>
      <c r="G14" s="80">
        <v>45813.673611111109</v>
      </c>
      <c r="H14" s="80">
        <v>45814.520833333336</v>
      </c>
      <c r="I14" s="49" t="s">
        <v>185</v>
      </c>
      <c r="J14" s="49" t="s">
        <v>186</v>
      </c>
      <c r="K14" s="49" t="s">
        <v>187</v>
      </c>
      <c r="L14" s="49">
        <v>25666</v>
      </c>
      <c r="M14" s="79" t="s">
        <v>83</v>
      </c>
      <c r="N14" s="79" t="s">
        <v>84</v>
      </c>
      <c r="O14" s="79" t="s">
        <v>84</v>
      </c>
      <c r="P14" s="79" t="s">
        <v>85</v>
      </c>
      <c r="Q14" s="49" t="s">
        <v>97</v>
      </c>
      <c r="R14" s="49" t="s">
        <v>97</v>
      </c>
      <c r="S14" s="79" t="s">
        <v>188</v>
      </c>
      <c r="T14" s="79" t="s">
        <v>189</v>
      </c>
      <c r="U14" s="49" t="s">
        <v>190</v>
      </c>
      <c r="V14" s="79" t="s">
        <v>191</v>
      </c>
      <c r="W14" s="79">
        <v>0</v>
      </c>
      <c r="X14" s="81" t="s">
        <v>92</v>
      </c>
      <c r="Y14" s="60" t="str">
        <f>VLOOKUP(D14,TIPOLOGIAS!A:F,5,0)</f>
        <v>TERRESTRE</v>
      </c>
      <c r="Z14" s="79" t="s">
        <v>93</v>
      </c>
      <c r="AA14" s="82">
        <v>0</v>
      </c>
      <c r="AB14" s="79">
        <v>0</v>
      </c>
      <c r="AC14" s="79">
        <v>0</v>
      </c>
      <c r="AD14" s="51">
        <f>IF(AND(Z14="SOPORTE_TELEFÓNICO",OR(T14="SIN CONTACTO CON EL CB",T14="NÚMEROS DE CONTACTO ERRADOS")),0,IF(Z14="SOPORTE_TELEFÓNICO",'BASE DE LIQUIDACION 2025'!$B$9,IF(X14="TIPO I",'BASE DE LIQUIDACION 2025'!$C$3,IF(X14="TIPO II",'BASE DE LIQUIDACION 2025'!$C$4,IF(X14="TIPO III",'BASE DE LIQUIDACION 2025'!$C$5,'BASE DE LIQUIDACION 2025'!$C$6)))))</f>
        <v>37904.612000000001</v>
      </c>
      <c r="AE14" s="51">
        <f>IF(Z14="SOPORTE_TELEFÓNICO",AD14,CIERRES!AC14*CIERRES!AD14)</f>
        <v>37904.612000000001</v>
      </c>
    </row>
    <row r="15" spans="1:31" s="66" customFormat="1" ht="13.15">
      <c r="A15" s="49" t="s">
        <v>111</v>
      </c>
      <c r="B15" s="50" t="str">
        <f>VLOOKUP(A15,'CENTRO DE COSTOS'!A:D,4,FALSE)</f>
        <v>WILLIAM ASDRUBAL ROZO ROZO</v>
      </c>
      <c r="C15" s="50" t="str">
        <f>VLOOKUP(A15,'CENTRO DE COSTOS'!A:C,2,FALSE)</f>
        <v>0004-0004</v>
      </c>
      <c r="D15" s="79">
        <v>11001</v>
      </c>
      <c r="E15" s="79" t="s">
        <v>192</v>
      </c>
      <c r="F15" s="80" t="s">
        <v>193</v>
      </c>
      <c r="G15" s="80">
        <v>45813.673611111109</v>
      </c>
      <c r="H15" s="80">
        <v>45814.56958333333</v>
      </c>
      <c r="I15" s="49" t="s">
        <v>114</v>
      </c>
      <c r="J15" s="49" t="s">
        <v>111</v>
      </c>
      <c r="K15" s="49" t="s">
        <v>194</v>
      </c>
      <c r="L15" s="49">
        <v>66835</v>
      </c>
      <c r="M15" s="79" t="s">
        <v>83</v>
      </c>
      <c r="N15" s="79" t="s">
        <v>84</v>
      </c>
      <c r="O15" s="79" t="s">
        <v>84</v>
      </c>
      <c r="P15" s="79" t="s">
        <v>85</v>
      </c>
      <c r="Q15" s="49" t="s">
        <v>97</v>
      </c>
      <c r="R15" s="49" t="s">
        <v>97</v>
      </c>
      <c r="S15" s="79" t="s">
        <v>138</v>
      </c>
      <c r="T15" s="79" t="s">
        <v>139</v>
      </c>
      <c r="U15" s="49" t="s">
        <v>195</v>
      </c>
      <c r="V15" s="79" t="s">
        <v>196</v>
      </c>
      <c r="W15" s="79">
        <v>0</v>
      </c>
      <c r="X15" s="81" t="s">
        <v>119</v>
      </c>
      <c r="Y15" s="60" t="str">
        <f>VLOOKUP(D15,TIPOLOGIAS!A:F,5,0)</f>
        <v>TERRESTRE</v>
      </c>
      <c r="Z15" s="79" t="s">
        <v>110</v>
      </c>
      <c r="AA15" s="82">
        <v>0</v>
      </c>
      <c r="AB15" s="79">
        <v>0</v>
      </c>
      <c r="AC15" s="79">
        <v>1</v>
      </c>
      <c r="AD15" s="51">
        <f>IF(AND(Z15="SOPORTE_TELEFÓNICO",OR(T15="SIN CONTACTO CON EL CB",T15="NÚMEROS DE CONTACTO ERRADOS")),0,IF(Z15="SOPORTE_TELEFÓNICO",'BASE DE LIQUIDACION 2025'!$B$9,IF(X15="TIPO I",'BASE DE LIQUIDACION 2025'!$C$3,IF(X15="TIPO II",'BASE DE LIQUIDACION 2025'!$C$4,IF(X15="TIPO III",'BASE DE LIQUIDACION 2025'!$C$5,'BASE DE LIQUIDACION 2025'!$C$6)))))</f>
        <v>44559.563999999998</v>
      </c>
      <c r="AE15" s="51">
        <f>IF(Z15="SOPORTE_TELEFÓNICO",AD15,CIERRES!AC15*CIERRES!AD15)</f>
        <v>44559.563999999998</v>
      </c>
    </row>
    <row r="16" spans="1:31" s="66" customFormat="1" ht="13.15">
      <c r="A16" s="49" t="s">
        <v>165</v>
      </c>
      <c r="B16" s="50" t="str">
        <f>VLOOKUP(A16,'CENTRO DE COSTOS'!A:D,4,FALSE)</f>
        <v>JOSE MAURICIO HERNANDEZ ROJAS</v>
      </c>
      <c r="C16" s="50" t="str">
        <f>VLOOKUP(A16,'CENTRO DE COSTOS'!A:C,2,FALSE)</f>
        <v>0004-0001</v>
      </c>
      <c r="D16" s="79">
        <v>23001</v>
      </c>
      <c r="E16" s="79" t="s">
        <v>197</v>
      </c>
      <c r="F16" s="80" t="s">
        <v>198</v>
      </c>
      <c r="G16" s="80">
        <v>45813.673611111109</v>
      </c>
      <c r="H16" s="80">
        <v>45814.597037037027</v>
      </c>
      <c r="I16" s="49" t="s">
        <v>168</v>
      </c>
      <c r="J16" s="49" t="s">
        <v>165</v>
      </c>
      <c r="K16" s="49" t="s">
        <v>199</v>
      </c>
      <c r="L16" s="49">
        <v>72141</v>
      </c>
      <c r="M16" s="79" t="s">
        <v>83</v>
      </c>
      <c r="N16" s="79" t="s">
        <v>84</v>
      </c>
      <c r="O16" s="79" t="s">
        <v>84</v>
      </c>
      <c r="P16" s="79" t="s">
        <v>85</v>
      </c>
      <c r="Q16" s="49" t="s">
        <v>97</v>
      </c>
      <c r="R16" s="49" t="s">
        <v>97</v>
      </c>
      <c r="S16" s="79" t="s">
        <v>88</v>
      </c>
      <c r="T16" s="79" t="s">
        <v>89</v>
      </c>
      <c r="U16" s="49" t="s">
        <v>200</v>
      </c>
      <c r="V16" s="79" t="s">
        <v>201</v>
      </c>
      <c r="W16" s="79" t="s">
        <v>202</v>
      </c>
      <c r="X16" s="81" t="s">
        <v>119</v>
      </c>
      <c r="Y16" s="60" t="str">
        <f>VLOOKUP(D16,TIPOLOGIAS!A:F,5,0)</f>
        <v>TERRESTRE</v>
      </c>
      <c r="Z16" s="79" t="s">
        <v>110</v>
      </c>
      <c r="AA16" s="82">
        <v>0</v>
      </c>
      <c r="AB16" s="79">
        <v>0</v>
      </c>
      <c r="AC16" s="79">
        <v>1</v>
      </c>
      <c r="AD16" s="51">
        <f>IF(AND(Z16="SOPORTE_TELEFÓNICO",OR(T16="SIN CONTACTO CON EL CB",T16="NÚMEROS DE CONTACTO ERRADOS")),0,IF(Z16="SOPORTE_TELEFÓNICO",'BASE DE LIQUIDACION 2025'!$B$9,IF(X16="TIPO I",'BASE DE LIQUIDACION 2025'!$C$3,IF(X16="TIPO II",'BASE DE LIQUIDACION 2025'!$C$4,IF(X16="TIPO III",'BASE DE LIQUIDACION 2025'!$C$5,'BASE DE LIQUIDACION 2025'!$C$6)))))</f>
        <v>44559.563999999998</v>
      </c>
      <c r="AE16" s="51">
        <f>IF(Z16="SOPORTE_TELEFÓNICO",AD16,CIERRES!AC16*CIERRES!AD16)</f>
        <v>44559.563999999998</v>
      </c>
    </row>
    <row r="17" spans="1:31" s="66" customFormat="1" ht="13.15">
      <c r="A17" s="49" t="s">
        <v>172</v>
      </c>
      <c r="B17" s="50" t="str">
        <f>VLOOKUP(A17,'CENTRO DE COSTOS'!A:D,4,FALSE)</f>
        <v>DIEGO FERNANDO HENAO CARDONA</v>
      </c>
      <c r="C17" s="50" t="str">
        <f>VLOOKUP(A17,'CENTRO DE COSTOS'!A:C,2,FALSE)</f>
        <v>0004-0003</v>
      </c>
      <c r="D17" s="79">
        <v>19532</v>
      </c>
      <c r="E17" s="79" t="s">
        <v>203</v>
      </c>
      <c r="F17" s="80" t="s">
        <v>204</v>
      </c>
      <c r="G17" s="80">
        <v>45806.668749999997</v>
      </c>
      <c r="H17" s="80">
        <v>45814.639606481483</v>
      </c>
      <c r="I17" s="49" t="s">
        <v>175</v>
      </c>
      <c r="J17" s="49" t="s">
        <v>205</v>
      </c>
      <c r="K17" s="49" t="s">
        <v>206</v>
      </c>
      <c r="L17" s="49">
        <v>77803</v>
      </c>
      <c r="M17" s="79" t="s">
        <v>83</v>
      </c>
      <c r="N17" s="79" t="s">
        <v>84</v>
      </c>
      <c r="O17" s="79" t="s">
        <v>84</v>
      </c>
      <c r="P17" s="79" t="s">
        <v>85</v>
      </c>
      <c r="Q17" s="49" t="s">
        <v>97</v>
      </c>
      <c r="R17" s="49" t="s">
        <v>97</v>
      </c>
      <c r="S17" s="79" t="s">
        <v>138</v>
      </c>
      <c r="T17" s="79" t="s">
        <v>139</v>
      </c>
      <c r="U17" s="49" t="s">
        <v>207</v>
      </c>
      <c r="V17" s="79" t="s">
        <v>179</v>
      </c>
      <c r="W17" s="79" t="s">
        <v>208</v>
      </c>
      <c r="X17" s="81" t="s">
        <v>109</v>
      </c>
      <c r="Y17" s="60" t="str">
        <f>VLOOKUP(D17,TIPOLOGIAS!A:F,5,0)</f>
        <v>TERRESTRE</v>
      </c>
      <c r="Z17" s="79" t="s">
        <v>110</v>
      </c>
      <c r="AA17" s="82">
        <v>0</v>
      </c>
      <c r="AB17" s="79">
        <v>0</v>
      </c>
      <c r="AC17" s="79">
        <v>1</v>
      </c>
      <c r="AD17" s="51">
        <f>IF(AND(Z17="SOPORTE_TELEFÓNICO",OR(T17="SIN CONTACTO CON EL CB",T17="NÚMEROS DE CONTACTO ERRADOS")),0,IF(Z17="SOPORTE_TELEFÓNICO",'BASE DE LIQUIDACION 2025'!$B$9,IF(X17="TIPO I",'BASE DE LIQUIDACION 2025'!$C$3,IF(X17="TIPO II",'BASE DE LIQUIDACION 2025'!$C$4,IF(X17="TIPO III",'BASE DE LIQUIDACION 2025'!$C$5,'BASE DE LIQUIDACION 2025'!$C$6)))))</f>
        <v>464809.36800000002</v>
      </c>
      <c r="AE17" s="51">
        <f>IF(Z17="SOPORTE_TELEFÓNICO",AD17,CIERRES!AC17*CIERRES!AD17)</f>
        <v>464809.36800000002</v>
      </c>
    </row>
    <row r="18" spans="1:31" s="66" customFormat="1" ht="13.15">
      <c r="A18" s="49" t="s">
        <v>111</v>
      </c>
      <c r="B18" s="50" t="str">
        <f>VLOOKUP(A18,'CENTRO DE COSTOS'!A:D,4,FALSE)</f>
        <v>WILLIAM ASDRUBAL ROZO ROZO</v>
      </c>
      <c r="C18" s="50" t="str">
        <f>VLOOKUP(A18,'CENTRO DE COSTOS'!A:C,2,FALSE)</f>
        <v>0004-0004</v>
      </c>
      <c r="D18" s="79">
        <v>11001</v>
      </c>
      <c r="E18" s="79" t="s">
        <v>209</v>
      </c>
      <c r="F18" s="80" t="s">
        <v>210</v>
      </c>
      <c r="G18" s="80">
        <v>45813.673611111109</v>
      </c>
      <c r="H18" s="80">
        <v>45814.653078703697</v>
      </c>
      <c r="I18" s="49" t="s">
        <v>114</v>
      </c>
      <c r="J18" s="49" t="s">
        <v>111</v>
      </c>
      <c r="K18" s="49" t="s">
        <v>211</v>
      </c>
      <c r="L18" s="49">
        <v>59263</v>
      </c>
      <c r="M18" s="79" t="s">
        <v>83</v>
      </c>
      <c r="N18" s="79" t="s">
        <v>84</v>
      </c>
      <c r="O18" s="79" t="s">
        <v>84</v>
      </c>
      <c r="P18" s="79" t="s">
        <v>85</v>
      </c>
      <c r="Q18" s="49" t="s">
        <v>97</v>
      </c>
      <c r="R18" s="49" t="s">
        <v>97</v>
      </c>
      <c r="S18" s="79" t="s">
        <v>138</v>
      </c>
      <c r="T18" s="79" t="s">
        <v>139</v>
      </c>
      <c r="U18" s="49" t="s">
        <v>212</v>
      </c>
      <c r="V18" s="79" t="s">
        <v>213</v>
      </c>
      <c r="W18" s="79">
        <v>0</v>
      </c>
      <c r="X18" s="81" t="s">
        <v>119</v>
      </c>
      <c r="Y18" s="60" t="str">
        <f>VLOOKUP(D18,TIPOLOGIAS!A:F,5,0)</f>
        <v>TERRESTRE</v>
      </c>
      <c r="Z18" s="79" t="s">
        <v>110</v>
      </c>
      <c r="AA18" s="82">
        <v>0</v>
      </c>
      <c r="AB18" s="79">
        <v>0</v>
      </c>
      <c r="AC18" s="79">
        <v>1</v>
      </c>
      <c r="AD18" s="51">
        <f>IF(AND(Z18="SOPORTE_TELEFÓNICO",OR(T18="SIN CONTACTO CON EL CB",T18="NÚMEROS DE CONTACTO ERRADOS")),0,IF(Z18="SOPORTE_TELEFÓNICO",'BASE DE LIQUIDACION 2025'!$B$9,IF(X18="TIPO I",'BASE DE LIQUIDACION 2025'!$C$3,IF(X18="TIPO II",'BASE DE LIQUIDACION 2025'!$C$4,IF(X18="TIPO III",'BASE DE LIQUIDACION 2025'!$C$5,'BASE DE LIQUIDACION 2025'!$C$6)))))</f>
        <v>44559.563999999998</v>
      </c>
      <c r="AE18" s="51">
        <f>IF(Z18="SOPORTE_TELEFÓNICO",AD18,CIERRES!AC18*CIERRES!AD18)</f>
        <v>44559.563999999998</v>
      </c>
    </row>
    <row r="19" spans="1:31" s="66" customFormat="1" ht="13.15">
      <c r="A19" s="49" t="s">
        <v>100</v>
      </c>
      <c r="B19" s="50" t="str">
        <f>VLOOKUP(A19,'CENTRO DE COSTOS'!A:D,4,FALSE)</f>
        <v>KEVIN ALEXIS CORZO BUSTOS</v>
      </c>
      <c r="C19" s="50" t="str">
        <f>VLOOKUP(A19,'CENTRO DE COSTOS'!A:C,2,FALSE)</f>
        <v>0004-0007</v>
      </c>
      <c r="D19" s="79">
        <v>41001</v>
      </c>
      <c r="E19" s="79" t="s">
        <v>214</v>
      </c>
      <c r="F19" s="80" t="s">
        <v>215</v>
      </c>
      <c r="G19" s="80">
        <v>45813.673611111109</v>
      </c>
      <c r="H19" s="80">
        <v>45814.65320601852</v>
      </c>
      <c r="I19" s="49" t="s">
        <v>216</v>
      </c>
      <c r="J19" s="49" t="s">
        <v>100</v>
      </c>
      <c r="K19" s="49" t="s">
        <v>217</v>
      </c>
      <c r="L19" s="49">
        <v>76201</v>
      </c>
      <c r="M19" s="79" t="s">
        <v>83</v>
      </c>
      <c r="N19" s="79" t="s">
        <v>84</v>
      </c>
      <c r="O19" s="79" t="s">
        <v>84</v>
      </c>
      <c r="P19" s="79" t="s">
        <v>85</v>
      </c>
      <c r="Q19" s="49" t="s">
        <v>97</v>
      </c>
      <c r="R19" s="49" t="s">
        <v>97</v>
      </c>
      <c r="S19" s="79" t="s">
        <v>88</v>
      </c>
      <c r="T19" s="79" t="s">
        <v>89</v>
      </c>
      <c r="U19" s="49" t="s">
        <v>218</v>
      </c>
      <c r="V19" s="79" t="s">
        <v>219</v>
      </c>
      <c r="W19" s="79" t="s">
        <v>220</v>
      </c>
      <c r="X19" s="81" t="s">
        <v>119</v>
      </c>
      <c r="Y19" s="60" t="str">
        <f>VLOOKUP(D19,TIPOLOGIAS!A:F,5,0)</f>
        <v>TERRESTRE</v>
      </c>
      <c r="Z19" s="79" t="s">
        <v>110</v>
      </c>
      <c r="AA19" s="82">
        <v>0</v>
      </c>
      <c r="AB19" s="79">
        <v>0</v>
      </c>
      <c r="AC19" s="79">
        <v>1</v>
      </c>
      <c r="AD19" s="51">
        <f>IF(AND(Z19="SOPORTE_TELEFÓNICO",OR(T19="SIN CONTACTO CON EL CB",T19="NÚMEROS DE CONTACTO ERRADOS")),0,IF(Z19="SOPORTE_TELEFÓNICO",'BASE DE LIQUIDACION 2025'!$B$9,IF(X19="TIPO I",'BASE DE LIQUIDACION 2025'!$C$3,IF(X19="TIPO II",'BASE DE LIQUIDACION 2025'!$C$4,IF(X19="TIPO III",'BASE DE LIQUIDACION 2025'!$C$5,'BASE DE LIQUIDACION 2025'!$C$6)))))</f>
        <v>44559.563999999998</v>
      </c>
      <c r="AE19" s="51">
        <f>IF(Z19="SOPORTE_TELEFÓNICO",AD19,CIERRES!AC19*CIERRES!AD19)</f>
        <v>44559.563999999998</v>
      </c>
    </row>
    <row r="20" spans="1:31" s="66" customFormat="1" ht="13.15">
      <c r="A20" s="49" t="s">
        <v>158</v>
      </c>
      <c r="B20" s="50" t="str">
        <f>VLOOKUP(A20,'CENTRO DE COSTOS'!A:D,4,FALSE)</f>
        <v>KEVIN ALEXIS CORZO BUSTOS</v>
      </c>
      <c r="C20" s="50" t="str">
        <f>VLOOKUP(A20,'CENTRO DE COSTOS'!A:C,2,FALSE)</f>
        <v>0004-0007</v>
      </c>
      <c r="D20" s="79">
        <v>50287</v>
      </c>
      <c r="E20" s="79" t="s">
        <v>221</v>
      </c>
      <c r="F20" s="80" t="s">
        <v>222</v>
      </c>
      <c r="G20" s="80">
        <v>45813.673611111109</v>
      </c>
      <c r="H20" s="80">
        <v>45814.720092592594</v>
      </c>
      <c r="I20" s="49" t="s">
        <v>161</v>
      </c>
      <c r="J20" s="49" t="s">
        <v>223</v>
      </c>
      <c r="K20" s="49" t="s">
        <v>224</v>
      </c>
      <c r="L20" s="49">
        <v>34950</v>
      </c>
      <c r="M20" s="79" t="s">
        <v>83</v>
      </c>
      <c r="N20" s="79" t="s">
        <v>84</v>
      </c>
      <c r="O20" s="79" t="s">
        <v>84</v>
      </c>
      <c r="P20" s="79" t="s">
        <v>85</v>
      </c>
      <c r="Q20" s="49" t="s">
        <v>97</v>
      </c>
      <c r="R20" s="49" t="s">
        <v>97</v>
      </c>
      <c r="S20" s="79" t="s">
        <v>138</v>
      </c>
      <c r="T20" s="79" t="s">
        <v>139</v>
      </c>
      <c r="U20" s="49" t="s">
        <v>225</v>
      </c>
      <c r="V20" s="79" t="s">
        <v>164</v>
      </c>
      <c r="W20" s="79" t="s">
        <v>226</v>
      </c>
      <c r="X20" s="81" t="s">
        <v>181</v>
      </c>
      <c r="Y20" s="60" t="str">
        <f>VLOOKUP(D20,TIPOLOGIAS!A:F,5,0)</f>
        <v>TERRESTRE</v>
      </c>
      <c r="Z20" s="79" t="s">
        <v>110</v>
      </c>
      <c r="AA20" s="82">
        <v>0</v>
      </c>
      <c r="AB20" s="79">
        <v>0</v>
      </c>
      <c r="AC20" s="79">
        <v>1</v>
      </c>
      <c r="AD20" s="51">
        <f>IF(AND(Z20="SOPORTE_TELEFÓNICO",OR(T20="SIN CONTACTO CON EL CB",T20="NÚMEROS DE CONTACTO ERRADOS")),0,IF(Z20="SOPORTE_TELEFÓNICO",'BASE DE LIQUIDACION 2025'!$B$9,IF(X20="TIPO I",'BASE DE LIQUIDACION 2025'!$C$3,IF(X20="TIPO II",'BASE DE LIQUIDACION 2025'!$C$4,IF(X20="TIPO III",'BASE DE LIQUIDACION 2025'!$C$5,'BASE DE LIQUIDACION 2025'!$C$6)))))</f>
        <v>222904.07200000001</v>
      </c>
      <c r="AE20" s="51">
        <f>IF(Z20="SOPORTE_TELEFÓNICO",AD20,CIERRES!AC20*CIERRES!AD20)</f>
        <v>222904.07200000001</v>
      </c>
    </row>
    <row r="21" spans="1:31" s="66" customFormat="1" ht="13.15">
      <c r="A21" s="49" t="s">
        <v>142</v>
      </c>
      <c r="B21" s="50" t="str">
        <f>VLOOKUP(A21,'CENTRO DE COSTOS'!A:D,4,FALSE)</f>
        <v>MIGUEL JULIÁN HERNÁNDEZ GUARÍN</v>
      </c>
      <c r="C21" s="50" t="str">
        <f>VLOOKUP(A21,'CENTRO DE COSTOS'!A:C,2,FALSE)</f>
        <v>0004-0008</v>
      </c>
      <c r="D21" s="79">
        <v>68255</v>
      </c>
      <c r="E21" s="79" t="s">
        <v>227</v>
      </c>
      <c r="F21" s="80" t="s">
        <v>228</v>
      </c>
      <c r="G21" s="80">
        <v>45814.457638888889</v>
      </c>
      <c r="H21" s="80">
        <v>45814.741018518522</v>
      </c>
      <c r="I21" s="49" t="s">
        <v>145</v>
      </c>
      <c r="J21" s="49" t="s">
        <v>229</v>
      </c>
      <c r="K21" s="49" t="s">
        <v>230</v>
      </c>
      <c r="L21" s="49">
        <v>62274</v>
      </c>
      <c r="M21" s="79" t="s">
        <v>83</v>
      </c>
      <c r="N21" s="79" t="s">
        <v>84</v>
      </c>
      <c r="O21" s="79" t="s">
        <v>84</v>
      </c>
      <c r="P21" s="79" t="s">
        <v>85</v>
      </c>
      <c r="Q21" s="49" t="s">
        <v>86</v>
      </c>
      <c r="R21" s="49" t="s">
        <v>231</v>
      </c>
      <c r="S21" s="79" t="s">
        <v>138</v>
      </c>
      <c r="T21" s="79" t="s">
        <v>139</v>
      </c>
      <c r="U21" s="49" t="s">
        <v>232</v>
      </c>
      <c r="V21" s="79" t="s">
        <v>233</v>
      </c>
      <c r="W21" s="79">
        <v>0</v>
      </c>
      <c r="X21" s="81" t="s">
        <v>92</v>
      </c>
      <c r="Y21" s="60" t="str">
        <f>VLOOKUP(D21,TIPOLOGIAS!A:F,5,0)</f>
        <v>TERRESTRE</v>
      </c>
      <c r="Z21" s="79" t="s">
        <v>110</v>
      </c>
      <c r="AA21" s="82">
        <v>0</v>
      </c>
      <c r="AB21" s="79">
        <v>0</v>
      </c>
      <c r="AC21" s="79">
        <v>1</v>
      </c>
      <c r="AD21" s="51">
        <f>IF(AND(Z21="SOPORTE_TELEFÓNICO",OR(T21="SIN CONTACTO CON EL CB",T21="NÚMEROS DE CONTACTO ERRADOS")),0,IF(Z21="SOPORTE_TELEFÓNICO",'BASE DE LIQUIDACION 2025'!$B$9,IF(X21="TIPO I",'BASE DE LIQUIDACION 2025'!$C$3,IF(X21="TIPO II",'BASE DE LIQUIDACION 2025'!$C$4,IF(X21="TIPO III",'BASE DE LIQUIDACION 2025'!$C$5,'BASE DE LIQUIDACION 2025'!$C$6)))))</f>
        <v>134410.88400000002</v>
      </c>
      <c r="AE21" s="51">
        <f>IF(Z21="SOPORTE_TELEFÓNICO",AD21,CIERRES!AC21*CIERRES!AD21)</f>
        <v>134410.88400000002</v>
      </c>
    </row>
    <row r="22" spans="1:31" s="66" customFormat="1" ht="13.15">
      <c r="A22" s="49" t="s">
        <v>234</v>
      </c>
      <c r="B22" s="50" t="str">
        <f>VLOOKUP(A22,'CENTRO DE COSTOS'!A:D,4,FALSE)</f>
        <v>DIEGO FERNANDO HENAO CARDONA</v>
      </c>
      <c r="C22" s="50" t="str">
        <f>VLOOKUP(A22,'CENTRO DE COSTOS'!A:C,2,FALSE)</f>
        <v>0004-0002</v>
      </c>
      <c r="D22" s="79">
        <v>17001</v>
      </c>
      <c r="E22" s="79" t="s">
        <v>235</v>
      </c>
      <c r="F22" s="80" t="s">
        <v>236</v>
      </c>
      <c r="G22" s="80">
        <v>45813.673611111109</v>
      </c>
      <c r="H22" s="80">
        <v>45815.397199074083</v>
      </c>
      <c r="I22" s="49" t="s">
        <v>237</v>
      </c>
      <c r="J22" s="49" t="s">
        <v>234</v>
      </c>
      <c r="K22" s="49" t="s">
        <v>238</v>
      </c>
      <c r="L22" s="49">
        <v>51030</v>
      </c>
      <c r="M22" s="79" t="s">
        <v>83</v>
      </c>
      <c r="N22" s="79" t="s">
        <v>84</v>
      </c>
      <c r="O22" s="79" t="s">
        <v>84</v>
      </c>
      <c r="P22" s="79" t="s">
        <v>85</v>
      </c>
      <c r="Q22" s="49" t="s">
        <v>97</v>
      </c>
      <c r="R22" s="49" t="s">
        <v>97</v>
      </c>
      <c r="S22" s="79" t="s">
        <v>138</v>
      </c>
      <c r="T22" s="79" t="s">
        <v>139</v>
      </c>
      <c r="U22" s="49" t="s">
        <v>239</v>
      </c>
      <c r="V22" s="79" t="s">
        <v>240</v>
      </c>
      <c r="W22" s="79">
        <v>0</v>
      </c>
      <c r="X22" s="81" t="s">
        <v>119</v>
      </c>
      <c r="Y22" s="60" t="str">
        <f>VLOOKUP(D22,TIPOLOGIAS!A:F,5,0)</f>
        <v>TERRESTRE</v>
      </c>
      <c r="Z22" s="79" t="s">
        <v>110</v>
      </c>
      <c r="AA22" s="82">
        <v>0</v>
      </c>
      <c r="AB22" s="79">
        <v>0</v>
      </c>
      <c r="AC22" s="79">
        <v>1</v>
      </c>
      <c r="AD22" s="51">
        <f>IF(AND(Z22="SOPORTE_TELEFÓNICO",OR(T22="SIN CONTACTO CON EL CB",T22="NÚMEROS DE CONTACTO ERRADOS")),0,IF(Z22="SOPORTE_TELEFÓNICO",'BASE DE LIQUIDACION 2025'!$B$9,IF(X22="TIPO I",'BASE DE LIQUIDACION 2025'!$C$3,IF(X22="TIPO II",'BASE DE LIQUIDACION 2025'!$C$4,IF(X22="TIPO III",'BASE DE LIQUIDACION 2025'!$C$5,'BASE DE LIQUIDACION 2025'!$C$6)))))</f>
        <v>44559.563999999998</v>
      </c>
      <c r="AE22" s="51">
        <f>IF(Z22="SOPORTE_TELEFÓNICO",AD22,CIERRES!AC22*CIERRES!AD22)</f>
        <v>44559.563999999998</v>
      </c>
    </row>
    <row r="23" spans="1:31" s="66" customFormat="1" ht="13.15">
      <c r="A23" s="49" t="s">
        <v>165</v>
      </c>
      <c r="B23" s="50" t="str">
        <f>VLOOKUP(A23,'CENTRO DE COSTOS'!A:D,4,FALSE)</f>
        <v>JOSE MAURICIO HERNANDEZ ROJAS</v>
      </c>
      <c r="C23" s="50" t="str">
        <f>VLOOKUP(A23,'CENTRO DE COSTOS'!A:C,2,FALSE)</f>
        <v>0004-0001</v>
      </c>
      <c r="D23" s="79">
        <v>23001</v>
      </c>
      <c r="E23" s="79" t="s">
        <v>241</v>
      </c>
      <c r="F23" s="80" t="s">
        <v>242</v>
      </c>
      <c r="G23" s="80">
        <v>45814.457638888889</v>
      </c>
      <c r="H23" s="80">
        <v>45815.448321759257</v>
      </c>
      <c r="I23" s="49" t="s">
        <v>168</v>
      </c>
      <c r="J23" s="49" t="s">
        <v>165</v>
      </c>
      <c r="K23" s="49" t="s">
        <v>243</v>
      </c>
      <c r="L23" s="49">
        <v>76641</v>
      </c>
      <c r="M23" s="79" t="s">
        <v>83</v>
      </c>
      <c r="N23" s="79" t="s">
        <v>84</v>
      </c>
      <c r="O23" s="79" t="s">
        <v>84</v>
      </c>
      <c r="P23" s="79" t="s">
        <v>85</v>
      </c>
      <c r="Q23" s="49" t="s">
        <v>86</v>
      </c>
      <c r="R23" s="49" t="s">
        <v>231</v>
      </c>
      <c r="S23" s="79" t="s">
        <v>138</v>
      </c>
      <c r="T23" s="79" t="s">
        <v>139</v>
      </c>
      <c r="U23" s="49" t="s">
        <v>244</v>
      </c>
      <c r="V23" s="79" t="s">
        <v>201</v>
      </c>
      <c r="W23" s="79" t="s">
        <v>245</v>
      </c>
      <c r="X23" s="81" t="s">
        <v>119</v>
      </c>
      <c r="Y23" s="60" t="str">
        <f>VLOOKUP(D23,TIPOLOGIAS!A:F,5,0)</f>
        <v>TERRESTRE</v>
      </c>
      <c r="Z23" s="79" t="s">
        <v>110</v>
      </c>
      <c r="AA23" s="82">
        <v>0</v>
      </c>
      <c r="AB23" s="79">
        <v>0</v>
      </c>
      <c r="AC23" s="79">
        <v>1</v>
      </c>
      <c r="AD23" s="51">
        <f>IF(AND(Z23="SOPORTE_TELEFÓNICO",OR(T23="SIN CONTACTO CON EL CB",T23="NÚMEROS DE CONTACTO ERRADOS")),0,IF(Z23="SOPORTE_TELEFÓNICO",'BASE DE LIQUIDACION 2025'!$B$9,IF(X23="TIPO I",'BASE DE LIQUIDACION 2025'!$C$3,IF(X23="TIPO II",'BASE DE LIQUIDACION 2025'!$C$4,IF(X23="TIPO III",'BASE DE LIQUIDACION 2025'!$C$5,'BASE DE LIQUIDACION 2025'!$C$6)))))</f>
        <v>44559.563999999998</v>
      </c>
      <c r="AE23" s="51">
        <f>IF(Z23="SOPORTE_TELEFÓNICO",AD23,CIERRES!AC23*CIERRES!AD23)</f>
        <v>44559.563999999998</v>
      </c>
    </row>
    <row r="24" spans="1:31" s="66" customFormat="1" ht="13.15">
      <c r="A24" s="49" t="s">
        <v>158</v>
      </c>
      <c r="B24" s="50" t="str">
        <f>VLOOKUP(A24,'CENTRO DE COSTOS'!A:D,4,FALSE)</f>
        <v>KEVIN ALEXIS CORZO BUSTOS</v>
      </c>
      <c r="C24" s="50" t="str">
        <f>VLOOKUP(A24,'CENTRO DE COSTOS'!A:C,2,FALSE)</f>
        <v>0004-0007</v>
      </c>
      <c r="D24" s="79">
        <v>50001</v>
      </c>
      <c r="E24" s="79" t="s">
        <v>246</v>
      </c>
      <c r="F24" s="80" t="s">
        <v>247</v>
      </c>
      <c r="G24" s="80">
        <v>45813.673611111109</v>
      </c>
      <c r="H24" s="80">
        <v>45815.489849537043</v>
      </c>
      <c r="I24" s="49" t="s">
        <v>161</v>
      </c>
      <c r="J24" s="49" t="s">
        <v>158</v>
      </c>
      <c r="K24" s="49" t="s">
        <v>248</v>
      </c>
      <c r="L24" s="49">
        <v>67216</v>
      </c>
      <c r="M24" s="79" t="s">
        <v>83</v>
      </c>
      <c r="N24" s="79" t="s">
        <v>84</v>
      </c>
      <c r="O24" s="79" t="s">
        <v>84</v>
      </c>
      <c r="P24" s="79" t="s">
        <v>85</v>
      </c>
      <c r="Q24" s="49" t="s">
        <v>97</v>
      </c>
      <c r="R24" s="49" t="s">
        <v>97</v>
      </c>
      <c r="S24" s="79" t="s">
        <v>88</v>
      </c>
      <c r="T24" s="79" t="s">
        <v>89</v>
      </c>
      <c r="U24" s="49" t="s">
        <v>249</v>
      </c>
      <c r="V24" s="79" t="s">
        <v>250</v>
      </c>
      <c r="W24" s="79" t="s">
        <v>251</v>
      </c>
      <c r="X24" s="81" t="s">
        <v>119</v>
      </c>
      <c r="Y24" s="60" t="str">
        <f>VLOOKUP(D24,TIPOLOGIAS!A:F,5,0)</f>
        <v>TERRESTRE</v>
      </c>
      <c r="Z24" s="79" t="s">
        <v>110</v>
      </c>
      <c r="AA24" s="82">
        <v>0</v>
      </c>
      <c r="AB24" s="79">
        <v>0</v>
      </c>
      <c r="AC24" s="79">
        <v>1</v>
      </c>
      <c r="AD24" s="51">
        <f>IF(AND(Z24="SOPORTE_TELEFÓNICO",OR(T24="SIN CONTACTO CON EL CB",T24="NÚMEROS DE CONTACTO ERRADOS")),0,IF(Z24="SOPORTE_TELEFÓNICO",'BASE DE LIQUIDACION 2025'!$B$9,IF(X24="TIPO I",'BASE DE LIQUIDACION 2025'!$C$3,IF(X24="TIPO II",'BASE DE LIQUIDACION 2025'!$C$4,IF(X24="TIPO III",'BASE DE LIQUIDACION 2025'!$C$5,'BASE DE LIQUIDACION 2025'!$C$6)))))</f>
        <v>44559.563999999998</v>
      </c>
      <c r="AE24" s="51">
        <f>IF(Z24="SOPORTE_TELEFÓNICO",AD24,CIERRES!AC24*CIERRES!AD24)</f>
        <v>44559.563999999998</v>
      </c>
    </row>
    <row r="25" spans="1:31" s="66" customFormat="1" ht="13.15">
      <c r="A25" s="49" t="s">
        <v>111</v>
      </c>
      <c r="B25" s="50" t="str">
        <f>VLOOKUP(A25,'CENTRO DE COSTOS'!A:D,4,FALSE)</f>
        <v>WILLIAM ASDRUBAL ROZO ROZO</v>
      </c>
      <c r="C25" s="50" t="str">
        <f>VLOOKUP(A25,'CENTRO DE COSTOS'!A:C,2,FALSE)</f>
        <v>0004-0004</v>
      </c>
      <c r="D25" s="79">
        <v>11001</v>
      </c>
      <c r="E25" s="79" t="s">
        <v>252</v>
      </c>
      <c r="F25" s="80" t="s">
        <v>253</v>
      </c>
      <c r="G25" s="80">
        <v>45814.457638888889</v>
      </c>
      <c r="H25" s="80">
        <v>45815.547731481478</v>
      </c>
      <c r="I25" s="49" t="s">
        <v>114</v>
      </c>
      <c r="J25" s="49" t="s">
        <v>111</v>
      </c>
      <c r="K25" s="49" t="s">
        <v>254</v>
      </c>
      <c r="L25" s="49">
        <v>26555</v>
      </c>
      <c r="M25" s="79" t="s">
        <v>83</v>
      </c>
      <c r="N25" s="79" t="s">
        <v>84</v>
      </c>
      <c r="O25" s="79" t="s">
        <v>116</v>
      </c>
      <c r="P25" s="79" t="s">
        <v>85</v>
      </c>
      <c r="Q25" s="49" t="s">
        <v>255</v>
      </c>
      <c r="R25" s="49" t="s">
        <v>256</v>
      </c>
      <c r="S25" s="79" t="s">
        <v>88</v>
      </c>
      <c r="T25" s="79" t="s">
        <v>89</v>
      </c>
      <c r="U25" s="49" t="s">
        <v>257</v>
      </c>
      <c r="V25" s="79" t="s">
        <v>196</v>
      </c>
      <c r="W25" s="79">
        <v>0</v>
      </c>
      <c r="X25" s="81" t="s">
        <v>119</v>
      </c>
      <c r="Y25" s="60" t="str">
        <f>VLOOKUP(D25,TIPOLOGIAS!A:F,5,0)</f>
        <v>TERRESTRE</v>
      </c>
      <c r="Z25" s="79" t="s">
        <v>110</v>
      </c>
      <c r="AA25" s="82">
        <v>0</v>
      </c>
      <c r="AB25" s="79">
        <v>0</v>
      </c>
      <c r="AC25" s="79">
        <v>1</v>
      </c>
      <c r="AD25" s="51">
        <f>IF(AND(Z25="SOPORTE_TELEFÓNICO",OR(T25="SIN CONTACTO CON EL CB",T25="NÚMEROS DE CONTACTO ERRADOS")),0,IF(Z25="SOPORTE_TELEFÓNICO",'BASE DE LIQUIDACION 2025'!$B$9,IF(X25="TIPO I",'BASE DE LIQUIDACION 2025'!$C$3,IF(X25="TIPO II",'BASE DE LIQUIDACION 2025'!$C$4,IF(X25="TIPO III",'BASE DE LIQUIDACION 2025'!$C$5,'BASE DE LIQUIDACION 2025'!$C$6)))))</f>
        <v>44559.563999999998</v>
      </c>
      <c r="AE25" s="51">
        <f>IF(Z25="SOPORTE_TELEFÓNICO",AD25,CIERRES!AC25*CIERRES!AD25)</f>
        <v>44559.563999999998</v>
      </c>
    </row>
    <row r="26" spans="1:31" s="66" customFormat="1" ht="13.15">
      <c r="A26" s="49" t="s">
        <v>258</v>
      </c>
      <c r="B26" s="50" t="str">
        <f>VLOOKUP(A26,'CENTRO DE COSTOS'!A:D,4,FALSE)</f>
        <v>MIGUEL JULIÁN HERNÁNDEZ GUARÍN</v>
      </c>
      <c r="C26" s="50" t="str">
        <f>VLOOKUP(A26,'CENTRO DE COSTOS'!A:C,2,FALSE)</f>
        <v>0004-0008</v>
      </c>
      <c r="D26" s="79">
        <v>54518</v>
      </c>
      <c r="E26" s="79" t="s">
        <v>259</v>
      </c>
      <c r="F26" s="80" t="s">
        <v>260</v>
      </c>
      <c r="G26" s="80">
        <v>45813.673611111109</v>
      </c>
      <c r="H26" s="80">
        <v>45815.602326388893</v>
      </c>
      <c r="I26" s="49" t="s">
        <v>261</v>
      </c>
      <c r="J26" s="49" t="s">
        <v>262</v>
      </c>
      <c r="K26" s="49" t="s">
        <v>263</v>
      </c>
      <c r="L26" s="49">
        <v>29182</v>
      </c>
      <c r="M26" s="79" t="s">
        <v>83</v>
      </c>
      <c r="N26" s="79" t="s">
        <v>84</v>
      </c>
      <c r="O26" s="79" t="s">
        <v>84</v>
      </c>
      <c r="P26" s="79" t="s">
        <v>85</v>
      </c>
      <c r="Q26" s="49" t="s">
        <v>97</v>
      </c>
      <c r="R26" s="49" t="s">
        <v>97</v>
      </c>
      <c r="S26" s="79" t="s">
        <v>88</v>
      </c>
      <c r="T26" s="79" t="s">
        <v>89</v>
      </c>
      <c r="U26" s="49" t="s">
        <v>264</v>
      </c>
      <c r="V26" s="79" t="s">
        <v>265</v>
      </c>
      <c r="W26" s="79">
        <v>0</v>
      </c>
      <c r="X26" s="81" t="s">
        <v>181</v>
      </c>
      <c r="Y26" s="60" t="str">
        <f>VLOOKUP(D26,TIPOLOGIAS!A:F,5,0)</f>
        <v>TERRESTRE</v>
      </c>
      <c r="Z26" s="79" t="s">
        <v>110</v>
      </c>
      <c r="AA26" s="82">
        <v>0</v>
      </c>
      <c r="AB26" s="79">
        <v>0</v>
      </c>
      <c r="AC26" s="79">
        <v>1</v>
      </c>
      <c r="AD26" s="51">
        <f>IF(AND(Z26="SOPORTE_TELEFÓNICO",OR(T26="SIN CONTACTO CON EL CB",T26="NÚMEROS DE CONTACTO ERRADOS")),0,IF(Z26="SOPORTE_TELEFÓNICO",'BASE DE LIQUIDACION 2025'!$B$9,IF(X26="TIPO I",'BASE DE LIQUIDACION 2025'!$C$3,IF(X26="TIPO II",'BASE DE LIQUIDACION 2025'!$C$4,IF(X26="TIPO III",'BASE DE LIQUIDACION 2025'!$C$5,'BASE DE LIQUIDACION 2025'!$C$6)))))</f>
        <v>222904.07200000001</v>
      </c>
      <c r="AE26" s="51">
        <f>IF(Z26="SOPORTE_TELEFÓNICO",AD26,CIERRES!AC26*CIERRES!AD26)</f>
        <v>222904.07200000001</v>
      </c>
    </row>
    <row r="27" spans="1:31" s="66" customFormat="1" ht="13.15">
      <c r="A27" s="49" t="s">
        <v>111</v>
      </c>
      <c r="B27" s="50" t="str">
        <f>VLOOKUP(A27,'CENTRO DE COSTOS'!A:D,4,FALSE)</f>
        <v>WILLIAM ASDRUBAL ROZO ROZO</v>
      </c>
      <c r="C27" s="50" t="str">
        <f>VLOOKUP(A27,'CENTRO DE COSTOS'!A:C,2,FALSE)</f>
        <v>0004-0004</v>
      </c>
      <c r="D27" s="79">
        <v>11001</v>
      </c>
      <c r="E27" s="79" t="s">
        <v>266</v>
      </c>
      <c r="F27" s="80" t="s">
        <v>267</v>
      </c>
      <c r="G27" s="80">
        <v>45814.457638888889</v>
      </c>
      <c r="H27" s="80">
        <v>45815.602766203701</v>
      </c>
      <c r="I27" s="49" t="s">
        <v>114</v>
      </c>
      <c r="J27" s="49" t="s">
        <v>111</v>
      </c>
      <c r="K27" s="49" t="s">
        <v>268</v>
      </c>
      <c r="L27" s="49">
        <v>22814</v>
      </c>
      <c r="M27" s="79" t="s">
        <v>83</v>
      </c>
      <c r="N27" s="79" t="s">
        <v>84</v>
      </c>
      <c r="O27" s="79" t="s">
        <v>116</v>
      </c>
      <c r="P27" s="79" t="s">
        <v>85</v>
      </c>
      <c r="Q27" s="49" t="s">
        <v>255</v>
      </c>
      <c r="R27" s="49" t="s">
        <v>269</v>
      </c>
      <c r="S27" s="79" t="s">
        <v>88</v>
      </c>
      <c r="T27" s="79" t="s">
        <v>89</v>
      </c>
      <c r="U27" s="49" t="s">
        <v>270</v>
      </c>
      <c r="V27" s="79" t="s">
        <v>118</v>
      </c>
      <c r="W27" s="79" t="s">
        <v>271</v>
      </c>
      <c r="X27" s="81" t="s">
        <v>119</v>
      </c>
      <c r="Y27" s="60" t="str">
        <f>VLOOKUP(D27,TIPOLOGIAS!A:F,5,0)</f>
        <v>TERRESTRE</v>
      </c>
      <c r="Z27" s="79" t="s">
        <v>110</v>
      </c>
      <c r="AA27" s="82">
        <v>0</v>
      </c>
      <c r="AB27" s="79">
        <v>0</v>
      </c>
      <c r="AC27" s="79">
        <v>1</v>
      </c>
      <c r="AD27" s="51">
        <f>IF(AND(Z27="SOPORTE_TELEFÓNICO",OR(T27="SIN CONTACTO CON EL CB",T27="NÚMEROS DE CONTACTO ERRADOS")),0,IF(Z27="SOPORTE_TELEFÓNICO",'BASE DE LIQUIDACION 2025'!$B$9,IF(X27="TIPO I",'BASE DE LIQUIDACION 2025'!$C$3,IF(X27="TIPO II",'BASE DE LIQUIDACION 2025'!$C$4,IF(X27="TIPO III",'BASE DE LIQUIDACION 2025'!$C$5,'BASE DE LIQUIDACION 2025'!$C$6)))))</f>
        <v>44559.563999999998</v>
      </c>
      <c r="AE27" s="51">
        <f>IF(Z27="SOPORTE_TELEFÓNICO",AD27,CIERRES!AC27*CIERRES!AD27)</f>
        <v>44559.563999999998</v>
      </c>
    </row>
    <row r="28" spans="1:31" s="66" customFormat="1" ht="13.15">
      <c r="A28" s="49" t="s">
        <v>272</v>
      </c>
      <c r="B28" s="50" t="str">
        <f>VLOOKUP(A28,'CENTRO DE COSTOS'!A:D,4,FALSE)</f>
        <v>JUAN SEBASTIÁN RÍOS CASTRILLÓN</v>
      </c>
      <c r="C28" s="50" t="str">
        <f>VLOOKUP(A28,'CENTRO DE COSTOS'!A:C,2,FALSE)</f>
        <v>0004-0005</v>
      </c>
      <c r="D28" s="79">
        <v>5490</v>
      </c>
      <c r="E28" s="79" t="s">
        <v>273</v>
      </c>
      <c r="F28" s="80" t="s">
        <v>274</v>
      </c>
      <c r="G28" s="80">
        <v>45817.387499999997</v>
      </c>
      <c r="H28" s="80">
        <v>45817.435196759259</v>
      </c>
      <c r="I28" s="49" t="s">
        <v>275</v>
      </c>
      <c r="J28" s="49" t="s">
        <v>276</v>
      </c>
      <c r="K28" s="49" t="s">
        <v>277</v>
      </c>
      <c r="L28" s="49">
        <v>51222</v>
      </c>
      <c r="M28" s="79" t="s">
        <v>83</v>
      </c>
      <c r="N28" s="79" t="s">
        <v>84</v>
      </c>
      <c r="O28" s="79" t="s">
        <v>84</v>
      </c>
      <c r="P28" s="79" t="s">
        <v>85</v>
      </c>
      <c r="Q28" s="49" t="s">
        <v>86</v>
      </c>
      <c r="R28" s="49" t="s">
        <v>231</v>
      </c>
      <c r="S28" s="79" t="s">
        <v>88</v>
      </c>
      <c r="T28" s="79" t="s">
        <v>89</v>
      </c>
      <c r="U28" s="49" t="s">
        <v>278</v>
      </c>
      <c r="V28" s="79" t="s">
        <v>279</v>
      </c>
      <c r="W28" s="79">
        <v>0</v>
      </c>
      <c r="X28" s="81" t="s">
        <v>92</v>
      </c>
      <c r="Y28" s="60" t="str">
        <f>VLOOKUP(D28,TIPOLOGIAS!A:F,5,0)</f>
        <v>TERRESTRE</v>
      </c>
      <c r="Z28" s="79" t="s">
        <v>110</v>
      </c>
      <c r="AA28" s="82">
        <v>0</v>
      </c>
      <c r="AB28" s="79">
        <v>0</v>
      </c>
      <c r="AC28" s="79">
        <v>1</v>
      </c>
      <c r="AD28" s="51">
        <f>IF(AND(Z28="SOPORTE_TELEFÓNICO",OR(T28="SIN CONTACTO CON EL CB",T28="NÚMEROS DE CONTACTO ERRADOS")),0,IF(Z28="SOPORTE_TELEFÓNICO",'BASE DE LIQUIDACION 2025'!$B$9,IF(X28="TIPO I",'BASE DE LIQUIDACION 2025'!$C$3,IF(X28="TIPO II",'BASE DE LIQUIDACION 2025'!$C$4,IF(X28="TIPO III",'BASE DE LIQUIDACION 2025'!$C$5,'BASE DE LIQUIDACION 2025'!$C$6)))))</f>
        <v>134410.88400000002</v>
      </c>
      <c r="AE28" s="51">
        <f>IF(Z28="SOPORTE_TELEFÓNICO",AD28,CIERRES!AC28*CIERRES!AD28)</f>
        <v>134410.88400000002</v>
      </c>
    </row>
    <row r="29" spans="1:31" s="66" customFormat="1" ht="13.15">
      <c r="A29" s="49" t="s">
        <v>172</v>
      </c>
      <c r="B29" s="50" t="str">
        <f>VLOOKUP(A29,'CENTRO DE COSTOS'!A:D,4,FALSE)</f>
        <v>DIEGO FERNANDO HENAO CARDONA</v>
      </c>
      <c r="C29" s="50" t="str">
        <f>VLOOKUP(A29,'CENTRO DE COSTOS'!A:C,2,FALSE)</f>
        <v>0004-0003</v>
      </c>
      <c r="D29" s="79">
        <v>76001</v>
      </c>
      <c r="E29" s="79" t="s">
        <v>280</v>
      </c>
      <c r="F29" s="80" t="s">
        <v>281</v>
      </c>
      <c r="G29" s="80">
        <v>45814.519444444442</v>
      </c>
      <c r="H29" s="80">
        <v>45817.465428240743</v>
      </c>
      <c r="I29" s="49" t="s">
        <v>282</v>
      </c>
      <c r="J29" s="49" t="s">
        <v>172</v>
      </c>
      <c r="K29" s="49" t="s">
        <v>283</v>
      </c>
      <c r="L29" s="49">
        <v>62001</v>
      </c>
      <c r="M29" s="79" t="s">
        <v>83</v>
      </c>
      <c r="N29" s="79" t="s">
        <v>84</v>
      </c>
      <c r="O29" s="79" t="s">
        <v>84</v>
      </c>
      <c r="P29" s="79" t="s">
        <v>85</v>
      </c>
      <c r="Q29" s="49" t="s">
        <v>97</v>
      </c>
      <c r="R29" s="49" t="s">
        <v>97</v>
      </c>
      <c r="S29" s="79" t="s">
        <v>88</v>
      </c>
      <c r="T29" s="79" t="s">
        <v>89</v>
      </c>
      <c r="U29" s="49" t="s">
        <v>284</v>
      </c>
      <c r="V29" s="79" t="s">
        <v>132</v>
      </c>
      <c r="W29" s="79">
        <v>0</v>
      </c>
      <c r="X29" s="81" t="s">
        <v>119</v>
      </c>
      <c r="Y29" s="60" t="str">
        <f>VLOOKUP(D29,TIPOLOGIAS!A:F,5,0)</f>
        <v>TERRESTRE</v>
      </c>
      <c r="Z29" s="79" t="s">
        <v>93</v>
      </c>
      <c r="AA29" s="82">
        <v>0</v>
      </c>
      <c r="AB29" s="79">
        <v>0</v>
      </c>
      <c r="AC29" s="79">
        <v>0</v>
      </c>
      <c r="AD29" s="51">
        <f>IF(AND(Z29="SOPORTE_TELEFÓNICO",OR(T29="SIN CONTACTO CON EL CB",T29="NÚMEROS DE CONTACTO ERRADOS")),0,IF(Z29="SOPORTE_TELEFÓNICO",'BASE DE LIQUIDACION 2025'!$B$9,IF(X29="TIPO I",'BASE DE LIQUIDACION 2025'!$C$3,IF(X29="TIPO II",'BASE DE LIQUIDACION 2025'!$C$4,IF(X29="TIPO III",'BASE DE LIQUIDACION 2025'!$C$5,'BASE DE LIQUIDACION 2025'!$C$6)))))</f>
        <v>37904.612000000001</v>
      </c>
      <c r="AE29" s="51">
        <f>IF(Z29="SOPORTE_TELEFÓNICO",AD29,CIERRES!AC29*CIERRES!AD29)</f>
        <v>37904.612000000001</v>
      </c>
    </row>
    <row r="30" spans="1:31" s="66" customFormat="1" ht="13.15">
      <c r="A30" s="49" t="s">
        <v>285</v>
      </c>
      <c r="B30" s="50" t="str">
        <f>VLOOKUP(A30,'CENTRO DE COSTOS'!A:D,4,FALSE)</f>
        <v>JUAN SEBASTIÁN RÍOS CASTRILLÓN</v>
      </c>
      <c r="C30" s="50" t="str">
        <f>VLOOKUP(A30,'CENTRO DE COSTOS'!A:C,2,FALSE)</f>
        <v>0004-0005</v>
      </c>
      <c r="D30" s="79">
        <v>5360</v>
      </c>
      <c r="E30" s="79" t="s">
        <v>286</v>
      </c>
      <c r="F30" s="80" t="s">
        <v>287</v>
      </c>
      <c r="G30" s="80">
        <v>45814.457638888889</v>
      </c>
      <c r="H30" s="80">
        <v>45817.540312500001</v>
      </c>
      <c r="I30" s="49" t="s">
        <v>275</v>
      </c>
      <c r="J30" s="49" t="s">
        <v>288</v>
      </c>
      <c r="K30" s="49" t="s">
        <v>289</v>
      </c>
      <c r="L30" s="49">
        <v>42723</v>
      </c>
      <c r="M30" s="79" t="s">
        <v>83</v>
      </c>
      <c r="N30" s="79" t="s">
        <v>84</v>
      </c>
      <c r="O30" s="79" t="s">
        <v>84</v>
      </c>
      <c r="P30" s="79" t="s">
        <v>85</v>
      </c>
      <c r="Q30" s="49" t="s">
        <v>86</v>
      </c>
      <c r="R30" s="49" t="s">
        <v>231</v>
      </c>
      <c r="S30" s="79" t="s">
        <v>88</v>
      </c>
      <c r="T30" s="79" t="s">
        <v>89</v>
      </c>
      <c r="U30" s="49" t="s">
        <v>290</v>
      </c>
      <c r="V30" s="79" t="s">
        <v>291</v>
      </c>
      <c r="W30" s="79" t="s">
        <v>292</v>
      </c>
      <c r="X30" s="81" t="s">
        <v>119</v>
      </c>
      <c r="Y30" s="60" t="str">
        <f>VLOOKUP(D30,TIPOLOGIAS!A:F,5,0)</f>
        <v>TERRESTRE</v>
      </c>
      <c r="Z30" s="79" t="s">
        <v>110</v>
      </c>
      <c r="AA30" s="82">
        <v>0</v>
      </c>
      <c r="AB30" s="79">
        <v>0</v>
      </c>
      <c r="AC30" s="79">
        <v>1</v>
      </c>
      <c r="AD30" s="51">
        <f>IF(AND(Z30="SOPORTE_TELEFÓNICO",OR(T30="SIN CONTACTO CON EL CB",T30="NÚMEROS DE CONTACTO ERRADOS")),0,IF(Z30="SOPORTE_TELEFÓNICO",'BASE DE LIQUIDACION 2025'!$B$9,IF(X30="TIPO I",'BASE DE LIQUIDACION 2025'!$C$3,IF(X30="TIPO II",'BASE DE LIQUIDACION 2025'!$C$4,IF(X30="TIPO III",'BASE DE LIQUIDACION 2025'!$C$5,'BASE DE LIQUIDACION 2025'!$C$6)))))</f>
        <v>44559.563999999998</v>
      </c>
      <c r="AE30" s="51">
        <f>IF(Z30="SOPORTE_TELEFÓNICO",AD30,CIERRES!AC30*CIERRES!AD30)</f>
        <v>44559.563999999998</v>
      </c>
    </row>
    <row r="31" spans="1:31" s="66" customFormat="1" ht="13.15">
      <c r="A31" s="49" t="s">
        <v>133</v>
      </c>
      <c r="B31" s="50" t="str">
        <f>VLOOKUP(A31,'CENTRO DE COSTOS'!A:D,4,FALSE)</f>
        <v>JOSE MAURICIO HERNANDEZ ROJAS</v>
      </c>
      <c r="C31" s="50" t="str">
        <f>VLOOKUP(A31,'CENTRO DE COSTOS'!A:C,2,FALSE)</f>
        <v>0004-0001</v>
      </c>
      <c r="D31" s="79">
        <v>47205</v>
      </c>
      <c r="E31" s="79" t="s">
        <v>293</v>
      </c>
      <c r="F31" s="80" t="s">
        <v>294</v>
      </c>
      <c r="G31" s="80">
        <v>45814.457638888889</v>
      </c>
      <c r="H31" s="80">
        <v>45817.58153935185</v>
      </c>
      <c r="I31" s="49" t="s">
        <v>295</v>
      </c>
      <c r="J31" s="49" t="s">
        <v>296</v>
      </c>
      <c r="K31" s="49" t="s">
        <v>297</v>
      </c>
      <c r="L31" s="49">
        <v>35491</v>
      </c>
      <c r="M31" s="79" t="s">
        <v>83</v>
      </c>
      <c r="N31" s="79" t="s">
        <v>84</v>
      </c>
      <c r="O31" s="79" t="s">
        <v>84</v>
      </c>
      <c r="P31" s="79" t="s">
        <v>85</v>
      </c>
      <c r="Q31" s="49" t="s">
        <v>86</v>
      </c>
      <c r="R31" s="49" t="s">
        <v>87</v>
      </c>
      <c r="S31" s="79" t="s">
        <v>88</v>
      </c>
      <c r="T31" s="79" t="s">
        <v>89</v>
      </c>
      <c r="U31" s="49" t="s">
        <v>298</v>
      </c>
      <c r="V31" s="79" t="s">
        <v>299</v>
      </c>
      <c r="W31" s="79" t="s">
        <v>300</v>
      </c>
      <c r="X31" s="81" t="s">
        <v>181</v>
      </c>
      <c r="Y31" s="60" t="str">
        <f>VLOOKUP(D31,TIPOLOGIAS!A:F,5,0)</f>
        <v>TERRESTRE</v>
      </c>
      <c r="Z31" s="79" t="s">
        <v>110</v>
      </c>
      <c r="AA31" s="82">
        <v>0</v>
      </c>
      <c r="AB31" s="79">
        <v>0</v>
      </c>
      <c r="AC31" s="79">
        <v>1</v>
      </c>
      <c r="AD31" s="51">
        <f>IF(AND(Z31="SOPORTE_TELEFÓNICO",OR(T31="SIN CONTACTO CON EL CB",T31="NÚMEROS DE CONTACTO ERRADOS")),0,IF(Z31="SOPORTE_TELEFÓNICO",'BASE DE LIQUIDACION 2025'!$B$9,IF(X31="TIPO I",'BASE DE LIQUIDACION 2025'!$C$3,IF(X31="TIPO II",'BASE DE LIQUIDACION 2025'!$C$4,IF(X31="TIPO III",'BASE DE LIQUIDACION 2025'!$C$5,'BASE DE LIQUIDACION 2025'!$C$6)))))</f>
        <v>222904.07200000001</v>
      </c>
      <c r="AE31" s="51">
        <f>IF(Z31="SOPORTE_TELEFÓNICO",AD31,CIERRES!AC31*CIERRES!AD31)</f>
        <v>222904.07200000001</v>
      </c>
    </row>
    <row r="32" spans="1:31" s="66" customFormat="1" ht="13.15">
      <c r="A32" s="49" t="s">
        <v>285</v>
      </c>
      <c r="B32" s="50" t="str">
        <f>VLOOKUP(A32,'CENTRO DE COSTOS'!A:D,4,FALSE)</f>
        <v>JUAN SEBASTIÁN RÍOS CASTRILLÓN</v>
      </c>
      <c r="C32" s="50" t="str">
        <f>VLOOKUP(A32,'CENTRO DE COSTOS'!A:C,2,FALSE)</f>
        <v>0004-0005</v>
      </c>
      <c r="D32" s="79">
        <v>5001</v>
      </c>
      <c r="E32" s="79" t="s">
        <v>301</v>
      </c>
      <c r="F32" s="80" t="s">
        <v>302</v>
      </c>
      <c r="G32" s="80">
        <v>45814.457638888889</v>
      </c>
      <c r="H32" s="80">
        <v>45817.625115740739</v>
      </c>
      <c r="I32" s="49" t="s">
        <v>275</v>
      </c>
      <c r="J32" s="49" t="s">
        <v>285</v>
      </c>
      <c r="K32" s="49" t="s">
        <v>303</v>
      </c>
      <c r="L32" s="49">
        <v>39315</v>
      </c>
      <c r="M32" s="79" t="s">
        <v>83</v>
      </c>
      <c r="N32" s="79" t="s">
        <v>84</v>
      </c>
      <c r="O32" s="79" t="s">
        <v>84</v>
      </c>
      <c r="P32" s="79" t="s">
        <v>85</v>
      </c>
      <c r="Q32" s="49" t="s">
        <v>86</v>
      </c>
      <c r="R32" s="49" t="s">
        <v>231</v>
      </c>
      <c r="S32" s="79" t="s">
        <v>138</v>
      </c>
      <c r="T32" s="79" t="s">
        <v>139</v>
      </c>
      <c r="U32" s="49" t="s">
        <v>304</v>
      </c>
      <c r="V32" s="79" t="s">
        <v>279</v>
      </c>
      <c r="W32" s="79">
        <v>0</v>
      </c>
      <c r="X32" s="81" t="s">
        <v>119</v>
      </c>
      <c r="Y32" s="60" t="str">
        <f>VLOOKUP(D32,TIPOLOGIAS!A:F,5,0)</f>
        <v>TERRESTRE</v>
      </c>
      <c r="Z32" s="79" t="s">
        <v>110</v>
      </c>
      <c r="AA32" s="82">
        <v>0</v>
      </c>
      <c r="AB32" s="79">
        <v>0</v>
      </c>
      <c r="AC32" s="79">
        <v>1</v>
      </c>
      <c r="AD32" s="51">
        <f>IF(AND(Z32="SOPORTE_TELEFÓNICO",OR(T32="SIN CONTACTO CON EL CB",T32="NÚMEROS DE CONTACTO ERRADOS")),0,IF(Z32="SOPORTE_TELEFÓNICO",'BASE DE LIQUIDACION 2025'!$B$9,IF(X32="TIPO I",'BASE DE LIQUIDACION 2025'!$C$3,IF(X32="TIPO II",'BASE DE LIQUIDACION 2025'!$C$4,IF(X32="TIPO III",'BASE DE LIQUIDACION 2025'!$C$5,'BASE DE LIQUIDACION 2025'!$C$6)))))</f>
        <v>44559.563999999998</v>
      </c>
      <c r="AE32" s="51">
        <f>IF(Z32="SOPORTE_TELEFÓNICO",AD32,CIERRES!AC32*CIERRES!AD32)</f>
        <v>44559.563999999998</v>
      </c>
    </row>
    <row r="33" spans="1:31" s="66" customFormat="1" ht="13.15">
      <c r="A33" s="49" t="s">
        <v>285</v>
      </c>
      <c r="B33" s="50" t="str">
        <f>VLOOKUP(A33,'CENTRO DE COSTOS'!A:D,4,FALSE)</f>
        <v>JUAN SEBASTIÁN RÍOS CASTRILLÓN</v>
      </c>
      <c r="C33" s="50" t="str">
        <f>VLOOKUP(A33,'CENTRO DE COSTOS'!A:C,2,FALSE)</f>
        <v>0004-0005</v>
      </c>
      <c r="D33" s="79">
        <v>5001</v>
      </c>
      <c r="E33" s="79" t="s">
        <v>305</v>
      </c>
      <c r="F33" s="80" t="s">
        <v>306</v>
      </c>
      <c r="G33" s="80">
        <v>45814.457638888889</v>
      </c>
      <c r="H33" s="80">
        <v>45817.698298611111</v>
      </c>
      <c r="I33" s="49" t="s">
        <v>275</v>
      </c>
      <c r="J33" s="49" t="s">
        <v>285</v>
      </c>
      <c r="K33" s="49" t="s">
        <v>307</v>
      </c>
      <c r="L33" s="49">
        <v>32236</v>
      </c>
      <c r="M33" s="79" t="s">
        <v>83</v>
      </c>
      <c r="N33" s="79" t="s">
        <v>84</v>
      </c>
      <c r="O33" s="79" t="s">
        <v>84</v>
      </c>
      <c r="P33" s="79" t="s">
        <v>85</v>
      </c>
      <c r="Q33" s="49" t="s">
        <v>86</v>
      </c>
      <c r="R33" s="49" t="s">
        <v>231</v>
      </c>
      <c r="S33" s="79" t="s">
        <v>138</v>
      </c>
      <c r="T33" s="79" t="s">
        <v>139</v>
      </c>
      <c r="U33" s="49" t="s">
        <v>308</v>
      </c>
      <c r="V33" s="79" t="s">
        <v>309</v>
      </c>
      <c r="W33" s="79" t="s">
        <v>310</v>
      </c>
      <c r="X33" s="81" t="s">
        <v>119</v>
      </c>
      <c r="Y33" s="60" t="str">
        <f>VLOOKUP(D33,TIPOLOGIAS!A:F,5,0)</f>
        <v>TERRESTRE</v>
      </c>
      <c r="Z33" s="79" t="s">
        <v>110</v>
      </c>
      <c r="AA33" s="82">
        <v>0</v>
      </c>
      <c r="AB33" s="79">
        <v>0</v>
      </c>
      <c r="AC33" s="79">
        <v>1</v>
      </c>
      <c r="AD33" s="51">
        <f>IF(AND(Z33="SOPORTE_TELEFÓNICO",OR(T33="SIN CONTACTO CON EL CB",T33="NÚMEROS DE CONTACTO ERRADOS")),0,IF(Z33="SOPORTE_TELEFÓNICO",'BASE DE LIQUIDACION 2025'!$B$9,IF(X33="TIPO I",'BASE DE LIQUIDACION 2025'!$C$3,IF(X33="TIPO II",'BASE DE LIQUIDACION 2025'!$C$4,IF(X33="TIPO III",'BASE DE LIQUIDACION 2025'!$C$5,'BASE DE LIQUIDACION 2025'!$C$6)))))</f>
        <v>44559.563999999998</v>
      </c>
      <c r="AE33" s="51">
        <f>IF(Z33="SOPORTE_TELEFÓNICO",AD33,CIERRES!AC33*CIERRES!AD33)</f>
        <v>44559.563999999998</v>
      </c>
    </row>
    <row r="34" spans="1:31" s="66" customFormat="1" ht="13.15">
      <c r="A34" s="49" t="s">
        <v>133</v>
      </c>
      <c r="B34" s="50" t="str">
        <f>VLOOKUP(A34,'CENTRO DE COSTOS'!A:D,4,FALSE)</f>
        <v>JOSE MAURICIO HERNANDEZ ROJAS</v>
      </c>
      <c r="C34" s="50" t="str">
        <f>VLOOKUP(A34,'CENTRO DE COSTOS'!A:C,2,FALSE)</f>
        <v>0004-0001</v>
      </c>
      <c r="D34" s="79">
        <v>8001</v>
      </c>
      <c r="E34" s="79" t="s">
        <v>311</v>
      </c>
      <c r="F34" s="80" t="s">
        <v>312</v>
      </c>
      <c r="G34" s="80">
        <v>45813.673611111109</v>
      </c>
      <c r="H34" s="80">
        <v>45818.284317129634</v>
      </c>
      <c r="I34" s="49" t="s">
        <v>136</v>
      </c>
      <c r="J34" s="49" t="s">
        <v>133</v>
      </c>
      <c r="K34" s="49" t="s">
        <v>313</v>
      </c>
      <c r="L34" s="49">
        <v>23367</v>
      </c>
      <c r="M34" s="79" t="s">
        <v>83</v>
      </c>
      <c r="N34" s="79" t="s">
        <v>84</v>
      </c>
      <c r="O34" s="79" t="s">
        <v>116</v>
      </c>
      <c r="P34" s="79" t="s">
        <v>85</v>
      </c>
      <c r="Q34" s="49" t="s">
        <v>97</v>
      </c>
      <c r="R34" s="49" t="s">
        <v>97</v>
      </c>
      <c r="S34" s="79" t="s">
        <v>88</v>
      </c>
      <c r="T34" s="79" t="s">
        <v>89</v>
      </c>
      <c r="U34" s="49" t="s">
        <v>314</v>
      </c>
      <c r="V34" s="79" t="s">
        <v>141</v>
      </c>
      <c r="W34" s="79" t="s">
        <v>315</v>
      </c>
      <c r="X34" s="81" t="s">
        <v>119</v>
      </c>
      <c r="Y34" s="60" t="str">
        <f>VLOOKUP(D34,TIPOLOGIAS!A:F,5,0)</f>
        <v>TERRESTRE</v>
      </c>
      <c r="Z34" s="79" t="s">
        <v>110</v>
      </c>
      <c r="AA34" s="82">
        <v>0</v>
      </c>
      <c r="AB34" s="79">
        <v>0</v>
      </c>
      <c r="AC34" s="79">
        <v>1</v>
      </c>
      <c r="AD34" s="51">
        <f>IF(AND(Z34="SOPORTE_TELEFÓNICO",OR(T34="SIN CONTACTO CON EL CB",T34="NÚMEROS DE CONTACTO ERRADOS")),0,IF(Z34="SOPORTE_TELEFÓNICO",'BASE DE LIQUIDACION 2025'!$B$9,IF(X34="TIPO I",'BASE DE LIQUIDACION 2025'!$C$3,IF(X34="TIPO II",'BASE DE LIQUIDACION 2025'!$C$4,IF(X34="TIPO III",'BASE DE LIQUIDACION 2025'!$C$5,'BASE DE LIQUIDACION 2025'!$C$6)))))</f>
        <v>44559.563999999998</v>
      </c>
      <c r="AE34" s="51">
        <f>IF(Z34="SOPORTE_TELEFÓNICO",AD34,CIERRES!AC34*CIERRES!AD34)</f>
        <v>44559.563999999998</v>
      </c>
    </row>
    <row r="35" spans="1:31" s="66" customFormat="1" ht="13.15">
      <c r="A35" s="49" t="s">
        <v>182</v>
      </c>
      <c r="B35" s="50" t="str">
        <f>VLOOKUP(A35,'CENTRO DE COSTOS'!A:D,4,FALSE)</f>
        <v>MIGUEL JULIÁN HERNÁNDEZ GUARÍN</v>
      </c>
      <c r="C35" s="50" t="str">
        <f>VLOOKUP(A35,'CENTRO DE COSTOS'!A:C,2,FALSE)</f>
        <v>0004-0008</v>
      </c>
      <c r="D35" s="79">
        <v>15667</v>
      </c>
      <c r="E35" s="79" t="s">
        <v>316</v>
      </c>
      <c r="F35" s="80" t="s">
        <v>317</v>
      </c>
      <c r="G35" s="80">
        <v>45817.56527777778</v>
      </c>
      <c r="H35" s="80">
        <v>45818.461423611108</v>
      </c>
      <c r="I35" s="49" t="s">
        <v>185</v>
      </c>
      <c r="J35" s="49" t="s">
        <v>318</v>
      </c>
      <c r="K35" s="49" t="s">
        <v>319</v>
      </c>
      <c r="L35" s="49">
        <v>24216</v>
      </c>
      <c r="M35" s="79" t="s">
        <v>83</v>
      </c>
      <c r="N35" s="79" t="s">
        <v>84</v>
      </c>
      <c r="O35" s="79" t="s">
        <v>84</v>
      </c>
      <c r="P35" s="79" t="s">
        <v>85</v>
      </c>
      <c r="Q35" s="49" t="s">
        <v>97</v>
      </c>
      <c r="R35" s="49" t="s">
        <v>97</v>
      </c>
      <c r="S35" s="79" t="s">
        <v>88</v>
      </c>
      <c r="T35" s="79" t="s">
        <v>89</v>
      </c>
      <c r="U35" s="49" t="s">
        <v>320</v>
      </c>
      <c r="V35" s="79" t="s">
        <v>191</v>
      </c>
      <c r="W35" s="79">
        <v>0</v>
      </c>
      <c r="X35" s="81" t="s">
        <v>181</v>
      </c>
      <c r="Y35" s="60" t="str">
        <f>VLOOKUP(D35,TIPOLOGIAS!A:F,5,0)</f>
        <v>TERRESTRE</v>
      </c>
      <c r="Z35" s="79" t="s">
        <v>110</v>
      </c>
      <c r="AA35" s="82">
        <v>0</v>
      </c>
      <c r="AB35" s="79" t="s">
        <v>321</v>
      </c>
      <c r="AC35" s="79">
        <v>1</v>
      </c>
      <c r="AD35" s="51">
        <f>IF(AND(Z35="SOPORTE_TELEFÓNICO",OR(T35="SIN CONTACTO CON EL CB",T35="NÚMEROS DE CONTACTO ERRADOS")),0,IF(Z35="SOPORTE_TELEFÓNICO",'BASE DE LIQUIDACION 2025'!$B$9,IF(X35="TIPO I",'BASE DE LIQUIDACION 2025'!$C$3,IF(X35="TIPO II",'BASE DE LIQUIDACION 2025'!$C$4,IF(X35="TIPO III",'BASE DE LIQUIDACION 2025'!$C$5,'BASE DE LIQUIDACION 2025'!$C$6)))))</f>
        <v>222904.07200000001</v>
      </c>
      <c r="AE35" s="51">
        <f>IF(Z35="SOPORTE_TELEFÓNICO",AD35,CIERRES!AC35*CIERRES!AD35)</f>
        <v>222904.07200000001</v>
      </c>
    </row>
    <row r="36" spans="1:31" s="66" customFormat="1" ht="13.15">
      <c r="A36" s="49" t="s">
        <v>77</v>
      </c>
      <c r="B36" s="50" t="str">
        <f>VLOOKUP(A36,'CENTRO DE COSTOS'!A:D,4,FALSE)</f>
        <v>DIEGO FERNANDO HENAO CARDONA</v>
      </c>
      <c r="C36" s="50" t="str">
        <f>VLOOKUP(A36,'CENTRO DE COSTOS'!A:C,2,FALSE)</f>
        <v>0004-0003</v>
      </c>
      <c r="D36" s="79">
        <v>52001</v>
      </c>
      <c r="E36" s="79" t="s">
        <v>322</v>
      </c>
      <c r="F36" s="80" t="s">
        <v>323</v>
      </c>
      <c r="G36" s="80">
        <v>45817.56527777778</v>
      </c>
      <c r="H36" s="80">
        <v>45818.655648148153</v>
      </c>
      <c r="I36" s="49" t="s">
        <v>80</v>
      </c>
      <c r="J36" s="49" t="s">
        <v>77</v>
      </c>
      <c r="K36" s="49" t="s">
        <v>324</v>
      </c>
      <c r="L36" s="49">
        <v>75662</v>
      </c>
      <c r="M36" s="79" t="s">
        <v>83</v>
      </c>
      <c r="N36" s="79" t="s">
        <v>84</v>
      </c>
      <c r="O36" s="79" t="s">
        <v>84</v>
      </c>
      <c r="P36" s="79" t="s">
        <v>85</v>
      </c>
      <c r="Q36" s="49" t="s">
        <v>97</v>
      </c>
      <c r="R36" s="49" t="s">
        <v>97</v>
      </c>
      <c r="S36" s="79" t="s">
        <v>138</v>
      </c>
      <c r="T36" s="79" t="s">
        <v>139</v>
      </c>
      <c r="U36" s="49" t="s">
        <v>325</v>
      </c>
      <c r="V36" s="79" t="s">
        <v>326</v>
      </c>
      <c r="W36" s="79" t="s">
        <v>327</v>
      </c>
      <c r="X36" s="81" t="s">
        <v>119</v>
      </c>
      <c r="Y36" s="60" t="str">
        <f>VLOOKUP(D36,TIPOLOGIAS!A:F,5,0)</f>
        <v>TERRESTRE</v>
      </c>
      <c r="Z36" s="79" t="s">
        <v>110</v>
      </c>
      <c r="AA36" s="82">
        <v>0</v>
      </c>
      <c r="AB36" s="79">
        <v>0</v>
      </c>
      <c r="AC36" s="79">
        <v>1</v>
      </c>
      <c r="AD36" s="51">
        <f>IF(AND(Z36="SOPORTE_TELEFÓNICO",OR(T36="SIN CONTACTO CON EL CB",T36="NÚMEROS DE CONTACTO ERRADOS")),0,IF(Z36="SOPORTE_TELEFÓNICO",'BASE DE LIQUIDACION 2025'!$B$9,IF(X36="TIPO I",'BASE DE LIQUIDACION 2025'!$C$3,IF(X36="TIPO II",'BASE DE LIQUIDACION 2025'!$C$4,IF(X36="TIPO III",'BASE DE LIQUIDACION 2025'!$C$5,'BASE DE LIQUIDACION 2025'!$C$6)))))</f>
        <v>44559.563999999998</v>
      </c>
      <c r="AE36" s="51">
        <f>IF(Z36="SOPORTE_TELEFÓNICO",AD36,CIERRES!AC36*CIERRES!AD36)</f>
        <v>44559.563999999998</v>
      </c>
    </row>
    <row r="37" spans="1:31" s="66" customFormat="1" ht="13.15">
      <c r="A37" s="49" t="s">
        <v>77</v>
      </c>
      <c r="B37" s="50" t="str">
        <f>VLOOKUP(A37,'CENTRO DE COSTOS'!A:D,4,FALSE)</f>
        <v>DIEGO FERNANDO HENAO CARDONA</v>
      </c>
      <c r="C37" s="50" t="str">
        <f>VLOOKUP(A37,'CENTRO DE COSTOS'!A:C,2,FALSE)</f>
        <v>0004-0003</v>
      </c>
      <c r="D37" s="79">
        <v>52356</v>
      </c>
      <c r="E37" s="79" t="s">
        <v>328</v>
      </c>
      <c r="F37" s="80" t="s">
        <v>329</v>
      </c>
      <c r="G37" s="80">
        <v>45813.673611111109</v>
      </c>
      <c r="H37" s="80">
        <v>45819.392488425918</v>
      </c>
      <c r="I37" s="49" t="s">
        <v>80</v>
      </c>
      <c r="J37" s="49" t="s">
        <v>330</v>
      </c>
      <c r="K37" s="49" t="s">
        <v>331</v>
      </c>
      <c r="L37" s="49">
        <v>63875</v>
      </c>
      <c r="M37" s="79" t="s">
        <v>83</v>
      </c>
      <c r="N37" s="79" t="s">
        <v>84</v>
      </c>
      <c r="O37" s="79" t="s">
        <v>84</v>
      </c>
      <c r="P37" s="79" t="s">
        <v>85</v>
      </c>
      <c r="Q37" s="49" t="s">
        <v>97</v>
      </c>
      <c r="R37" s="49" t="s">
        <v>97</v>
      </c>
      <c r="S37" s="79" t="s">
        <v>88</v>
      </c>
      <c r="T37" s="79" t="s">
        <v>89</v>
      </c>
      <c r="U37" s="49" t="s">
        <v>332</v>
      </c>
      <c r="V37" s="79" t="s">
        <v>132</v>
      </c>
      <c r="W37" s="79">
        <v>0</v>
      </c>
      <c r="X37" s="81" t="s">
        <v>92</v>
      </c>
      <c r="Y37" s="60" t="str">
        <f>VLOOKUP(D37,TIPOLOGIAS!A:F,5,0)</f>
        <v>TERRESTRE</v>
      </c>
      <c r="Z37" s="79" t="s">
        <v>93</v>
      </c>
      <c r="AA37" s="82">
        <v>0</v>
      </c>
      <c r="AB37" s="79">
        <v>0</v>
      </c>
      <c r="AC37" s="79">
        <v>0</v>
      </c>
      <c r="AD37" s="51">
        <f>IF(AND(Z37="SOPORTE_TELEFÓNICO",OR(T37="SIN CONTACTO CON EL CB",T37="NÚMEROS DE CONTACTO ERRADOS")),0,IF(Z37="SOPORTE_TELEFÓNICO",'BASE DE LIQUIDACION 2025'!$B$9,IF(X37="TIPO I",'BASE DE LIQUIDACION 2025'!$C$3,IF(X37="TIPO II",'BASE DE LIQUIDACION 2025'!$C$4,IF(X37="TIPO III",'BASE DE LIQUIDACION 2025'!$C$5,'BASE DE LIQUIDACION 2025'!$C$6)))))</f>
        <v>37904.612000000001</v>
      </c>
      <c r="AE37" s="51">
        <f>IF(Z37="SOPORTE_TELEFÓNICO",AD37,CIERRES!AC37*CIERRES!AD37)</f>
        <v>37904.612000000001</v>
      </c>
    </row>
    <row r="38" spans="1:31" s="66" customFormat="1" ht="13.15">
      <c r="A38" s="49" t="s">
        <v>234</v>
      </c>
      <c r="B38" s="50" t="str">
        <f>VLOOKUP(A38,'CENTRO DE COSTOS'!A:D,4,FALSE)</f>
        <v>DIEGO FERNANDO HENAO CARDONA</v>
      </c>
      <c r="C38" s="50" t="str">
        <f>VLOOKUP(A38,'CENTRO DE COSTOS'!A:C,2,FALSE)</f>
        <v>0004-0002</v>
      </c>
      <c r="D38" s="79">
        <v>17777</v>
      </c>
      <c r="E38" s="79" t="s">
        <v>333</v>
      </c>
      <c r="F38" s="80" t="s">
        <v>334</v>
      </c>
      <c r="G38" s="80">
        <v>45814.457638888889</v>
      </c>
      <c r="H38" s="80">
        <v>45819.672118055547</v>
      </c>
      <c r="I38" s="49" t="s">
        <v>237</v>
      </c>
      <c r="J38" s="49" t="s">
        <v>335</v>
      </c>
      <c r="K38" s="49" t="s">
        <v>336</v>
      </c>
      <c r="L38" s="49">
        <v>44439</v>
      </c>
      <c r="M38" s="79" t="s">
        <v>83</v>
      </c>
      <c r="N38" s="79" t="s">
        <v>84</v>
      </c>
      <c r="O38" s="79" t="s">
        <v>84</v>
      </c>
      <c r="P38" s="79" t="s">
        <v>85</v>
      </c>
      <c r="Q38" s="49" t="s">
        <v>86</v>
      </c>
      <c r="R38" s="49" t="s">
        <v>87</v>
      </c>
      <c r="S38" s="79" t="s">
        <v>88</v>
      </c>
      <c r="T38" s="79" t="s">
        <v>89</v>
      </c>
      <c r="U38" s="49" t="s">
        <v>337</v>
      </c>
      <c r="V38" s="79" t="s">
        <v>132</v>
      </c>
      <c r="W38" s="79">
        <v>0</v>
      </c>
      <c r="X38" s="81" t="s">
        <v>92</v>
      </c>
      <c r="Y38" s="60" t="str">
        <f>VLOOKUP(D38,TIPOLOGIAS!A:F,5,0)</f>
        <v>TERRESTRE</v>
      </c>
      <c r="Z38" s="79" t="s">
        <v>93</v>
      </c>
      <c r="AA38" s="82">
        <v>0</v>
      </c>
      <c r="AB38" s="79">
        <v>0</v>
      </c>
      <c r="AC38" s="79">
        <v>0</v>
      </c>
      <c r="AD38" s="51">
        <f>IF(AND(Z38="SOPORTE_TELEFÓNICO",OR(T38="SIN CONTACTO CON EL CB",T38="NÚMEROS DE CONTACTO ERRADOS")),0,IF(Z38="SOPORTE_TELEFÓNICO",'BASE DE LIQUIDACION 2025'!$B$9,IF(X38="TIPO I",'BASE DE LIQUIDACION 2025'!$C$3,IF(X38="TIPO II",'BASE DE LIQUIDACION 2025'!$C$4,IF(X38="TIPO III",'BASE DE LIQUIDACION 2025'!$C$5,'BASE DE LIQUIDACION 2025'!$C$6)))))</f>
        <v>37904.612000000001</v>
      </c>
      <c r="AE38" s="51">
        <f>IF(Z38="SOPORTE_TELEFÓNICO",AD38,CIERRES!AC38*CIERRES!AD38)</f>
        <v>37904.612000000001</v>
      </c>
    </row>
    <row r="39" spans="1:31" s="66" customFormat="1" ht="13.15">
      <c r="A39" s="49" t="s">
        <v>338</v>
      </c>
      <c r="B39" s="50" t="str">
        <f>VLOOKUP(A39,'CENTRO DE COSTOS'!A:D,4,FALSE)</f>
        <v>JOSE MAURICIO HERNANDEZ ROJAS</v>
      </c>
      <c r="C39" s="50" t="str">
        <f>VLOOKUP(A39,'CENTRO DE COSTOS'!A:C,2,FALSE)</f>
        <v>0004-0001</v>
      </c>
      <c r="D39" s="79">
        <v>47001</v>
      </c>
      <c r="E39" s="79" t="s">
        <v>339</v>
      </c>
      <c r="F39" s="80" t="s">
        <v>340</v>
      </c>
      <c r="G39" s="80">
        <v>45817.673611111109</v>
      </c>
      <c r="H39" s="80">
        <v>45820.48064814815</v>
      </c>
      <c r="I39" s="49" t="s">
        <v>295</v>
      </c>
      <c r="J39" s="49" t="s">
        <v>338</v>
      </c>
      <c r="K39" s="49" t="s">
        <v>341</v>
      </c>
      <c r="L39" s="49">
        <v>70400</v>
      </c>
      <c r="M39" s="79" t="s">
        <v>83</v>
      </c>
      <c r="N39" s="79" t="s">
        <v>84</v>
      </c>
      <c r="O39" s="79" t="s">
        <v>116</v>
      </c>
      <c r="P39" s="79" t="s">
        <v>85</v>
      </c>
      <c r="Q39" s="49" t="s">
        <v>86</v>
      </c>
      <c r="R39" s="49" t="s">
        <v>87</v>
      </c>
      <c r="S39" s="79" t="s">
        <v>88</v>
      </c>
      <c r="T39" s="79" t="s">
        <v>89</v>
      </c>
      <c r="U39" s="49" t="s">
        <v>342</v>
      </c>
      <c r="V39" s="79" t="s">
        <v>343</v>
      </c>
      <c r="W39" s="79">
        <v>0</v>
      </c>
      <c r="X39" s="81" t="s">
        <v>119</v>
      </c>
      <c r="Y39" s="60" t="str">
        <f>VLOOKUP(D39,TIPOLOGIAS!A:F,5,0)</f>
        <v>TERRESTRE</v>
      </c>
      <c r="Z39" s="79" t="s">
        <v>93</v>
      </c>
      <c r="AA39" s="82">
        <v>0</v>
      </c>
      <c r="AB39" s="79">
        <v>0</v>
      </c>
      <c r="AC39" s="79">
        <v>0</v>
      </c>
      <c r="AD39" s="51">
        <f>IF(AND(Z39="SOPORTE_TELEFÓNICO",OR(T39="SIN CONTACTO CON EL CB",T39="NÚMEROS DE CONTACTO ERRADOS")),0,IF(Z39="SOPORTE_TELEFÓNICO",'BASE DE LIQUIDACION 2025'!$B$9,IF(X39="TIPO I",'BASE DE LIQUIDACION 2025'!$C$3,IF(X39="TIPO II",'BASE DE LIQUIDACION 2025'!$C$4,IF(X39="TIPO III",'BASE DE LIQUIDACION 2025'!$C$5,'BASE DE LIQUIDACION 2025'!$C$6)))))</f>
        <v>37904.612000000001</v>
      </c>
      <c r="AE39" s="51">
        <f>IF(Z39="SOPORTE_TELEFÓNICO",AD39,CIERRES!AC39*CIERRES!AD39)</f>
        <v>37904.612000000001</v>
      </c>
    </row>
    <row r="40" spans="1:31" s="66" customFormat="1" ht="13.15">
      <c r="A40" s="49" t="s">
        <v>111</v>
      </c>
      <c r="B40" s="50" t="str">
        <f>VLOOKUP(A40,'CENTRO DE COSTOS'!A:D,4,FALSE)</f>
        <v>WILLIAM ASDRUBAL ROZO ROZO</v>
      </c>
      <c r="C40" s="50" t="str">
        <f>VLOOKUP(A40,'CENTRO DE COSTOS'!A:C,2,FALSE)</f>
        <v>0004-0004</v>
      </c>
      <c r="D40" s="79">
        <v>25386</v>
      </c>
      <c r="E40" s="79" t="s">
        <v>344</v>
      </c>
      <c r="F40" s="80" t="s">
        <v>345</v>
      </c>
      <c r="G40" s="80">
        <v>45817.56527777778</v>
      </c>
      <c r="H40" s="80">
        <v>45820.545925925922</v>
      </c>
      <c r="I40" s="49" t="s">
        <v>114</v>
      </c>
      <c r="J40" s="49" t="s">
        <v>346</v>
      </c>
      <c r="K40" s="49" t="s">
        <v>347</v>
      </c>
      <c r="L40" s="49">
        <v>76271</v>
      </c>
      <c r="M40" s="79" t="s">
        <v>83</v>
      </c>
      <c r="N40" s="79" t="s">
        <v>84</v>
      </c>
      <c r="O40" s="79" t="s">
        <v>116</v>
      </c>
      <c r="P40" s="79" t="s">
        <v>85</v>
      </c>
      <c r="Q40" s="49" t="s">
        <v>97</v>
      </c>
      <c r="R40" s="49" t="s">
        <v>97</v>
      </c>
      <c r="S40" s="79" t="s">
        <v>348</v>
      </c>
      <c r="T40" s="79" t="s">
        <v>349</v>
      </c>
      <c r="U40" s="49" t="s">
        <v>350</v>
      </c>
      <c r="V40" s="79" t="s">
        <v>351</v>
      </c>
      <c r="W40" s="79" t="s">
        <v>352</v>
      </c>
      <c r="X40" s="81" t="s">
        <v>92</v>
      </c>
      <c r="Y40" s="60" t="str">
        <f>VLOOKUP(D40,TIPOLOGIAS!A:F,5,0)</f>
        <v>TERRESTRE</v>
      </c>
      <c r="Z40" s="79" t="s">
        <v>110</v>
      </c>
      <c r="AA40" s="82" t="s">
        <v>353</v>
      </c>
      <c r="AB40" s="79" t="s">
        <v>354</v>
      </c>
      <c r="AC40" s="79">
        <v>1</v>
      </c>
      <c r="AD40" s="51">
        <f>IF(AND(Z40="SOPORTE_TELEFÓNICO",OR(T40="SIN CONTACTO CON EL CB",T40="NÚMEROS DE CONTACTO ERRADOS")),0,IF(Z40="SOPORTE_TELEFÓNICO",'BASE DE LIQUIDACION 2025'!$B$9,IF(X40="TIPO I",'BASE DE LIQUIDACION 2025'!$C$3,IF(X40="TIPO II",'BASE DE LIQUIDACION 2025'!$C$4,IF(X40="TIPO III",'BASE DE LIQUIDACION 2025'!$C$5,'BASE DE LIQUIDACION 2025'!$C$6)))))</f>
        <v>134410.88400000002</v>
      </c>
      <c r="AE40" s="51">
        <f>IF(Z40="SOPORTE_TELEFÓNICO",AD40,CIERRES!AC40*CIERRES!AD40)</f>
        <v>134410.88400000002</v>
      </c>
    </row>
    <row r="41" spans="1:31" s="66" customFormat="1" ht="13.15">
      <c r="A41" s="49" t="s">
        <v>111</v>
      </c>
      <c r="B41" s="50" t="str">
        <f>VLOOKUP(A41,'CENTRO DE COSTOS'!A:D,4,FALSE)</f>
        <v>WILLIAM ASDRUBAL ROZO ROZO</v>
      </c>
      <c r="C41" s="50" t="str">
        <f>VLOOKUP(A41,'CENTRO DE COSTOS'!A:C,2,FALSE)</f>
        <v>0004-0004</v>
      </c>
      <c r="D41" s="79">
        <v>11001</v>
      </c>
      <c r="E41" s="79" t="s">
        <v>355</v>
      </c>
      <c r="F41" s="80" t="s">
        <v>356</v>
      </c>
      <c r="G41" s="80">
        <v>45817.673611111109</v>
      </c>
      <c r="H41" s="80">
        <v>45820.713171296287</v>
      </c>
      <c r="I41" s="49" t="s">
        <v>114</v>
      </c>
      <c r="J41" s="49" t="s">
        <v>111</v>
      </c>
      <c r="K41" s="49" t="s">
        <v>357</v>
      </c>
      <c r="L41" s="49">
        <v>68147</v>
      </c>
      <c r="M41" s="79" t="s">
        <v>83</v>
      </c>
      <c r="N41" s="79" t="s">
        <v>84</v>
      </c>
      <c r="O41" s="79" t="s">
        <v>84</v>
      </c>
      <c r="P41" s="79" t="s">
        <v>85</v>
      </c>
      <c r="Q41" s="49" t="s">
        <v>86</v>
      </c>
      <c r="R41" s="49" t="s">
        <v>231</v>
      </c>
      <c r="S41" s="79" t="s">
        <v>348</v>
      </c>
      <c r="T41" s="79" t="s">
        <v>349</v>
      </c>
      <c r="U41" s="49" t="s">
        <v>358</v>
      </c>
      <c r="V41" s="79" t="s">
        <v>359</v>
      </c>
      <c r="W41" s="79" t="s">
        <v>360</v>
      </c>
      <c r="X41" s="81" t="s">
        <v>119</v>
      </c>
      <c r="Y41" s="60" t="str">
        <f>VLOOKUP(D41,TIPOLOGIAS!A:F,5,0)</f>
        <v>TERRESTRE</v>
      </c>
      <c r="Z41" s="79" t="s">
        <v>110</v>
      </c>
      <c r="AA41" s="82" t="s">
        <v>361</v>
      </c>
      <c r="AB41" s="79" t="s">
        <v>362</v>
      </c>
      <c r="AC41" s="79">
        <v>1</v>
      </c>
      <c r="AD41" s="51">
        <f>IF(AND(Z41="SOPORTE_TELEFÓNICO",OR(T41="SIN CONTACTO CON EL CB",T41="NÚMEROS DE CONTACTO ERRADOS")),0,IF(Z41="SOPORTE_TELEFÓNICO",'BASE DE LIQUIDACION 2025'!$B$9,IF(X41="TIPO I",'BASE DE LIQUIDACION 2025'!$C$3,IF(X41="TIPO II",'BASE DE LIQUIDACION 2025'!$C$4,IF(X41="TIPO III",'BASE DE LIQUIDACION 2025'!$C$5,'BASE DE LIQUIDACION 2025'!$C$6)))))</f>
        <v>44559.563999999998</v>
      </c>
      <c r="AE41" s="51">
        <f>IF(Z41="SOPORTE_TELEFÓNICO",AD41,CIERRES!AC41*CIERRES!AD41)</f>
        <v>44559.563999999998</v>
      </c>
    </row>
    <row r="42" spans="1:31" s="66" customFormat="1" ht="13.15">
      <c r="A42" s="49" t="s">
        <v>142</v>
      </c>
      <c r="B42" s="50" t="str">
        <f>VLOOKUP(A42,'CENTRO DE COSTOS'!A:D,4,FALSE)</f>
        <v>MIGUEL JULIÁN HERNÁNDEZ GUARÍN</v>
      </c>
      <c r="C42" s="50" t="str">
        <f>VLOOKUP(A42,'CENTRO DE COSTOS'!A:C,2,FALSE)</f>
        <v>0004-0008</v>
      </c>
      <c r="D42" s="79">
        <v>68001</v>
      </c>
      <c r="E42" s="79" t="s">
        <v>363</v>
      </c>
      <c r="F42" s="80" t="s">
        <v>364</v>
      </c>
      <c r="G42" s="80">
        <v>45814.457638888889</v>
      </c>
      <c r="H42" s="80">
        <v>45820.876550925917</v>
      </c>
      <c r="I42" s="49" t="s">
        <v>145</v>
      </c>
      <c r="J42" s="49" t="s">
        <v>142</v>
      </c>
      <c r="K42" s="49" t="s">
        <v>365</v>
      </c>
      <c r="L42" s="49">
        <v>78127</v>
      </c>
      <c r="M42" s="79" t="s">
        <v>83</v>
      </c>
      <c r="N42" s="79" t="s">
        <v>84</v>
      </c>
      <c r="O42" s="79" t="s">
        <v>84</v>
      </c>
      <c r="P42" s="79" t="s">
        <v>85</v>
      </c>
      <c r="Q42" s="49" t="s">
        <v>86</v>
      </c>
      <c r="R42" s="49" t="s">
        <v>231</v>
      </c>
      <c r="S42" s="79" t="s">
        <v>348</v>
      </c>
      <c r="T42" s="79" t="s">
        <v>349</v>
      </c>
      <c r="U42" s="49" t="s">
        <v>366</v>
      </c>
      <c r="V42" s="79" t="s">
        <v>367</v>
      </c>
      <c r="W42" s="79" t="s">
        <v>368</v>
      </c>
      <c r="X42" s="81" t="s">
        <v>119</v>
      </c>
      <c r="Y42" s="60" t="str">
        <f>VLOOKUP(D42,TIPOLOGIAS!A:F,5,0)</f>
        <v>TERRESTRE</v>
      </c>
      <c r="Z42" s="79" t="s">
        <v>110</v>
      </c>
      <c r="AA42" s="82" t="s">
        <v>369</v>
      </c>
      <c r="AB42" s="79" t="s">
        <v>370</v>
      </c>
      <c r="AC42" s="79">
        <v>1</v>
      </c>
      <c r="AD42" s="51">
        <f>IF(AND(Z42="SOPORTE_TELEFÓNICO",OR(T42="SIN CONTACTO CON EL CB",T42="NÚMEROS DE CONTACTO ERRADOS")),0,IF(Z42="SOPORTE_TELEFÓNICO",'BASE DE LIQUIDACION 2025'!$B$9,IF(X42="TIPO I",'BASE DE LIQUIDACION 2025'!$C$3,IF(X42="TIPO II",'BASE DE LIQUIDACION 2025'!$C$4,IF(X42="TIPO III",'BASE DE LIQUIDACION 2025'!$C$5,'BASE DE LIQUIDACION 2025'!$C$6)))))</f>
        <v>44559.563999999998</v>
      </c>
      <c r="AE42" s="51">
        <f>IF(Z42="SOPORTE_TELEFÓNICO",AD42,CIERRES!AC42*CIERRES!AD42)</f>
        <v>44559.563999999998</v>
      </c>
    </row>
    <row r="43" spans="1:31" s="66" customFormat="1" ht="13.15">
      <c r="A43" s="49" t="s">
        <v>111</v>
      </c>
      <c r="B43" s="50" t="str">
        <f>VLOOKUP(A43,'CENTRO DE COSTOS'!A:D,4,FALSE)</f>
        <v>WILLIAM ASDRUBAL ROZO ROZO</v>
      </c>
      <c r="C43" s="50" t="str">
        <f>VLOOKUP(A43,'CENTRO DE COSTOS'!A:C,2,FALSE)</f>
        <v>0004-0004</v>
      </c>
      <c r="D43" s="79">
        <v>25214</v>
      </c>
      <c r="E43" s="79" t="s">
        <v>371</v>
      </c>
      <c r="F43" s="80" t="s">
        <v>372</v>
      </c>
      <c r="G43" s="80">
        <v>45817.673611111109</v>
      </c>
      <c r="H43" s="80">
        <v>45821.498738425929</v>
      </c>
      <c r="I43" s="49" t="s">
        <v>114</v>
      </c>
      <c r="J43" s="49" t="s">
        <v>373</v>
      </c>
      <c r="K43" s="49" t="s">
        <v>374</v>
      </c>
      <c r="L43" s="49">
        <v>44112</v>
      </c>
      <c r="M43" s="79" t="s">
        <v>83</v>
      </c>
      <c r="N43" s="79" t="s">
        <v>84</v>
      </c>
      <c r="O43" s="79" t="s">
        <v>84</v>
      </c>
      <c r="P43" s="79" t="s">
        <v>85</v>
      </c>
      <c r="Q43" s="49" t="s">
        <v>86</v>
      </c>
      <c r="R43" s="49" t="s">
        <v>87</v>
      </c>
      <c r="S43" s="79" t="s">
        <v>138</v>
      </c>
      <c r="T43" s="79" t="s">
        <v>139</v>
      </c>
      <c r="U43" s="49" t="s">
        <v>375</v>
      </c>
      <c r="V43" s="79" t="s">
        <v>376</v>
      </c>
      <c r="W43" s="79">
        <v>0</v>
      </c>
      <c r="X43" s="81" t="s">
        <v>92</v>
      </c>
      <c r="Y43" s="60" t="str">
        <f>VLOOKUP(D43,TIPOLOGIAS!A:F,5,0)</f>
        <v>TERRESTRE</v>
      </c>
      <c r="Z43" s="79" t="s">
        <v>110</v>
      </c>
      <c r="AA43" s="82">
        <v>0</v>
      </c>
      <c r="AB43" s="79">
        <v>0</v>
      </c>
      <c r="AC43" s="79">
        <v>1</v>
      </c>
      <c r="AD43" s="51">
        <f>IF(AND(Z43="SOPORTE_TELEFÓNICO",OR(T43="SIN CONTACTO CON EL CB",T43="NÚMEROS DE CONTACTO ERRADOS")),0,IF(Z43="SOPORTE_TELEFÓNICO",'BASE DE LIQUIDACION 2025'!$B$9,IF(X43="TIPO I",'BASE DE LIQUIDACION 2025'!$C$3,IF(X43="TIPO II",'BASE DE LIQUIDACION 2025'!$C$4,IF(X43="TIPO III",'BASE DE LIQUIDACION 2025'!$C$5,'BASE DE LIQUIDACION 2025'!$C$6)))))</f>
        <v>134410.88400000002</v>
      </c>
      <c r="AE43" s="51">
        <f>IF(Z43="SOPORTE_TELEFÓNICO",AD43,CIERRES!AC43*CIERRES!AD43)</f>
        <v>134410.88400000002</v>
      </c>
    </row>
    <row r="44" spans="1:31" s="66" customFormat="1" ht="13.15">
      <c r="A44" s="49" t="s">
        <v>377</v>
      </c>
      <c r="B44" s="50" t="str">
        <f>VLOOKUP(A44,'CENTRO DE COSTOS'!A:D,4,FALSE)</f>
        <v>KEVIN ALEXIS CORZO BUSTOS</v>
      </c>
      <c r="C44" s="50" t="str">
        <f>VLOOKUP(A44,'CENTRO DE COSTOS'!A:C,2,FALSE)</f>
        <v>0004-0007</v>
      </c>
      <c r="D44" s="79">
        <v>73001</v>
      </c>
      <c r="E44" s="79" t="s">
        <v>378</v>
      </c>
      <c r="F44" s="83" t="s">
        <v>379</v>
      </c>
      <c r="G44" s="80">
        <v>45820.583333333336</v>
      </c>
      <c r="H44" s="80">
        <v>45821.622199074067</v>
      </c>
      <c r="I44" s="49" t="s">
        <v>380</v>
      </c>
      <c r="J44" s="49" t="s">
        <v>377</v>
      </c>
      <c r="K44" s="49" t="s">
        <v>381</v>
      </c>
      <c r="L44" s="49">
        <v>72512</v>
      </c>
      <c r="M44" s="79" t="s">
        <v>83</v>
      </c>
      <c r="N44" s="79" t="s">
        <v>84</v>
      </c>
      <c r="O44" s="79" t="s">
        <v>84</v>
      </c>
      <c r="P44" s="79" t="s">
        <v>85</v>
      </c>
      <c r="Q44" s="49" t="s">
        <v>97</v>
      </c>
      <c r="R44" s="49" t="s">
        <v>97</v>
      </c>
      <c r="S44" s="79" t="s">
        <v>138</v>
      </c>
      <c r="T44" s="79" t="s">
        <v>139</v>
      </c>
      <c r="U44" s="49" t="s">
        <v>382</v>
      </c>
      <c r="V44" s="79" t="s">
        <v>383</v>
      </c>
      <c r="W44" s="79">
        <v>0</v>
      </c>
      <c r="X44" s="81" t="s">
        <v>119</v>
      </c>
      <c r="Y44" s="60" t="str">
        <f>VLOOKUP(D44,TIPOLOGIAS!A:F,5,0)</f>
        <v>TERRESTRE</v>
      </c>
      <c r="Z44" s="79" t="s">
        <v>110</v>
      </c>
      <c r="AA44" s="82">
        <v>0</v>
      </c>
      <c r="AB44" s="79">
        <v>0</v>
      </c>
      <c r="AC44" s="79">
        <v>1</v>
      </c>
      <c r="AD44" s="51">
        <f>IF(AND(Z44="SOPORTE_TELEFÓNICO",OR(T44="SIN CONTACTO CON EL CB",T44="NÚMEROS DE CONTACTO ERRADOS")),0,IF(Z44="SOPORTE_TELEFÓNICO",'BASE DE LIQUIDACION 2025'!$B$9,IF(X44="TIPO I",'BASE DE LIQUIDACION 2025'!$C$3,IF(X44="TIPO II",'BASE DE LIQUIDACION 2025'!$C$4,IF(X44="TIPO III",'BASE DE LIQUIDACION 2025'!$C$5,'BASE DE LIQUIDACION 2025'!$C$6)))))</f>
        <v>44559.563999999998</v>
      </c>
      <c r="AE44" s="51">
        <f>IF(Z44="SOPORTE_TELEFÓNICO",AD44,CIERRES!AC44*CIERRES!AD44)</f>
        <v>44559.563999999998</v>
      </c>
    </row>
    <row r="45" spans="1:31" s="66" customFormat="1" ht="13.15">
      <c r="A45" s="49" t="s">
        <v>111</v>
      </c>
      <c r="B45" s="50" t="str">
        <f>VLOOKUP(A45,'CENTRO DE COSTOS'!A:D,4,FALSE)</f>
        <v>WILLIAM ASDRUBAL ROZO ROZO</v>
      </c>
      <c r="C45" s="50" t="str">
        <f>VLOOKUP(A45,'CENTRO DE COSTOS'!A:C,2,FALSE)</f>
        <v>0004-0004</v>
      </c>
      <c r="D45" s="79">
        <v>25286</v>
      </c>
      <c r="E45" s="79" t="s">
        <v>384</v>
      </c>
      <c r="F45" s="83" t="s">
        <v>385</v>
      </c>
      <c r="G45" s="80">
        <v>45820.583333333336</v>
      </c>
      <c r="H45" s="80">
        <v>45821.689675925933</v>
      </c>
      <c r="I45" s="49" t="s">
        <v>114</v>
      </c>
      <c r="J45" s="49" t="s">
        <v>386</v>
      </c>
      <c r="K45" s="49" t="s">
        <v>387</v>
      </c>
      <c r="L45" s="49">
        <v>46905</v>
      </c>
      <c r="M45" s="79" t="s">
        <v>83</v>
      </c>
      <c r="N45" s="79" t="s">
        <v>84</v>
      </c>
      <c r="O45" s="79" t="s">
        <v>84</v>
      </c>
      <c r="P45" s="79" t="s">
        <v>85</v>
      </c>
      <c r="Q45" s="49" t="s">
        <v>97</v>
      </c>
      <c r="R45" s="49" t="s">
        <v>97</v>
      </c>
      <c r="S45" s="79" t="s">
        <v>138</v>
      </c>
      <c r="T45" s="79" t="s">
        <v>139</v>
      </c>
      <c r="U45" s="49" t="s">
        <v>388</v>
      </c>
      <c r="V45" s="79" t="s">
        <v>389</v>
      </c>
      <c r="W45" s="79">
        <v>0</v>
      </c>
      <c r="X45" s="81" t="s">
        <v>92</v>
      </c>
      <c r="Y45" s="60" t="str">
        <f>VLOOKUP(D45,TIPOLOGIAS!A:F,5,0)</f>
        <v>TERRESTRE</v>
      </c>
      <c r="Z45" s="79" t="s">
        <v>110</v>
      </c>
      <c r="AA45" s="82">
        <v>0</v>
      </c>
      <c r="AB45" s="79">
        <v>0</v>
      </c>
      <c r="AC45" s="79">
        <v>1</v>
      </c>
      <c r="AD45" s="51">
        <f>IF(AND(Z45="SOPORTE_TELEFÓNICO",OR(T45="SIN CONTACTO CON EL CB",T45="NÚMEROS DE CONTACTO ERRADOS")),0,IF(Z45="SOPORTE_TELEFÓNICO",'BASE DE LIQUIDACION 2025'!$B$9,IF(X45="TIPO I",'BASE DE LIQUIDACION 2025'!$C$3,IF(X45="TIPO II",'BASE DE LIQUIDACION 2025'!$C$4,IF(X45="TIPO III",'BASE DE LIQUIDACION 2025'!$C$5,'BASE DE LIQUIDACION 2025'!$C$6)))))</f>
        <v>134410.88400000002</v>
      </c>
      <c r="AE45" s="51">
        <f>IF(Z45="SOPORTE_TELEFÓNICO",AD45,CIERRES!AC45*CIERRES!AD45)</f>
        <v>134410.88400000002</v>
      </c>
    </row>
    <row r="46" spans="1:31" s="66" customFormat="1" ht="13.15">
      <c r="A46" s="49" t="s">
        <v>172</v>
      </c>
      <c r="B46" s="50" t="str">
        <f>VLOOKUP(A46,'CENTRO DE COSTOS'!A:D,4,FALSE)</f>
        <v>DIEGO FERNANDO HENAO CARDONA</v>
      </c>
      <c r="C46" s="50" t="str">
        <f>VLOOKUP(A46,'CENTRO DE COSTOS'!A:C,2,FALSE)</f>
        <v>0004-0003</v>
      </c>
      <c r="D46" s="79">
        <v>19001</v>
      </c>
      <c r="E46" s="79" t="s">
        <v>390</v>
      </c>
      <c r="F46" s="80" t="s">
        <v>391</v>
      </c>
      <c r="G46" s="80">
        <v>45818.525694444441</v>
      </c>
      <c r="H46" s="80">
        <v>45821.694444444453</v>
      </c>
      <c r="I46" s="49" t="s">
        <v>175</v>
      </c>
      <c r="J46" s="49" t="s">
        <v>176</v>
      </c>
      <c r="K46" s="49" t="s">
        <v>392</v>
      </c>
      <c r="L46" s="49">
        <v>59632</v>
      </c>
      <c r="M46" s="79" t="s">
        <v>83</v>
      </c>
      <c r="N46" s="79" t="s">
        <v>84</v>
      </c>
      <c r="O46" s="79" t="s">
        <v>116</v>
      </c>
      <c r="P46" s="79" t="s">
        <v>85</v>
      </c>
      <c r="Q46" s="49" t="s">
        <v>97</v>
      </c>
      <c r="R46" s="49" t="s">
        <v>97</v>
      </c>
      <c r="S46" s="79" t="s">
        <v>348</v>
      </c>
      <c r="T46" s="79" t="s">
        <v>349</v>
      </c>
      <c r="U46" s="49" t="s">
        <v>393</v>
      </c>
      <c r="V46" s="79" t="s">
        <v>179</v>
      </c>
      <c r="W46" s="79" t="s">
        <v>394</v>
      </c>
      <c r="X46" s="81" t="s">
        <v>181</v>
      </c>
      <c r="Y46" s="60" t="str">
        <f>VLOOKUP(D46,TIPOLOGIAS!A:F,5,0)</f>
        <v>TERRESTRE</v>
      </c>
      <c r="Z46" s="79" t="s">
        <v>110</v>
      </c>
      <c r="AA46" s="82" t="s">
        <v>395</v>
      </c>
      <c r="AB46" s="79" t="s">
        <v>396</v>
      </c>
      <c r="AC46" s="79">
        <v>1</v>
      </c>
      <c r="AD46" s="51">
        <f>IF(AND(Z46="SOPORTE_TELEFÓNICO",OR(T46="SIN CONTACTO CON EL CB",T46="NÚMEROS DE CONTACTO ERRADOS")),0,IF(Z46="SOPORTE_TELEFÓNICO",'BASE DE LIQUIDACION 2025'!$B$9,IF(X46="TIPO I",'BASE DE LIQUIDACION 2025'!$C$3,IF(X46="TIPO II",'BASE DE LIQUIDACION 2025'!$C$4,IF(X46="TIPO III",'BASE DE LIQUIDACION 2025'!$C$5,'BASE DE LIQUIDACION 2025'!$C$6)))))</f>
        <v>222904.07200000001</v>
      </c>
      <c r="AE46" s="51">
        <f>IF(Z46="SOPORTE_TELEFÓNICO",AD46,CIERRES!AC46*CIERRES!AD46)</f>
        <v>222904.07200000001</v>
      </c>
    </row>
    <row r="47" spans="1:31" s="66" customFormat="1" ht="13.15">
      <c r="A47" s="49" t="s">
        <v>133</v>
      </c>
      <c r="B47" s="50" t="str">
        <f>VLOOKUP(A47,'CENTRO DE COSTOS'!A:D,4,FALSE)</f>
        <v>JOSE MAURICIO HERNANDEZ ROJAS</v>
      </c>
      <c r="C47" s="50" t="str">
        <f>VLOOKUP(A47,'CENTRO DE COSTOS'!A:C,2,FALSE)</f>
        <v>0004-0001</v>
      </c>
      <c r="D47" s="79">
        <v>8433</v>
      </c>
      <c r="E47" s="79" t="s">
        <v>397</v>
      </c>
      <c r="F47" s="83" t="s">
        <v>398</v>
      </c>
      <c r="G47" s="80">
        <v>45820.583333333336</v>
      </c>
      <c r="H47" s="80">
        <v>45822.430555555555</v>
      </c>
      <c r="I47" s="49" t="s">
        <v>136</v>
      </c>
      <c r="J47" s="49" t="s">
        <v>399</v>
      </c>
      <c r="K47" s="49" t="s">
        <v>400</v>
      </c>
      <c r="L47" s="49">
        <v>67355</v>
      </c>
      <c r="M47" s="79" t="s">
        <v>83</v>
      </c>
      <c r="N47" s="79" t="s">
        <v>84</v>
      </c>
      <c r="O47" s="79" t="s">
        <v>84</v>
      </c>
      <c r="P47" s="79" t="s">
        <v>85</v>
      </c>
      <c r="Q47" s="49" t="s">
        <v>97</v>
      </c>
      <c r="R47" s="49" t="s">
        <v>97</v>
      </c>
      <c r="S47" s="79" t="s">
        <v>88</v>
      </c>
      <c r="T47" s="79" t="s">
        <v>89</v>
      </c>
      <c r="U47" s="49" t="s">
        <v>401</v>
      </c>
      <c r="V47" s="79" t="s">
        <v>299</v>
      </c>
      <c r="W47" s="79" t="s">
        <v>402</v>
      </c>
      <c r="X47" s="81" t="s">
        <v>92</v>
      </c>
      <c r="Y47" s="60" t="str">
        <f>VLOOKUP(D47,TIPOLOGIAS!A:F,5,0)</f>
        <v>TERRESTRE</v>
      </c>
      <c r="Z47" s="79" t="s">
        <v>110</v>
      </c>
      <c r="AA47" s="82">
        <v>0</v>
      </c>
      <c r="AB47" s="79">
        <v>0</v>
      </c>
      <c r="AC47" s="79">
        <v>1</v>
      </c>
      <c r="AD47" s="51">
        <f>IF(AND(Z47="SOPORTE_TELEFÓNICO",OR(T47="SIN CONTACTO CON EL CB",T47="NÚMEROS DE CONTACTO ERRADOS")),0,IF(Z47="SOPORTE_TELEFÓNICO",'BASE DE LIQUIDACION 2025'!$B$9,IF(X47="TIPO I",'BASE DE LIQUIDACION 2025'!$C$3,IF(X47="TIPO II",'BASE DE LIQUIDACION 2025'!$C$4,IF(X47="TIPO III",'BASE DE LIQUIDACION 2025'!$C$5,'BASE DE LIQUIDACION 2025'!$C$6)))))</f>
        <v>134410.88400000002</v>
      </c>
      <c r="AE47" s="51">
        <f>IF(Z47="SOPORTE_TELEFÓNICO",AD47,CIERRES!AC47*CIERRES!AD47)</f>
        <v>134410.88400000002</v>
      </c>
    </row>
    <row r="48" spans="1:31" s="66" customFormat="1" ht="13.15">
      <c r="A48" s="49" t="s">
        <v>172</v>
      </c>
      <c r="B48" s="50" t="str">
        <f>VLOOKUP(A48,'CENTRO DE COSTOS'!A:D,4,FALSE)</f>
        <v>DIEGO FERNANDO HENAO CARDONA</v>
      </c>
      <c r="C48" s="50" t="str">
        <f>VLOOKUP(A48,'CENTRO DE COSTOS'!A:C,2,FALSE)</f>
        <v>0004-0003</v>
      </c>
      <c r="D48" s="79">
        <v>76001</v>
      </c>
      <c r="E48" s="79" t="s">
        <v>403</v>
      </c>
      <c r="F48" s="83" t="s">
        <v>404</v>
      </c>
      <c r="G48" s="80">
        <v>45821.504166666666</v>
      </c>
      <c r="H48" s="80">
        <v>45822.518750000003</v>
      </c>
      <c r="I48" s="49" t="s">
        <v>282</v>
      </c>
      <c r="J48" s="49" t="s">
        <v>172</v>
      </c>
      <c r="K48" s="49" t="s">
        <v>405</v>
      </c>
      <c r="L48" s="49">
        <v>71559</v>
      </c>
      <c r="M48" s="79" t="s">
        <v>83</v>
      </c>
      <c r="N48" s="79" t="s">
        <v>84</v>
      </c>
      <c r="O48" s="79" t="s">
        <v>84</v>
      </c>
      <c r="P48" s="79" t="s">
        <v>85</v>
      </c>
      <c r="Q48" s="49" t="s">
        <v>97</v>
      </c>
      <c r="R48" s="49" t="s">
        <v>97</v>
      </c>
      <c r="S48" s="79" t="s">
        <v>138</v>
      </c>
      <c r="T48" s="79" t="s">
        <v>139</v>
      </c>
      <c r="U48" s="49" t="s">
        <v>406</v>
      </c>
      <c r="V48" s="79" t="s">
        <v>407</v>
      </c>
      <c r="W48" s="79" t="s">
        <v>408</v>
      </c>
      <c r="X48" s="81" t="s">
        <v>119</v>
      </c>
      <c r="Y48" s="60" t="str">
        <f>VLOOKUP(D48,TIPOLOGIAS!A:F,5,0)</f>
        <v>TERRESTRE</v>
      </c>
      <c r="Z48" s="79" t="s">
        <v>110</v>
      </c>
      <c r="AA48" s="82">
        <v>0</v>
      </c>
      <c r="AB48" s="79">
        <v>0</v>
      </c>
      <c r="AC48" s="79">
        <v>1</v>
      </c>
      <c r="AD48" s="51">
        <f>IF(AND(Z48="SOPORTE_TELEFÓNICO",OR(T48="SIN CONTACTO CON EL CB",T48="NÚMEROS DE CONTACTO ERRADOS")),0,IF(Z48="SOPORTE_TELEFÓNICO",'BASE DE LIQUIDACION 2025'!$B$9,IF(X48="TIPO I",'BASE DE LIQUIDACION 2025'!$C$3,IF(X48="TIPO II",'BASE DE LIQUIDACION 2025'!$C$4,IF(X48="TIPO III",'BASE DE LIQUIDACION 2025'!$C$5,'BASE DE LIQUIDACION 2025'!$C$6)))))</f>
        <v>44559.563999999998</v>
      </c>
      <c r="AE48" s="51">
        <f>IF(Z48="SOPORTE_TELEFÓNICO",AD48,CIERRES!AC48*CIERRES!AD48)</f>
        <v>44559.563999999998</v>
      </c>
    </row>
    <row r="49" spans="1:31" s="66" customFormat="1" ht="13.15">
      <c r="A49" s="49" t="s">
        <v>158</v>
      </c>
      <c r="B49" s="50" t="str">
        <f>VLOOKUP(A49,'CENTRO DE COSTOS'!A:D,4,FALSE)</f>
        <v>KEVIN ALEXIS CORZO BUSTOS</v>
      </c>
      <c r="C49" s="50" t="str">
        <f>VLOOKUP(A49,'CENTRO DE COSTOS'!A:C,2,FALSE)</f>
        <v>0004-0007</v>
      </c>
      <c r="D49" s="79">
        <v>50330</v>
      </c>
      <c r="E49" s="79" t="s">
        <v>409</v>
      </c>
      <c r="F49" s="83" t="s">
        <v>410</v>
      </c>
      <c r="G49" s="80">
        <v>45821.504166666666</v>
      </c>
      <c r="H49" s="80">
        <v>45822.522916666669</v>
      </c>
      <c r="I49" s="49" t="s">
        <v>161</v>
      </c>
      <c r="J49" s="49" t="s">
        <v>411</v>
      </c>
      <c r="K49" s="49" t="s">
        <v>412</v>
      </c>
      <c r="L49" s="49">
        <v>17174</v>
      </c>
      <c r="M49" s="79" t="s">
        <v>83</v>
      </c>
      <c r="N49" s="79" t="s">
        <v>84</v>
      </c>
      <c r="O49" s="79" t="s">
        <v>84</v>
      </c>
      <c r="P49" s="79" t="s">
        <v>85</v>
      </c>
      <c r="Q49" s="49" t="s">
        <v>97</v>
      </c>
      <c r="R49" s="49" t="s">
        <v>97</v>
      </c>
      <c r="S49" s="79" t="s">
        <v>88</v>
      </c>
      <c r="T49" s="79" t="s">
        <v>89</v>
      </c>
      <c r="U49" s="49" t="s">
        <v>413</v>
      </c>
      <c r="V49" s="79" t="s">
        <v>164</v>
      </c>
      <c r="W49" s="79" t="s">
        <v>226</v>
      </c>
      <c r="X49" s="81" t="s">
        <v>181</v>
      </c>
      <c r="Y49" s="60" t="str">
        <f>VLOOKUP(D49,TIPOLOGIAS!A:F,5,0)</f>
        <v>TERRESTRE</v>
      </c>
      <c r="Z49" s="79" t="s">
        <v>110</v>
      </c>
      <c r="AA49" s="82">
        <v>0</v>
      </c>
      <c r="AB49" s="79" t="s">
        <v>321</v>
      </c>
      <c r="AC49" s="79">
        <v>1</v>
      </c>
      <c r="AD49" s="51">
        <f>IF(AND(Z49="SOPORTE_TELEFÓNICO",OR(T49="SIN CONTACTO CON EL CB",T49="NÚMEROS DE CONTACTO ERRADOS")),0,IF(Z49="SOPORTE_TELEFÓNICO",'BASE DE LIQUIDACION 2025'!$B$9,IF(X49="TIPO I",'BASE DE LIQUIDACION 2025'!$C$3,IF(X49="TIPO II",'BASE DE LIQUIDACION 2025'!$C$4,IF(X49="TIPO III",'BASE DE LIQUIDACION 2025'!$C$5,'BASE DE LIQUIDACION 2025'!$C$6)))))</f>
        <v>222904.07200000001</v>
      </c>
      <c r="AE49" s="51">
        <f>IF(Z49="SOPORTE_TELEFÓNICO",AD49,CIERRES!AC49*CIERRES!AD49)</f>
        <v>222904.07200000001</v>
      </c>
    </row>
    <row r="50" spans="1:31" s="66" customFormat="1" ht="13.15">
      <c r="A50" s="49" t="s">
        <v>77</v>
      </c>
      <c r="B50" s="50" t="str">
        <f>VLOOKUP(A50,'CENTRO DE COSTOS'!A:D,4,FALSE)</f>
        <v>DIEGO FERNANDO HENAO CARDONA</v>
      </c>
      <c r="C50" s="50" t="str">
        <f>VLOOKUP(A50,'CENTRO DE COSTOS'!A:C,2,FALSE)</f>
        <v>0004-0003</v>
      </c>
      <c r="D50" s="79">
        <v>86568</v>
      </c>
      <c r="E50" s="79" t="s">
        <v>414</v>
      </c>
      <c r="F50" s="80" t="s">
        <v>415</v>
      </c>
      <c r="G50" s="80">
        <v>45817.673611111109</v>
      </c>
      <c r="H50" s="80">
        <v>45824.37976851852</v>
      </c>
      <c r="I50" s="49" t="s">
        <v>416</v>
      </c>
      <c r="J50" s="49" t="s">
        <v>417</v>
      </c>
      <c r="K50" s="49" t="s">
        <v>418</v>
      </c>
      <c r="L50" s="49">
        <v>47839</v>
      </c>
      <c r="M50" s="79" t="s">
        <v>83</v>
      </c>
      <c r="N50" s="79" t="s">
        <v>84</v>
      </c>
      <c r="O50" s="79" t="s">
        <v>84</v>
      </c>
      <c r="P50" s="79" t="s">
        <v>85</v>
      </c>
      <c r="Q50" s="49" t="s">
        <v>86</v>
      </c>
      <c r="R50" s="49" t="s">
        <v>87</v>
      </c>
      <c r="S50" s="79" t="s">
        <v>88</v>
      </c>
      <c r="T50" s="79" t="s">
        <v>89</v>
      </c>
      <c r="U50" s="49" t="s">
        <v>419</v>
      </c>
      <c r="V50" s="79" t="s">
        <v>132</v>
      </c>
      <c r="W50" s="79">
        <v>0</v>
      </c>
      <c r="X50" s="81" t="s">
        <v>109</v>
      </c>
      <c r="Y50" s="60" t="str">
        <f>VLOOKUP(D50,TIPOLOGIAS!A:F,5,0)</f>
        <v>TERRESTRE</v>
      </c>
      <c r="Z50" s="79" t="s">
        <v>93</v>
      </c>
      <c r="AA50" s="82">
        <v>0</v>
      </c>
      <c r="AB50" s="79">
        <v>0</v>
      </c>
      <c r="AC50" s="79">
        <v>0</v>
      </c>
      <c r="AD50" s="51">
        <f>IF(AND(Z50="SOPORTE_TELEFÓNICO",OR(T50="SIN CONTACTO CON EL CB",T50="NÚMEROS DE CONTACTO ERRADOS")),0,IF(Z50="SOPORTE_TELEFÓNICO",'BASE DE LIQUIDACION 2025'!$B$9,IF(X50="TIPO I",'BASE DE LIQUIDACION 2025'!$C$3,IF(X50="TIPO II",'BASE DE LIQUIDACION 2025'!$C$4,IF(X50="TIPO III",'BASE DE LIQUIDACION 2025'!$C$5,'BASE DE LIQUIDACION 2025'!$C$6)))))</f>
        <v>37904.612000000001</v>
      </c>
      <c r="AE50" s="51">
        <f>IF(Z50="SOPORTE_TELEFÓNICO",AD50,CIERRES!AC50*CIERRES!AD50)</f>
        <v>37904.612000000001</v>
      </c>
    </row>
    <row r="51" spans="1:31" s="66" customFormat="1" ht="13.15">
      <c r="A51" s="49" t="s">
        <v>272</v>
      </c>
      <c r="B51" s="50" t="str">
        <f>VLOOKUP(A51,'CENTRO DE COSTOS'!A:D,4,FALSE)</f>
        <v>JUAN SEBASTIÁN RÍOS CASTRILLÓN</v>
      </c>
      <c r="C51" s="50" t="str">
        <f>VLOOKUP(A51,'CENTRO DE COSTOS'!A:C,2,FALSE)</f>
        <v>0004-0005</v>
      </c>
      <c r="D51" s="79">
        <v>5045</v>
      </c>
      <c r="E51" s="79" t="s">
        <v>420</v>
      </c>
      <c r="F51" s="80" t="s">
        <v>421</v>
      </c>
      <c r="G51" s="80">
        <v>45817.673611111109</v>
      </c>
      <c r="H51" s="80">
        <v>45824.548611111109</v>
      </c>
      <c r="I51" s="49" t="s">
        <v>275</v>
      </c>
      <c r="J51" s="49" t="s">
        <v>272</v>
      </c>
      <c r="K51" s="49" t="s">
        <v>422</v>
      </c>
      <c r="L51" s="49">
        <v>75588</v>
      </c>
      <c r="M51" s="79" t="s">
        <v>83</v>
      </c>
      <c r="N51" s="79" t="s">
        <v>84</v>
      </c>
      <c r="O51" s="79" t="s">
        <v>84</v>
      </c>
      <c r="P51" s="79" t="s">
        <v>85</v>
      </c>
      <c r="Q51" s="49" t="s">
        <v>86</v>
      </c>
      <c r="R51" s="49" t="s">
        <v>231</v>
      </c>
      <c r="S51" s="79" t="s">
        <v>88</v>
      </c>
      <c r="T51" s="79" t="s">
        <v>89</v>
      </c>
      <c r="U51" s="49" t="s">
        <v>423</v>
      </c>
      <c r="V51" s="79" t="s">
        <v>424</v>
      </c>
      <c r="W51" s="79">
        <v>0</v>
      </c>
      <c r="X51" s="81" t="s">
        <v>119</v>
      </c>
      <c r="Y51" s="60" t="str">
        <f>VLOOKUP(D51,TIPOLOGIAS!A:F,5,0)</f>
        <v>TERRESTRE</v>
      </c>
      <c r="Z51" s="79" t="s">
        <v>93</v>
      </c>
      <c r="AA51" s="82">
        <v>0</v>
      </c>
      <c r="AB51" s="79">
        <v>0</v>
      </c>
      <c r="AC51" s="79">
        <v>0</v>
      </c>
      <c r="AD51" s="51">
        <f>IF(AND(Z51="SOPORTE_TELEFÓNICO",OR(T51="SIN CONTACTO CON EL CB",T51="NÚMEROS DE CONTACTO ERRADOS")),0,IF(Z51="SOPORTE_TELEFÓNICO",'BASE DE LIQUIDACION 2025'!$B$9,IF(X51="TIPO I",'BASE DE LIQUIDACION 2025'!$C$3,IF(X51="TIPO II",'BASE DE LIQUIDACION 2025'!$C$4,IF(X51="TIPO III",'BASE DE LIQUIDACION 2025'!$C$5,'BASE DE LIQUIDACION 2025'!$C$6)))))</f>
        <v>37904.612000000001</v>
      </c>
      <c r="AE51" s="51">
        <f>IF(Z51="SOPORTE_TELEFÓNICO",AD51,CIERRES!AC51*CIERRES!AD51)</f>
        <v>37904.612000000001</v>
      </c>
    </row>
    <row r="52" spans="1:31" s="66" customFormat="1" ht="13.15">
      <c r="A52" s="49" t="s">
        <v>111</v>
      </c>
      <c r="B52" s="50" t="str">
        <f>VLOOKUP(A52,'CENTRO DE COSTOS'!A:D,4,FALSE)</f>
        <v>WILLIAM ASDRUBAL ROZO ROZO</v>
      </c>
      <c r="C52" s="50" t="str">
        <f>VLOOKUP(A52,'CENTRO DE COSTOS'!A:C,2,FALSE)</f>
        <v>0004-0004</v>
      </c>
      <c r="D52" s="79">
        <v>11001</v>
      </c>
      <c r="E52" s="79" t="s">
        <v>425</v>
      </c>
      <c r="F52" s="83" t="s">
        <v>426</v>
      </c>
      <c r="G52" s="80">
        <v>45821.504166666666</v>
      </c>
      <c r="H52" s="80">
        <v>45824.653136574067</v>
      </c>
      <c r="I52" s="49" t="s">
        <v>114</v>
      </c>
      <c r="J52" s="49" t="s">
        <v>111</v>
      </c>
      <c r="K52" s="49" t="s">
        <v>427</v>
      </c>
      <c r="L52" s="49">
        <v>69773</v>
      </c>
      <c r="M52" s="79" t="s">
        <v>83</v>
      </c>
      <c r="N52" s="79" t="s">
        <v>84</v>
      </c>
      <c r="O52" s="79" t="s">
        <v>116</v>
      </c>
      <c r="P52" s="79" t="s">
        <v>85</v>
      </c>
      <c r="Q52" s="49" t="s">
        <v>86</v>
      </c>
      <c r="R52" s="49" t="s">
        <v>231</v>
      </c>
      <c r="S52" s="79" t="s">
        <v>348</v>
      </c>
      <c r="T52" s="79" t="s">
        <v>349</v>
      </c>
      <c r="U52" s="49" t="s">
        <v>428</v>
      </c>
      <c r="V52" s="79" t="s">
        <v>213</v>
      </c>
      <c r="W52" s="79" t="s">
        <v>429</v>
      </c>
      <c r="X52" s="81" t="s">
        <v>119</v>
      </c>
      <c r="Y52" s="60" t="str">
        <f>VLOOKUP(D52,TIPOLOGIAS!A:F,5,0)</f>
        <v>TERRESTRE</v>
      </c>
      <c r="Z52" s="79" t="s">
        <v>110</v>
      </c>
      <c r="AA52" s="82" t="s">
        <v>430</v>
      </c>
      <c r="AB52" s="79" t="s">
        <v>431</v>
      </c>
      <c r="AC52" s="79">
        <v>1</v>
      </c>
      <c r="AD52" s="51">
        <f>IF(AND(Z52="SOPORTE_TELEFÓNICO",OR(T52="SIN CONTACTO CON EL CB",T52="NÚMEROS DE CONTACTO ERRADOS")),0,IF(Z52="SOPORTE_TELEFÓNICO",'BASE DE LIQUIDACION 2025'!$B$9,IF(X52="TIPO I",'BASE DE LIQUIDACION 2025'!$C$3,IF(X52="TIPO II",'BASE DE LIQUIDACION 2025'!$C$4,IF(X52="TIPO III",'BASE DE LIQUIDACION 2025'!$C$5,'BASE DE LIQUIDACION 2025'!$C$6)))))</f>
        <v>44559.563999999998</v>
      </c>
      <c r="AE52" s="51">
        <f>IF(Z52="SOPORTE_TELEFÓNICO",AD52,CIERRES!AC52*CIERRES!AD52)</f>
        <v>44559.563999999998</v>
      </c>
    </row>
    <row r="53" spans="1:31" s="66" customFormat="1" ht="13.15">
      <c r="A53" s="49" t="s">
        <v>285</v>
      </c>
      <c r="B53" s="50" t="str">
        <f>VLOOKUP(A53,'CENTRO DE COSTOS'!A:D,4,FALSE)</f>
        <v>JUAN SEBASTIÁN RÍOS CASTRILLÓN</v>
      </c>
      <c r="C53" s="50" t="str">
        <f>VLOOKUP(A53,'CENTRO DE COSTOS'!A:C,2,FALSE)</f>
        <v>0004-0005</v>
      </c>
      <c r="D53" s="79">
        <v>5001</v>
      </c>
      <c r="E53" s="79" t="s">
        <v>432</v>
      </c>
      <c r="F53" s="83" t="s">
        <v>433</v>
      </c>
      <c r="G53" s="80">
        <v>45824.646527777775</v>
      </c>
      <c r="H53" s="80">
        <v>45825.521261574067</v>
      </c>
      <c r="I53" s="49" t="s">
        <v>275</v>
      </c>
      <c r="J53" s="49" t="s">
        <v>285</v>
      </c>
      <c r="K53" s="49" t="s">
        <v>434</v>
      </c>
      <c r="L53" s="49">
        <v>13408</v>
      </c>
      <c r="M53" s="79" t="s">
        <v>83</v>
      </c>
      <c r="N53" s="79" t="s">
        <v>84</v>
      </c>
      <c r="O53" s="79" t="s">
        <v>84</v>
      </c>
      <c r="P53" s="79" t="s">
        <v>85</v>
      </c>
      <c r="Q53" s="49" t="s">
        <v>97</v>
      </c>
      <c r="R53" s="49" t="s">
        <v>97</v>
      </c>
      <c r="S53" s="79" t="s">
        <v>88</v>
      </c>
      <c r="T53" s="79" t="s">
        <v>89</v>
      </c>
      <c r="U53" s="49" t="s">
        <v>435</v>
      </c>
      <c r="V53" s="79" t="s">
        <v>279</v>
      </c>
      <c r="W53" s="79">
        <v>0</v>
      </c>
      <c r="X53" s="81" t="s">
        <v>119</v>
      </c>
      <c r="Y53" s="60" t="str">
        <f>VLOOKUP(D53,TIPOLOGIAS!A:F,5,0)</f>
        <v>TERRESTRE</v>
      </c>
      <c r="Z53" s="79" t="s">
        <v>110</v>
      </c>
      <c r="AA53" s="82">
        <v>0</v>
      </c>
      <c r="AB53" s="79">
        <v>0</v>
      </c>
      <c r="AC53" s="79">
        <v>1</v>
      </c>
      <c r="AD53" s="51">
        <f>IF(AND(Z53="SOPORTE_TELEFÓNICO",OR(T53="SIN CONTACTO CON EL CB",T53="NÚMEROS DE CONTACTO ERRADOS")),0,IF(Z53="SOPORTE_TELEFÓNICO",'BASE DE LIQUIDACION 2025'!$B$9,IF(X53="TIPO I",'BASE DE LIQUIDACION 2025'!$C$3,IF(X53="TIPO II",'BASE DE LIQUIDACION 2025'!$C$4,IF(X53="TIPO III",'BASE DE LIQUIDACION 2025'!$C$5,'BASE DE LIQUIDACION 2025'!$C$6)))))</f>
        <v>44559.563999999998</v>
      </c>
      <c r="AE53" s="51">
        <f>IF(Z53="SOPORTE_TELEFÓNICO",AD53,CIERRES!AC53*CIERRES!AD53)</f>
        <v>44559.563999999998</v>
      </c>
    </row>
    <row r="54" spans="1:31" s="66" customFormat="1" ht="13.15">
      <c r="A54" s="49" t="s">
        <v>285</v>
      </c>
      <c r="B54" s="50" t="str">
        <f>VLOOKUP(A54,'CENTRO DE COSTOS'!A:D,4,FALSE)</f>
        <v>JUAN SEBASTIÁN RÍOS CASTRILLÓN</v>
      </c>
      <c r="C54" s="50" t="str">
        <f>VLOOKUP(A54,'CENTRO DE COSTOS'!A:C,2,FALSE)</f>
        <v>0004-0005</v>
      </c>
      <c r="D54" s="79">
        <v>5001</v>
      </c>
      <c r="E54" s="79" t="s">
        <v>436</v>
      </c>
      <c r="F54" s="83" t="s">
        <v>437</v>
      </c>
      <c r="G54" s="80">
        <v>45824.646527777775</v>
      </c>
      <c r="H54" s="80">
        <v>45825.588287037041</v>
      </c>
      <c r="I54" s="49" t="s">
        <v>275</v>
      </c>
      <c r="J54" s="49" t="s">
        <v>285</v>
      </c>
      <c r="K54" s="49" t="s">
        <v>438</v>
      </c>
      <c r="L54" s="49">
        <v>28227</v>
      </c>
      <c r="M54" s="79" t="s">
        <v>83</v>
      </c>
      <c r="N54" s="79" t="s">
        <v>84</v>
      </c>
      <c r="O54" s="79" t="s">
        <v>84</v>
      </c>
      <c r="P54" s="79" t="s">
        <v>85</v>
      </c>
      <c r="Q54" s="49" t="s">
        <v>86</v>
      </c>
      <c r="R54" s="49" t="s">
        <v>231</v>
      </c>
      <c r="S54" s="79" t="s">
        <v>138</v>
      </c>
      <c r="T54" s="79" t="s">
        <v>139</v>
      </c>
      <c r="U54" s="49" t="s">
        <v>439</v>
      </c>
      <c r="V54" s="79" t="s">
        <v>279</v>
      </c>
      <c r="W54" s="79">
        <v>0</v>
      </c>
      <c r="X54" s="81" t="s">
        <v>119</v>
      </c>
      <c r="Y54" s="60" t="str">
        <f>VLOOKUP(D54,TIPOLOGIAS!A:F,5,0)</f>
        <v>TERRESTRE</v>
      </c>
      <c r="Z54" s="79" t="s">
        <v>110</v>
      </c>
      <c r="AA54" s="82">
        <v>0</v>
      </c>
      <c r="AB54" s="79">
        <v>0</v>
      </c>
      <c r="AC54" s="79">
        <v>1</v>
      </c>
      <c r="AD54" s="51">
        <f>IF(AND(Z54="SOPORTE_TELEFÓNICO",OR(T54="SIN CONTACTO CON EL CB",T54="NÚMEROS DE CONTACTO ERRADOS")),0,IF(Z54="SOPORTE_TELEFÓNICO",'BASE DE LIQUIDACION 2025'!$B$9,IF(X54="TIPO I",'BASE DE LIQUIDACION 2025'!$C$3,IF(X54="TIPO II",'BASE DE LIQUIDACION 2025'!$C$4,IF(X54="TIPO III",'BASE DE LIQUIDACION 2025'!$C$5,'BASE DE LIQUIDACION 2025'!$C$6)))))</f>
        <v>44559.563999999998</v>
      </c>
      <c r="AE54" s="51">
        <f>IF(Z54="SOPORTE_TELEFÓNICO",AD54,CIERRES!AC54*CIERRES!AD54)</f>
        <v>44559.563999999998</v>
      </c>
    </row>
    <row r="55" spans="1:31" s="66" customFormat="1" ht="13.15">
      <c r="A55" s="49" t="s">
        <v>285</v>
      </c>
      <c r="B55" s="50" t="str">
        <f>VLOOKUP(A55,'CENTRO DE COSTOS'!A:D,4,FALSE)</f>
        <v>JUAN SEBASTIÁN RÍOS CASTRILLÓN</v>
      </c>
      <c r="C55" s="50" t="str">
        <f>VLOOKUP(A55,'CENTRO DE COSTOS'!A:C,2,FALSE)</f>
        <v>0004-0005</v>
      </c>
      <c r="D55" s="79">
        <v>5001</v>
      </c>
      <c r="E55" s="79" t="s">
        <v>440</v>
      </c>
      <c r="F55" s="83" t="s">
        <v>441</v>
      </c>
      <c r="G55" s="80">
        <v>45825.627083333333</v>
      </c>
      <c r="H55" s="80">
        <v>45826.460277777784</v>
      </c>
      <c r="I55" s="49" t="s">
        <v>275</v>
      </c>
      <c r="J55" s="49" t="s">
        <v>285</v>
      </c>
      <c r="K55" s="49" t="s">
        <v>442</v>
      </c>
      <c r="L55" s="49">
        <v>69515</v>
      </c>
      <c r="M55" s="79" t="s">
        <v>83</v>
      </c>
      <c r="N55" s="79" t="s">
        <v>84</v>
      </c>
      <c r="O55" s="79" t="s">
        <v>84</v>
      </c>
      <c r="P55" s="79" t="s">
        <v>85</v>
      </c>
      <c r="Q55" s="49" t="s">
        <v>97</v>
      </c>
      <c r="R55" s="49" t="s">
        <v>97</v>
      </c>
      <c r="S55" s="79" t="s">
        <v>138</v>
      </c>
      <c r="T55" s="79" t="s">
        <v>139</v>
      </c>
      <c r="U55" s="49" t="s">
        <v>443</v>
      </c>
      <c r="V55" s="79" t="s">
        <v>279</v>
      </c>
      <c r="W55" s="79">
        <v>0</v>
      </c>
      <c r="X55" s="81" t="s">
        <v>119</v>
      </c>
      <c r="Y55" s="60" t="str">
        <f>VLOOKUP(D55,TIPOLOGIAS!A:F,5,0)</f>
        <v>TERRESTRE</v>
      </c>
      <c r="Z55" s="79" t="s">
        <v>110</v>
      </c>
      <c r="AA55" s="82">
        <v>0</v>
      </c>
      <c r="AB55" s="79">
        <v>0</v>
      </c>
      <c r="AC55" s="79">
        <v>1</v>
      </c>
      <c r="AD55" s="51">
        <f>IF(AND(Z55="SOPORTE_TELEFÓNICO",OR(T55="SIN CONTACTO CON EL CB",T55="NÚMEROS DE CONTACTO ERRADOS")),0,IF(Z55="SOPORTE_TELEFÓNICO",'BASE DE LIQUIDACION 2025'!$B$9,IF(X55="TIPO I",'BASE DE LIQUIDACION 2025'!$C$3,IF(X55="TIPO II",'BASE DE LIQUIDACION 2025'!$C$4,IF(X55="TIPO III",'BASE DE LIQUIDACION 2025'!$C$5,'BASE DE LIQUIDACION 2025'!$C$6)))))</f>
        <v>44559.563999999998</v>
      </c>
      <c r="AE55" s="51">
        <f>IF(Z55="SOPORTE_TELEFÓNICO",AD55,CIERRES!AC55*CIERRES!AD55)</f>
        <v>44559.563999999998</v>
      </c>
    </row>
    <row r="56" spans="1:31" s="66" customFormat="1" ht="13.15">
      <c r="A56" s="49" t="s">
        <v>258</v>
      </c>
      <c r="B56" s="50" t="str">
        <f>VLOOKUP(A56,'CENTRO DE COSTOS'!A:D,4,FALSE)</f>
        <v>MIGUEL JULIÁN HERNÁNDEZ GUARÍN</v>
      </c>
      <c r="C56" s="50" t="str">
        <f>VLOOKUP(A56,'CENTRO DE COSTOS'!A:C,2,FALSE)</f>
        <v>0004-0008</v>
      </c>
      <c r="D56" s="79">
        <v>54405</v>
      </c>
      <c r="E56" s="79" t="s">
        <v>444</v>
      </c>
      <c r="F56" s="83" t="s">
        <v>445</v>
      </c>
      <c r="G56" s="80">
        <v>45825.627083333333</v>
      </c>
      <c r="H56" s="80">
        <v>45826.490254629629</v>
      </c>
      <c r="I56" s="49" t="s">
        <v>261</v>
      </c>
      <c r="J56" s="49" t="s">
        <v>446</v>
      </c>
      <c r="K56" s="49" t="s">
        <v>447</v>
      </c>
      <c r="L56" s="49">
        <v>64594</v>
      </c>
      <c r="M56" s="79" t="s">
        <v>83</v>
      </c>
      <c r="N56" s="79" t="s">
        <v>84</v>
      </c>
      <c r="O56" s="79" t="s">
        <v>84</v>
      </c>
      <c r="P56" s="79" t="s">
        <v>85</v>
      </c>
      <c r="Q56" s="49" t="s">
        <v>97</v>
      </c>
      <c r="R56" s="49" t="s">
        <v>97</v>
      </c>
      <c r="S56" s="79" t="s">
        <v>88</v>
      </c>
      <c r="T56" s="79" t="s">
        <v>89</v>
      </c>
      <c r="U56" s="49" t="s">
        <v>448</v>
      </c>
      <c r="V56" s="79" t="s">
        <v>449</v>
      </c>
      <c r="W56" s="79">
        <v>0</v>
      </c>
      <c r="X56" s="81" t="s">
        <v>119</v>
      </c>
      <c r="Y56" s="60" t="str">
        <f>VLOOKUP(D56,TIPOLOGIAS!A:F,5,0)</f>
        <v>TERRESTRE</v>
      </c>
      <c r="Z56" s="79" t="s">
        <v>110</v>
      </c>
      <c r="AA56" s="82">
        <v>0</v>
      </c>
      <c r="AB56" s="79">
        <v>0</v>
      </c>
      <c r="AC56" s="79">
        <v>1</v>
      </c>
      <c r="AD56" s="51">
        <f>IF(AND(Z56="SOPORTE_TELEFÓNICO",OR(T56="SIN CONTACTO CON EL CB",T56="NÚMEROS DE CONTACTO ERRADOS")),0,IF(Z56="SOPORTE_TELEFÓNICO",'BASE DE LIQUIDACION 2025'!$B$9,IF(X56="TIPO I",'BASE DE LIQUIDACION 2025'!$C$3,IF(X56="TIPO II",'BASE DE LIQUIDACION 2025'!$C$4,IF(X56="TIPO III",'BASE DE LIQUIDACION 2025'!$C$5,'BASE DE LIQUIDACION 2025'!$C$6)))))</f>
        <v>44559.563999999998</v>
      </c>
      <c r="AE56" s="51">
        <f>IF(Z56="SOPORTE_TELEFÓNICO",AD56,CIERRES!AC56*CIERRES!AD56)</f>
        <v>44559.563999999998</v>
      </c>
    </row>
    <row r="57" spans="1:31" s="66" customFormat="1" ht="13.15">
      <c r="A57" s="49" t="s">
        <v>172</v>
      </c>
      <c r="B57" s="50" t="str">
        <f>VLOOKUP(A57,'CENTRO DE COSTOS'!A:D,4,FALSE)</f>
        <v>DIEGO FERNANDO HENAO CARDONA</v>
      </c>
      <c r="C57" s="50" t="str">
        <f>VLOOKUP(A57,'CENTRO DE COSTOS'!A:C,2,FALSE)</f>
        <v>0004-0003</v>
      </c>
      <c r="D57" s="79">
        <v>76111</v>
      </c>
      <c r="E57" s="79" t="s">
        <v>450</v>
      </c>
      <c r="F57" s="83" t="s">
        <v>451</v>
      </c>
      <c r="G57" s="80">
        <v>45825.627083333333</v>
      </c>
      <c r="H57" s="80">
        <v>45826.592789351853</v>
      </c>
      <c r="I57" s="49" t="s">
        <v>282</v>
      </c>
      <c r="J57" s="49" t="s">
        <v>452</v>
      </c>
      <c r="K57" s="49" t="s">
        <v>453</v>
      </c>
      <c r="L57" s="49">
        <v>34841</v>
      </c>
      <c r="M57" s="79" t="s">
        <v>83</v>
      </c>
      <c r="N57" s="79" t="s">
        <v>84</v>
      </c>
      <c r="O57" s="79" t="s">
        <v>84</v>
      </c>
      <c r="P57" s="79" t="s">
        <v>85</v>
      </c>
      <c r="Q57" s="49" t="s">
        <v>97</v>
      </c>
      <c r="R57" s="49" t="s">
        <v>97</v>
      </c>
      <c r="S57" s="79" t="s">
        <v>138</v>
      </c>
      <c r="T57" s="79" t="s">
        <v>139</v>
      </c>
      <c r="U57" s="49" t="s">
        <v>454</v>
      </c>
      <c r="V57" s="79" t="s">
        <v>455</v>
      </c>
      <c r="W57" s="79" t="s">
        <v>456</v>
      </c>
      <c r="X57" s="81" t="s">
        <v>92</v>
      </c>
      <c r="Y57" s="60" t="str">
        <f>VLOOKUP(D57,TIPOLOGIAS!A:F,5,0)</f>
        <v>TERRESTRE</v>
      </c>
      <c r="Z57" s="79" t="s">
        <v>110</v>
      </c>
      <c r="AA57" s="82">
        <v>0</v>
      </c>
      <c r="AB57" s="79">
        <v>0</v>
      </c>
      <c r="AC57" s="79">
        <v>1</v>
      </c>
      <c r="AD57" s="51">
        <f>IF(AND(Z57="SOPORTE_TELEFÓNICO",OR(T57="SIN CONTACTO CON EL CB",T57="NÚMEROS DE CONTACTO ERRADOS")),0,IF(Z57="SOPORTE_TELEFÓNICO",'BASE DE LIQUIDACION 2025'!$B$9,IF(X57="TIPO I",'BASE DE LIQUIDACION 2025'!$C$3,IF(X57="TIPO II",'BASE DE LIQUIDACION 2025'!$C$4,IF(X57="TIPO III",'BASE DE LIQUIDACION 2025'!$C$5,'BASE DE LIQUIDACION 2025'!$C$6)))))</f>
        <v>134410.88400000002</v>
      </c>
      <c r="AE57" s="51">
        <f>IF(Z57="SOPORTE_TELEFÓNICO",AD57,CIERRES!AC57*CIERRES!AD57)</f>
        <v>134410.88400000002</v>
      </c>
    </row>
    <row r="58" spans="1:31" s="66" customFormat="1" ht="13.15">
      <c r="A58" s="49" t="s">
        <v>172</v>
      </c>
      <c r="B58" s="50" t="str">
        <f>VLOOKUP(A58,'CENTRO DE COSTOS'!A:D,4,FALSE)</f>
        <v>DIEGO FERNANDO HENAO CARDONA</v>
      </c>
      <c r="C58" s="50" t="str">
        <f>VLOOKUP(A58,'CENTRO DE COSTOS'!A:C,2,FALSE)</f>
        <v>0004-0003</v>
      </c>
      <c r="D58" s="79">
        <v>76001</v>
      </c>
      <c r="E58" s="79" t="s">
        <v>457</v>
      </c>
      <c r="F58" s="83" t="s">
        <v>458</v>
      </c>
      <c r="G58" s="80">
        <v>45825.627083333333</v>
      </c>
      <c r="H58" s="80">
        <v>45826.668564814812</v>
      </c>
      <c r="I58" s="49" t="s">
        <v>282</v>
      </c>
      <c r="J58" s="49" t="s">
        <v>172</v>
      </c>
      <c r="K58" s="49" t="s">
        <v>459</v>
      </c>
      <c r="L58" s="49">
        <v>75934</v>
      </c>
      <c r="M58" s="79" t="s">
        <v>83</v>
      </c>
      <c r="N58" s="79" t="s">
        <v>84</v>
      </c>
      <c r="O58" s="79" t="s">
        <v>84</v>
      </c>
      <c r="P58" s="79" t="s">
        <v>85</v>
      </c>
      <c r="Q58" s="49" t="s">
        <v>97</v>
      </c>
      <c r="R58" s="49" t="s">
        <v>97</v>
      </c>
      <c r="S58" s="79" t="s">
        <v>88</v>
      </c>
      <c r="T58" s="79" t="s">
        <v>89</v>
      </c>
      <c r="U58" s="49" t="s">
        <v>460</v>
      </c>
      <c r="V58" s="79" t="s">
        <v>91</v>
      </c>
      <c r="W58" s="79">
        <v>0</v>
      </c>
      <c r="X58" s="81" t="s">
        <v>119</v>
      </c>
      <c r="Y58" s="60" t="str">
        <f>VLOOKUP(D58,TIPOLOGIAS!A:F,5,0)</f>
        <v>TERRESTRE</v>
      </c>
      <c r="Z58" s="79" t="s">
        <v>93</v>
      </c>
      <c r="AA58" s="82">
        <v>0</v>
      </c>
      <c r="AB58" s="79">
        <v>0</v>
      </c>
      <c r="AC58" s="79">
        <v>0</v>
      </c>
      <c r="AD58" s="51">
        <f>IF(AND(Z58="SOPORTE_TELEFÓNICO",OR(T58="SIN CONTACTO CON EL CB",T58="NÚMEROS DE CONTACTO ERRADOS")),0,IF(Z58="SOPORTE_TELEFÓNICO",'BASE DE LIQUIDACION 2025'!$B$9,IF(X58="TIPO I",'BASE DE LIQUIDACION 2025'!$C$3,IF(X58="TIPO II",'BASE DE LIQUIDACION 2025'!$C$4,IF(X58="TIPO III",'BASE DE LIQUIDACION 2025'!$C$5,'BASE DE LIQUIDACION 2025'!$C$6)))))</f>
        <v>37904.612000000001</v>
      </c>
      <c r="AE58" s="51">
        <f>IF(Z58="SOPORTE_TELEFÓNICO",AD58,CIERRES!AC58*CIERRES!AD58)</f>
        <v>37904.612000000001</v>
      </c>
    </row>
    <row r="59" spans="1:31" s="66" customFormat="1" ht="13.15">
      <c r="A59" s="49" t="s">
        <v>172</v>
      </c>
      <c r="B59" s="50" t="str">
        <f>VLOOKUP(A59,'CENTRO DE COSTOS'!A:D,4,FALSE)</f>
        <v>DIEGO FERNANDO HENAO CARDONA</v>
      </c>
      <c r="C59" s="50" t="str">
        <f>VLOOKUP(A59,'CENTRO DE COSTOS'!A:C,2,FALSE)</f>
        <v>0004-0003</v>
      </c>
      <c r="D59" s="79">
        <v>76001</v>
      </c>
      <c r="E59" s="79" t="s">
        <v>461</v>
      </c>
      <c r="F59" s="83" t="s">
        <v>462</v>
      </c>
      <c r="G59" s="80">
        <v>45825.627083333333</v>
      </c>
      <c r="H59" s="80">
        <v>45826.697152777779</v>
      </c>
      <c r="I59" s="49" t="s">
        <v>282</v>
      </c>
      <c r="J59" s="49" t="s">
        <v>172</v>
      </c>
      <c r="K59" s="49" t="s">
        <v>463</v>
      </c>
      <c r="L59" s="49">
        <v>36012</v>
      </c>
      <c r="M59" s="79" t="s">
        <v>83</v>
      </c>
      <c r="N59" s="79" t="s">
        <v>84</v>
      </c>
      <c r="O59" s="79" t="s">
        <v>84</v>
      </c>
      <c r="P59" s="79" t="s">
        <v>85</v>
      </c>
      <c r="Q59" s="49" t="s">
        <v>97</v>
      </c>
      <c r="R59" s="49" t="s">
        <v>97</v>
      </c>
      <c r="S59" s="79" t="s">
        <v>88</v>
      </c>
      <c r="T59" s="79" t="s">
        <v>89</v>
      </c>
      <c r="U59" s="49" t="s">
        <v>464</v>
      </c>
      <c r="V59" s="79" t="s">
        <v>91</v>
      </c>
      <c r="W59" s="79" t="s">
        <v>465</v>
      </c>
      <c r="X59" s="81" t="s">
        <v>119</v>
      </c>
      <c r="Y59" s="60" t="str">
        <f>VLOOKUP(D59,TIPOLOGIAS!A:F,5,0)</f>
        <v>TERRESTRE</v>
      </c>
      <c r="Z59" s="79" t="s">
        <v>110</v>
      </c>
      <c r="AA59" s="82">
        <v>0</v>
      </c>
      <c r="AB59" s="79">
        <v>0</v>
      </c>
      <c r="AC59" s="79">
        <v>1</v>
      </c>
      <c r="AD59" s="51">
        <f>IF(AND(Z59="SOPORTE_TELEFÓNICO",OR(T59="SIN CONTACTO CON EL CB",T59="NÚMEROS DE CONTACTO ERRADOS")),0,IF(Z59="SOPORTE_TELEFÓNICO",'BASE DE LIQUIDACION 2025'!$B$9,IF(X59="TIPO I",'BASE DE LIQUIDACION 2025'!$C$3,IF(X59="TIPO II",'BASE DE LIQUIDACION 2025'!$C$4,IF(X59="TIPO III",'BASE DE LIQUIDACION 2025'!$C$5,'BASE DE LIQUIDACION 2025'!$C$6)))))</f>
        <v>44559.563999999998</v>
      </c>
      <c r="AE59" s="51">
        <f>IF(Z59="SOPORTE_TELEFÓNICO",AD59,CIERRES!AC59*CIERRES!AD59)</f>
        <v>44559.563999999998</v>
      </c>
    </row>
    <row r="60" spans="1:31" s="66" customFormat="1" ht="13.15">
      <c r="A60" s="49" t="s">
        <v>466</v>
      </c>
      <c r="B60" s="50" t="str">
        <f>VLOOKUP(A60,'CENTRO DE COSTOS'!A:D,4,FALSE)</f>
        <v>JOSE MAURICIO HERNANDEZ ROJAS</v>
      </c>
      <c r="C60" s="50" t="str">
        <f>VLOOKUP(A60,'CENTRO DE COSTOS'!A:C,2,FALSE)</f>
        <v>0004-0001</v>
      </c>
      <c r="D60" s="79">
        <v>13580</v>
      </c>
      <c r="E60" s="79" t="s">
        <v>467</v>
      </c>
      <c r="F60" s="83" t="s">
        <v>468</v>
      </c>
      <c r="G60" s="80">
        <v>45820.583333333336</v>
      </c>
      <c r="H60" s="80">
        <v>45826.734965277778</v>
      </c>
      <c r="I60" s="49" t="s">
        <v>469</v>
      </c>
      <c r="J60" s="49" t="s">
        <v>470</v>
      </c>
      <c r="K60" s="49" t="s">
        <v>471</v>
      </c>
      <c r="L60" s="49">
        <v>41418</v>
      </c>
      <c r="M60" s="79" t="s">
        <v>83</v>
      </c>
      <c r="N60" s="79" t="s">
        <v>84</v>
      </c>
      <c r="O60" s="79" t="s">
        <v>84</v>
      </c>
      <c r="P60" s="79" t="s">
        <v>85</v>
      </c>
      <c r="Q60" s="49" t="s">
        <v>97</v>
      </c>
      <c r="R60" s="49" t="s">
        <v>97</v>
      </c>
      <c r="S60" s="79" t="s">
        <v>88</v>
      </c>
      <c r="T60" s="79" t="s">
        <v>89</v>
      </c>
      <c r="U60" s="49" t="s">
        <v>472</v>
      </c>
      <c r="V60" s="79" t="s">
        <v>473</v>
      </c>
      <c r="W60" s="79" t="s">
        <v>474</v>
      </c>
      <c r="X60" s="81" t="s">
        <v>109</v>
      </c>
      <c r="Y60" s="60" t="str">
        <f>VLOOKUP(D60,TIPOLOGIAS!A:F,5,0)</f>
        <v>TERRESTRE</v>
      </c>
      <c r="Z60" s="79" t="s">
        <v>110</v>
      </c>
      <c r="AA60" s="82">
        <v>0</v>
      </c>
      <c r="AB60" s="79">
        <v>0</v>
      </c>
      <c r="AC60" s="79">
        <v>1</v>
      </c>
      <c r="AD60" s="51">
        <f>IF(AND(Z60="SOPORTE_TELEFÓNICO",OR(T60="SIN CONTACTO CON EL CB",T60="NÚMEROS DE CONTACTO ERRADOS")),0,IF(Z60="SOPORTE_TELEFÓNICO",'BASE DE LIQUIDACION 2025'!$B$9,IF(X60="TIPO I",'BASE DE LIQUIDACION 2025'!$C$3,IF(X60="TIPO II",'BASE DE LIQUIDACION 2025'!$C$4,IF(X60="TIPO III",'BASE DE LIQUIDACION 2025'!$C$5,'BASE DE LIQUIDACION 2025'!$C$6)))))</f>
        <v>464809.36800000002</v>
      </c>
      <c r="AE60" s="51">
        <f>IF(Z60="SOPORTE_TELEFÓNICO",AD60,CIERRES!AC60*CIERRES!AD60)</f>
        <v>464809.36800000002</v>
      </c>
    </row>
    <row r="61" spans="1:31" s="66" customFormat="1" ht="13.15">
      <c r="A61" s="49" t="s">
        <v>475</v>
      </c>
      <c r="B61" s="50" t="str">
        <f>VLOOKUP(A61,'CENTRO DE COSTOS'!A:D,4,FALSE)</f>
        <v>JOSE MAURICIO HERNANDEZ ROJAS</v>
      </c>
      <c r="C61" s="50" t="str">
        <f>VLOOKUP(A61,'CENTRO DE COSTOS'!A:C,2,FALSE)</f>
        <v>0004-0001</v>
      </c>
      <c r="D61" s="79">
        <v>20517</v>
      </c>
      <c r="E61" s="79" t="s">
        <v>476</v>
      </c>
      <c r="F61" s="83" t="s">
        <v>477</v>
      </c>
      <c r="G61" s="80">
        <v>45821.504166666666</v>
      </c>
      <c r="H61" s="80">
        <v>45827.380300925928</v>
      </c>
      <c r="I61" s="49" t="s">
        <v>478</v>
      </c>
      <c r="J61" s="49" t="s">
        <v>479</v>
      </c>
      <c r="K61" s="49" t="s">
        <v>480</v>
      </c>
      <c r="L61" s="49">
        <v>38219</v>
      </c>
      <c r="M61" s="79" t="s">
        <v>83</v>
      </c>
      <c r="N61" s="79" t="s">
        <v>84</v>
      </c>
      <c r="O61" s="79" t="s">
        <v>84</v>
      </c>
      <c r="P61" s="79" t="s">
        <v>85</v>
      </c>
      <c r="Q61" s="49" t="s">
        <v>86</v>
      </c>
      <c r="R61" s="49" t="s">
        <v>87</v>
      </c>
      <c r="S61" s="79" t="s">
        <v>88</v>
      </c>
      <c r="T61" s="79" t="s">
        <v>89</v>
      </c>
      <c r="U61" s="49" t="s">
        <v>481</v>
      </c>
      <c r="V61" s="79" t="s">
        <v>473</v>
      </c>
      <c r="W61" s="79" t="s">
        <v>482</v>
      </c>
      <c r="X61" s="81" t="s">
        <v>109</v>
      </c>
      <c r="Y61" s="60" t="str">
        <f>VLOOKUP(D61,TIPOLOGIAS!A:F,5,0)</f>
        <v>TERRESTRE</v>
      </c>
      <c r="Z61" s="79" t="s">
        <v>110</v>
      </c>
      <c r="AA61" s="82">
        <v>0</v>
      </c>
      <c r="AB61" s="79">
        <v>0</v>
      </c>
      <c r="AC61" s="79">
        <v>1</v>
      </c>
      <c r="AD61" s="51">
        <f>IF(AND(Z61="SOPORTE_TELEFÓNICO",OR(T61="SIN CONTACTO CON EL CB",T61="NÚMEROS DE CONTACTO ERRADOS")),0,IF(Z61="SOPORTE_TELEFÓNICO",'BASE DE LIQUIDACION 2025'!$B$9,IF(X61="TIPO I",'BASE DE LIQUIDACION 2025'!$C$3,IF(X61="TIPO II",'BASE DE LIQUIDACION 2025'!$C$4,IF(X61="TIPO III",'BASE DE LIQUIDACION 2025'!$C$5,'BASE DE LIQUIDACION 2025'!$C$6)))))</f>
        <v>464809.36800000002</v>
      </c>
      <c r="AE61" s="51">
        <f>IF(Z61="SOPORTE_TELEFÓNICO",AD61,CIERRES!AC61*CIERRES!AD61)</f>
        <v>464809.36800000002</v>
      </c>
    </row>
    <row r="62" spans="1:31" s="66" customFormat="1" ht="13.15">
      <c r="A62" s="49" t="s">
        <v>77</v>
      </c>
      <c r="B62" s="50" t="str">
        <f>VLOOKUP(A62,'CENTRO DE COSTOS'!A:D,4,FALSE)</f>
        <v>DIEGO FERNANDO HENAO CARDONA</v>
      </c>
      <c r="C62" s="50" t="str">
        <f>VLOOKUP(A62,'CENTRO DE COSTOS'!A:C,2,FALSE)</f>
        <v>0004-0003</v>
      </c>
      <c r="D62" s="79">
        <v>52019</v>
      </c>
      <c r="E62" s="79" t="s">
        <v>483</v>
      </c>
      <c r="F62" s="83" t="s">
        <v>484</v>
      </c>
      <c r="G62" s="80">
        <v>45825.627083333333</v>
      </c>
      <c r="H62" s="80">
        <v>45827.524328703701</v>
      </c>
      <c r="I62" s="49" t="s">
        <v>80</v>
      </c>
      <c r="J62" s="49" t="s">
        <v>485</v>
      </c>
      <c r="K62" s="49" t="s">
        <v>486</v>
      </c>
      <c r="L62" s="49">
        <v>51948</v>
      </c>
      <c r="M62" s="79" t="s">
        <v>83</v>
      </c>
      <c r="N62" s="79" t="s">
        <v>84</v>
      </c>
      <c r="O62" s="79" t="s">
        <v>84</v>
      </c>
      <c r="P62" s="79" t="s">
        <v>85</v>
      </c>
      <c r="Q62" s="49" t="s">
        <v>97</v>
      </c>
      <c r="R62" s="49" t="s">
        <v>97</v>
      </c>
      <c r="S62" s="79" t="s">
        <v>88</v>
      </c>
      <c r="T62" s="79" t="s">
        <v>89</v>
      </c>
      <c r="U62" s="49" t="s">
        <v>487</v>
      </c>
      <c r="V62" s="79" t="s">
        <v>132</v>
      </c>
      <c r="W62" s="79">
        <v>0</v>
      </c>
      <c r="X62" s="81" t="s">
        <v>92</v>
      </c>
      <c r="Y62" s="60" t="str">
        <f>VLOOKUP(D62,TIPOLOGIAS!A:F,5,0)</f>
        <v>TERRESTRE</v>
      </c>
      <c r="Z62" s="79" t="s">
        <v>93</v>
      </c>
      <c r="AA62" s="82">
        <v>0</v>
      </c>
      <c r="AB62" s="79">
        <v>0</v>
      </c>
      <c r="AC62" s="79">
        <v>0</v>
      </c>
      <c r="AD62" s="51">
        <f>IF(AND(Z62="SOPORTE_TELEFÓNICO",OR(T62="SIN CONTACTO CON EL CB",T62="NÚMEROS DE CONTACTO ERRADOS")),0,IF(Z62="SOPORTE_TELEFÓNICO",'BASE DE LIQUIDACION 2025'!$B$9,IF(X62="TIPO I",'BASE DE LIQUIDACION 2025'!$C$3,IF(X62="TIPO II",'BASE DE LIQUIDACION 2025'!$C$4,IF(X62="TIPO III",'BASE DE LIQUIDACION 2025'!$C$5,'BASE DE LIQUIDACION 2025'!$C$6)))))</f>
        <v>37904.612000000001</v>
      </c>
      <c r="AE62" s="51">
        <f>IF(Z62="SOPORTE_TELEFÓNICO",AD62,CIERRES!AC62*CIERRES!AD62)</f>
        <v>37904.612000000001</v>
      </c>
    </row>
    <row r="63" spans="1:31" s="66" customFormat="1" ht="13.15">
      <c r="A63" s="49" t="s">
        <v>285</v>
      </c>
      <c r="B63" s="50" t="str">
        <f>VLOOKUP(A63,'CENTRO DE COSTOS'!A:D,4,FALSE)</f>
        <v>JUAN SEBASTIÁN RÍOS CASTRILLÓN</v>
      </c>
      <c r="C63" s="50" t="str">
        <f>VLOOKUP(A63,'CENTRO DE COSTOS'!A:C,2,FALSE)</f>
        <v>0004-0005</v>
      </c>
      <c r="D63" s="79">
        <v>27205</v>
      </c>
      <c r="E63" s="79" t="s">
        <v>488</v>
      </c>
      <c r="F63" s="83" t="s">
        <v>489</v>
      </c>
      <c r="G63" s="80">
        <v>45824.646527777775</v>
      </c>
      <c r="H63" s="80">
        <v>45827.704548611109</v>
      </c>
      <c r="I63" s="49" t="s">
        <v>490</v>
      </c>
      <c r="J63" s="49" t="s">
        <v>491</v>
      </c>
      <c r="K63" s="49" t="s">
        <v>492</v>
      </c>
      <c r="L63" s="49">
        <v>77743</v>
      </c>
      <c r="M63" s="79" t="s">
        <v>83</v>
      </c>
      <c r="N63" s="79" t="s">
        <v>84</v>
      </c>
      <c r="O63" s="79" t="s">
        <v>84</v>
      </c>
      <c r="P63" s="79" t="s">
        <v>85</v>
      </c>
      <c r="Q63" s="49" t="s">
        <v>97</v>
      </c>
      <c r="R63" s="49" t="s">
        <v>97</v>
      </c>
      <c r="S63" s="79" t="s">
        <v>138</v>
      </c>
      <c r="T63" s="79" t="s">
        <v>139</v>
      </c>
      <c r="U63" s="49" t="s">
        <v>493</v>
      </c>
      <c r="V63" s="79" t="s">
        <v>494</v>
      </c>
      <c r="W63" s="79" t="s">
        <v>495</v>
      </c>
      <c r="X63" s="81" t="s">
        <v>126</v>
      </c>
      <c r="Y63" s="60" t="str">
        <f>VLOOKUP(D63,TIPOLOGIAS!A:F,5,0)</f>
        <v>AEREO</v>
      </c>
      <c r="Z63" s="79" t="s">
        <v>110</v>
      </c>
      <c r="AA63" s="82">
        <v>0</v>
      </c>
      <c r="AB63" s="79">
        <v>0</v>
      </c>
      <c r="AC63" s="79">
        <v>1</v>
      </c>
      <c r="AD63" s="51">
        <f>IF(AND(Z63="SOPORTE_TELEFÓNICO",OR(T63="SIN CONTACTO CON EL CB",T63="NÚMEROS DE CONTACTO ERRADOS")),0,IF(Z63="SOPORTE_TELEFÓNICO",'BASE DE LIQUIDACION 2025'!$B$9,IF(X63="TIPO I",'BASE DE LIQUIDACION 2025'!$C$3,IF(X63="TIPO II",'BASE DE LIQUIDACION 2025'!$C$4,IF(X63="TIPO III",'BASE DE LIQUIDACION 2025'!$C$5,'BASE DE LIQUIDACION 2025'!$C$6)))))</f>
        <v>464809.36800000002</v>
      </c>
      <c r="AE63" s="51">
        <f>IF(Z63="SOPORTE_TELEFÓNICO",AD63,CIERRES!AC63*CIERRES!AD63)</f>
        <v>464809.36800000002</v>
      </c>
    </row>
    <row r="64" spans="1:31" s="66" customFormat="1" ht="13.15">
      <c r="A64" s="49" t="s">
        <v>142</v>
      </c>
      <c r="B64" s="50" t="str">
        <f>VLOOKUP(A64,'CENTRO DE COSTOS'!A:D,4,FALSE)</f>
        <v>MIGUEL JULIÁN HERNÁNDEZ GUARÍN</v>
      </c>
      <c r="C64" s="50" t="str">
        <f>VLOOKUP(A64,'CENTRO DE COSTOS'!A:C,2,FALSE)</f>
        <v>0004-0008</v>
      </c>
      <c r="D64" s="79">
        <v>81001</v>
      </c>
      <c r="E64" s="79" t="s">
        <v>496</v>
      </c>
      <c r="F64" s="83" t="s">
        <v>497</v>
      </c>
      <c r="G64" s="80">
        <v>45821.504166666666</v>
      </c>
      <c r="H64" s="80">
        <v>45827.727777777778</v>
      </c>
      <c r="I64" s="49" t="s">
        <v>498</v>
      </c>
      <c r="J64" s="49" t="s">
        <v>498</v>
      </c>
      <c r="K64" s="49" t="s">
        <v>499</v>
      </c>
      <c r="L64" s="49">
        <v>72184</v>
      </c>
      <c r="M64" s="79" t="s">
        <v>83</v>
      </c>
      <c r="N64" s="79" t="s">
        <v>84</v>
      </c>
      <c r="O64" s="79" t="s">
        <v>84</v>
      </c>
      <c r="P64" s="79" t="s">
        <v>85</v>
      </c>
      <c r="Q64" s="49" t="s">
        <v>86</v>
      </c>
      <c r="R64" s="49" t="s">
        <v>87</v>
      </c>
      <c r="S64" s="79" t="s">
        <v>88</v>
      </c>
      <c r="T64" s="79" t="s">
        <v>89</v>
      </c>
      <c r="U64" s="49" t="s">
        <v>500</v>
      </c>
      <c r="V64" s="79" t="s">
        <v>501</v>
      </c>
      <c r="W64" s="79">
        <v>0</v>
      </c>
      <c r="X64" s="81" t="s">
        <v>126</v>
      </c>
      <c r="Y64" s="60" t="str">
        <f>VLOOKUP(D64,TIPOLOGIAS!A:F,5,0)</f>
        <v>AEREO</v>
      </c>
      <c r="Z64" s="79" t="s">
        <v>93</v>
      </c>
      <c r="AA64" s="82">
        <v>0</v>
      </c>
      <c r="AB64" s="79">
        <v>0</v>
      </c>
      <c r="AC64" s="79">
        <v>0</v>
      </c>
      <c r="AD64" s="51">
        <f>IF(AND(Z64="SOPORTE_TELEFÓNICO",OR(T64="SIN CONTACTO CON EL CB",T64="NÚMEROS DE CONTACTO ERRADOS")),0,IF(Z64="SOPORTE_TELEFÓNICO",'BASE DE LIQUIDACION 2025'!$B$9,IF(X64="TIPO I",'BASE DE LIQUIDACION 2025'!$C$3,IF(X64="TIPO II",'BASE DE LIQUIDACION 2025'!$C$4,IF(X64="TIPO III",'BASE DE LIQUIDACION 2025'!$C$5,'BASE DE LIQUIDACION 2025'!$C$6)))))</f>
        <v>37904.612000000001</v>
      </c>
      <c r="AE64" s="51">
        <f>IF(Z64="SOPORTE_TELEFÓNICO",AD64,CIERRES!AC64*CIERRES!AD64)</f>
        <v>37904.612000000001</v>
      </c>
    </row>
    <row r="65" spans="1:31" s="66" customFormat="1" ht="13.15">
      <c r="A65" s="49" t="s">
        <v>111</v>
      </c>
      <c r="B65" s="50" t="str">
        <f>VLOOKUP(A65,'CENTRO DE COSTOS'!A:D,4,FALSE)</f>
        <v>WILLIAM ASDRUBAL ROZO ROZO</v>
      </c>
      <c r="C65" s="50" t="str">
        <f>VLOOKUP(A65,'CENTRO DE COSTOS'!A:C,2,FALSE)</f>
        <v>0004-0004</v>
      </c>
      <c r="D65" s="79">
        <v>11001</v>
      </c>
      <c r="E65" s="79" t="s">
        <v>502</v>
      </c>
      <c r="F65" s="83" t="s">
        <v>503</v>
      </c>
      <c r="G65" s="80">
        <v>45827.563194444447</v>
      </c>
      <c r="H65" s="80">
        <v>45828.60193287037</v>
      </c>
      <c r="I65" s="49" t="s">
        <v>114</v>
      </c>
      <c r="J65" s="49" t="s">
        <v>111</v>
      </c>
      <c r="K65" s="49" t="s">
        <v>504</v>
      </c>
      <c r="L65" s="49">
        <v>28568</v>
      </c>
      <c r="M65" s="79" t="s">
        <v>83</v>
      </c>
      <c r="N65" s="79" t="s">
        <v>84</v>
      </c>
      <c r="O65" s="79" t="s">
        <v>84</v>
      </c>
      <c r="P65" s="79" t="s">
        <v>85</v>
      </c>
      <c r="Q65" s="49" t="s">
        <v>97</v>
      </c>
      <c r="R65" s="49" t="s">
        <v>97</v>
      </c>
      <c r="S65" s="79" t="s">
        <v>138</v>
      </c>
      <c r="T65" s="79" t="s">
        <v>139</v>
      </c>
      <c r="U65" s="49" t="s">
        <v>505</v>
      </c>
      <c r="V65" s="79" t="s">
        <v>506</v>
      </c>
      <c r="W65" s="79">
        <v>0</v>
      </c>
      <c r="X65" s="81" t="s">
        <v>119</v>
      </c>
      <c r="Y65" s="60" t="str">
        <f>VLOOKUP(D65,TIPOLOGIAS!A:F,5,0)</f>
        <v>TERRESTRE</v>
      </c>
      <c r="Z65" s="79" t="s">
        <v>110</v>
      </c>
      <c r="AA65" s="82">
        <v>0</v>
      </c>
      <c r="AB65" s="79">
        <v>0</v>
      </c>
      <c r="AC65" s="79">
        <v>1</v>
      </c>
      <c r="AD65" s="51">
        <f>IF(AND(Z65="SOPORTE_TELEFÓNICO",OR(T65="SIN CONTACTO CON EL CB",T65="NÚMEROS DE CONTACTO ERRADOS")),0,IF(Z65="SOPORTE_TELEFÓNICO",'BASE DE LIQUIDACION 2025'!$B$9,IF(X65="TIPO I",'BASE DE LIQUIDACION 2025'!$C$3,IF(X65="TIPO II",'BASE DE LIQUIDACION 2025'!$C$4,IF(X65="TIPO III",'BASE DE LIQUIDACION 2025'!$C$5,'BASE DE LIQUIDACION 2025'!$C$6)))))</f>
        <v>44559.563999999998</v>
      </c>
      <c r="AE65" s="51">
        <f>IF(Z65="SOPORTE_TELEFÓNICO",AD65,CIERRES!AC65*CIERRES!AD65)</f>
        <v>44559.563999999998</v>
      </c>
    </row>
    <row r="66" spans="1:31" s="66" customFormat="1" ht="13.15">
      <c r="A66" s="49" t="s">
        <v>182</v>
      </c>
      <c r="B66" s="50" t="str">
        <f>VLOOKUP(A66,'CENTRO DE COSTOS'!A:D,4,FALSE)</f>
        <v>MIGUEL JULIÁN HERNÁNDEZ GUARÍN</v>
      </c>
      <c r="C66" s="50" t="str">
        <f>VLOOKUP(A66,'CENTRO DE COSTOS'!A:C,2,FALSE)</f>
        <v>0004-0008</v>
      </c>
      <c r="D66" s="79">
        <v>15238</v>
      </c>
      <c r="E66" s="79" t="s">
        <v>507</v>
      </c>
      <c r="F66" s="83" t="s">
        <v>508</v>
      </c>
      <c r="G66" s="80">
        <v>45827.563194444447</v>
      </c>
      <c r="H66" s="80">
        <v>45828.610474537039</v>
      </c>
      <c r="I66" s="49" t="s">
        <v>185</v>
      </c>
      <c r="J66" s="49" t="s">
        <v>509</v>
      </c>
      <c r="K66" s="49" t="s">
        <v>510</v>
      </c>
      <c r="L66" s="49">
        <v>71876</v>
      </c>
      <c r="M66" s="79" t="s">
        <v>83</v>
      </c>
      <c r="N66" s="79" t="s">
        <v>84</v>
      </c>
      <c r="O66" s="79" t="s">
        <v>84</v>
      </c>
      <c r="P66" s="79" t="s">
        <v>85</v>
      </c>
      <c r="Q66" s="49" t="s">
        <v>97</v>
      </c>
      <c r="R66" s="49" t="s">
        <v>97</v>
      </c>
      <c r="S66" s="79" t="s">
        <v>188</v>
      </c>
      <c r="T66" s="79" t="s">
        <v>189</v>
      </c>
      <c r="U66" s="49" t="s">
        <v>511</v>
      </c>
      <c r="V66" s="79" t="s">
        <v>512</v>
      </c>
      <c r="W66" s="79" t="s">
        <v>513</v>
      </c>
      <c r="X66" s="81" t="s">
        <v>92</v>
      </c>
      <c r="Y66" s="60" t="str">
        <f>VLOOKUP(D66,TIPOLOGIAS!A:F,5,0)</f>
        <v>TERRESTRE</v>
      </c>
      <c r="Z66" s="79" t="s">
        <v>110</v>
      </c>
      <c r="AA66" s="82">
        <v>0</v>
      </c>
      <c r="AB66" s="79">
        <v>0</v>
      </c>
      <c r="AC66" s="79">
        <v>1</v>
      </c>
      <c r="AD66" s="51">
        <f>IF(AND(Z66="SOPORTE_TELEFÓNICO",OR(T66="SIN CONTACTO CON EL CB",T66="NÚMEROS DE CONTACTO ERRADOS")),0,IF(Z66="SOPORTE_TELEFÓNICO",'BASE DE LIQUIDACION 2025'!$B$9,IF(X66="TIPO I",'BASE DE LIQUIDACION 2025'!$C$3,IF(X66="TIPO II",'BASE DE LIQUIDACION 2025'!$C$4,IF(X66="TIPO III",'BASE DE LIQUIDACION 2025'!$C$5,'BASE DE LIQUIDACION 2025'!$C$6)))))</f>
        <v>134410.88400000002</v>
      </c>
      <c r="AE66" s="51">
        <f>IF(Z66="SOPORTE_TELEFÓNICO",AD66,CIERRES!AC66*CIERRES!AD66)</f>
        <v>134410.88400000002</v>
      </c>
    </row>
    <row r="67" spans="1:31" s="66" customFormat="1" ht="13.15">
      <c r="A67" s="49" t="s">
        <v>111</v>
      </c>
      <c r="B67" s="50" t="str">
        <f>VLOOKUP(A67,'CENTRO DE COSTOS'!A:D,4,FALSE)</f>
        <v>WILLIAM ASDRUBAL ROZO ROZO</v>
      </c>
      <c r="C67" s="50" t="str">
        <f>VLOOKUP(A67,'CENTRO DE COSTOS'!A:C,2,FALSE)</f>
        <v>0004-0004</v>
      </c>
      <c r="D67" s="79">
        <v>11001</v>
      </c>
      <c r="E67" s="79" t="s">
        <v>514</v>
      </c>
      <c r="F67" s="83" t="s">
        <v>515</v>
      </c>
      <c r="G67" s="80">
        <v>45827.563194444447</v>
      </c>
      <c r="H67" s="80">
        <v>45828.62054398148</v>
      </c>
      <c r="I67" s="49" t="s">
        <v>114</v>
      </c>
      <c r="J67" s="49" t="s">
        <v>111</v>
      </c>
      <c r="K67" s="49" t="s">
        <v>516</v>
      </c>
      <c r="L67" s="49">
        <v>31094</v>
      </c>
      <c r="M67" s="79" t="s">
        <v>83</v>
      </c>
      <c r="N67" s="79" t="s">
        <v>84</v>
      </c>
      <c r="O67" s="79" t="s">
        <v>84</v>
      </c>
      <c r="P67" s="79" t="s">
        <v>85</v>
      </c>
      <c r="Q67" s="49" t="s">
        <v>97</v>
      </c>
      <c r="R67" s="49" t="s">
        <v>97</v>
      </c>
      <c r="S67" s="79" t="s">
        <v>88</v>
      </c>
      <c r="T67" s="79" t="s">
        <v>89</v>
      </c>
      <c r="U67" s="49" t="s">
        <v>517</v>
      </c>
      <c r="V67" s="79" t="s">
        <v>518</v>
      </c>
      <c r="W67" s="79" t="s">
        <v>519</v>
      </c>
      <c r="X67" s="81" t="s">
        <v>119</v>
      </c>
      <c r="Y67" s="60" t="str">
        <f>VLOOKUP(D67,TIPOLOGIAS!A:F,5,0)</f>
        <v>TERRESTRE</v>
      </c>
      <c r="Z67" s="79" t="s">
        <v>110</v>
      </c>
      <c r="AA67" s="82">
        <v>0</v>
      </c>
      <c r="AB67" s="79" t="s">
        <v>321</v>
      </c>
      <c r="AC67" s="79">
        <v>1</v>
      </c>
      <c r="AD67" s="51">
        <f>IF(AND(Z67="SOPORTE_TELEFÓNICO",OR(T67="SIN CONTACTO CON EL CB",T67="NÚMEROS DE CONTACTO ERRADOS")),0,IF(Z67="SOPORTE_TELEFÓNICO",'BASE DE LIQUIDACION 2025'!$B$9,IF(X67="TIPO I",'BASE DE LIQUIDACION 2025'!$C$3,IF(X67="TIPO II",'BASE DE LIQUIDACION 2025'!$C$4,IF(X67="TIPO III",'BASE DE LIQUIDACION 2025'!$C$5,'BASE DE LIQUIDACION 2025'!$C$6)))))</f>
        <v>44559.563999999998</v>
      </c>
      <c r="AE67" s="51">
        <f>IF(Z67="SOPORTE_TELEFÓNICO",AD67,CIERRES!AC67*CIERRES!AD67)</f>
        <v>44559.563999999998</v>
      </c>
    </row>
    <row r="68" spans="1:31" s="66" customFormat="1" ht="13.15">
      <c r="A68" s="49" t="s">
        <v>258</v>
      </c>
      <c r="B68" s="50" t="str">
        <f>VLOOKUP(A68,'CENTRO DE COSTOS'!A:D,4,FALSE)</f>
        <v>MIGUEL JULIÁN HERNÁNDEZ GUARÍN</v>
      </c>
      <c r="C68" s="50" t="str">
        <f>VLOOKUP(A68,'CENTRO DE COSTOS'!A:C,2,FALSE)</f>
        <v>0004-0008</v>
      </c>
      <c r="D68" s="79">
        <v>54001</v>
      </c>
      <c r="E68" s="79" t="s">
        <v>520</v>
      </c>
      <c r="F68" s="83" t="s">
        <v>521</v>
      </c>
      <c r="G68" s="80">
        <v>45827.563194444447</v>
      </c>
      <c r="H68" s="80">
        <v>45828.637129629627</v>
      </c>
      <c r="I68" s="49" t="s">
        <v>261</v>
      </c>
      <c r="J68" s="49" t="s">
        <v>258</v>
      </c>
      <c r="K68" s="49" t="s">
        <v>522</v>
      </c>
      <c r="L68" s="49">
        <v>71617</v>
      </c>
      <c r="M68" s="79" t="s">
        <v>83</v>
      </c>
      <c r="N68" s="79" t="s">
        <v>84</v>
      </c>
      <c r="O68" s="79" t="s">
        <v>84</v>
      </c>
      <c r="P68" s="79" t="s">
        <v>85</v>
      </c>
      <c r="Q68" s="49" t="s">
        <v>97</v>
      </c>
      <c r="R68" s="49" t="s">
        <v>97</v>
      </c>
      <c r="S68" s="79" t="s">
        <v>138</v>
      </c>
      <c r="T68" s="79" t="s">
        <v>139</v>
      </c>
      <c r="U68" s="49" t="s">
        <v>523</v>
      </c>
      <c r="V68" s="79" t="s">
        <v>524</v>
      </c>
      <c r="W68" s="79">
        <v>0</v>
      </c>
      <c r="X68" s="81" t="s">
        <v>119</v>
      </c>
      <c r="Y68" s="60" t="str">
        <f>VLOOKUP(D68,TIPOLOGIAS!A:F,5,0)</f>
        <v>TERRESTRE</v>
      </c>
      <c r="Z68" s="79" t="s">
        <v>110</v>
      </c>
      <c r="AA68" s="82">
        <v>0</v>
      </c>
      <c r="AB68" s="79">
        <v>0</v>
      </c>
      <c r="AC68" s="79">
        <v>1</v>
      </c>
      <c r="AD68" s="51">
        <f>IF(AND(Z68="SOPORTE_TELEFÓNICO",OR(T68="SIN CONTACTO CON EL CB",T68="NÚMEROS DE CONTACTO ERRADOS")),0,IF(Z68="SOPORTE_TELEFÓNICO",'BASE DE LIQUIDACION 2025'!$B$9,IF(X68="TIPO I",'BASE DE LIQUIDACION 2025'!$C$3,IF(X68="TIPO II",'BASE DE LIQUIDACION 2025'!$C$4,IF(X68="TIPO III",'BASE DE LIQUIDACION 2025'!$C$5,'BASE DE LIQUIDACION 2025'!$C$6)))))</f>
        <v>44559.563999999998</v>
      </c>
      <c r="AE68" s="51">
        <f>IF(Z68="SOPORTE_TELEFÓNICO",AD68,CIERRES!AC68*CIERRES!AD68)</f>
        <v>44559.563999999998</v>
      </c>
    </row>
    <row r="69" spans="1:31" s="66" customFormat="1" ht="13.15">
      <c r="A69" s="49" t="s">
        <v>258</v>
      </c>
      <c r="B69" s="50" t="str">
        <f>VLOOKUP(A69,'CENTRO DE COSTOS'!A:D,4,FALSE)</f>
        <v>MIGUEL JULIÁN HERNÁNDEZ GUARÍN</v>
      </c>
      <c r="C69" s="50" t="str">
        <f>VLOOKUP(A69,'CENTRO DE COSTOS'!A:C,2,FALSE)</f>
        <v>0004-0008</v>
      </c>
      <c r="D69" s="79">
        <v>54001</v>
      </c>
      <c r="E69" s="79" t="s">
        <v>525</v>
      </c>
      <c r="F69" s="83" t="s">
        <v>526</v>
      </c>
      <c r="G69" s="80">
        <v>45827.563194444447</v>
      </c>
      <c r="H69" s="80">
        <v>45828.736331018517</v>
      </c>
      <c r="I69" s="49" t="s">
        <v>261</v>
      </c>
      <c r="J69" s="49" t="s">
        <v>258</v>
      </c>
      <c r="K69" s="49" t="s">
        <v>527</v>
      </c>
      <c r="L69" s="49">
        <v>49137</v>
      </c>
      <c r="M69" s="79" t="s">
        <v>83</v>
      </c>
      <c r="N69" s="79" t="s">
        <v>84</v>
      </c>
      <c r="O69" s="79" t="s">
        <v>116</v>
      </c>
      <c r="P69" s="79" t="s">
        <v>85</v>
      </c>
      <c r="Q69" s="49" t="s">
        <v>86</v>
      </c>
      <c r="R69" s="49" t="s">
        <v>231</v>
      </c>
      <c r="S69" s="79" t="s">
        <v>138</v>
      </c>
      <c r="T69" s="79" t="s">
        <v>139</v>
      </c>
      <c r="U69" s="49" t="s">
        <v>528</v>
      </c>
      <c r="V69" s="79" t="s">
        <v>529</v>
      </c>
      <c r="W69" s="79">
        <v>0</v>
      </c>
      <c r="X69" s="81" t="s">
        <v>119</v>
      </c>
      <c r="Y69" s="60" t="str">
        <f>VLOOKUP(D69,TIPOLOGIAS!A:F,5,0)</f>
        <v>TERRESTRE</v>
      </c>
      <c r="Z69" s="79" t="s">
        <v>110</v>
      </c>
      <c r="AA69" s="82">
        <v>0</v>
      </c>
      <c r="AB69" s="79">
        <v>0</v>
      </c>
      <c r="AC69" s="79">
        <v>1</v>
      </c>
      <c r="AD69" s="51">
        <f>IF(AND(Z69="SOPORTE_TELEFÓNICO",OR(T69="SIN CONTACTO CON EL CB",T69="NÚMEROS DE CONTACTO ERRADOS")),0,IF(Z69="SOPORTE_TELEFÓNICO",'BASE DE LIQUIDACION 2025'!$B$9,IF(X69="TIPO I",'BASE DE LIQUIDACION 2025'!$C$3,IF(X69="TIPO II",'BASE DE LIQUIDACION 2025'!$C$4,IF(X69="TIPO III",'BASE DE LIQUIDACION 2025'!$C$5,'BASE DE LIQUIDACION 2025'!$C$6)))))</f>
        <v>44559.563999999998</v>
      </c>
      <c r="AE69" s="51">
        <f>IF(Z69="SOPORTE_TELEFÓNICO",AD69,CIERRES!AC69*CIERRES!AD69)</f>
        <v>44559.563999999998</v>
      </c>
    </row>
    <row r="70" spans="1:31" s="66" customFormat="1" ht="13.15">
      <c r="A70" s="49" t="s">
        <v>111</v>
      </c>
      <c r="B70" s="50" t="str">
        <f>VLOOKUP(A70,'CENTRO DE COSTOS'!A:D,4,FALSE)</f>
        <v>WILLIAM ASDRUBAL ROZO ROZO</v>
      </c>
      <c r="C70" s="50" t="str">
        <f>VLOOKUP(A70,'CENTRO DE COSTOS'!A:C,2,FALSE)</f>
        <v>0004-0004</v>
      </c>
      <c r="D70" s="79">
        <v>25754</v>
      </c>
      <c r="E70" s="79" t="s">
        <v>530</v>
      </c>
      <c r="F70" s="83" t="s">
        <v>531</v>
      </c>
      <c r="G70" s="80">
        <v>45825.627083333333</v>
      </c>
      <c r="H70" s="80">
        <v>45828.755358796298</v>
      </c>
      <c r="I70" s="49" t="s">
        <v>114</v>
      </c>
      <c r="J70" s="49" t="s">
        <v>532</v>
      </c>
      <c r="K70" s="49" t="s">
        <v>533</v>
      </c>
      <c r="L70" s="49">
        <v>66140</v>
      </c>
      <c r="M70" s="79" t="s">
        <v>83</v>
      </c>
      <c r="N70" s="79" t="s">
        <v>84</v>
      </c>
      <c r="O70" s="79" t="s">
        <v>116</v>
      </c>
      <c r="P70" s="79" t="s">
        <v>85</v>
      </c>
      <c r="Q70" s="49" t="s">
        <v>97</v>
      </c>
      <c r="R70" s="49" t="s">
        <v>97</v>
      </c>
      <c r="S70" s="79" t="s">
        <v>348</v>
      </c>
      <c r="T70" s="79" t="s">
        <v>349</v>
      </c>
      <c r="U70" s="49" t="s">
        <v>534</v>
      </c>
      <c r="V70" s="79" t="s">
        <v>535</v>
      </c>
      <c r="W70" s="79" t="s">
        <v>536</v>
      </c>
      <c r="X70" s="81" t="s">
        <v>119</v>
      </c>
      <c r="Y70" s="60" t="str">
        <f>VLOOKUP(D70,TIPOLOGIAS!A:F,5,0)</f>
        <v>TERRESTRE</v>
      </c>
      <c r="Z70" s="79" t="s">
        <v>110</v>
      </c>
      <c r="AA70" s="82" t="s">
        <v>537</v>
      </c>
      <c r="AB70" s="79" t="s">
        <v>538</v>
      </c>
      <c r="AC70" s="79">
        <v>1</v>
      </c>
      <c r="AD70" s="51">
        <f>IF(AND(Z70="SOPORTE_TELEFÓNICO",OR(T70="SIN CONTACTO CON EL CB",T70="NÚMEROS DE CONTACTO ERRADOS")),0,IF(Z70="SOPORTE_TELEFÓNICO",'BASE DE LIQUIDACION 2025'!$B$9,IF(X70="TIPO I",'BASE DE LIQUIDACION 2025'!$C$3,IF(X70="TIPO II",'BASE DE LIQUIDACION 2025'!$C$4,IF(X70="TIPO III",'BASE DE LIQUIDACION 2025'!$C$5,'BASE DE LIQUIDACION 2025'!$C$6)))))</f>
        <v>44559.563999999998</v>
      </c>
      <c r="AE70" s="51">
        <f>IF(Z70="SOPORTE_TELEFÓNICO",AD70,CIERRES!AC70*CIERRES!AD70)</f>
        <v>44559.563999999998</v>
      </c>
    </row>
    <row r="71" spans="1:31" s="66" customFormat="1" ht="13.15">
      <c r="A71" s="49" t="s">
        <v>149</v>
      </c>
      <c r="B71" s="50" t="str">
        <f>VLOOKUP(A71,'CENTRO DE COSTOS'!A:D,4,FALSE)</f>
        <v>DIEGO FERNANDO HENAO CARDONA</v>
      </c>
      <c r="C71" s="50" t="str">
        <f>VLOOKUP(A71,'CENTRO DE COSTOS'!A:C,2,FALSE)</f>
        <v>0004-0002</v>
      </c>
      <c r="D71" s="79">
        <v>63001</v>
      </c>
      <c r="E71" s="79" t="s">
        <v>539</v>
      </c>
      <c r="F71" s="83" t="s">
        <v>540</v>
      </c>
      <c r="G71" s="80">
        <v>45827.563194444447</v>
      </c>
      <c r="H71" s="80">
        <v>45829.428240740737</v>
      </c>
      <c r="I71" s="49" t="s">
        <v>541</v>
      </c>
      <c r="J71" s="49" t="s">
        <v>542</v>
      </c>
      <c r="K71" s="49" t="s">
        <v>543</v>
      </c>
      <c r="L71" s="49">
        <v>73952</v>
      </c>
      <c r="M71" s="79" t="s">
        <v>83</v>
      </c>
      <c r="N71" s="79" t="s">
        <v>84</v>
      </c>
      <c r="O71" s="79" t="s">
        <v>84</v>
      </c>
      <c r="P71" s="79" t="s">
        <v>85</v>
      </c>
      <c r="Q71" s="49" t="s">
        <v>97</v>
      </c>
      <c r="R71" s="49" t="s">
        <v>97</v>
      </c>
      <c r="S71" s="79" t="s">
        <v>138</v>
      </c>
      <c r="T71" s="79" t="s">
        <v>139</v>
      </c>
      <c r="U71" s="49" t="s">
        <v>544</v>
      </c>
      <c r="V71" s="79" t="s">
        <v>545</v>
      </c>
      <c r="W71" s="79" t="s">
        <v>546</v>
      </c>
      <c r="X71" s="81" t="s">
        <v>92</v>
      </c>
      <c r="Y71" s="60" t="str">
        <f>VLOOKUP(D71,TIPOLOGIAS!A:F,5,0)</f>
        <v>TERRESTRE</v>
      </c>
      <c r="Z71" s="79" t="s">
        <v>110</v>
      </c>
      <c r="AA71" s="82">
        <v>0</v>
      </c>
      <c r="AB71" s="79">
        <v>0</v>
      </c>
      <c r="AC71" s="79">
        <v>1</v>
      </c>
      <c r="AD71" s="51">
        <f>IF(AND(Z71="SOPORTE_TELEFÓNICO",OR(T71="SIN CONTACTO CON EL CB",T71="NÚMEROS DE CONTACTO ERRADOS")),0,IF(Z71="SOPORTE_TELEFÓNICO",'BASE DE LIQUIDACION 2025'!$B$9,IF(X71="TIPO I",'BASE DE LIQUIDACION 2025'!$C$3,IF(X71="TIPO II",'BASE DE LIQUIDACION 2025'!$C$4,IF(X71="TIPO III",'BASE DE LIQUIDACION 2025'!$C$5,'BASE DE LIQUIDACION 2025'!$C$6)))))</f>
        <v>134410.88400000002</v>
      </c>
      <c r="AE71" s="51">
        <f>IF(Z71="SOPORTE_TELEFÓNICO",AD71,CIERRES!AC71*CIERRES!AD71)</f>
        <v>134410.88400000002</v>
      </c>
    </row>
    <row r="72" spans="1:31" s="66" customFormat="1" ht="13.15">
      <c r="A72" s="49" t="s">
        <v>172</v>
      </c>
      <c r="B72" s="50" t="str">
        <f>VLOOKUP(A72,'CENTRO DE COSTOS'!A:D,4,FALSE)</f>
        <v>DIEGO FERNANDO HENAO CARDONA</v>
      </c>
      <c r="C72" s="50" t="str">
        <f>VLOOKUP(A72,'CENTRO DE COSTOS'!A:C,2,FALSE)</f>
        <v>0004-0003</v>
      </c>
      <c r="D72" s="79">
        <v>76001</v>
      </c>
      <c r="E72" s="79" t="s">
        <v>547</v>
      </c>
      <c r="F72" s="83" t="s">
        <v>548</v>
      </c>
      <c r="G72" s="80">
        <v>45827.563194444447</v>
      </c>
      <c r="H72" s="80">
        <v>45829.490833333337</v>
      </c>
      <c r="I72" s="49" t="s">
        <v>282</v>
      </c>
      <c r="J72" s="49" t="s">
        <v>172</v>
      </c>
      <c r="K72" s="49" t="s">
        <v>549</v>
      </c>
      <c r="L72" s="49">
        <v>75111</v>
      </c>
      <c r="M72" s="79" t="s">
        <v>83</v>
      </c>
      <c r="N72" s="79" t="s">
        <v>84</v>
      </c>
      <c r="O72" s="79" t="s">
        <v>84</v>
      </c>
      <c r="P72" s="79" t="s">
        <v>85</v>
      </c>
      <c r="Q72" s="49" t="s">
        <v>97</v>
      </c>
      <c r="R72" s="49" t="s">
        <v>97</v>
      </c>
      <c r="S72" s="79" t="s">
        <v>88</v>
      </c>
      <c r="T72" s="79" t="s">
        <v>89</v>
      </c>
      <c r="U72" s="49" t="s">
        <v>550</v>
      </c>
      <c r="V72" s="79" t="s">
        <v>91</v>
      </c>
      <c r="W72" s="79">
        <v>0</v>
      </c>
      <c r="X72" s="81" t="s">
        <v>119</v>
      </c>
      <c r="Y72" s="60" t="str">
        <f>VLOOKUP(D72,TIPOLOGIAS!A:F,5,0)</f>
        <v>TERRESTRE</v>
      </c>
      <c r="Z72" s="79" t="s">
        <v>93</v>
      </c>
      <c r="AA72" s="82">
        <v>0</v>
      </c>
      <c r="AB72" s="79">
        <v>0</v>
      </c>
      <c r="AC72" s="79">
        <v>0</v>
      </c>
      <c r="AD72" s="51">
        <f>IF(AND(Z72="SOPORTE_TELEFÓNICO",OR(T72="SIN CONTACTO CON EL CB",T72="NÚMEROS DE CONTACTO ERRADOS")),0,IF(Z72="SOPORTE_TELEFÓNICO",'BASE DE LIQUIDACION 2025'!$B$9,IF(X72="TIPO I",'BASE DE LIQUIDACION 2025'!$C$3,IF(X72="TIPO II",'BASE DE LIQUIDACION 2025'!$C$4,IF(X72="TIPO III",'BASE DE LIQUIDACION 2025'!$C$5,'BASE DE LIQUIDACION 2025'!$C$6)))))</f>
        <v>37904.612000000001</v>
      </c>
      <c r="AE72" s="51">
        <f>IF(Z72="SOPORTE_TELEFÓNICO",AD72,CIERRES!AC72*CIERRES!AD72)</f>
        <v>37904.612000000001</v>
      </c>
    </row>
    <row r="73" spans="1:31" s="66" customFormat="1" ht="13.15">
      <c r="A73" s="49" t="s">
        <v>172</v>
      </c>
      <c r="B73" s="50" t="str">
        <f>VLOOKUP(A73,'CENTRO DE COSTOS'!A:D,4,FALSE)</f>
        <v>DIEGO FERNANDO HENAO CARDONA</v>
      </c>
      <c r="C73" s="50" t="str">
        <f>VLOOKUP(A73,'CENTRO DE COSTOS'!A:C,2,FALSE)</f>
        <v>0004-0003</v>
      </c>
      <c r="D73" s="79">
        <v>19573</v>
      </c>
      <c r="E73" s="79" t="s">
        <v>551</v>
      </c>
      <c r="F73" s="83" t="s">
        <v>552</v>
      </c>
      <c r="G73" s="80">
        <v>45827.563194444447</v>
      </c>
      <c r="H73" s="80">
        <v>45829.493541666663</v>
      </c>
      <c r="I73" s="49" t="s">
        <v>175</v>
      </c>
      <c r="J73" s="49" t="s">
        <v>553</v>
      </c>
      <c r="K73" s="49" t="s">
        <v>554</v>
      </c>
      <c r="L73" s="49">
        <v>75686</v>
      </c>
      <c r="M73" s="79" t="s">
        <v>83</v>
      </c>
      <c r="N73" s="79" t="s">
        <v>84</v>
      </c>
      <c r="O73" s="79" t="s">
        <v>84</v>
      </c>
      <c r="P73" s="79" t="s">
        <v>85</v>
      </c>
      <c r="Q73" s="49" t="s">
        <v>97</v>
      </c>
      <c r="R73" s="49" t="s">
        <v>97</v>
      </c>
      <c r="S73" s="79" t="s">
        <v>138</v>
      </c>
      <c r="T73" s="79" t="s">
        <v>139</v>
      </c>
      <c r="U73" s="49" t="s">
        <v>555</v>
      </c>
      <c r="V73" s="79" t="s">
        <v>407</v>
      </c>
      <c r="W73" s="79" t="s">
        <v>556</v>
      </c>
      <c r="X73" s="81" t="s">
        <v>92</v>
      </c>
      <c r="Y73" s="60" t="str">
        <f>VLOOKUP(D73,TIPOLOGIAS!A:F,5,0)</f>
        <v>TERRESTRE</v>
      </c>
      <c r="Z73" s="79" t="s">
        <v>110</v>
      </c>
      <c r="AA73" s="82">
        <v>0</v>
      </c>
      <c r="AB73" s="79">
        <v>0</v>
      </c>
      <c r="AC73" s="79">
        <v>1</v>
      </c>
      <c r="AD73" s="51">
        <f>IF(AND(Z73="SOPORTE_TELEFÓNICO",OR(T73="SIN CONTACTO CON EL CB",T73="NÚMEROS DE CONTACTO ERRADOS")),0,IF(Z73="SOPORTE_TELEFÓNICO",'BASE DE LIQUIDACION 2025'!$B$9,IF(X73="TIPO I",'BASE DE LIQUIDACION 2025'!$C$3,IF(X73="TIPO II",'BASE DE LIQUIDACION 2025'!$C$4,IF(X73="TIPO III",'BASE DE LIQUIDACION 2025'!$C$5,'BASE DE LIQUIDACION 2025'!$C$6)))))</f>
        <v>134410.88400000002</v>
      </c>
      <c r="AE73" s="51">
        <f>IF(Z73="SOPORTE_TELEFÓNICO",AD73,CIERRES!AC73*CIERRES!AD73)</f>
        <v>134410.88400000002</v>
      </c>
    </row>
    <row r="74" spans="1:31" s="66" customFormat="1" ht="13.15">
      <c r="A74" s="49" t="s">
        <v>77</v>
      </c>
      <c r="B74" s="50" t="str">
        <f>VLOOKUP(A74,'CENTRO DE COSTOS'!A:D,4,FALSE)</f>
        <v>DIEGO FERNANDO HENAO CARDONA</v>
      </c>
      <c r="C74" s="50" t="str">
        <f>VLOOKUP(A74,'CENTRO DE COSTOS'!A:C,2,FALSE)</f>
        <v>0004-0003</v>
      </c>
      <c r="D74" s="79">
        <v>86865</v>
      </c>
      <c r="E74" s="79" t="s">
        <v>557</v>
      </c>
      <c r="F74" s="83" t="s">
        <v>558</v>
      </c>
      <c r="G74" s="80">
        <v>45825.627083333333</v>
      </c>
      <c r="H74" s="80">
        <v>45832.36377314815</v>
      </c>
      <c r="I74" s="49" t="s">
        <v>416</v>
      </c>
      <c r="J74" s="49" t="s">
        <v>559</v>
      </c>
      <c r="K74" s="49" t="s">
        <v>560</v>
      </c>
      <c r="L74" s="49">
        <v>13589</v>
      </c>
      <c r="M74" s="79" t="s">
        <v>83</v>
      </c>
      <c r="N74" s="79" t="s">
        <v>84</v>
      </c>
      <c r="O74" s="79" t="s">
        <v>84</v>
      </c>
      <c r="P74" s="79" t="s">
        <v>85</v>
      </c>
      <c r="Q74" s="49" t="s">
        <v>97</v>
      </c>
      <c r="R74" s="49" t="s">
        <v>97</v>
      </c>
      <c r="S74" s="79" t="s">
        <v>88</v>
      </c>
      <c r="T74" s="79" t="s">
        <v>89</v>
      </c>
      <c r="U74" s="49" t="s">
        <v>561</v>
      </c>
      <c r="V74" s="79" t="s">
        <v>132</v>
      </c>
      <c r="W74" s="79">
        <v>0</v>
      </c>
      <c r="X74" s="81" t="s">
        <v>109</v>
      </c>
      <c r="Y74" s="60" t="str">
        <f>VLOOKUP(D74,TIPOLOGIAS!A:F,5,0)</f>
        <v>TERRESTRE</v>
      </c>
      <c r="Z74" s="79" t="s">
        <v>93</v>
      </c>
      <c r="AA74" s="82">
        <v>0</v>
      </c>
      <c r="AB74" s="79">
        <v>0</v>
      </c>
      <c r="AC74" s="79">
        <v>0</v>
      </c>
      <c r="AD74" s="51">
        <f>IF(AND(Z74="SOPORTE_TELEFÓNICO",OR(T74="SIN CONTACTO CON EL CB",T74="NÚMEROS DE CONTACTO ERRADOS")),0,IF(Z74="SOPORTE_TELEFÓNICO",'BASE DE LIQUIDACION 2025'!$B$9,IF(X74="TIPO I",'BASE DE LIQUIDACION 2025'!$C$3,IF(X74="TIPO II",'BASE DE LIQUIDACION 2025'!$C$4,IF(X74="TIPO III",'BASE DE LIQUIDACION 2025'!$C$5,'BASE DE LIQUIDACION 2025'!$C$6)))))</f>
        <v>37904.612000000001</v>
      </c>
      <c r="AE74" s="51">
        <f>IF(Z74="SOPORTE_TELEFÓNICO",AD74,CIERRES!AC74*CIERRES!AD74)</f>
        <v>37904.612000000001</v>
      </c>
    </row>
    <row r="75" spans="1:31" s="66" customFormat="1" ht="13.15">
      <c r="A75" s="49" t="s">
        <v>165</v>
      </c>
      <c r="B75" s="50" t="str">
        <f>VLOOKUP(A75,'CENTRO DE COSTOS'!A:D,4,FALSE)</f>
        <v>JOSE MAURICIO HERNANDEZ ROJAS</v>
      </c>
      <c r="C75" s="50" t="str">
        <f>VLOOKUP(A75,'CENTRO DE COSTOS'!A:C,2,FALSE)</f>
        <v>0004-0001</v>
      </c>
      <c r="D75" s="79">
        <v>23807</v>
      </c>
      <c r="E75" s="79" t="s">
        <v>562</v>
      </c>
      <c r="F75" s="83" t="s">
        <v>563</v>
      </c>
      <c r="G75" s="80">
        <v>45825.627083333333</v>
      </c>
      <c r="H75" s="80">
        <v>45832.485694444447</v>
      </c>
      <c r="I75" s="49" t="s">
        <v>168</v>
      </c>
      <c r="J75" s="49" t="s">
        <v>564</v>
      </c>
      <c r="K75" s="49" t="s">
        <v>565</v>
      </c>
      <c r="L75" s="49">
        <v>60080</v>
      </c>
      <c r="M75" s="79" t="s">
        <v>83</v>
      </c>
      <c r="N75" s="79" t="s">
        <v>84</v>
      </c>
      <c r="O75" s="79" t="s">
        <v>84</v>
      </c>
      <c r="P75" s="79" t="s">
        <v>85</v>
      </c>
      <c r="Q75" s="49" t="s">
        <v>97</v>
      </c>
      <c r="R75" s="49" t="s">
        <v>97</v>
      </c>
      <c r="S75" s="79" t="s">
        <v>88</v>
      </c>
      <c r="T75" s="79" t="s">
        <v>89</v>
      </c>
      <c r="U75" s="49" t="s">
        <v>566</v>
      </c>
      <c r="V75" s="79" t="s">
        <v>201</v>
      </c>
      <c r="W75" s="79" t="s">
        <v>567</v>
      </c>
      <c r="X75" s="81" t="s">
        <v>181</v>
      </c>
      <c r="Y75" s="60" t="str">
        <f>VLOOKUP(D75,TIPOLOGIAS!A:F,5,0)</f>
        <v>TERRESTRE</v>
      </c>
      <c r="Z75" s="79" t="s">
        <v>110</v>
      </c>
      <c r="AA75" s="82">
        <v>0</v>
      </c>
      <c r="AB75" s="79">
        <v>0</v>
      </c>
      <c r="AC75" s="79">
        <v>1</v>
      </c>
      <c r="AD75" s="51">
        <f>IF(AND(Z75="SOPORTE_TELEFÓNICO",OR(T75="SIN CONTACTO CON EL CB",T75="NÚMEROS DE CONTACTO ERRADOS")),0,IF(Z75="SOPORTE_TELEFÓNICO",'BASE DE LIQUIDACION 2025'!$B$9,IF(X75="TIPO I",'BASE DE LIQUIDACION 2025'!$C$3,IF(X75="TIPO II",'BASE DE LIQUIDACION 2025'!$C$4,IF(X75="TIPO III",'BASE DE LIQUIDACION 2025'!$C$5,'BASE DE LIQUIDACION 2025'!$C$6)))))</f>
        <v>222904.07200000001</v>
      </c>
      <c r="AE75" s="51">
        <f>IF(Z75="SOPORTE_TELEFÓNICO",AD75,CIERRES!AC75*CIERRES!AD75)</f>
        <v>222904.07200000001</v>
      </c>
    </row>
    <row r="76" spans="1:31" s="66" customFormat="1" ht="13.15">
      <c r="A76" s="49" t="s">
        <v>158</v>
      </c>
      <c r="B76" s="50" t="str">
        <f>VLOOKUP(A76,'CENTRO DE COSTOS'!A:D,4,FALSE)</f>
        <v>KEVIN ALEXIS CORZO BUSTOS</v>
      </c>
      <c r="C76" s="50" t="str">
        <f>VLOOKUP(A76,'CENTRO DE COSTOS'!A:C,2,FALSE)</f>
        <v>0004-0007</v>
      </c>
      <c r="D76" s="79">
        <v>50313</v>
      </c>
      <c r="E76" s="79" t="s">
        <v>568</v>
      </c>
      <c r="F76" s="83" t="s">
        <v>569</v>
      </c>
      <c r="G76" s="80">
        <v>45825.627083333333</v>
      </c>
      <c r="H76" s="80">
        <v>45832.503819444442</v>
      </c>
      <c r="I76" s="49" t="s">
        <v>161</v>
      </c>
      <c r="J76" s="49" t="s">
        <v>570</v>
      </c>
      <c r="K76" s="49" t="s">
        <v>571</v>
      </c>
      <c r="L76" s="49">
        <v>64162</v>
      </c>
      <c r="M76" s="79" t="s">
        <v>83</v>
      </c>
      <c r="N76" s="79" t="s">
        <v>84</v>
      </c>
      <c r="O76" s="79" t="s">
        <v>84</v>
      </c>
      <c r="P76" s="79" t="s">
        <v>85</v>
      </c>
      <c r="Q76" s="49" t="s">
        <v>97</v>
      </c>
      <c r="R76" s="49" t="s">
        <v>97</v>
      </c>
      <c r="S76" s="79" t="s">
        <v>348</v>
      </c>
      <c r="T76" s="79" t="s">
        <v>349</v>
      </c>
      <c r="U76" s="49" t="s">
        <v>572</v>
      </c>
      <c r="V76" s="79" t="s">
        <v>164</v>
      </c>
      <c r="W76" s="79" t="s">
        <v>573</v>
      </c>
      <c r="X76" s="81" t="s">
        <v>92</v>
      </c>
      <c r="Y76" s="60" t="str">
        <f>VLOOKUP(D76,TIPOLOGIAS!A:F,5,0)</f>
        <v>TERRESTRE</v>
      </c>
      <c r="Z76" s="79" t="s">
        <v>110</v>
      </c>
      <c r="AA76" s="82" t="s">
        <v>574</v>
      </c>
      <c r="AB76" s="79" t="s">
        <v>575</v>
      </c>
      <c r="AC76" s="79">
        <v>1</v>
      </c>
      <c r="AD76" s="51">
        <f>IF(AND(Z76="SOPORTE_TELEFÓNICO",OR(T76="SIN CONTACTO CON EL CB",T76="NÚMEROS DE CONTACTO ERRADOS")),0,IF(Z76="SOPORTE_TELEFÓNICO",'BASE DE LIQUIDACION 2025'!$B$9,IF(X76="TIPO I",'BASE DE LIQUIDACION 2025'!$C$3,IF(X76="TIPO II",'BASE DE LIQUIDACION 2025'!$C$4,IF(X76="TIPO III",'BASE DE LIQUIDACION 2025'!$C$5,'BASE DE LIQUIDACION 2025'!$C$6)))))</f>
        <v>134410.88400000002</v>
      </c>
      <c r="AE76" s="51">
        <f>IF(Z76="SOPORTE_TELEFÓNICO",AD76,CIERRES!AC76*CIERRES!AD76)</f>
        <v>134410.88400000002</v>
      </c>
    </row>
    <row r="77" spans="1:31" s="66" customFormat="1" ht="13.15">
      <c r="A77" s="49" t="s">
        <v>165</v>
      </c>
      <c r="B77" s="50" t="str">
        <f>VLOOKUP(A77,'CENTRO DE COSTOS'!A:D,4,FALSE)</f>
        <v>JOSE MAURICIO HERNANDEZ ROJAS</v>
      </c>
      <c r="C77" s="50" t="str">
        <f>VLOOKUP(A77,'CENTRO DE COSTOS'!A:C,2,FALSE)</f>
        <v>0004-0001</v>
      </c>
      <c r="D77" s="79">
        <v>23068</v>
      </c>
      <c r="E77" s="79" t="s">
        <v>576</v>
      </c>
      <c r="F77" s="83" t="s">
        <v>577</v>
      </c>
      <c r="G77" s="80">
        <v>45827.563194444447</v>
      </c>
      <c r="H77" s="80">
        <v>45832.54346064815</v>
      </c>
      <c r="I77" s="49" t="s">
        <v>168</v>
      </c>
      <c r="J77" s="49" t="s">
        <v>578</v>
      </c>
      <c r="K77" s="49" t="s">
        <v>579</v>
      </c>
      <c r="L77" s="49">
        <v>66024</v>
      </c>
      <c r="M77" s="79" t="s">
        <v>83</v>
      </c>
      <c r="N77" s="79" t="s">
        <v>84</v>
      </c>
      <c r="O77" s="79" t="s">
        <v>84</v>
      </c>
      <c r="P77" s="79" t="s">
        <v>85</v>
      </c>
      <c r="Q77" s="49" t="s">
        <v>97</v>
      </c>
      <c r="R77" s="49" t="s">
        <v>97</v>
      </c>
      <c r="S77" s="79" t="s">
        <v>88</v>
      </c>
      <c r="T77" s="79" t="s">
        <v>89</v>
      </c>
      <c r="U77" s="49" t="s">
        <v>580</v>
      </c>
      <c r="V77" s="79" t="s">
        <v>581</v>
      </c>
      <c r="W77" s="79" t="s">
        <v>582</v>
      </c>
      <c r="X77" s="81" t="s">
        <v>181</v>
      </c>
      <c r="Y77" s="60" t="str">
        <f>VLOOKUP(D77,TIPOLOGIAS!A:F,5,0)</f>
        <v>TERRESTRE</v>
      </c>
      <c r="Z77" s="79" t="s">
        <v>110</v>
      </c>
      <c r="AA77" s="82">
        <v>0</v>
      </c>
      <c r="AB77" s="79">
        <v>0</v>
      </c>
      <c r="AC77" s="79">
        <v>1</v>
      </c>
      <c r="AD77" s="51">
        <f>IF(AND(Z77="SOPORTE_TELEFÓNICO",OR(T77="SIN CONTACTO CON EL CB",T77="NÚMEROS DE CONTACTO ERRADOS")),0,IF(Z77="SOPORTE_TELEFÓNICO",'BASE DE LIQUIDACION 2025'!$B$9,IF(X77="TIPO I",'BASE DE LIQUIDACION 2025'!$C$3,IF(X77="TIPO II",'BASE DE LIQUIDACION 2025'!$C$4,IF(X77="TIPO III",'BASE DE LIQUIDACION 2025'!$C$5,'BASE DE LIQUIDACION 2025'!$C$6)))))</f>
        <v>222904.07200000001</v>
      </c>
      <c r="AE77" s="51">
        <f>IF(Z77="SOPORTE_TELEFÓNICO",AD77,CIERRES!AC77*CIERRES!AD77)</f>
        <v>222904.07200000001</v>
      </c>
    </row>
    <row r="78" spans="1:31" s="66" customFormat="1" ht="13.15">
      <c r="A78" s="49" t="s">
        <v>165</v>
      </c>
      <c r="B78" s="50" t="str">
        <f>VLOOKUP(A78,'CENTRO DE COSTOS'!A:D,4,FALSE)</f>
        <v>JOSE MAURICIO HERNANDEZ ROJAS</v>
      </c>
      <c r="C78" s="50" t="str">
        <f>VLOOKUP(A78,'CENTRO DE COSTOS'!A:C,2,FALSE)</f>
        <v>0004-0001</v>
      </c>
      <c r="D78" s="79">
        <v>23500</v>
      </c>
      <c r="E78" s="79" t="s">
        <v>583</v>
      </c>
      <c r="F78" s="83" t="s">
        <v>584</v>
      </c>
      <c r="G78" s="80">
        <v>45825.627083333333</v>
      </c>
      <c r="H78" s="80">
        <v>45832.624710648153</v>
      </c>
      <c r="I78" s="49" t="s">
        <v>168</v>
      </c>
      <c r="J78" s="49" t="s">
        <v>585</v>
      </c>
      <c r="K78" s="49" t="s">
        <v>586</v>
      </c>
      <c r="L78" s="49">
        <v>31698</v>
      </c>
      <c r="M78" s="79" t="s">
        <v>83</v>
      </c>
      <c r="N78" s="79" t="s">
        <v>84</v>
      </c>
      <c r="O78" s="79" t="s">
        <v>84</v>
      </c>
      <c r="P78" s="79" t="s">
        <v>85</v>
      </c>
      <c r="Q78" s="49" t="s">
        <v>97</v>
      </c>
      <c r="R78" s="49" t="s">
        <v>97</v>
      </c>
      <c r="S78" s="79" t="s">
        <v>88</v>
      </c>
      <c r="T78" s="79" t="s">
        <v>89</v>
      </c>
      <c r="U78" s="49" t="s">
        <v>587</v>
      </c>
      <c r="V78" s="79" t="s">
        <v>171</v>
      </c>
      <c r="W78" s="79">
        <v>0</v>
      </c>
      <c r="X78" s="81" t="s">
        <v>181</v>
      </c>
      <c r="Y78" s="60" t="str">
        <f>VLOOKUP(D78,TIPOLOGIAS!A:F,5,0)</f>
        <v>TERRESTRE</v>
      </c>
      <c r="Z78" s="79" t="s">
        <v>110</v>
      </c>
      <c r="AA78" s="82">
        <v>0</v>
      </c>
      <c r="AB78" s="79">
        <v>0</v>
      </c>
      <c r="AC78" s="79">
        <v>1</v>
      </c>
      <c r="AD78" s="51">
        <f>IF(AND(Z78="SOPORTE_TELEFÓNICO",OR(T78="SIN CONTACTO CON EL CB",T78="NÚMEROS DE CONTACTO ERRADOS")),0,IF(Z78="SOPORTE_TELEFÓNICO",'BASE DE LIQUIDACION 2025'!$B$9,IF(X78="TIPO I",'BASE DE LIQUIDACION 2025'!$C$3,IF(X78="TIPO II",'BASE DE LIQUIDACION 2025'!$C$4,IF(X78="TIPO III",'BASE DE LIQUIDACION 2025'!$C$5,'BASE DE LIQUIDACION 2025'!$C$6)))))</f>
        <v>222904.07200000001</v>
      </c>
      <c r="AE78" s="51">
        <f>IF(Z78="SOPORTE_TELEFÓNICO",AD78,CIERRES!AC78*CIERRES!AD78)</f>
        <v>222904.07200000001</v>
      </c>
    </row>
    <row r="79" spans="1:31" s="66" customFormat="1" ht="13.15">
      <c r="A79" s="49" t="s">
        <v>100</v>
      </c>
      <c r="B79" s="50" t="str">
        <f>VLOOKUP(A79,'CENTRO DE COSTOS'!A:D,4,FALSE)</f>
        <v>KEVIN ALEXIS CORZO BUSTOS</v>
      </c>
      <c r="C79" s="50" t="str">
        <f>VLOOKUP(A79,'CENTRO DE COSTOS'!A:C,2,FALSE)</f>
        <v>0004-0007</v>
      </c>
      <c r="D79" s="79">
        <v>18001</v>
      </c>
      <c r="E79" s="79" t="s">
        <v>588</v>
      </c>
      <c r="F79" s="83" t="s">
        <v>589</v>
      </c>
      <c r="G79" s="80">
        <v>45827.563194444447</v>
      </c>
      <c r="H79" s="80">
        <v>45832.631828703707</v>
      </c>
      <c r="I79" s="49" t="s">
        <v>103</v>
      </c>
      <c r="J79" s="49" t="s">
        <v>590</v>
      </c>
      <c r="K79" s="49" t="s">
        <v>591</v>
      </c>
      <c r="L79" s="49">
        <v>78426</v>
      </c>
      <c r="M79" s="79" t="s">
        <v>83</v>
      </c>
      <c r="N79" s="79" t="s">
        <v>84</v>
      </c>
      <c r="O79" s="79" t="s">
        <v>84</v>
      </c>
      <c r="P79" s="79" t="s">
        <v>85</v>
      </c>
      <c r="Q79" s="49" t="s">
        <v>97</v>
      </c>
      <c r="R79" s="49" t="s">
        <v>97</v>
      </c>
      <c r="S79" s="79" t="s">
        <v>188</v>
      </c>
      <c r="T79" s="79" t="s">
        <v>189</v>
      </c>
      <c r="U79" s="49" t="s">
        <v>592</v>
      </c>
      <c r="V79" s="79" t="s">
        <v>107</v>
      </c>
      <c r="W79" s="79" t="s">
        <v>593</v>
      </c>
      <c r="X79" s="81" t="s">
        <v>109</v>
      </c>
      <c r="Y79" s="60" t="str">
        <f>VLOOKUP(D79,TIPOLOGIAS!A:F,5,0)</f>
        <v>TERRESTRE</v>
      </c>
      <c r="Z79" s="79" t="s">
        <v>110</v>
      </c>
      <c r="AA79" s="82">
        <v>0</v>
      </c>
      <c r="AB79" s="79">
        <v>0</v>
      </c>
      <c r="AC79" s="79">
        <v>1</v>
      </c>
      <c r="AD79" s="51">
        <f>IF(AND(Z79="SOPORTE_TELEFÓNICO",OR(T79="SIN CONTACTO CON EL CB",T79="NÚMEROS DE CONTACTO ERRADOS")),0,IF(Z79="SOPORTE_TELEFÓNICO",'BASE DE LIQUIDACION 2025'!$B$9,IF(X79="TIPO I",'BASE DE LIQUIDACION 2025'!$C$3,IF(X79="TIPO II",'BASE DE LIQUIDACION 2025'!$C$4,IF(X79="TIPO III",'BASE DE LIQUIDACION 2025'!$C$5,'BASE DE LIQUIDACION 2025'!$C$6)))))</f>
        <v>464809.36800000002</v>
      </c>
      <c r="AE79" s="51">
        <f>IF(Z79="SOPORTE_TELEFÓNICO",AD79,CIERRES!AC79*CIERRES!AD79)</f>
        <v>464809.36800000002</v>
      </c>
    </row>
    <row r="80" spans="1:31" s="66" customFormat="1" ht="13.15">
      <c r="A80" s="49" t="s">
        <v>285</v>
      </c>
      <c r="B80" s="50" t="str">
        <f>VLOOKUP(A80,'CENTRO DE COSTOS'!A:D,4,FALSE)</f>
        <v>JUAN SEBASTIÁN RÍOS CASTRILLÓN</v>
      </c>
      <c r="C80" s="50" t="str">
        <f>VLOOKUP(A80,'CENTRO DE COSTOS'!A:C,2,FALSE)</f>
        <v>0004-0005</v>
      </c>
      <c r="D80" s="79">
        <v>5088</v>
      </c>
      <c r="E80" s="79" t="s">
        <v>594</v>
      </c>
      <c r="F80" s="83" t="s">
        <v>595</v>
      </c>
      <c r="G80" s="80">
        <v>45827.563194444447</v>
      </c>
      <c r="H80" s="80">
        <v>45832.703240740739</v>
      </c>
      <c r="I80" s="49" t="s">
        <v>275</v>
      </c>
      <c r="J80" s="49" t="s">
        <v>596</v>
      </c>
      <c r="K80" s="49" t="s">
        <v>597</v>
      </c>
      <c r="L80" s="49">
        <v>57039</v>
      </c>
      <c r="M80" s="79" t="s">
        <v>83</v>
      </c>
      <c r="N80" s="79" t="s">
        <v>84</v>
      </c>
      <c r="O80" s="79" t="s">
        <v>84</v>
      </c>
      <c r="P80" s="79" t="s">
        <v>85</v>
      </c>
      <c r="Q80" s="49" t="s">
        <v>97</v>
      </c>
      <c r="R80" s="49" t="s">
        <v>97</v>
      </c>
      <c r="S80" s="79" t="s">
        <v>88</v>
      </c>
      <c r="T80" s="79" t="s">
        <v>89</v>
      </c>
      <c r="U80" s="49" t="s">
        <v>598</v>
      </c>
      <c r="V80" s="79" t="s">
        <v>599</v>
      </c>
      <c r="W80" s="79">
        <v>0</v>
      </c>
      <c r="X80" s="81" t="s">
        <v>119</v>
      </c>
      <c r="Y80" s="60" t="str">
        <f>VLOOKUP(D80,TIPOLOGIAS!A:F,5,0)</f>
        <v>TERRESTRE</v>
      </c>
      <c r="Z80" s="79" t="s">
        <v>93</v>
      </c>
      <c r="AA80" s="82">
        <v>0</v>
      </c>
      <c r="AB80" s="79">
        <v>0</v>
      </c>
      <c r="AC80" s="79">
        <v>0</v>
      </c>
      <c r="AD80" s="51">
        <f>IF(AND(Z80="SOPORTE_TELEFÓNICO",OR(T80="SIN CONTACTO CON EL CB",T80="NÚMEROS DE CONTACTO ERRADOS")),0,IF(Z80="SOPORTE_TELEFÓNICO",'BASE DE LIQUIDACION 2025'!$B$9,IF(X80="TIPO I",'BASE DE LIQUIDACION 2025'!$C$3,IF(X80="TIPO II",'BASE DE LIQUIDACION 2025'!$C$4,IF(X80="TIPO III",'BASE DE LIQUIDACION 2025'!$C$5,'BASE DE LIQUIDACION 2025'!$C$6)))))</f>
        <v>37904.612000000001</v>
      </c>
      <c r="AE80" s="51">
        <f>IF(Z80="SOPORTE_TELEFÓNICO",AD80,CIERRES!AC80*CIERRES!AD80)</f>
        <v>37904.612000000001</v>
      </c>
    </row>
    <row r="81" spans="1:31" s="66" customFormat="1" ht="13.15">
      <c r="A81" s="49" t="s">
        <v>285</v>
      </c>
      <c r="B81" s="50" t="str">
        <f>VLOOKUP(A81,'CENTRO DE COSTOS'!A:D,4,FALSE)</f>
        <v>JUAN SEBASTIÁN RÍOS CASTRILLÓN</v>
      </c>
      <c r="C81" s="50" t="str">
        <f>VLOOKUP(A81,'CENTRO DE COSTOS'!A:C,2,FALSE)</f>
        <v>0004-0005</v>
      </c>
      <c r="D81" s="79">
        <v>5656</v>
      </c>
      <c r="E81" s="79" t="s">
        <v>600</v>
      </c>
      <c r="F81" s="83" t="s">
        <v>601</v>
      </c>
      <c r="G81" s="80">
        <v>45825.627083333333</v>
      </c>
      <c r="H81" s="80">
        <v>45833.333333333336</v>
      </c>
      <c r="I81" s="49" t="s">
        <v>275</v>
      </c>
      <c r="J81" s="49" t="s">
        <v>602</v>
      </c>
      <c r="K81" s="49" t="s">
        <v>603</v>
      </c>
      <c r="L81" s="49">
        <v>64064</v>
      </c>
      <c r="M81" s="79" t="s">
        <v>83</v>
      </c>
      <c r="N81" s="79" t="s">
        <v>84</v>
      </c>
      <c r="O81" s="79" t="s">
        <v>84</v>
      </c>
      <c r="P81" s="79" t="s">
        <v>85</v>
      </c>
      <c r="Q81" s="49" t="s">
        <v>97</v>
      </c>
      <c r="R81" s="49" t="s">
        <v>97</v>
      </c>
      <c r="S81" s="79" t="s">
        <v>88</v>
      </c>
      <c r="T81" s="79" t="s">
        <v>89</v>
      </c>
      <c r="U81" s="49" t="s">
        <v>604</v>
      </c>
      <c r="V81" s="79" t="s">
        <v>605</v>
      </c>
      <c r="W81" s="79">
        <v>0</v>
      </c>
      <c r="X81" s="81" t="s">
        <v>92</v>
      </c>
      <c r="Y81" s="60" t="str">
        <f>VLOOKUP(D81,TIPOLOGIAS!A:F,5,0)</f>
        <v>TERRESTRE</v>
      </c>
      <c r="Z81" s="79" t="s">
        <v>93</v>
      </c>
      <c r="AA81" s="82">
        <v>0</v>
      </c>
      <c r="AB81" s="79">
        <v>0</v>
      </c>
      <c r="AC81" s="79">
        <v>0</v>
      </c>
      <c r="AD81" s="51">
        <f>IF(AND(Z81="SOPORTE_TELEFÓNICO",OR(T81="SIN CONTACTO CON EL CB",T81="NÚMEROS DE CONTACTO ERRADOS")),0,IF(Z81="SOPORTE_TELEFÓNICO",'BASE DE LIQUIDACION 2025'!$B$9,IF(X81="TIPO I",'BASE DE LIQUIDACION 2025'!$C$3,IF(X81="TIPO II",'BASE DE LIQUIDACION 2025'!$C$4,IF(X81="TIPO III",'BASE DE LIQUIDACION 2025'!$C$5,'BASE DE LIQUIDACION 2025'!$C$6)))))</f>
        <v>37904.612000000001</v>
      </c>
      <c r="AE81" s="51">
        <f>IF(Z81="SOPORTE_TELEFÓNICO",AD81,CIERRES!AC81*CIERRES!AD81)</f>
        <v>37904.612000000001</v>
      </c>
    </row>
    <row r="82" spans="1:31" s="66" customFormat="1" ht="13.15">
      <c r="A82" s="49" t="s">
        <v>172</v>
      </c>
      <c r="B82" s="50" t="str">
        <f>VLOOKUP(A82,'CENTRO DE COSTOS'!A:D,4,FALSE)</f>
        <v>DIEGO FERNANDO HENAO CARDONA</v>
      </c>
      <c r="C82" s="50" t="str">
        <f>VLOOKUP(A82,'CENTRO DE COSTOS'!A:C,2,FALSE)</f>
        <v>0004-0003</v>
      </c>
      <c r="D82" s="79">
        <v>19532</v>
      </c>
      <c r="E82" s="79" t="s">
        <v>606</v>
      </c>
      <c r="F82" s="83" t="s">
        <v>607</v>
      </c>
      <c r="G82" s="80">
        <v>45825.627083333333</v>
      </c>
      <c r="H82" s="80">
        <v>45833.35056712963</v>
      </c>
      <c r="I82" s="49" t="s">
        <v>175</v>
      </c>
      <c r="J82" s="49" t="s">
        <v>205</v>
      </c>
      <c r="K82" s="49" t="s">
        <v>206</v>
      </c>
      <c r="L82" s="49">
        <v>77803</v>
      </c>
      <c r="M82" s="79" t="s">
        <v>83</v>
      </c>
      <c r="N82" s="79" t="s">
        <v>84</v>
      </c>
      <c r="O82" s="79" t="s">
        <v>116</v>
      </c>
      <c r="P82" s="79" t="s">
        <v>85</v>
      </c>
      <c r="Q82" s="49" t="s">
        <v>97</v>
      </c>
      <c r="R82" s="49" t="s">
        <v>97</v>
      </c>
      <c r="S82" s="79" t="s">
        <v>88</v>
      </c>
      <c r="T82" s="79" t="s">
        <v>89</v>
      </c>
      <c r="U82" s="49" t="s">
        <v>608</v>
      </c>
      <c r="V82" s="79" t="s">
        <v>132</v>
      </c>
      <c r="W82" s="79">
        <v>0</v>
      </c>
      <c r="X82" s="81" t="s">
        <v>109</v>
      </c>
      <c r="Y82" s="60" t="str">
        <f>VLOOKUP(D82,TIPOLOGIAS!A:F,5,0)</f>
        <v>TERRESTRE</v>
      </c>
      <c r="Z82" s="79" t="s">
        <v>93</v>
      </c>
      <c r="AA82" s="82">
        <v>0</v>
      </c>
      <c r="AB82" s="79">
        <v>0</v>
      </c>
      <c r="AC82" s="79">
        <v>0</v>
      </c>
      <c r="AD82" s="51">
        <f>IF(AND(Z82="SOPORTE_TELEFÓNICO",OR(T82="SIN CONTACTO CON EL CB",T82="NÚMEROS DE CONTACTO ERRADOS")),0,IF(Z82="SOPORTE_TELEFÓNICO",'BASE DE LIQUIDACION 2025'!$B$9,IF(X82="TIPO I",'BASE DE LIQUIDACION 2025'!$C$3,IF(X82="TIPO II",'BASE DE LIQUIDACION 2025'!$C$4,IF(X82="TIPO III",'BASE DE LIQUIDACION 2025'!$C$5,'BASE DE LIQUIDACION 2025'!$C$6)))))</f>
        <v>37904.612000000001</v>
      </c>
      <c r="AE82" s="51">
        <f>IF(Z82="SOPORTE_TELEFÓNICO",AD82,CIERRES!AC82*CIERRES!AD82)</f>
        <v>37904.612000000001</v>
      </c>
    </row>
    <row r="83" spans="1:31" s="66" customFormat="1" ht="13.15">
      <c r="A83" s="49" t="s">
        <v>172</v>
      </c>
      <c r="B83" s="50" t="str">
        <f>VLOOKUP(A83,'CENTRO DE COSTOS'!A:D,4,FALSE)</f>
        <v>DIEGO FERNANDO HENAO CARDONA</v>
      </c>
      <c r="C83" s="50" t="str">
        <f>VLOOKUP(A83,'CENTRO DE COSTOS'!A:C,2,FALSE)</f>
        <v>0004-0003</v>
      </c>
      <c r="D83" s="79">
        <v>19473</v>
      </c>
      <c r="E83" s="79" t="s">
        <v>609</v>
      </c>
      <c r="F83" s="83" t="s">
        <v>610</v>
      </c>
      <c r="G83" s="80">
        <v>45825.627083333333</v>
      </c>
      <c r="H83" s="80">
        <v>45833.375</v>
      </c>
      <c r="I83" s="49" t="s">
        <v>175</v>
      </c>
      <c r="J83" s="49" t="s">
        <v>611</v>
      </c>
      <c r="K83" s="49" t="s">
        <v>612</v>
      </c>
      <c r="L83" s="49">
        <v>58865</v>
      </c>
      <c r="M83" s="79" t="s">
        <v>83</v>
      </c>
      <c r="N83" s="79" t="s">
        <v>84</v>
      </c>
      <c r="O83" s="79" t="s">
        <v>84</v>
      </c>
      <c r="P83" s="79" t="s">
        <v>85</v>
      </c>
      <c r="Q83" s="49" t="s">
        <v>97</v>
      </c>
      <c r="R83" s="49" t="s">
        <v>97</v>
      </c>
      <c r="S83" s="79" t="s">
        <v>88</v>
      </c>
      <c r="T83" s="79" t="s">
        <v>89</v>
      </c>
      <c r="U83" s="49" t="s">
        <v>613</v>
      </c>
      <c r="V83" s="79" t="s">
        <v>132</v>
      </c>
      <c r="W83" s="79">
        <v>0</v>
      </c>
      <c r="X83" s="81" t="s">
        <v>181</v>
      </c>
      <c r="Y83" s="60" t="str">
        <f>VLOOKUP(D83,TIPOLOGIAS!A:F,5,0)</f>
        <v>TERRESTRE</v>
      </c>
      <c r="Z83" s="79" t="s">
        <v>93</v>
      </c>
      <c r="AA83" s="82">
        <v>0</v>
      </c>
      <c r="AB83" s="79">
        <v>0</v>
      </c>
      <c r="AC83" s="79">
        <v>0</v>
      </c>
      <c r="AD83" s="51">
        <f>IF(AND(Z83="SOPORTE_TELEFÓNICO",OR(T83="SIN CONTACTO CON EL CB",T83="NÚMEROS DE CONTACTO ERRADOS")),0,IF(Z83="SOPORTE_TELEFÓNICO",'BASE DE LIQUIDACION 2025'!$B$9,IF(X83="TIPO I",'BASE DE LIQUIDACION 2025'!$C$3,IF(X83="TIPO II",'BASE DE LIQUIDACION 2025'!$C$4,IF(X83="TIPO III",'BASE DE LIQUIDACION 2025'!$C$5,'BASE DE LIQUIDACION 2025'!$C$6)))))</f>
        <v>37904.612000000001</v>
      </c>
      <c r="AE83" s="51">
        <f>IF(Z83="SOPORTE_TELEFÓNICO",AD83,CIERRES!AC83*CIERRES!AD83)</f>
        <v>37904.612000000001</v>
      </c>
    </row>
    <row r="84" spans="1:31" s="66" customFormat="1" ht="13.15">
      <c r="A84" s="49" t="s">
        <v>111</v>
      </c>
      <c r="B84" s="50" t="str">
        <f>VLOOKUP(A84,'CENTRO DE COSTOS'!A:D,4,FALSE)</f>
        <v>WILLIAM ASDRUBAL ROZO ROZO</v>
      </c>
      <c r="C84" s="50" t="str">
        <f>VLOOKUP(A84,'CENTRO DE COSTOS'!A:C,2,FALSE)</f>
        <v>0004-0004</v>
      </c>
      <c r="D84" s="79">
        <v>25899</v>
      </c>
      <c r="E84" s="79" t="s">
        <v>614</v>
      </c>
      <c r="F84" s="83" t="s">
        <v>615</v>
      </c>
      <c r="G84" s="80">
        <v>45825.627083333333</v>
      </c>
      <c r="H84" s="80">
        <v>45833.465185185189</v>
      </c>
      <c r="I84" s="49" t="s">
        <v>114</v>
      </c>
      <c r="J84" s="49" t="s">
        <v>616</v>
      </c>
      <c r="K84" s="49" t="s">
        <v>617</v>
      </c>
      <c r="L84" s="49">
        <v>40361</v>
      </c>
      <c r="M84" s="79" t="s">
        <v>83</v>
      </c>
      <c r="N84" s="79" t="s">
        <v>84</v>
      </c>
      <c r="O84" s="79" t="s">
        <v>84</v>
      </c>
      <c r="P84" s="79" t="s">
        <v>85</v>
      </c>
      <c r="Q84" s="49" t="s">
        <v>97</v>
      </c>
      <c r="R84" s="49" t="s">
        <v>97</v>
      </c>
      <c r="S84" s="79" t="s">
        <v>88</v>
      </c>
      <c r="T84" s="79" t="s">
        <v>89</v>
      </c>
      <c r="U84" s="49" t="s">
        <v>618</v>
      </c>
      <c r="V84" s="79" t="s">
        <v>389</v>
      </c>
      <c r="W84" s="79">
        <v>0</v>
      </c>
      <c r="X84" s="81" t="s">
        <v>92</v>
      </c>
      <c r="Y84" s="60" t="str">
        <f>VLOOKUP(D84,TIPOLOGIAS!A:F,5,0)</f>
        <v>TERRESTRE</v>
      </c>
      <c r="Z84" s="79" t="s">
        <v>110</v>
      </c>
      <c r="AA84" s="82">
        <v>0</v>
      </c>
      <c r="AB84" s="79">
        <v>0</v>
      </c>
      <c r="AC84" s="79">
        <v>1</v>
      </c>
      <c r="AD84" s="51">
        <f>IF(AND(Z84="SOPORTE_TELEFÓNICO",OR(T84="SIN CONTACTO CON EL CB",T84="NÚMEROS DE CONTACTO ERRADOS")),0,IF(Z84="SOPORTE_TELEFÓNICO",'BASE DE LIQUIDACION 2025'!$B$9,IF(X84="TIPO I",'BASE DE LIQUIDACION 2025'!$C$3,IF(X84="TIPO II",'BASE DE LIQUIDACION 2025'!$C$4,IF(X84="TIPO III",'BASE DE LIQUIDACION 2025'!$C$5,'BASE DE LIQUIDACION 2025'!$C$6)))))</f>
        <v>134410.88400000002</v>
      </c>
      <c r="AE84" s="51">
        <f>IF(Z84="SOPORTE_TELEFÓNICO",AD84,CIERRES!AC84*CIERRES!AD84)</f>
        <v>134410.88400000002</v>
      </c>
    </row>
    <row r="85" spans="1:31" s="66" customFormat="1" ht="13.15">
      <c r="A85" s="49" t="s">
        <v>285</v>
      </c>
      <c r="B85" s="50" t="str">
        <f>VLOOKUP(A85,'CENTRO DE COSTOS'!A:D,4,FALSE)</f>
        <v>JUAN SEBASTIÁN RÍOS CASTRILLÓN</v>
      </c>
      <c r="C85" s="50" t="str">
        <f>VLOOKUP(A85,'CENTRO DE COSTOS'!A:C,2,FALSE)</f>
        <v>0004-0005</v>
      </c>
      <c r="D85" s="79">
        <v>5148</v>
      </c>
      <c r="E85" s="79" t="s">
        <v>619</v>
      </c>
      <c r="F85" s="83" t="s">
        <v>620</v>
      </c>
      <c r="G85" s="80">
        <v>45827.563194444447</v>
      </c>
      <c r="H85" s="80">
        <v>45833.475868055553</v>
      </c>
      <c r="I85" s="49" t="s">
        <v>275</v>
      </c>
      <c r="J85" s="49" t="s">
        <v>621</v>
      </c>
      <c r="K85" s="49" t="s">
        <v>622</v>
      </c>
      <c r="L85" s="49">
        <v>77264</v>
      </c>
      <c r="M85" s="79" t="s">
        <v>83</v>
      </c>
      <c r="N85" s="79" t="s">
        <v>84</v>
      </c>
      <c r="O85" s="79" t="s">
        <v>84</v>
      </c>
      <c r="P85" s="79" t="s">
        <v>85</v>
      </c>
      <c r="Q85" s="49" t="s">
        <v>97</v>
      </c>
      <c r="R85" s="49" t="s">
        <v>97</v>
      </c>
      <c r="S85" s="79" t="s">
        <v>188</v>
      </c>
      <c r="T85" s="79" t="s">
        <v>189</v>
      </c>
      <c r="U85" s="49" t="s">
        <v>623</v>
      </c>
      <c r="V85" s="79" t="s">
        <v>343</v>
      </c>
      <c r="W85" s="79" t="s">
        <v>624</v>
      </c>
      <c r="X85" s="81" t="s">
        <v>92</v>
      </c>
      <c r="Y85" s="60" t="str">
        <f>VLOOKUP(D85,TIPOLOGIAS!A:F,5,0)</f>
        <v>TERRESTRE</v>
      </c>
      <c r="Z85" s="79" t="s">
        <v>110</v>
      </c>
      <c r="AA85" s="82">
        <v>0</v>
      </c>
      <c r="AB85" s="79">
        <v>0</v>
      </c>
      <c r="AC85" s="79">
        <v>1</v>
      </c>
      <c r="AD85" s="51">
        <f>IF(AND(Z85="SOPORTE_TELEFÓNICO",OR(T85="SIN CONTACTO CON EL CB",T85="NÚMEROS DE CONTACTO ERRADOS")),0,IF(Z85="SOPORTE_TELEFÓNICO",'BASE DE LIQUIDACION 2025'!$B$9,IF(X85="TIPO I",'BASE DE LIQUIDACION 2025'!$C$3,IF(X85="TIPO II",'BASE DE LIQUIDACION 2025'!$C$4,IF(X85="TIPO III",'BASE DE LIQUIDACION 2025'!$C$5,'BASE DE LIQUIDACION 2025'!$C$6)))))</f>
        <v>134410.88400000002</v>
      </c>
      <c r="AE85" s="51">
        <f>IF(Z85="SOPORTE_TELEFÓNICO",AD85,CIERRES!AC85*CIERRES!AD85)</f>
        <v>134410.88400000002</v>
      </c>
    </row>
    <row r="86" spans="1:31" s="66" customFormat="1" ht="13.15">
      <c r="A86" s="49" t="s">
        <v>142</v>
      </c>
      <c r="B86" s="50" t="str">
        <f>VLOOKUP(A86,'CENTRO DE COSTOS'!A:D,4,FALSE)</f>
        <v>MIGUEL JULIÁN HERNÁNDEZ GUARÍN</v>
      </c>
      <c r="C86" s="50" t="str">
        <f>VLOOKUP(A86,'CENTRO DE COSTOS'!A:C,2,FALSE)</f>
        <v>0004-0008</v>
      </c>
      <c r="D86" s="79">
        <v>68001</v>
      </c>
      <c r="E86" s="79" t="s">
        <v>625</v>
      </c>
      <c r="F86" s="83" t="s">
        <v>626</v>
      </c>
      <c r="G86" s="80">
        <v>45827.563194444447</v>
      </c>
      <c r="H86" s="80">
        <v>45835.34375</v>
      </c>
      <c r="I86" s="49" t="s">
        <v>145</v>
      </c>
      <c r="J86" s="49" t="s">
        <v>142</v>
      </c>
      <c r="K86" s="49" t="s">
        <v>627</v>
      </c>
      <c r="L86" s="49">
        <v>73960</v>
      </c>
      <c r="M86" s="79" t="s">
        <v>83</v>
      </c>
      <c r="N86" s="79" t="s">
        <v>84</v>
      </c>
      <c r="O86" s="79" t="s">
        <v>116</v>
      </c>
      <c r="P86" s="79" t="s">
        <v>85</v>
      </c>
      <c r="Q86" s="49" t="s">
        <v>86</v>
      </c>
      <c r="R86" s="49" t="s">
        <v>231</v>
      </c>
      <c r="S86" s="79" t="s">
        <v>88</v>
      </c>
      <c r="T86" s="79" t="s">
        <v>89</v>
      </c>
      <c r="U86" s="49" t="s">
        <v>628</v>
      </c>
      <c r="V86" s="79" t="s">
        <v>629</v>
      </c>
      <c r="W86" s="79" t="s">
        <v>630</v>
      </c>
      <c r="X86" s="81" t="s">
        <v>119</v>
      </c>
      <c r="Y86" s="60" t="str">
        <f>VLOOKUP(D86,TIPOLOGIAS!A:F,5,0)</f>
        <v>TERRESTRE</v>
      </c>
      <c r="Z86" s="79" t="s">
        <v>110</v>
      </c>
      <c r="AA86" s="82">
        <v>0</v>
      </c>
      <c r="AB86" s="79">
        <v>0</v>
      </c>
      <c r="AC86" s="79">
        <v>2</v>
      </c>
      <c r="AD86" s="51">
        <f>IF(AND(Z86="SOPORTE_TELEFÓNICO",OR(T86="SIN CONTACTO CON EL CB",T86="NÚMEROS DE CONTACTO ERRADOS")),0,IF(Z86="SOPORTE_TELEFÓNICO",'BASE DE LIQUIDACION 2025'!$B$9,IF(X86="TIPO I",'BASE DE LIQUIDACION 2025'!$C$3,IF(X86="TIPO II",'BASE DE LIQUIDACION 2025'!$C$4,IF(X86="TIPO III",'BASE DE LIQUIDACION 2025'!$C$5,'BASE DE LIQUIDACION 2025'!$C$6)))))</f>
        <v>44559.563999999998</v>
      </c>
      <c r="AE86" s="51">
        <f>IF(Z86="SOPORTE_TELEFÓNICO",AD86,CIERRES!AC86*CIERRES!AD86)</f>
        <v>89119.127999999997</v>
      </c>
    </row>
    <row r="87" spans="1:31" s="66" customFormat="1" ht="13.15">
      <c r="A87" s="49" t="s">
        <v>158</v>
      </c>
      <c r="B87" s="50" t="str">
        <f>VLOOKUP(A87,'CENTRO DE COSTOS'!A:D,4,FALSE)</f>
        <v>KEVIN ALEXIS CORZO BUSTOS</v>
      </c>
      <c r="C87" s="50" t="str">
        <f>VLOOKUP(A87,'CENTRO DE COSTOS'!A:C,2,FALSE)</f>
        <v>0004-0007</v>
      </c>
      <c r="D87" s="79">
        <v>50006</v>
      </c>
      <c r="E87" s="79" t="s">
        <v>631</v>
      </c>
      <c r="F87" s="83" t="s">
        <v>632</v>
      </c>
      <c r="G87" s="80">
        <v>45827.563194444447</v>
      </c>
      <c r="H87" s="80">
        <v>45835.423194444447</v>
      </c>
      <c r="I87" s="49" t="s">
        <v>161</v>
      </c>
      <c r="J87" s="49" t="s">
        <v>633</v>
      </c>
      <c r="K87" s="49" t="s">
        <v>634</v>
      </c>
      <c r="L87" s="49">
        <v>48109</v>
      </c>
      <c r="M87" s="79" t="s">
        <v>83</v>
      </c>
      <c r="N87" s="79" t="s">
        <v>84</v>
      </c>
      <c r="O87" s="79" t="s">
        <v>84</v>
      </c>
      <c r="P87" s="79" t="s">
        <v>85</v>
      </c>
      <c r="Q87" s="49" t="s">
        <v>97</v>
      </c>
      <c r="R87" s="49" t="s">
        <v>97</v>
      </c>
      <c r="S87" s="79" t="s">
        <v>138</v>
      </c>
      <c r="T87" s="79" t="s">
        <v>139</v>
      </c>
      <c r="U87" s="49" t="s">
        <v>635</v>
      </c>
      <c r="V87" s="79" t="s">
        <v>636</v>
      </c>
      <c r="W87" s="79">
        <v>0</v>
      </c>
      <c r="X87" s="81" t="s">
        <v>92</v>
      </c>
      <c r="Y87" s="60" t="str">
        <f>VLOOKUP(D87,TIPOLOGIAS!A:F,5,0)</f>
        <v>TERRESTRE</v>
      </c>
      <c r="Z87" s="79" t="s">
        <v>110</v>
      </c>
      <c r="AA87" s="82">
        <v>0</v>
      </c>
      <c r="AB87" s="79">
        <v>0</v>
      </c>
      <c r="AC87" s="79">
        <v>1</v>
      </c>
      <c r="AD87" s="51">
        <f>IF(AND(Z87="SOPORTE_TELEFÓNICO",OR(T87="SIN CONTACTO CON EL CB",T87="NÚMEROS DE CONTACTO ERRADOS")),0,IF(Z87="SOPORTE_TELEFÓNICO",'BASE DE LIQUIDACION 2025'!$B$9,IF(X87="TIPO I",'BASE DE LIQUIDACION 2025'!$C$3,IF(X87="TIPO II",'BASE DE LIQUIDACION 2025'!$C$4,IF(X87="TIPO III",'BASE DE LIQUIDACION 2025'!$C$5,'BASE DE LIQUIDACION 2025'!$C$6)))))</f>
        <v>134410.88400000002</v>
      </c>
      <c r="AE87" s="51">
        <f>IF(Z87="SOPORTE_TELEFÓNICO",AD87,CIERRES!AC87*CIERRES!AD87)</f>
        <v>134410.88400000002</v>
      </c>
    </row>
    <row r="88" spans="1:31" s="66" customFormat="1" ht="13.15">
      <c r="A88" s="49" t="s">
        <v>285</v>
      </c>
      <c r="B88" s="50" t="str">
        <f>VLOOKUP(A88,'CENTRO DE COSTOS'!A:D,4,FALSE)</f>
        <v>JUAN SEBASTIÁN RÍOS CASTRILLÓN</v>
      </c>
      <c r="C88" s="50" t="str">
        <f>VLOOKUP(A88,'CENTRO DE COSTOS'!A:C,2,FALSE)</f>
        <v>0004-0005</v>
      </c>
      <c r="D88" s="79">
        <v>5001</v>
      </c>
      <c r="E88" s="79" t="s">
        <v>637</v>
      </c>
      <c r="F88" s="83" t="s">
        <v>638</v>
      </c>
      <c r="G88" s="80">
        <v>45832.598611111112</v>
      </c>
      <c r="H88" s="80">
        <v>45835.458101851851</v>
      </c>
      <c r="I88" s="49" t="s">
        <v>275</v>
      </c>
      <c r="J88" s="49" t="s">
        <v>285</v>
      </c>
      <c r="K88" s="49" t="s">
        <v>639</v>
      </c>
      <c r="L88" s="49">
        <v>59432</v>
      </c>
      <c r="M88" s="79" t="s">
        <v>83</v>
      </c>
      <c r="N88" s="79" t="s">
        <v>84</v>
      </c>
      <c r="O88" s="79" t="s">
        <v>84</v>
      </c>
      <c r="P88" s="79" t="s">
        <v>85</v>
      </c>
      <c r="Q88" s="49" t="s">
        <v>86</v>
      </c>
      <c r="R88" s="49" t="s">
        <v>231</v>
      </c>
      <c r="S88" s="79" t="s">
        <v>138</v>
      </c>
      <c r="T88" s="79" t="s">
        <v>640</v>
      </c>
      <c r="U88" s="49" t="s">
        <v>641</v>
      </c>
      <c r="V88" s="79" t="s">
        <v>642</v>
      </c>
      <c r="W88" s="79">
        <v>0</v>
      </c>
      <c r="X88" s="81" t="s">
        <v>119</v>
      </c>
      <c r="Y88" s="60" t="str">
        <f>VLOOKUP(D88,TIPOLOGIAS!A:F,5,0)</f>
        <v>TERRESTRE</v>
      </c>
      <c r="Z88" s="79" t="s">
        <v>110</v>
      </c>
      <c r="AA88" s="82">
        <v>0</v>
      </c>
      <c r="AB88" s="79">
        <v>0</v>
      </c>
      <c r="AC88" s="79">
        <v>1</v>
      </c>
      <c r="AD88" s="51">
        <f>IF(AND(Z88="SOPORTE_TELEFÓNICO",OR(T88="SIN CONTACTO CON EL CB",T88="NÚMEROS DE CONTACTO ERRADOS")),0,IF(Z88="SOPORTE_TELEFÓNICO",'BASE DE LIQUIDACION 2025'!$B$9,IF(X88="TIPO I",'BASE DE LIQUIDACION 2025'!$C$3,IF(X88="TIPO II",'BASE DE LIQUIDACION 2025'!$C$4,IF(X88="TIPO III",'BASE DE LIQUIDACION 2025'!$C$5,'BASE DE LIQUIDACION 2025'!$C$6)))))</f>
        <v>44559.563999999998</v>
      </c>
      <c r="AE88" s="51">
        <f>IF(Z88="SOPORTE_TELEFÓNICO",AD88,CIERRES!AC88*CIERRES!AD88)</f>
        <v>44559.563999999998</v>
      </c>
    </row>
    <row r="89" spans="1:31" s="66" customFormat="1" ht="13.15">
      <c r="A89" s="49" t="s">
        <v>338</v>
      </c>
      <c r="B89" s="50" t="str">
        <f>VLOOKUP(A89,'CENTRO DE COSTOS'!A:D,4,FALSE)</f>
        <v>JOSE MAURICIO HERNANDEZ ROJAS</v>
      </c>
      <c r="C89" s="50" t="str">
        <f>VLOOKUP(A89,'CENTRO DE COSTOS'!A:C,2,FALSE)</f>
        <v>0004-0001</v>
      </c>
      <c r="D89" s="79">
        <v>44001</v>
      </c>
      <c r="E89" s="79" t="s">
        <v>643</v>
      </c>
      <c r="F89" s="83" t="s">
        <v>644</v>
      </c>
      <c r="G89" s="80">
        <v>45832.598611111112</v>
      </c>
      <c r="H89" s="80">
        <v>45835.541180555563</v>
      </c>
      <c r="I89" s="49" t="s">
        <v>645</v>
      </c>
      <c r="J89" s="49" t="s">
        <v>646</v>
      </c>
      <c r="K89" s="49" t="s">
        <v>647</v>
      </c>
      <c r="L89" s="49">
        <v>73212</v>
      </c>
      <c r="M89" s="79" t="s">
        <v>83</v>
      </c>
      <c r="N89" s="79" t="s">
        <v>84</v>
      </c>
      <c r="O89" s="79" t="s">
        <v>84</v>
      </c>
      <c r="P89" s="79" t="s">
        <v>85</v>
      </c>
      <c r="Q89" s="49" t="s">
        <v>86</v>
      </c>
      <c r="R89" s="49" t="s">
        <v>87</v>
      </c>
      <c r="S89" s="79" t="s">
        <v>88</v>
      </c>
      <c r="T89" s="79" t="s">
        <v>89</v>
      </c>
      <c r="U89" s="49" t="s">
        <v>648</v>
      </c>
      <c r="V89" s="79" t="s">
        <v>649</v>
      </c>
      <c r="W89" s="79" t="s">
        <v>650</v>
      </c>
      <c r="X89" s="81" t="s">
        <v>181</v>
      </c>
      <c r="Y89" s="60" t="str">
        <f>VLOOKUP(D89,TIPOLOGIAS!A:F,5,0)</f>
        <v>TERRESTRE</v>
      </c>
      <c r="Z89" s="79" t="s">
        <v>110</v>
      </c>
      <c r="AA89" s="82">
        <v>0</v>
      </c>
      <c r="AB89" s="79">
        <v>0</v>
      </c>
      <c r="AC89" s="79">
        <v>1</v>
      </c>
      <c r="AD89" s="51">
        <f>IF(AND(Z89="SOPORTE_TELEFÓNICO",OR(T89="SIN CONTACTO CON EL CB",T89="NÚMEROS DE CONTACTO ERRADOS")),0,IF(Z89="SOPORTE_TELEFÓNICO",'BASE DE LIQUIDACION 2025'!$B$9,IF(X89="TIPO I",'BASE DE LIQUIDACION 2025'!$C$3,IF(X89="TIPO II",'BASE DE LIQUIDACION 2025'!$C$4,IF(X89="TIPO III",'BASE DE LIQUIDACION 2025'!$C$5,'BASE DE LIQUIDACION 2025'!$C$6)))))</f>
        <v>222904.07200000001</v>
      </c>
      <c r="AE89" s="51">
        <f>IF(Z89="SOPORTE_TELEFÓNICO",AD89,CIERRES!AC89*CIERRES!AD89)</f>
        <v>222904.07200000001</v>
      </c>
    </row>
    <row r="90" spans="1:31" s="66" customFormat="1" ht="13.15">
      <c r="A90" s="49" t="s">
        <v>258</v>
      </c>
      <c r="B90" s="50" t="str">
        <f>VLOOKUP(A90,'CENTRO DE COSTOS'!A:D,4,FALSE)</f>
        <v>MIGUEL JULIÁN HERNÁNDEZ GUARÍN</v>
      </c>
      <c r="C90" s="50" t="str">
        <f>VLOOKUP(A90,'CENTRO DE COSTOS'!A:C,2,FALSE)</f>
        <v>0004-0008</v>
      </c>
      <c r="D90" s="79">
        <v>54001</v>
      </c>
      <c r="E90" s="79" t="s">
        <v>651</v>
      </c>
      <c r="F90" s="83" t="s">
        <v>652</v>
      </c>
      <c r="G90" s="80">
        <v>45832.598611111112</v>
      </c>
      <c r="H90" s="80">
        <v>45835.683206018519</v>
      </c>
      <c r="I90" s="49" t="s">
        <v>261</v>
      </c>
      <c r="J90" s="49" t="s">
        <v>258</v>
      </c>
      <c r="K90" s="49" t="s">
        <v>653</v>
      </c>
      <c r="L90" s="49">
        <v>55696</v>
      </c>
      <c r="M90" s="79" t="s">
        <v>83</v>
      </c>
      <c r="N90" s="79" t="s">
        <v>84</v>
      </c>
      <c r="O90" s="79" t="s">
        <v>84</v>
      </c>
      <c r="P90" s="79" t="s">
        <v>85</v>
      </c>
      <c r="Q90" s="49" t="s">
        <v>86</v>
      </c>
      <c r="R90" s="49" t="s">
        <v>231</v>
      </c>
      <c r="S90" s="79" t="s">
        <v>138</v>
      </c>
      <c r="T90" s="79" t="s">
        <v>139</v>
      </c>
      <c r="U90" s="49" t="s">
        <v>654</v>
      </c>
      <c r="V90" s="79" t="s">
        <v>524</v>
      </c>
      <c r="W90" s="79">
        <v>0</v>
      </c>
      <c r="X90" s="81" t="s">
        <v>119</v>
      </c>
      <c r="Y90" s="60" t="str">
        <f>VLOOKUP(D90,TIPOLOGIAS!A:F,5,0)</f>
        <v>TERRESTRE</v>
      </c>
      <c r="Z90" s="79" t="s">
        <v>110</v>
      </c>
      <c r="AA90" s="82">
        <v>0</v>
      </c>
      <c r="AB90" s="79">
        <v>0</v>
      </c>
      <c r="AC90" s="79">
        <v>1</v>
      </c>
      <c r="AD90" s="51">
        <f>IF(AND(Z90="SOPORTE_TELEFÓNICO",OR(T90="SIN CONTACTO CON EL CB",T90="NÚMEROS DE CONTACTO ERRADOS")),0,IF(Z90="SOPORTE_TELEFÓNICO",'BASE DE LIQUIDACION 2025'!$B$9,IF(X90="TIPO I",'BASE DE LIQUIDACION 2025'!$C$3,IF(X90="TIPO II",'BASE DE LIQUIDACION 2025'!$C$4,IF(X90="TIPO III",'BASE DE LIQUIDACION 2025'!$C$5,'BASE DE LIQUIDACION 2025'!$C$6)))))</f>
        <v>44559.563999999998</v>
      </c>
      <c r="AE90" s="51">
        <f>IF(Z90="SOPORTE_TELEFÓNICO",AD90,CIERRES!AC90*CIERRES!AD90)</f>
        <v>44559.563999999998</v>
      </c>
    </row>
    <row r="91" spans="1:31" s="66" customFormat="1" ht="13.15">
      <c r="A91" s="49" t="s">
        <v>172</v>
      </c>
      <c r="B91" s="50" t="str">
        <f>VLOOKUP(A91,'CENTRO DE COSTOS'!A:D,4,FALSE)</f>
        <v>DIEGO FERNANDO HENAO CARDONA</v>
      </c>
      <c r="C91" s="50" t="str">
        <f>VLOOKUP(A91,'CENTRO DE COSTOS'!A:C,2,FALSE)</f>
        <v>0004-0003</v>
      </c>
      <c r="D91" s="79">
        <v>76001</v>
      </c>
      <c r="E91" s="79" t="s">
        <v>655</v>
      </c>
      <c r="F91" s="83" t="s">
        <v>656</v>
      </c>
      <c r="G91" s="80">
        <v>45836.333333333336</v>
      </c>
      <c r="H91" s="80">
        <v>45836.465277777781</v>
      </c>
      <c r="I91" s="49" t="s">
        <v>282</v>
      </c>
      <c r="J91" s="49" t="s">
        <v>172</v>
      </c>
      <c r="K91" s="49" t="s">
        <v>657</v>
      </c>
      <c r="L91" s="49">
        <v>58693</v>
      </c>
      <c r="M91" s="79" t="s">
        <v>83</v>
      </c>
      <c r="N91" s="79" t="s">
        <v>84</v>
      </c>
      <c r="O91" s="79" t="s">
        <v>84</v>
      </c>
      <c r="P91" s="79" t="s">
        <v>85</v>
      </c>
      <c r="Q91" s="49" t="s">
        <v>97</v>
      </c>
      <c r="R91" s="49" t="s">
        <v>97</v>
      </c>
      <c r="S91" s="79" t="s">
        <v>88</v>
      </c>
      <c r="T91" s="79" t="s">
        <v>89</v>
      </c>
      <c r="U91" s="49" t="s">
        <v>658</v>
      </c>
      <c r="V91" s="79" t="s">
        <v>659</v>
      </c>
      <c r="W91" s="79">
        <v>0</v>
      </c>
      <c r="X91" s="81" t="s">
        <v>119</v>
      </c>
      <c r="Y91" s="60" t="str">
        <f>VLOOKUP(D91,TIPOLOGIAS!A:F,5,0)</f>
        <v>TERRESTRE</v>
      </c>
      <c r="Z91" s="79" t="s">
        <v>93</v>
      </c>
      <c r="AA91" s="82">
        <v>0</v>
      </c>
      <c r="AB91" s="79">
        <v>0</v>
      </c>
      <c r="AC91" s="79">
        <v>0</v>
      </c>
      <c r="AD91" s="51">
        <f>IF(AND(Z91="SOPORTE_TELEFÓNICO",OR(T91="SIN CONTACTO CON EL CB",T91="NÚMEROS DE CONTACTO ERRADOS")),0,IF(Z91="SOPORTE_TELEFÓNICO",'BASE DE LIQUIDACION 2025'!$B$9,IF(X91="TIPO I",'BASE DE LIQUIDACION 2025'!$C$3,IF(X91="TIPO II",'BASE DE LIQUIDACION 2025'!$C$4,IF(X91="TIPO III",'BASE DE LIQUIDACION 2025'!$C$5,'BASE DE LIQUIDACION 2025'!$C$6)))))</f>
        <v>37904.612000000001</v>
      </c>
      <c r="AE91" s="51">
        <f>IF(Z91="SOPORTE_TELEFÓNICO",AD91,CIERRES!AC91*CIERRES!AD91)</f>
        <v>37904.612000000001</v>
      </c>
    </row>
    <row r="92" spans="1:31">
      <c r="A92" s="69"/>
      <c r="B92" s="70"/>
      <c r="C92" s="70"/>
      <c r="D92" s="71"/>
      <c r="E92" s="72"/>
      <c r="F92" s="72"/>
      <c r="G92" s="72"/>
      <c r="H92" s="73"/>
      <c r="I92" s="69"/>
      <c r="J92" s="69"/>
      <c r="K92" s="69"/>
      <c r="L92" s="69"/>
      <c r="M92" s="69"/>
      <c r="N92" s="69"/>
      <c r="O92" s="69"/>
      <c r="P92" s="69"/>
      <c r="Q92" s="69"/>
      <c r="R92" s="69"/>
      <c r="S92" s="69"/>
      <c r="T92" s="69"/>
      <c r="U92" s="69"/>
      <c r="V92" s="69"/>
      <c r="W92" s="69"/>
      <c r="X92" s="69"/>
      <c r="Y92" s="77"/>
      <c r="Z92" s="69"/>
      <c r="AA92" s="69"/>
      <c r="AB92" s="69"/>
      <c r="AC92" s="69"/>
      <c r="AD92" s="74"/>
      <c r="AE92" s="75">
        <f>SUM(AE2:AE91)</f>
        <v>10083277.979999995</v>
      </c>
    </row>
    <row r="93" spans="1:31">
      <c r="A93" s="69"/>
      <c r="B93" s="70"/>
      <c r="C93" s="70"/>
      <c r="D93" s="71"/>
      <c r="E93" s="72"/>
      <c r="F93" s="72"/>
      <c r="G93" s="72"/>
      <c r="H93" s="73"/>
      <c r="I93" s="69"/>
      <c r="J93" s="69"/>
      <c r="K93" s="69"/>
      <c r="L93" s="69"/>
      <c r="M93" s="69"/>
      <c r="N93" s="69"/>
      <c r="O93" s="69"/>
      <c r="P93" s="69"/>
      <c r="Q93" s="69"/>
      <c r="R93" s="69"/>
      <c r="S93" s="69"/>
      <c r="T93" s="69"/>
      <c r="U93" s="69"/>
      <c r="V93" s="69"/>
      <c r="W93" s="69"/>
      <c r="X93" s="69"/>
      <c r="Y93" s="77"/>
      <c r="Z93" s="69"/>
      <c r="AA93" s="69"/>
      <c r="AB93" s="69"/>
      <c r="AC93" s="69"/>
      <c r="AD93" s="74"/>
      <c r="AE93" s="74"/>
    </row>
    <row r="94" spans="1:31">
      <c r="A94" s="69"/>
      <c r="B94" s="70"/>
      <c r="C94" s="70"/>
      <c r="D94" s="71"/>
      <c r="E94" s="72"/>
      <c r="F94" s="72"/>
      <c r="G94" s="72"/>
      <c r="H94" s="73"/>
      <c r="I94" s="69"/>
      <c r="J94" s="69"/>
      <c r="K94" s="69"/>
      <c r="L94" s="69"/>
      <c r="M94" s="69"/>
      <c r="N94" s="69"/>
      <c r="O94" s="69"/>
      <c r="P94" s="69"/>
      <c r="Q94" s="69"/>
      <c r="R94" s="69"/>
      <c r="S94" s="69"/>
      <c r="T94" s="69"/>
      <c r="U94" s="69"/>
      <c r="V94" s="69"/>
      <c r="W94" s="69"/>
      <c r="X94" s="69"/>
      <c r="Y94" s="77"/>
      <c r="Z94" s="69"/>
      <c r="AA94" s="69"/>
      <c r="AB94" s="69"/>
      <c r="AC94" s="69"/>
      <c r="AD94" s="74"/>
      <c r="AE94" s="74"/>
    </row>
    <row r="95" spans="1:31">
      <c r="A95" s="69"/>
      <c r="B95" s="70"/>
      <c r="C95" s="70"/>
      <c r="D95" s="71"/>
      <c r="E95" s="72"/>
      <c r="F95" s="72"/>
      <c r="G95" s="72"/>
      <c r="H95" s="73"/>
      <c r="I95" s="69"/>
      <c r="J95" s="69"/>
      <c r="K95" s="69"/>
      <c r="L95" s="69"/>
      <c r="M95" s="69"/>
      <c r="N95" s="69"/>
      <c r="O95" s="69"/>
      <c r="P95" s="69"/>
      <c r="Q95" s="69"/>
      <c r="R95" s="69"/>
      <c r="S95" s="69"/>
      <c r="T95" s="69"/>
      <c r="U95" s="69"/>
      <c r="V95" s="69"/>
      <c r="W95" s="69"/>
      <c r="X95" s="69"/>
      <c r="Y95" s="77"/>
      <c r="Z95" s="69"/>
      <c r="AA95" s="69"/>
      <c r="AB95" s="69"/>
      <c r="AC95" s="69"/>
      <c r="AD95" s="74"/>
      <c r="AE95" s="74"/>
    </row>
    <row r="96" spans="1:31">
      <c r="A96" s="69"/>
      <c r="B96" s="70"/>
      <c r="C96" s="70"/>
      <c r="D96" s="71"/>
      <c r="E96" s="72"/>
      <c r="F96" s="72"/>
      <c r="G96" s="72"/>
      <c r="H96" s="73"/>
      <c r="I96" s="69"/>
      <c r="J96" s="69"/>
      <c r="K96" s="69"/>
      <c r="L96" s="69"/>
      <c r="M96" s="69"/>
      <c r="N96" s="69"/>
      <c r="O96" s="69"/>
      <c r="P96" s="69"/>
      <c r="Q96" s="69"/>
      <c r="R96" s="69"/>
      <c r="S96" s="69"/>
      <c r="T96" s="69"/>
      <c r="U96" s="69"/>
      <c r="V96" s="69"/>
      <c r="W96" s="69"/>
      <c r="X96" s="69"/>
      <c r="Y96" s="77"/>
      <c r="Z96" s="69"/>
      <c r="AA96" s="69"/>
      <c r="AB96" s="69"/>
      <c r="AC96" s="69"/>
      <c r="AD96" s="74"/>
      <c r="AE96" s="74"/>
    </row>
    <row r="97" spans="1:31">
      <c r="A97" s="69"/>
      <c r="B97" s="70"/>
      <c r="C97" s="70"/>
      <c r="D97" s="71"/>
      <c r="E97" s="72"/>
      <c r="F97" s="72"/>
      <c r="G97" s="72"/>
      <c r="H97" s="73"/>
      <c r="I97" s="69"/>
      <c r="J97" s="69"/>
      <c r="K97" s="69"/>
      <c r="L97" s="69"/>
      <c r="M97" s="69"/>
      <c r="N97" s="69"/>
      <c r="O97" s="69"/>
      <c r="P97" s="69"/>
      <c r="Q97" s="69"/>
      <c r="R97" s="69"/>
      <c r="S97" s="69"/>
      <c r="T97" s="69"/>
      <c r="U97" s="69"/>
      <c r="V97" s="69"/>
      <c r="W97" s="69"/>
      <c r="X97" s="69"/>
      <c r="Y97" s="77"/>
      <c r="Z97" s="69"/>
      <c r="AA97" s="69"/>
      <c r="AB97" s="69"/>
      <c r="AC97" s="69"/>
      <c r="AD97" s="74"/>
      <c r="AE97" s="74"/>
    </row>
  </sheetData>
  <autoFilter ref="A1:AE92" xr:uid="{00000000-0001-0000-0200-000000000000}"/>
  <conditionalFormatting sqref="E2:E91">
    <cfRule type="duplicateValues" dxfId="0" priority="1"/>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48CE4-747E-4F88-8BDE-26A1E1ABDAE2}">
  <dimension ref="A1:F1124"/>
  <sheetViews>
    <sheetView workbookViewId="0">
      <selection activeCell="H19" sqref="H19"/>
    </sheetView>
  </sheetViews>
  <sheetFormatPr defaultColWidth="8.85546875" defaultRowHeight="14.45"/>
  <cols>
    <col min="1" max="6" width="17.28515625" customWidth="1"/>
  </cols>
  <sheetData>
    <row r="1" spans="1:6" ht="42">
      <c r="A1" s="26" t="s">
        <v>660</v>
      </c>
      <c r="B1" s="27" t="s">
        <v>661</v>
      </c>
      <c r="C1" s="27" t="s">
        <v>662</v>
      </c>
      <c r="D1" s="27" t="s">
        <v>663</v>
      </c>
      <c r="E1" s="28" t="s">
        <v>664</v>
      </c>
      <c r="F1" s="28" t="s">
        <v>665</v>
      </c>
    </row>
    <row r="2" spans="1:6">
      <c r="A2" s="29">
        <v>91430</v>
      </c>
      <c r="B2" s="30" t="s">
        <v>666</v>
      </c>
      <c r="C2" s="31" t="s">
        <v>667</v>
      </c>
      <c r="D2" s="31" t="s">
        <v>111</v>
      </c>
      <c r="E2" s="31" t="s">
        <v>668</v>
      </c>
      <c r="F2" s="32" t="s">
        <v>126</v>
      </c>
    </row>
    <row r="3" spans="1:6">
      <c r="A3" s="29">
        <v>91669</v>
      </c>
      <c r="B3" s="30" t="s">
        <v>669</v>
      </c>
      <c r="C3" s="31" t="s">
        <v>667</v>
      </c>
      <c r="D3" s="31" t="s">
        <v>111</v>
      </c>
      <c r="E3" s="31" t="s">
        <v>668</v>
      </c>
      <c r="F3" s="32" t="s">
        <v>126</v>
      </c>
    </row>
    <row r="4" spans="1:6">
      <c r="A4" s="29">
        <v>91263</v>
      </c>
      <c r="B4" s="31" t="s">
        <v>670</v>
      </c>
      <c r="C4" s="31" t="s">
        <v>667</v>
      </c>
      <c r="D4" s="31" t="s">
        <v>111</v>
      </c>
      <c r="E4" s="31" t="s">
        <v>668</v>
      </c>
      <c r="F4" s="32" t="s">
        <v>126</v>
      </c>
    </row>
    <row r="5" spans="1:6">
      <c r="A5" s="29">
        <v>91405</v>
      </c>
      <c r="B5" s="31" t="s">
        <v>671</v>
      </c>
      <c r="C5" s="31" t="s">
        <v>667</v>
      </c>
      <c r="D5" s="31" t="s">
        <v>111</v>
      </c>
      <c r="E5" s="31" t="s">
        <v>668</v>
      </c>
      <c r="F5" s="32" t="s">
        <v>126</v>
      </c>
    </row>
    <row r="6" spans="1:6">
      <c r="A6" s="29">
        <v>91407</v>
      </c>
      <c r="B6" s="31" t="s">
        <v>672</v>
      </c>
      <c r="C6" s="31" t="s">
        <v>667</v>
      </c>
      <c r="D6" s="31" t="s">
        <v>111</v>
      </c>
      <c r="E6" s="31" t="s">
        <v>668</v>
      </c>
      <c r="F6" s="32" t="s">
        <v>126</v>
      </c>
    </row>
    <row r="7" spans="1:6">
      <c r="A7" s="29">
        <v>91001</v>
      </c>
      <c r="B7" s="31" t="s">
        <v>673</v>
      </c>
      <c r="C7" s="31" t="s">
        <v>667</v>
      </c>
      <c r="D7" s="31" t="s">
        <v>111</v>
      </c>
      <c r="E7" s="31" t="s">
        <v>668</v>
      </c>
      <c r="F7" s="32" t="s">
        <v>126</v>
      </c>
    </row>
    <row r="8" spans="1:6">
      <c r="A8" s="29">
        <v>91460</v>
      </c>
      <c r="B8" s="31" t="s">
        <v>674</v>
      </c>
      <c r="C8" s="31" t="s">
        <v>667</v>
      </c>
      <c r="D8" s="31" t="s">
        <v>111</v>
      </c>
      <c r="E8" s="31" t="s">
        <v>668</v>
      </c>
      <c r="F8" s="32" t="s">
        <v>126</v>
      </c>
    </row>
    <row r="9" spans="1:6">
      <c r="A9" s="29">
        <v>91530</v>
      </c>
      <c r="B9" s="31" t="s">
        <v>675</v>
      </c>
      <c r="C9" s="31" t="s">
        <v>667</v>
      </c>
      <c r="D9" s="31" t="s">
        <v>111</v>
      </c>
      <c r="E9" s="31" t="s">
        <v>668</v>
      </c>
      <c r="F9" s="32" t="s">
        <v>126</v>
      </c>
    </row>
    <row r="10" spans="1:6">
      <c r="A10" s="29">
        <v>91536</v>
      </c>
      <c r="B10" s="31" t="s">
        <v>676</v>
      </c>
      <c r="C10" s="31" t="s">
        <v>667</v>
      </c>
      <c r="D10" s="31" t="s">
        <v>111</v>
      </c>
      <c r="E10" s="31" t="s">
        <v>668</v>
      </c>
      <c r="F10" s="32" t="s">
        <v>126</v>
      </c>
    </row>
    <row r="11" spans="1:6">
      <c r="A11" s="29">
        <v>91540</v>
      </c>
      <c r="B11" s="31" t="s">
        <v>677</v>
      </c>
      <c r="C11" s="31" t="s">
        <v>667</v>
      </c>
      <c r="D11" s="31" t="s">
        <v>111</v>
      </c>
      <c r="E11" s="31" t="s">
        <v>668</v>
      </c>
      <c r="F11" s="32" t="s">
        <v>126</v>
      </c>
    </row>
    <row r="12" spans="1:6">
      <c r="A12" s="29">
        <v>91798</v>
      </c>
      <c r="B12" s="31" t="s">
        <v>678</v>
      </c>
      <c r="C12" s="31" t="s">
        <v>667</v>
      </c>
      <c r="D12" s="31" t="s">
        <v>111</v>
      </c>
      <c r="E12" s="31" t="s">
        <v>668</v>
      </c>
      <c r="F12" s="32" t="s">
        <v>126</v>
      </c>
    </row>
    <row r="13" spans="1:6">
      <c r="A13" s="29">
        <v>5055</v>
      </c>
      <c r="B13" s="30" t="s">
        <v>679</v>
      </c>
      <c r="C13" s="31" t="s">
        <v>275</v>
      </c>
      <c r="D13" s="31" t="s">
        <v>285</v>
      </c>
      <c r="E13" s="31" t="s">
        <v>680</v>
      </c>
      <c r="F13" s="32" t="s">
        <v>109</v>
      </c>
    </row>
    <row r="14" spans="1:6">
      <c r="A14" s="29">
        <v>5059</v>
      </c>
      <c r="B14" s="30" t="s">
        <v>542</v>
      </c>
      <c r="C14" s="31" t="s">
        <v>275</v>
      </c>
      <c r="D14" s="31" t="s">
        <v>285</v>
      </c>
      <c r="E14" s="31" t="s">
        <v>680</v>
      </c>
      <c r="F14" s="32" t="s">
        <v>92</v>
      </c>
    </row>
    <row r="15" spans="1:6">
      <c r="A15" s="29">
        <v>5079</v>
      </c>
      <c r="B15" s="30" t="s">
        <v>681</v>
      </c>
      <c r="C15" s="31" t="s">
        <v>275</v>
      </c>
      <c r="D15" s="31" t="s">
        <v>285</v>
      </c>
      <c r="E15" s="31" t="s">
        <v>680</v>
      </c>
      <c r="F15" s="32" t="s">
        <v>92</v>
      </c>
    </row>
    <row r="16" spans="1:6">
      <c r="A16" s="29">
        <v>5093</v>
      </c>
      <c r="B16" s="30" t="s">
        <v>682</v>
      </c>
      <c r="C16" s="31" t="s">
        <v>275</v>
      </c>
      <c r="D16" s="31" t="s">
        <v>285</v>
      </c>
      <c r="E16" s="31" t="s">
        <v>680</v>
      </c>
      <c r="F16" s="32" t="s">
        <v>181</v>
      </c>
    </row>
    <row r="17" spans="1:6">
      <c r="A17" s="29">
        <v>5107</v>
      </c>
      <c r="B17" s="30" t="s">
        <v>683</v>
      </c>
      <c r="C17" s="31" t="s">
        <v>275</v>
      </c>
      <c r="D17" s="31" t="s">
        <v>285</v>
      </c>
      <c r="E17" s="31" t="s">
        <v>680</v>
      </c>
      <c r="F17" s="32" t="s">
        <v>181</v>
      </c>
    </row>
    <row r="18" spans="1:6">
      <c r="A18" s="29">
        <v>5129</v>
      </c>
      <c r="B18" s="30" t="s">
        <v>237</v>
      </c>
      <c r="C18" s="31" t="s">
        <v>275</v>
      </c>
      <c r="D18" s="31" t="s">
        <v>285</v>
      </c>
      <c r="E18" s="31" t="s">
        <v>680</v>
      </c>
      <c r="F18" s="32" t="s">
        <v>119</v>
      </c>
    </row>
    <row r="19" spans="1:6">
      <c r="A19" s="29">
        <v>5206</v>
      </c>
      <c r="B19" s="30" t="s">
        <v>684</v>
      </c>
      <c r="C19" s="31" t="s">
        <v>275</v>
      </c>
      <c r="D19" s="31" t="s">
        <v>285</v>
      </c>
      <c r="E19" s="31" t="s">
        <v>680</v>
      </c>
      <c r="F19" s="32" t="s">
        <v>92</v>
      </c>
    </row>
    <row r="20" spans="1:6">
      <c r="A20" s="29">
        <v>5209</v>
      </c>
      <c r="B20" s="30" t="s">
        <v>296</v>
      </c>
      <c r="C20" s="31" t="s">
        <v>275</v>
      </c>
      <c r="D20" s="31" t="s">
        <v>285</v>
      </c>
      <c r="E20" s="31" t="s">
        <v>680</v>
      </c>
      <c r="F20" s="32" t="s">
        <v>181</v>
      </c>
    </row>
    <row r="21" spans="1:6">
      <c r="A21" s="29">
        <v>5313</v>
      </c>
      <c r="B21" s="30" t="s">
        <v>570</v>
      </c>
      <c r="C21" s="31" t="s">
        <v>275</v>
      </c>
      <c r="D21" s="31" t="s">
        <v>285</v>
      </c>
      <c r="E21" s="31" t="s">
        <v>680</v>
      </c>
      <c r="F21" s="32" t="s">
        <v>92</v>
      </c>
    </row>
    <row r="22" spans="1:6">
      <c r="A22" s="29">
        <v>5315</v>
      </c>
      <c r="B22" s="30" t="s">
        <v>685</v>
      </c>
      <c r="C22" s="31" t="s">
        <v>275</v>
      </c>
      <c r="D22" s="31" t="s">
        <v>285</v>
      </c>
      <c r="E22" s="31" t="s">
        <v>680</v>
      </c>
      <c r="F22" s="32" t="s">
        <v>181</v>
      </c>
    </row>
    <row r="23" spans="1:6">
      <c r="A23" s="29">
        <v>5368</v>
      </c>
      <c r="B23" s="30" t="s">
        <v>686</v>
      </c>
      <c r="C23" s="31" t="s">
        <v>275</v>
      </c>
      <c r="D23" s="31" t="s">
        <v>285</v>
      </c>
      <c r="E23" s="31" t="s">
        <v>680</v>
      </c>
      <c r="F23" s="32" t="s">
        <v>181</v>
      </c>
    </row>
    <row r="24" spans="1:6">
      <c r="A24" s="29">
        <v>5400</v>
      </c>
      <c r="B24" s="30" t="s">
        <v>687</v>
      </c>
      <c r="C24" s="31" t="s">
        <v>275</v>
      </c>
      <c r="D24" s="31" t="s">
        <v>285</v>
      </c>
      <c r="E24" s="31" t="s">
        <v>680</v>
      </c>
      <c r="F24" s="32" t="s">
        <v>92</v>
      </c>
    </row>
    <row r="25" spans="1:6">
      <c r="A25" s="29">
        <v>5483</v>
      </c>
      <c r="B25" s="30" t="s">
        <v>80</v>
      </c>
      <c r="C25" s="31" t="s">
        <v>275</v>
      </c>
      <c r="D25" s="31" t="s">
        <v>285</v>
      </c>
      <c r="E25" s="31" t="s">
        <v>680</v>
      </c>
      <c r="F25" s="32" t="s">
        <v>109</v>
      </c>
    </row>
    <row r="26" spans="1:6">
      <c r="A26" s="29">
        <v>5615</v>
      </c>
      <c r="B26" s="30" t="s">
        <v>688</v>
      </c>
      <c r="C26" s="31" t="s">
        <v>275</v>
      </c>
      <c r="D26" s="31" t="s">
        <v>285</v>
      </c>
      <c r="E26" s="31" t="s">
        <v>680</v>
      </c>
      <c r="F26" s="32" t="s">
        <v>92</v>
      </c>
    </row>
    <row r="27" spans="1:6">
      <c r="A27" s="29">
        <v>5628</v>
      </c>
      <c r="B27" s="30" t="s">
        <v>689</v>
      </c>
      <c r="C27" s="31" t="s">
        <v>275</v>
      </c>
      <c r="D27" s="31" t="s">
        <v>285</v>
      </c>
      <c r="E27" s="31" t="s">
        <v>680</v>
      </c>
      <c r="F27" s="32" t="s">
        <v>181</v>
      </c>
    </row>
    <row r="28" spans="1:6">
      <c r="A28" s="29">
        <v>5649</v>
      </c>
      <c r="B28" s="30" t="s">
        <v>690</v>
      </c>
      <c r="C28" s="31" t="s">
        <v>275</v>
      </c>
      <c r="D28" s="31" t="s">
        <v>285</v>
      </c>
      <c r="E28" s="31" t="s">
        <v>680</v>
      </c>
      <c r="F28" s="32" t="s">
        <v>181</v>
      </c>
    </row>
    <row r="29" spans="1:6">
      <c r="A29" s="29">
        <v>5652</v>
      </c>
      <c r="B29" s="30" t="s">
        <v>691</v>
      </c>
      <c r="C29" s="31" t="s">
        <v>275</v>
      </c>
      <c r="D29" s="31" t="s">
        <v>285</v>
      </c>
      <c r="E29" s="31" t="s">
        <v>680</v>
      </c>
      <c r="F29" s="32" t="s">
        <v>181</v>
      </c>
    </row>
    <row r="30" spans="1:6">
      <c r="A30" s="29">
        <v>5660</v>
      </c>
      <c r="B30" s="30" t="s">
        <v>692</v>
      </c>
      <c r="C30" s="31" t="s">
        <v>275</v>
      </c>
      <c r="D30" s="31" t="s">
        <v>285</v>
      </c>
      <c r="E30" s="31" t="s">
        <v>680</v>
      </c>
      <c r="F30" s="32" t="s">
        <v>181</v>
      </c>
    </row>
    <row r="31" spans="1:6">
      <c r="A31" s="29">
        <v>5664</v>
      </c>
      <c r="B31" s="30" t="s">
        <v>693</v>
      </c>
      <c r="C31" s="31" t="s">
        <v>275</v>
      </c>
      <c r="D31" s="31" t="s">
        <v>285</v>
      </c>
      <c r="E31" s="31" t="s">
        <v>680</v>
      </c>
      <c r="F31" s="32" t="s">
        <v>92</v>
      </c>
    </row>
    <row r="32" spans="1:6">
      <c r="A32" s="29">
        <v>5679</v>
      </c>
      <c r="B32" s="30" t="s">
        <v>694</v>
      </c>
      <c r="C32" s="31" t="s">
        <v>275</v>
      </c>
      <c r="D32" s="31" t="s">
        <v>285</v>
      </c>
      <c r="E32" s="31" t="s">
        <v>680</v>
      </c>
      <c r="F32" s="32" t="s">
        <v>92</v>
      </c>
    </row>
    <row r="33" spans="1:6">
      <c r="A33" s="29">
        <v>5819</v>
      </c>
      <c r="B33" s="30" t="s">
        <v>695</v>
      </c>
      <c r="C33" s="31" t="s">
        <v>275</v>
      </c>
      <c r="D33" s="31" t="s">
        <v>285</v>
      </c>
      <c r="E33" s="31" t="s">
        <v>680</v>
      </c>
      <c r="F33" s="32" t="s">
        <v>109</v>
      </c>
    </row>
    <row r="34" spans="1:6">
      <c r="A34" s="29">
        <v>5856</v>
      </c>
      <c r="B34" s="30" t="s">
        <v>696</v>
      </c>
      <c r="C34" s="31" t="s">
        <v>275</v>
      </c>
      <c r="D34" s="31" t="s">
        <v>285</v>
      </c>
      <c r="E34" s="31" t="s">
        <v>680</v>
      </c>
      <c r="F34" s="32" t="s">
        <v>181</v>
      </c>
    </row>
    <row r="35" spans="1:6">
      <c r="A35" s="29">
        <v>5861</v>
      </c>
      <c r="B35" s="30" t="s">
        <v>697</v>
      </c>
      <c r="C35" s="31" t="s">
        <v>275</v>
      </c>
      <c r="D35" s="31" t="s">
        <v>285</v>
      </c>
      <c r="E35" s="31" t="s">
        <v>680</v>
      </c>
      <c r="F35" s="32" t="s">
        <v>92</v>
      </c>
    </row>
    <row r="36" spans="1:6">
      <c r="A36" s="29">
        <v>5002</v>
      </c>
      <c r="B36" s="31" t="s">
        <v>698</v>
      </c>
      <c r="C36" s="31" t="s">
        <v>275</v>
      </c>
      <c r="D36" s="31" t="s">
        <v>285</v>
      </c>
      <c r="E36" s="31" t="s">
        <v>680</v>
      </c>
      <c r="F36" s="32" t="s">
        <v>181</v>
      </c>
    </row>
    <row r="37" spans="1:6">
      <c r="A37" s="29">
        <v>5004</v>
      </c>
      <c r="B37" s="31" t="s">
        <v>699</v>
      </c>
      <c r="C37" s="31" t="s">
        <v>275</v>
      </c>
      <c r="D37" s="31" t="s">
        <v>285</v>
      </c>
      <c r="E37" s="31" t="s">
        <v>680</v>
      </c>
      <c r="F37" s="32" t="s">
        <v>109</v>
      </c>
    </row>
    <row r="38" spans="1:6">
      <c r="A38" s="29">
        <v>5021</v>
      </c>
      <c r="B38" s="31" t="s">
        <v>700</v>
      </c>
      <c r="C38" s="31" t="s">
        <v>275</v>
      </c>
      <c r="D38" s="31" t="s">
        <v>285</v>
      </c>
      <c r="E38" s="31" t="s">
        <v>680</v>
      </c>
      <c r="F38" s="32" t="s">
        <v>181</v>
      </c>
    </row>
    <row r="39" spans="1:6">
      <c r="A39" s="29">
        <v>5030</v>
      </c>
      <c r="B39" s="31" t="s">
        <v>701</v>
      </c>
      <c r="C39" s="31" t="s">
        <v>275</v>
      </c>
      <c r="D39" s="31" t="s">
        <v>285</v>
      </c>
      <c r="E39" s="31" t="s">
        <v>680</v>
      </c>
      <c r="F39" s="32" t="s">
        <v>92</v>
      </c>
    </row>
    <row r="40" spans="1:6">
      <c r="A40" s="29">
        <v>5031</v>
      </c>
      <c r="B40" s="31" t="s">
        <v>702</v>
      </c>
      <c r="C40" s="31" t="s">
        <v>275</v>
      </c>
      <c r="D40" s="31" t="s">
        <v>285</v>
      </c>
      <c r="E40" s="31" t="s">
        <v>680</v>
      </c>
      <c r="F40" s="32" t="s">
        <v>109</v>
      </c>
    </row>
    <row r="41" spans="1:6">
      <c r="A41" s="29">
        <v>5034</v>
      </c>
      <c r="B41" s="31" t="s">
        <v>703</v>
      </c>
      <c r="C41" s="31" t="s">
        <v>275</v>
      </c>
      <c r="D41" s="31" t="s">
        <v>285</v>
      </c>
      <c r="E41" s="31" t="s">
        <v>680</v>
      </c>
      <c r="F41" s="32" t="s">
        <v>181</v>
      </c>
    </row>
    <row r="42" spans="1:6">
      <c r="A42" s="29">
        <v>5036</v>
      </c>
      <c r="B42" s="31" t="s">
        <v>704</v>
      </c>
      <c r="C42" s="31" t="s">
        <v>275</v>
      </c>
      <c r="D42" s="31" t="s">
        <v>285</v>
      </c>
      <c r="E42" s="31" t="s">
        <v>680</v>
      </c>
      <c r="F42" s="32" t="s">
        <v>92</v>
      </c>
    </row>
    <row r="43" spans="1:6">
      <c r="A43" s="29">
        <v>5038</v>
      </c>
      <c r="B43" s="31" t="s">
        <v>705</v>
      </c>
      <c r="C43" s="31" t="s">
        <v>275</v>
      </c>
      <c r="D43" s="31" t="s">
        <v>285</v>
      </c>
      <c r="E43" s="31" t="s">
        <v>680</v>
      </c>
      <c r="F43" s="32" t="s">
        <v>181</v>
      </c>
    </row>
    <row r="44" spans="1:6">
      <c r="A44" s="29">
        <v>5040</v>
      </c>
      <c r="B44" s="31" t="s">
        <v>706</v>
      </c>
      <c r="C44" s="31" t="s">
        <v>275</v>
      </c>
      <c r="D44" s="31" t="s">
        <v>285</v>
      </c>
      <c r="E44" s="31" t="s">
        <v>680</v>
      </c>
      <c r="F44" s="32" t="s">
        <v>109</v>
      </c>
    </row>
    <row r="45" spans="1:6">
      <c r="A45" s="29">
        <v>5044</v>
      </c>
      <c r="B45" s="31" t="s">
        <v>707</v>
      </c>
      <c r="C45" s="31" t="s">
        <v>275</v>
      </c>
      <c r="D45" s="31" t="s">
        <v>285</v>
      </c>
      <c r="E45" s="31" t="s">
        <v>680</v>
      </c>
      <c r="F45" s="32" t="s">
        <v>181</v>
      </c>
    </row>
    <row r="46" spans="1:6">
      <c r="A46" s="29">
        <v>5045</v>
      </c>
      <c r="B46" s="31" t="s">
        <v>272</v>
      </c>
      <c r="C46" s="31" t="s">
        <v>275</v>
      </c>
      <c r="D46" s="31" t="s">
        <v>272</v>
      </c>
      <c r="E46" s="31" t="s">
        <v>680</v>
      </c>
      <c r="F46" s="32" t="s">
        <v>119</v>
      </c>
    </row>
    <row r="47" spans="1:6">
      <c r="A47" s="29">
        <v>5051</v>
      </c>
      <c r="B47" s="31" t="s">
        <v>708</v>
      </c>
      <c r="C47" s="31" t="s">
        <v>275</v>
      </c>
      <c r="D47" s="31" t="s">
        <v>165</v>
      </c>
      <c r="E47" s="31" t="s">
        <v>680</v>
      </c>
      <c r="F47" s="32" t="s">
        <v>92</v>
      </c>
    </row>
    <row r="48" spans="1:6">
      <c r="A48" s="29">
        <v>5088</v>
      </c>
      <c r="B48" s="31" t="s">
        <v>596</v>
      </c>
      <c r="C48" s="31" t="s">
        <v>275</v>
      </c>
      <c r="D48" s="31" t="s">
        <v>285</v>
      </c>
      <c r="E48" s="31" t="s">
        <v>680</v>
      </c>
      <c r="F48" s="32" t="s">
        <v>119</v>
      </c>
    </row>
    <row r="49" spans="1:6">
      <c r="A49" s="29">
        <v>5086</v>
      </c>
      <c r="B49" s="31" t="s">
        <v>709</v>
      </c>
      <c r="C49" s="31" t="s">
        <v>275</v>
      </c>
      <c r="D49" s="31" t="s">
        <v>285</v>
      </c>
      <c r="E49" s="31" t="s">
        <v>680</v>
      </c>
      <c r="F49" s="32" t="s">
        <v>92</v>
      </c>
    </row>
    <row r="50" spans="1:6">
      <c r="A50" s="29">
        <v>5091</v>
      </c>
      <c r="B50" s="31" t="s">
        <v>710</v>
      </c>
      <c r="C50" s="31" t="s">
        <v>275</v>
      </c>
      <c r="D50" s="31" t="s">
        <v>285</v>
      </c>
      <c r="E50" s="31" t="s">
        <v>680</v>
      </c>
      <c r="F50" s="32" t="s">
        <v>181</v>
      </c>
    </row>
    <row r="51" spans="1:6">
      <c r="A51" s="29">
        <v>5113</v>
      </c>
      <c r="B51" s="31" t="s">
        <v>711</v>
      </c>
      <c r="C51" s="31" t="s">
        <v>275</v>
      </c>
      <c r="D51" s="31" t="s">
        <v>285</v>
      </c>
      <c r="E51" s="31" t="s">
        <v>680</v>
      </c>
      <c r="F51" s="32" t="s">
        <v>109</v>
      </c>
    </row>
    <row r="52" spans="1:6">
      <c r="A52" s="29">
        <v>5120</v>
      </c>
      <c r="B52" s="31" t="s">
        <v>712</v>
      </c>
      <c r="C52" s="31" t="s">
        <v>275</v>
      </c>
      <c r="D52" s="31" t="s">
        <v>285</v>
      </c>
      <c r="E52" s="31" t="s">
        <v>680</v>
      </c>
      <c r="F52" s="32" t="s">
        <v>109</v>
      </c>
    </row>
    <row r="53" spans="1:6">
      <c r="A53" s="29">
        <v>5125</v>
      </c>
      <c r="B53" s="31" t="s">
        <v>713</v>
      </c>
      <c r="C53" s="31" t="s">
        <v>275</v>
      </c>
      <c r="D53" s="31" t="s">
        <v>285</v>
      </c>
      <c r="E53" s="31" t="s">
        <v>680</v>
      </c>
      <c r="F53" s="32" t="s">
        <v>181</v>
      </c>
    </row>
    <row r="54" spans="1:6">
      <c r="A54" s="29">
        <v>5134</v>
      </c>
      <c r="B54" s="31" t="s">
        <v>714</v>
      </c>
      <c r="C54" s="31" t="s">
        <v>275</v>
      </c>
      <c r="D54" s="31" t="s">
        <v>285</v>
      </c>
      <c r="E54" s="31" t="s">
        <v>680</v>
      </c>
      <c r="F54" s="32" t="s">
        <v>181</v>
      </c>
    </row>
    <row r="55" spans="1:6">
      <c r="A55" s="29">
        <v>5138</v>
      </c>
      <c r="B55" s="31" t="s">
        <v>715</v>
      </c>
      <c r="C55" s="31" t="s">
        <v>275</v>
      </c>
      <c r="D55" s="31" t="s">
        <v>285</v>
      </c>
      <c r="E55" s="31" t="s">
        <v>680</v>
      </c>
      <c r="F55" s="32" t="s">
        <v>181</v>
      </c>
    </row>
    <row r="56" spans="1:6">
      <c r="A56" s="29">
        <v>5142</v>
      </c>
      <c r="B56" s="31" t="s">
        <v>716</v>
      </c>
      <c r="C56" s="31" t="s">
        <v>275</v>
      </c>
      <c r="D56" s="31" t="s">
        <v>285</v>
      </c>
      <c r="E56" s="31" t="s">
        <v>680</v>
      </c>
      <c r="F56" s="32" t="s">
        <v>181</v>
      </c>
    </row>
    <row r="57" spans="1:6">
      <c r="A57" s="29">
        <v>5145</v>
      </c>
      <c r="B57" s="31" t="s">
        <v>717</v>
      </c>
      <c r="C57" s="31" t="s">
        <v>275</v>
      </c>
      <c r="D57" s="31" t="s">
        <v>285</v>
      </c>
      <c r="E57" s="31" t="s">
        <v>680</v>
      </c>
      <c r="F57" s="32" t="s">
        <v>181</v>
      </c>
    </row>
    <row r="58" spans="1:6">
      <c r="A58" s="29">
        <v>5147</v>
      </c>
      <c r="B58" s="31" t="s">
        <v>718</v>
      </c>
      <c r="C58" s="31" t="s">
        <v>275</v>
      </c>
      <c r="D58" s="31" t="s">
        <v>272</v>
      </c>
      <c r="E58" s="31" t="s">
        <v>680</v>
      </c>
      <c r="F58" s="32" t="s">
        <v>119</v>
      </c>
    </row>
    <row r="59" spans="1:6">
      <c r="A59" s="29">
        <v>5150</v>
      </c>
      <c r="B59" s="31" t="s">
        <v>719</v>
      </c>
      <c r="C59" s="31" t="s">
        <v>275</v>
      </c>
      <c r="D59" s="31" t="s">
        <v>285</v>
      </c>
      <c r="E59" s="31" t="s">
        <v>680</v>
      </c>
      <c r="F59" s="32" t="s">
        <v>181</v>
      </c>
    </row>
    <row r="60" spans="1:6">
      <c r="A60" s="29">
        <v>5154</v>
      </c>
      <c r="B60" s="31" t="s">
        <v>720</v>
      </c>
      <c r="C60" s="31" t="s">
        <v>275</v>
      </c>
      <c r="D60" s="31" t="s">
        <v>165</v>
      </c>
      <c r="E60" s="31" t="s">
        <v>680</v>
      </c>
      <c r="F60" s="32" t="s">
        <v>92</v>
      </c>
    </row>
    <row r="61" spans="1:6">
      <c r="A61" s="29">
        <v>5172</v>
      </c>
      <c r="B61" s="31" t="s">
        <v>721</v>
      </c>
      <c r="C61" s="31" t="s">
        <v>275</v>
      </c>
      <c r="D61" s="31" t="s">
        <v>272</v>
      </c>
      <c r="E61" s="31" t="s">
        <v>680</v>
      </c>
      <c r="F61" s="32" t="s">
        <v>92</v>
      </c>
    </row>
    <row r="62" spans="1:6">
      <c r="A62" s="29">
        <v>5190</v>
      </c>
      <c r="B62" s="31" t="s">
        <v>722</v>
      </c>
      <c r="C62" s="31" t="s">
        <v>275</v>
      </c>
      <c r="D62" s="31" t="s">
        <v>285</v>
      </c>
      <c r="E62" s="31" t="s">
        <v>680</v>
      </c>
      <c r="F62" s="32" t="s">
        <v>92</v>
      </c>
    </row>
    <row r="63" spans="1:6">
      <c r="A63" s="29">
        <v>5101</v>
      </c>
      <c r="B63" s="31" t="s">
        <v>723</v>
      </c>
      <c r="C63" s="31" t="s">
        <v>275</v>
      </c>
      <c r="D63" s="31" t="s">
        <v>285</v>
      </c>
      <c r="E63" s="31" t="s">
        <v>680</v>
      </c>
      <c r="F63" s="32" t="s">
        <v>92</v>
      </c>
    </row>
    <row r="64" spans="1:6">
      <c r="A64" s="29">
        <v>5197</v>
      </c>
      <c r="B64" s="31" t="s">
        <v>724</v>
      </c>
      <c r="C64" s="31" t="s">
        <v>275</v>
      </c>
      <c r="D64" s="31" t="s">
        <v>285</v>
      </c>
      <c r="E64" s="31" t="s">
        <v>680</v>
      </c>
      <c r="F64" s="32" t="s">
        <v>92</v>
      </c>
    </row>
    <row r="65" spans="1:6">
      <c r="A65" s="29">
        <v>5212</v>
      </c>
      <c r="B65" s="31" t="s">
        <v>725</v>
      </c>
      <c r="C65" s="31" t="s">
        <v>275</v>
      </c>
      <c r="D65" s="31" t="s">
        <v>285</v>
      </c>
      <c r="E65" s="31" t="s">
        <v>680</v>
      </c>
      <c r="F65" s="32" t="s">
        <v>119</v>
      </c>
    </row>
    <row r="66" spans="1:6">
      <c r="A66" s="29">
        <v>5234</v>
      </c>
      <c r="B66" s="31" t="s">
        <v>726</v>
      </c>
      <c r="C66" s="31" t="s">
        <v>275</v>
      </c>
      <c r="D66" s="31" t="s">
        <v>285</v>
      </c>
      <c r="E66" s="31" t="s">
        <v>680</v>
      </c>
      <c r="F66" s="32" t="s">
        <v>109</v>
      </c>
    </row>
    <row r="67" spans="1:6">
      <c r="A67" s="29">
        <v>5237</v>
      </c>
      <c r="B67" s="31" t="s">
        <v>727</v>
      </c>
      <c r="C67" s="31" t="s">
        <v>275</v>
      </c>
      <c r="D67" s="31" t="s">
        <v>285</v>
      </c>
      <c r="E67" s="31" t="s">
        <v>680</v>
      </c>
      <c r="F67" s="32" t="s">
        <v>92</v>
      </c>
    </row>
    <row r="68" spans="1:6">
      <c r="A68" s="29">
        <v>5240</v>
      </c>
      <c r="B68" s="31" t="s">
        <v>728</v>
      </c>
      <c r="C68" s="31" t="s">
        <v>275</v>
      </c>
      <c r="D68" s="31" t="s">
        <v>285</v>
      </c>
      <c r="E68" s="31" t="s">
        <v>680</v>
      </c>
      <c r="F68" s="32" t="s">
        <v>92</v>
      </c>
    </row>
    <row r="69" spans="1:6">
      <c r="A69" s="29">
        <v>5250</v>
      </c>
      <c r="B69" s="31" t="s">
        <v>729</v>
      </c>
      <c r="C69" s="31" t="s">
        <v>275</v>
      </c>
      <c r="D69" s="31" t="s">
        <v>165</v>
      </c>
      <c r="E69" s="31" t="s">
        <v>680</v>
      </c>
      <c r="F69" s="32" t="s">
        <v>109</v>
      </c>
    </row>
    <row r="70" spans="1:6">
      <c r="A70" s="29">
        <v>5148</v>
      </c>
      <c r="B70" s="31" t="s">
        <v>621</v>
      </c>
      <c r="C70" s="31" t="s">
        <v>275</v>
      </c>
      <c r="D70" s="31" t="s">
        <v>285</v>
      </c>
      <c r="E70" s="31" t="s">
        <v>680</v>
      </c>
      <c r="F70" s="32" t="s">
        <v>92</v>
      </c>
    </row>
    <row r="71" spans="1:6">
      <c r="A71" s="29">
        <v>5697</v>
      </c>
      <c r="B71" s="31" t="s">
        <v>730</v>
      </c>
      <c r="C71" s="31" t="s">
        <v>275</v>
      </c>
      <c r="D71" s="31" t="s">
        <v>285</v>
      </c>
      <c r="E71" s="31" t="s">
        <v>680</v>
      </c>
      <c r="F71" s="32" t="s">
        <v>92</v>
      </c>
    </row>
    <row r="72" spans="1:6">
      <c r="A72" s="29">
        <v>5264</v>
      </c>
      <c r="B72" s="31" t="s">
        <v>731</v>
      </c>
      <c r="C72" s="31" t="s">
        <v>275</v>
      </c>
      <c r="D72" s="31" t="s">
        <v>285</v>
      </c>
      <c r="E72" s="31" t="s">
        <v>680</v>
      </c>
      <c r="F72" s="32" t="s">
        <v>92</v>
      </c>
    </row>
    <row r="73" spans="1:6">
      <c r="A73" s="29">
        <v>5266</v>
      </c>
      <c r="B73" s="31" t="s">
        <v>732</v>
      </c>
      <c r="C73" s="31" t="s">
        <v>275</v>
      </c>
      <c r="D73" s="31" t="s">
        <v>285</v>
      </c>
      <c r="E73" s="31" t="s">
        <v>680</v>
      </c>
      <c r="F73" s="32" t="s">
        <v>119</v>
      </c>
    </row>
    <row r="74" spans="1:6">
      <c r="A74" s="29">
        <v>5282</v>
      </c>
      <c r="B74" s="31" t="s">
        <v>733</v>
      </c>
      <c r="C74" s="31" t="s">
        <v>275</v>
      </c>
      <c r="D74" s="31" t="s">
        <v>285</v>
      </c>
      <c r="E74" s="31" t="s">
        <v>680</v>
      </c>
      <c r="F74" s="32" t="s">
        <v>92</v>
      </c>
    </row>
    <row r="75" spans="1:6">
      <c r="A75" s="29">
        <v>5284</v>
      </c>
      <c r="B75" s="31" t="s">
        <v>734</v>
      </c>
      <c r="C75" s="31" t="s">
        <v>275</v>
      </c>
      <c r="D75" s="31" t="s">
        <v>285</v>
      </c>
      <c r="E75" s="31" t="s">
        <v>680</v>
      </c>
      <c r="F75" s="32" t="s">
        <v>109</v>
      </c>
    </row>
    <row r="76" spans="1:6">
      <c r="A76" s="29">
        <v>5306</v>
      </c>
      <c r="B76" s="31" t="s">
        <v>735</v>
      </c>
      <c r="C76" s="31" t="s">
        <v>275</v>
      </c>
      <c r="D76" s="31" t="s">
        <v>285</v>
      </c>
      <c r="E76" s="31" t="s">
        <v>680</v>
      </c>
      <c r="F76" s="32" t="s">
        <v>181</v>
      </c>
    </row>
    <row r="77" spans="1:6">
      <c r="A77" s="29">
        <v>5308</v>
      </c>
      <c r="B77" s="31" t="s">
        <v>736</v>
      </c>
      <c r="C77" s="31" t="s">
        <v>275</v>
      </c>
      <c r="D77" s="31" t="s">
        <v>285</v>
      </c>
      <c r="E77" s="31" t="s">
        <v>680</v>
      </c>
      <c r="F77" s="32" t="s">
        <v>119</v>
      </c>
    </row>
    <row r="78" spans="1:6">
      <c r="A78" s="29">
        <v>5310</v>
      </c>
      <c r="B78" s="31" t="s">
        <v>737</v>
      </c>
      <c r="C78" s="31" t="s">
        <v>275</v>
      </c>
      <c r="D78" s="31" t="s">
        <v>285</v>
      </c>
      <c r="E78" s="31" t="s">
        <v>680</v>
      </c>
      <c r="F78" s="32" t="s">
        <v>92</v>
      </c>
    </row>
    <row r="79" spans="1:6">
      <c r="A79" s="29">
        <v>5318</v>
      </c>
      <c r="B79" s="31" t="s">
        <v>738</v>
      </c>
      <c r="C79" s="31" t="s">
        <v>275</v>
      </c>
      <c r="D79" s="31" t="s">
        <v>285</v>
      </c>
      <c r="E79" s="31" t="s">
        <v>680</v>
      </c>
      <c r="F79" s="32" t="s">
        <v>92</v>
      </c>
    </row>
    <row r="80" spans="1:6">
      <c r="A80" s="29">
        <v>5321</v>
      </c>
      <c r="B80" s="31" t="s">
        <v>739</v>
      </c>
      <c r="C80" s="31" t="s">
        <v>275</v>
      </c>
      <c r="D80" s="31" t="s">
        <v>285</v>
      </c>
      <c r="E80" s="31" t="s">
        <v>680</v>
      </c>
      <c r="F80" s="32" t="s">
        <v>92</v>
      </c>
    </row>
    <row r="81" spans="1:6">
      <c r="A81" s="29">
        <v>5347</v>
      </c>
      <c r="B81" s="31" t="s">
        <v>740</v>
      </c>
      <c r="C81" s="31" t="s">
        <v>275</v>
      </c>
      <c r="D81" s="31" t="s">
        <v>285</v>
      </c>
      <c r="E81" s="31" t="s">
        <v>680</v>
      </c>
      <c r="F81" s="32" t="s">
        <v>92</v>
      </c>
    </row>
    <row r="82" spans="1:6">
      <c r="A82" s="29">
        <v>5353</v>
      </c>
      <c r="B82" s="31" t="s">
        <v>741</v>
      </c>
      <c r="C82" s="31" t="s">
        <v>275</v>
      </c>
      <c r="D82" s="31" t="s">
        <v>285</v>
      </c>
      <c r="E82" s="31" t="s">
        <v>680</v>
      </c>
      <c r="F82" s="32" t="s">
        <v>181</v>
      </c>
    </row>
    <row r="83" spans="1:6">
      <c r="A83" s="29">
        <v>5360</v>
      </c>
      <c r="B83" s="31" t="s">
        <v>288</v>
      </c>
      <c r="C83" s="31" t="s">
        <v>275</v>
      </c>
      <c r="D83" s="31" t="s">
        <v>285</v>
      </c>
      <c r="E83" s="31" t="s">
        <v>680</v>
      </c>
      <c r="F83" s="32" t="s">
        <v>119</v>
      </c>
    </row>
    <row r="84" spans="1:6">
      <c r="A84" s="29">
        <v>5361</v>
      </c>
      <c r="B84" s="31" t="s">
        <v>742</v>
      </c>
      <c r="C84" s="31" t="s">
        <v>275</v>
      </c>
      <c r="D84" s="31" t="s">
        <v>285</v>
      </c>
      <c r="E84" s="31" t="s">
        <v>680</v>
      </c>
      <c r="F84" s="32" t="s">
        <v>109</v>
      </c>
    </row>
    <row r="85" spans="1:6">
      <c r="A85" s="29">
        <v>5364</v>
      </c>
      <c r="B85" s="31" t="s">
        <v>743</v>
      </c>
      <c r="C85" s="31" t="s">
        <v>275</v>
      </c>
      <c r="D85" s="31" t="s">
        <v>285</v>
      </c>
      <c r="E85" s="31" t="s">
        <v>680</v>
      </c>
      <c r="F85" s="32" t="s">
        <v>181</v>
      </c>
    </row>
    <row r="86" spans="1:6">
      <c r="A86" s="29">
        <v>5376</v>
      </c>
      <c r="B86" s="31" t="s">
        <v>744</v>
      </c>
      <c r="C86" s="31" t="s">
        <v>275</v>
      </c>
      <c r="D86" s="31" t="s">
        <v>285</v>
      </c>
      <c r="E86" s="31" t="s">
        <v>680</v>
      </c>
      <c r="F86" s="32" t="s">
        <v>92</v>
      </c>
    </row>
    <row r="87" spans="1:6">
      <c r="A87" s="29">
        <v>5380</v>
      </c>
      <c r="B87" s="31" t="s">
        <v>745</v>
      </c>
      <c r="C87" s="31" t="s">
        <v>275</v>
      </c>
      <c r="D87" s="31" t="s">
        <v>285</v>
      </c>
      <c r="E87" s="31" t="s">
        <v>680</v>
      </c>
      <c r="F87" s="32" t="s">
        <v>119</v>
      </c>
    </row>
    <row r="88" spans="1:6">
      <c r="A88" s="29">
        <v>5390</v>
      </c>
      <c r="B88" s="31" t="s">
        <v>746</v>
      </c>
      <c r="C88" s="31" t="s">
        <v>275</v>
      </c>
      <c r="D88" s="31" t="s">
        <v>285</v>
      </c>
      <c r="E88" s="31" t="s">
        <v>680</v>
      </c>
      <c r="F88" s="32" t="s">
        <v>92</v>
      </c>
    </row>
    <row r="89" spans="1:6">
      <c r="A89" s="29">
        <v>5411</v>
      </c>
      <c r="B89" s="31" t="s">
        <v>747</v>
      </c>
      <c r="C89" s="31" t="s">
        <v>275</v>
      </c>
      <c r="D89" s="31" t="s">
        <v>285</v>
      </c>
      <c r="E89" s="31" t="s">
        <v>680</v>
      </c>
      <c r="F89" s="32" t="s">
        <v>181</v>
      </c>
    </row>
    <row r="90" spans="1:6">
      <c r="A90" s="29">
        <v>5425</v>
      </c>
      <c r="B90" s="31" t="s">
        <v>748</v>
      </c>
      <c r="C90" s="31" t="s">
        <v>275</v>
      </c>
      <c r="D90" s="31" t="s">
        <v>285</v>
      </c>
      <c r="E90" s="31" t="s">
        <v>680</v>
      </c>
      <c r="F90" s="32" t="s">
        <v>181</v>
      </c>
    </row>
    <row r="91" spans="1:6">
      <c r="A91" s="29">
        <v>5440</v>
      </c>
      <c r="B91" s="31" t="s">
        <v>749</v>
      </c>
      <c r="C91" s="31" t="s">
        <v>275</v>
      </c>
      <c r="D91" s="31" t="s">
        <v>285</v>
      </c>
      <c r="E91" s="31" t="s">
        <v>680</v>
      </c>
      <c r="F91" s="32" t="s">
        <v>92</v>
      </c>
    </row>
    <row r="92" spans="1:6">
      <c r="A92" s="29">
        <v>5001</v>
      </c>
      <c r="B92" s="31" t="s">
        <v>285</v>
      </c>
      <c r="C92" s="31" t="s">
        <v>275</v>
      </c>
      <c r="D92" s="31" t="s">
        <v>285</v>
      </c>
      <c r="E92" s="31" t="s">
        <v>680</v>
      </c>
      <c r="F92" s="32" t="s">
        <v>119</v>
      </c>
    </row>
    <row r="93" spans="1:6">
      <c r="A93" s="29">
        <v>5467</v>
      </c>
      <c r="B93" s="31" t="s">
        <v>750</v>
      </c>
      <c r="C93" s="31" t="s">
        <v>275</v>
      </c>
      <c r="D93" s="31" t="s">
        <v>285</v>
      </c>
      <c r="E93" s="31" t="s">
        <v>680</v>
      </c>
      <c r="F93" s="32" t="s">
        <v>92</v>
      </c>
    </row>
    <row r="94" spans="1:6">
      <c r="A94" s="29">
        <v>5475</v>
      </c>
      <c r="B94" s="31" t="s">
        <v>751</v>
      </c>
      <c r="C94" s="31" t="s">
        <v>275</v>
      </c>
      <c r="D94" s="31" t="s">
        <v>272</v>
      </c>
      <c r="E94" s="31" t="s">
        <v>752</v>
      </c>
      <c r="F94" s="32" t="s">
        <v>126</v>
      </c>
    </row>
    <row r="95" spans="1:6">
      <c r="A95" s="29">
        <v>5480</v>
      </c>
      <c r="B95" s="31" t="s">
        <v>753</v>
      </c>
      <c r="C95" s="31" t="s">
        <v>275</v>
      </c>
      <c r="D95" s="31" t="s">
        <v>272</v>
      </c>
      <c r="E95" s="31" t="s">
        <v>680</v>
      </c>
      <c r="F95" s="32" t="s">
        <v>92</v>
      </c>
    </row>
    <row r="96" spans="1:6">
      <c r="A96" s="29">
        <v>5495</v>
      </c>
      <c r="B96" s="31" t="s">
        <v>754</v>
      </c>
      <c r="C96" s="31" t="s">
        <v>275</v>
      </c>
      <c r="D96" s="31" t="s">
        <v>165</v>
      </c>
      <c r="E96" s="31" t="s">
        <v>680</v>
      </c>
      <c r="F96" s="32" t="s">
        <v>181</v>
      </c>
    </row>
    <row r="97" spans="1:6">
      <c r="A97" s="29">
        <v>5490</v>
      </c>
      <c r="B97" s="31" t="s">
        <v>276</v>
      </c>
      <c r="C97" s="31" t="s">
        <v>275</v>
      </c>
      <c r="D97" s="31" t="s">
        <v>272</v>
      </c>
      <c r="E97" s="31" t="s">
        <v>680</v>
      </c>
      <c r="F97" s="32" t="s">
        <v>92</v>
      </c>
    </row>
    <row r="98" spans="1:6">
      <c r="A98" s="29">
        <v>5501</v>
      </c>
      <c r="B98" s="31" t="s">
        <v>755</v>
      </c>
      <c r="C98" s="31" t="s">
        <v>275</v>
      </c>
      <c r="D98" s="31" t="s">
        <v>285</v>
      </c>
      <c r="E98" s="31" t="s">
        <v>680</v>
      </c>
      <c r="F98" s="32" t="s">
        <v>92</v>
      </c>
    </row>
    <row r="99" spans="1:6">
      <c r="A99" s="29">
        <v>5541</v>
      </c>
      <c r="B99" s="31" t="s">
        <v>756</v>
      </c>
      <c r="C99" s="31" t="s">
        <v>275</v>
      </c>
      <c r="D99" s="31" t="s">
        <v>285</v>
      </c>
      <c r="E99" s="31" t="s">
        <v>680</v>
      </c>
      <c r="F99" s="32" t="s">
        <v>92</v>
      </c>
    </row>
    <row r="100" spans="1:6">
      <c r="A100" s="29">
        <v>5543</v>
      </c>
      <c r="B100" s="31" t="s">
        <v>757</v>
      </c>
      <c r="C100" s="31" t="s">
        <v>275</v>
      </c>
      <c r="D100" s="31" t="s">
        <v>285</v>
      </c>
      <c r="E100" s="31" t="s">
        <v>680</v>
      </c>
      <c r="F100" s="32" t="s">
        <v>109</v>
      </c>
    </row>
    <row r="101" spans="1:6">
      <c r="A101" s="29">
        <v>5576</v>
      </c>
      <c r="B101" s="31" t="s">
        <v>758</v>
      </c>
      <c r="C101" s="31" t="s">
        <v>275</v>
      </c>
      <c r="D101" s="31" t="s">
        <v>285</v>
      </c>
      <c r="E101" s="31" t="s">
        <v>680</v>
      </c>
      <c r="F101" s="32" t="s">
        <v>181</v>
      </c>
    </row>
    <row r="102" spans="1:6">
      <c r="A102" s="29">
        <v>5579</v>
      </c>
      <c r="B102" s="31" t="s">
        <v>759</v>
      </c>
      <c r="C102" s="31" t="s">
        <v>275</v>
      </c>
      <c r="D102" s="31" t="s">
        <v>285</v>
      </c>
      <c r="E102" s="31" t="s">
        <v>680</v>
      </c>
      <c r="F102" s="32" t="s">
        <v>181</v>
      </c>
    </row>
    <row r="103" spans="1:6">
      <c r="A103" s="29">
        <v>5585</v>
      </c>
      <c r="B103" s="31" t="s">
        <v>760</v>
      </c>
      <c r="C103" s="31" t="s">
        <v>275</v>
      </c>
      <c r="D103" s="31" t="s">
        <v>285</v>
      </c>
      <c r="E103" s="31" t="s">
        <v>680</v>
      </c>
      <c r="F103" s="32" t="s">
        <v>109</v>
      </c>
    </row>
    <row r="104" spans="1:6">
      <c r="A104" s="29">
        <v>5591</v>
      </c>
      <c r="B104" s="31" t="s">
        <v>761</v>
      </c>
      <c r="C104" s="31" t="s">
        <v>275</v>
      </c>
      <c r="D104" s="31" t="s">
        <v>285</v>
      </c>
      <c r="E104" s="31" t="s">
        <v>680</v>
      </c>
      <c r="F104" s="32" t="s">
        <v>109</v>
      </c>
    </row>
    <row r="105" spans="1:6">
      <c r="A105" s="29">
        <v>5604</v>
      </c>
      <c r="B105" s="31" t="s">
        <v>762</v>
      </c>
      <c r="C105" s="31" t="s">
        <v>275</v>
      </c>
      <c r="D105" s="31" t="s">
        <v>285</v>
      </c>
      <c r="E105" s="31" t="s">
        <v>680</v>
      </c>
      <c r="F105" s="32" t="s">
        <v>109</v>
      </c>
    </row>
    <row r="106" spans="1:6">
      <c r="A106" s="29">
        <v>5607</v>
      </c>
      <c r="B106" s="31" t="s">
        <v>763</v>
      </c>
      <c r="C106" s="31" t="s">
        <v>275</v>
      </c>
      <c r="D106" s="31" t="s">
        <v>285</v>
      </c>
      <c r="E106" s="31" t="s">
        <v>680</v>
      </c>
      <c r="F106" s="32" t="s">
        <v>92</v>
      </c>
    </row>
    <row r="107" spans="1:6">
      <c r="A107" s="29">
        <v>5631</v>
      </c>
      <c r="B107" s="31" t="s">
        <v>764</v>
      </c>
      <c r="C107" s="31" t="s">
        <v>275</v>
      </c>
      <c r="D107" s="31" t="s">
        <v>285</v>
      </c>
      <c r="E107" s="31" t="s">
        <v>680</v>
      </c>
      <c r="F107" s="32" t="s">
        <v>119</v>
      </c>
    </row>
    <row r="108" spans="1:6">
      <c r="A108" s="29">
        <v>5642</v>
      </c>
      <c r="B108" s="31" t="s">
        <v>765</v>
      </c>
      <c r="C108" s="31" t="s">
        <v>275</v>
      </c>
      <c r="D108" s="31" t="s">
        <v>285</v>
      </c>
      <c r="E108" s="31" t="s">
        <v>680</v>
      </c>
      <c r="F108" s="32" t="s">
        <v>92</v>
      </c>
    </row>
    <row r="109" spans="1:6">
      <c r="A109" s="29">
        <v>5647</v>
      </c>
      <c r="B109" s="31" t="s">
        <v>766</v>
      </c>
      <c r="C109" s="31" t="s">
        <v>275</v>
      </c>
      <c r="D109" s="31" t="s">
        <v>285</v>
      </c>
      <c r="E109" s="31" t="s">
        <v>680</v>
      </c>
      <c r="F109" s="32" t="s">
        <v>181</v>
      </c>
    </row>
    <row r="110" spans="1:6">
      <c r="A110" s="29">
        <v>5656</v>
      </c>
      <c r="B110" s="31" t="s">
        <v>602</v>
      </c>
      <c r="C110" s="31" t="s">
        <v>275</v>
      </c>
      <c r="D110" s="31" t="s">
        <v>285</v>
      </c>
      <c r="E110" s="31" t="s">
        <v>680</v>
      </c>
      <c r="F110" s="32" t="s">
        <v>92</v>
      </c>
    </row>
    <row r="111" spans="1:6">
      <c r="A111" s="29">
        <v>5658</v>
      </c>
      <c r="B111" s="31" t="s">
        <v>767</v>
      </c>
      <c r="C111" s="31" t="s">
        <v>275</v>
      </c>
      <c r="D111" s="31" t="s">
        <v>285</v>
      </c>
      <c r="E111" s="31" t="s">
        <v>680</v>
      </c>
      <c r="F111" s="32" t="s">
        <v>181</v>
      </c>
    </row>
    <row r="112" spans="1:6">
      <c r="A112" s="29">
        <v>5659</v>
      </c>
      <c r="B112" s="31" t="s">
        <v>768</v>
      </c>
      <c r="C112" s="31" t="s">
        <v>275</v>
      </c>
      <c r="D112" s="31" t="s">
        <v>165</v>
      </c>
      <c r="E112" s="31" t="s">
        <v>680</v>
      </c>
      <c r="F112" s="32" t="s">
        <v>92</v>
      </c>
    </row>
    <row r="113" spans="1:6">
      <c r="A113" s="29">
        <v>5665</v>
      </c>
      <c r="B113" s="31" t="s">
        <v>769</v>
      </c>
      <c r="C113" s="31" t="s">
        <v>275</v>
      </c>
      <c r="D113" s="31" t="s">
        <v>272</v>
      </c>
      <c r="E113" s="31" t="s">
        <v>680</v>
      </c>
      <c r="F113" s="32" t="s">
        <v>181</v>
      </c>
    </row>
    <row r="114" spans="1:6">
      <c r="A114" s="29">
        <v>5667</v>
      </c>
      <c r="B114" s="31" t="s">
        <v>770</v>
      </c>
      <c r="C114" s="31" t="s">
        <v>275</v>
      </c>
      <c r="D114" s="31" t="s">
        <v>285</v>
      </c>
      <c r="E114" s="31" t="s">
        <v>680</v>
      </c>
      <c r="F114" s="32" t="s">
        <v>181</v>
      </c>
    </row>
    <row r="115" spans="1:6">
      <c r="A115" s="29">
        <v>5670</v>
      </c>
      <c r="B115" s="31" t="s">
        <v>771</v>
      </c>
      <c r="C115" s="31" t="s">
        <v>275</v>
      </c>
      <c r="D115" s="31" t="s">
        <v>285</v>
      </c>
      <c r="E115" s="31" t="s">
        <v>680</v>
      </c>
      <c r="F115" s="32" t="s">
        <v>181</v>
      </c>
    </row>
    <row r="116" spans="1:6">
      <c r="A116" s="29">
        <v>5674</v>
      </c>
      <c r="B116" s="31" t="s">
        <v>772</v>
      </c>
      <c r="C116" s="31" t="s">
        <v>275</v>
      </c>
      <c r="D116" s="31" t="s">
        <v>285</v>
      </c>
      <c r="E116" s="31" t="s">
        <v>680</v>
      </c>
      <c r="F116" s="32" t="s">
        <v>92</v>
      </c>
    </row>
    <row r="117" spans="1:6">
      <c r="A117" s="29">
        <v>5042</v>
      </c>
      <c r="B117" s="31" t="s">
        <v>773</v>
      </c>
      <c r="C117" s="31" t="s">
        <v>275</v>
      </c>
      <c r="D117" s="31" t="s">
        <v>285</v>
      </c>
      <c r="E117" s="31" t="s">
        <v>680</v>
      </c>
      <c r="F117" s="32" t="s">
        <v>92</v>
      </c>
    </row>
    <row r="118" spans="1:6">
      <c r="A118" s="29">
        <v>5686</v>
      </c>
      <c r="B118" s="31" t="s">
        <v>774</v>
      </c>
      <c r="C118" s="31" t="s">
        <v>275</v>
      </c>
      <c r="D118" s="31" t="s">
        <v>285</v>
      </c>
      <c r="E118" s="31" t="s">
        <v>680</v>
      </c>
      <c r="F118" s="32" t="s">
        <v>92</v>
      </c>
    </row>
    <row r="119" spans="1:6">
      <c r="A119" s="29">
        <v>5690</v>
      </c>
      <c r="B119" s="31" t="s">
        <v>775</v>
      </c>
      <c r="C119" s="31" t="s">
        <v>275</v>
      </c>
      <c r="D119" s="31" t="s">
        <v>285</v>
      </c>
      <c r="E119" s="31" t="s">
        <v>680</v>
      </c>
      <c r="F119" s="32" t="s">
        <v>92</v>
      </c>
    </row>
    <row r="120" spans="1:6">
      <c r="A120" s="29">
        <v>5736</v>
      </c>
      <c r="B120" s="31" t="s">
        <v>776</v>
      </c>
      <c r="C120" s="31" t="s">
        <v>275</v>
      </c>
      <c r="D120" s="31" t="s">
        <v>285</v>
      </c>
      <c r="E120" s="31" t="s">
        <v>680</v>
      </c>
      <c r="F120" s="32" t="s">
        <v>109</v>
      </c>
    </row>
    <row r="121" spans="1:6">
      <c r="A121" s="29">
        <v>5756</v>
      </c>
      <c r="B121" s="31" t="s">
        <v>777</v>
      </c>
      <c r="C121" s="31" t="s">
        <v>275</v>
      </c>
      <c r="D121" s="31" t="s">
        <v>285</v>
      </c>
      <c r="E121" s="31" t="s">
        <v>680</v>
      </c>
      <c r="F121" s="32" t="s">
        <v>181</v>
      </c>
    </row>
    <row r="122" spans="1:6">
      <c r="A122" s="29">
        <v>5761</v>
      </c>
      <c r="B122" s="31" t="s">
        <v>778</v>
      </c>
      <c r="C122" s="31" t="s">
        <v>275</v>
      </c>
      <c r="D122" s="31" t="s">
        <v>285</v>
      </c>
      <c r="E122" s="31" t="s">
        <v>680</v>
      </c>
      <c r="F122" s="32" t="s">
        <v>92</v>
      </c>
    </row>
    <row r="123" spans="1:6">
      <c r="A123" s="29">
        <v>5789</v>
      </c>
      <c r="B123" s="31" t="s">
        <v>779</v>
      </c>
      <c r="C123" s="31" t="s">
        <v>275</v>
      </c>
      <c r="D123" s="31" t="s">
        <v>285</v>
      </c>
      <c r="E123" s="31" t="s">
        <v>680</v>
      </c>
      <c r="F123" s="32" t="s">
        <v>181</v>
      </c>
    </row>
    <row r="124" spans="1:6">
      <c r="A124" s="29">
        <v>5790</v>
      </c>
      <c r="B124" s="31" t="s">
        <v>780</v>
      </c>
      <c r="C124" s="31" t="s">
        <v>275</v>
      </c>
      <c r="D124" s="31" t="s">
        <v>285</v>
      </c>
      <c r="E124" s="31" t="s">
        <v>680</v>
      </c>
      <c r="F124" s="32" t="s">
        <v>109</v>
      </c>
    </row>
    <row r="125" spans="1:6">
      <c r="A125" s="29">
        <v>5792</v>
      </c>
      <c r="B125" s="31" t="s">
        <v>781</v>
      </c>
      <c r="C125" s="31" t="s">
        <v>275</v>
      </c>
      <c r="D125" s="31" t="s">
        <v>285</v>
      </c>
      <c r="E125" s="31" t="s">
        <v>680</v>
      </c>
      <c r="F125" s="32" t="s">
        <v>181</v>
      </c>
    </row>
    <row r="126" spans="1:6">
      <c r="A126" s="29">
        <v>5809</v>
      </c>
      <c r="B126" s="31" t="s">
        <v>782</v>
      </c>
      <c r="C126" s="31" t="s">
        <v>275</v>
      </c>
      <c r="D126" s="31" t="s">
        <v>285</v>
      </c>
      <c r="E126" s="31" t="s">
        <v>680</v>
      </c>
      <c r="F126" s="32" t="s">
        <v>92</v>
      </c>
    </row>
    <row r="127" spans="1:6">
      <c r="A127" s="29">
        <v>5837</v>
      </c>
      <c r="B127" s="31" t="s">
        <v>783</v>
      </c>
      <c r="C127" s="31" t="s">
        <v>275</v>
      </c>
      <c r="D127" s="31" t="s">
        <v>272</v>
      </c>
      <c r="E127" s="31" t="s">
        <v>680</v>
      </c>
      <c r="F127" s="32" t="s">
        <v>92</v>
      </c>
    </row>
    <row r="128" spans="1:6">
      <c r="A128" s="29">
        <v>5842</v>
      </c>
      <c r="B128" s="31" t="s">
        <v>784</v>
      </c>
      <c r="C128" s="31" t="s">
        <v>275</v>
      </c>
      <c r="D128" s="31" t="s">
        <v>285</v>
      </c>
      <c r="E128" s="31" t="s">
        <v>680</v>
      </c>
      <c r="F128" s="32" t="s">
        <v>109</v>
      </c>
    </row>
    <row r="129" spans="1:6">
      <c r="A129" s="29">
        <v>5847</v>
      </c>
      <c r="B129" s="31" t="s">
        <v>785</v>
      </c>
      <c r="C129" s="31" t="s">
        <v>275</v>
      </c>
      <c r="D129" s="31" t="s">
        <v>285</v>
      </c>
      <c r="E129" s="31" t="s">
        <v>680</v>
      </c>
      <c r="F129" s="32" t="s">
        <v>109</v>
      </c>
    </row>
    <row r="130" spans="1:6">
      <c r="A130" s="29">
        <v>5854</v>
      </c>
      <c r="B130" s="31" t="s">
        <v>786</v>
      </c>
      <c r="C130" s="31" t="s">
        <v>275</v>
      </c>
      <c r="D130" s="31" t="s">
        <v>285</v>
      </c>
      <c r="E130" s="31" t="s">
        <v>680</v>
      </c>
      <c r="F130" s="32" t="s">
        <v>181</v>
      </c>
    </row>
    <row r="131" spans="1:6">
      <c r="A131" s="29">
        <v>5858</v>
      </c>
      <c r="B131" s="31" t="s">
        <v>787</v>
      </c>
      <c r="C131" s="31" t="s">
        <v>275</v>
      </c>
      <c r="D131" s="31" t="s">
        <v>285</v>
      </c>
      <c r="E131" s="31" t="s">
        <v>680</v>
      </c>
      <c r="F131" s="32" t="s">
        <v>181</v>
      </c>
    </row>
    <row r="132" spans="1:6">
      <c r="A132" s="29">
        <v>5873</v>
      </c>
      <c r="B132" s="31" t="s">
        <v>788</v>
      </c>
      <c r="C132" s="31" t="s">
        <v>275</v>
      </c>
      <c r="D132" s="31" t="s">
        <v>272</v>
      </c>
      <c r="E132" s="31" t="s">
        <v>668</v>
      </c>
      <c r="F132" s="32" t="s">
        <v>126</v>
      </c>
    </row>
    <row r="133" spans="1:6">
      <c r="A133" s="29">
        <v>5885</v>
      </c>
      <c r="B133" s="31" t="s">
        <v>789</v>
      </c>
      <c r="C133" s="31" t="s">
        <v>275</v>
      </c>
      <c r="D133" s="31" t="s">
        <v>285</v>
      </c>
      <c r="E133" s="31" t="s">
        <v>680</v>
      </c>
      <c r="F133" s="32" t="s">
        <v>92</v>
      </c>
    </row>
    <row r="134" spans="1:6">
      <c r="A134" s="29">
        <v>5887</v>
      </c>
      <c r="B134" s="31" t="s">
        <v>790</v>
      </c>
      <c r="C134" s="31" t="s">
        <v>275</v>
      </c>
      <c r="D134" s="31" t="s">
        <v>285</v>
      </c>
      <c r="E134" s="31" t="s">
        <v>680</v>
      </c>
      <c r="F134" s="32" t="s">
        <v>181</v>
      </c>
    </row>
    <row r="135" spans="1:6">
      <c r="A135" s="29">
        <v>5890</v>
      </c>
      <c r="B135" s="31" t="s">
        <v>791</v>
      </c>
      <c r="C135" s="31" t="s">
        <v>275</v>
      </c>
      <c r="D135" s="31" t="s">
        <v>285</v>
      </c>
      <c r="E135" s="31" t="s">
        <v>680</v>
      </c>
      <c r="F135" s="32" t="s">
        <v>92</v>
      </c>
    </row>
    <row r="136" spans="1:6">
      <c r="A136" s="29">
        <v>5893</v>
      </c>
      <c r="B136" s="31" t="s">
        <v>792</v>
      </c>
      <c r="C136" s="31" t="s">
        <v>275</v>
      </c>
      <c r="D136" s="31" t="s">
        <v>142</v>
      </c>
      <c r="E136" s="31" t="s">
        <v>680</v>
      </c>
      <c r="F136" s="32" t="s">
        <v>109</v>
      </c>
    </row>
    <row r="137" spans="1:6">
      <c r="A137" s="29">
        <v>5895</v>
      </c>
      <c r="B137" s="31" t="s">
        <v>793</v>
      </c>
      <c r="C137" s="31" t="s">
        <v>275</v>
      </c>
      <c r="D137" s="31" t="s">
        <v>165</v>
      </c>
      <c r="E137" s="31" t="s">
        <v>680</v>
      </c>
      <c r="F137" s="32" t="s">
        <v>109</v>
      </c>
    </row>
    <row r="138" spans="1:6">
      <c r="A138" s="29">
        <v>81001</v>
      </c>
      <c r="B138" s="31" t="s">
        <v>498</v>
      </c>
      <c r="C138" s="31" t="s">
        <v>498</v>
      </c>
      <c r="D138" s="31" t="s">
        <v>142</v>
      </c>
      <c r="E138" s="31" t="s">
        <v>668</v>
      </c>
      <c r="F138" s="32" t="s">
        <v>126</v>
      </c>
    </row>
    <row r="139" spans="1:6">
      <c r="A139" s="29">
        <v>81065</v>
      </c>
      <c r="B139" s="31" t="s">
        <v>794</v>
      </c>
      <c r="C139" s="31" t="s">
        <v>498</v>
      </c>
      <c r="D139" s="31" t="s">
        <v>142</v>
      </c>
      <c r="E139" s="31" t="s">
        <v>668</v>
      </c>
      <c r="F139" s="32" t="s">
        <v>126</v>
      </c>
    </row>
    <row r="140" spans="1:6">
      <c r="A140" s="29">
        <v>81220</v>
      </c>
      <c r="B140" s="31" t="s">
        <v>795</v>
      </c>
      <c r="C140" s="31" t="s">
        <v>498</v>
      </c>
      <c r="D140" s="31" t="s">
        <v>142</v>
      </c>
      <c r="E140" s="31" t="s">
        <v>668</v>
      </c>
      <c r="F140" s="32" t="s">
        <v>126</v>
      </c>
    </row>
    <row r="141" spans="1:6">
      <c r="A141" s="29">
        <v>81300</v>
      </c>
      <c r="B141" s="31" t="s">
        <v>796</v>
      </c>
      <c r="C141" s="31" t="s">
        <v>498</v>
      </c>
      <c r="D141" s="31" t="s">
        <v>142</v>
      </c>
      <c r="E141" s="31" t="s">
        <v>668</v>
      </c>
      <c r="F141" s="32" t="s">
        <v>126</v>
      </c>
    </row>
    <row r="142" spans="1:6">
      <c r="A142" s="29">
        <v>81591</v>
      </c>
      <c r="B142" s="31" t="s">
        <v>797</v>
      </c>
      <c r="C142" s="31" t="s">
        <v>498</v>
      </c>
      <c r="D142" s="31" t="s">
        <v>142</v>
      </c>
      <c r="E142" s="31" t="s">
        <v>668</v>
      </c>
      <c r="F142" s="32" t="s">
        <v>126</v>
      </c>
    </row>
    <row r="143" spans="1:6">
      <c r="A143" s="29">
        <v>81736</v>
      </c>
      <c r="B143" s="31" t="s">
        <v>798</v>
      </c>
      <c r="C143" s="31" t="s">
        <v>498</v>
      </c>
      <c r="D143" s="31" t="s">
        <v>142</v>
      </c>
      <c r="E143" s="31" t="s">
        <v>668</v>
      </c>
      <c r="F143" s="32" t="s">
        <v>126</v>
      </c>
    </row>
    <row r="144" spans="1:6">
      <c r="A144" s="29">
        <v>81794</v>
      </c>
      <c r="B144" s="31" t="s">
        <v>799</v>
      </c>
      <c r="C144" s="31" t="s">
        <v>498</v>
      </c>
      <c r="D144" s="31" t="s">
        <v>142</v>
      </c>
      <c r="E144" s="31" t="s">
        <v>668</v>
      </c>
      <c r="F144" s="32" t="s">
        <v>126</v>
      </c>
    </row>
    <row r="145" spans="1:6">
      <c r="A145" s="29">
        <v>8141</v>
      </c>
      <c r="B145" s="30" t="s">
        <v>800</v>
      </c>
      <c r="C145" s="31" t="s">
        <v>136</v>
      </c>
      <c r="D145" s="31" t="s">
        <v>133</v>
      </c>
      <c r="E145" s="31" t="s">
        <v>680</v>
      </c>
      <c r="F145" s="32" t="s">
        <v>92</v>
      </c>
    </row>
    <row r="146" spans="1:6">
      <c r="A146" s="29">
        <v>8573</v>
      </c>
      <c r="B146" s="30" t="s">
        <v>801</v>
      </c>
      <c r="C146" s="31" t="s">
        <v>136</v>
      </c>
      <c r="D146" s="31" t="s">
        <v>133</v>
      </c>
      <c r="E146" s="31" t="s">
        <v>680</v>
      </c>
      <c r="F146" s="32" t="s">
        <v>92</v>
      </c>
    </row>
    <row r="147" spans="1:6">
      <c r="A147" s="29">
        <v>8638</v>
      </c>
      <c r="B147" s="30" t="s">
        <v>689</v>
      </c>
      <c r="C147" s="31" t="s">
        <v>136</v>
      </c>
      <c r="D147" s="31" t="s">
        <v>133</v>
      </c>
      <c r="E147" s="31" t="s">
        <v>680</v>
      </c>
      <c r="F147" s="32" t="s">
        <v>92</v>
      </c>
    </row>
    <row r="148" spans="1:6">
      <c r="A148" s="29">
        <v>8078</v>
      </c>
      <c r="B148" s="31" t="s">
        <v>802</v>
      </c>
      <c r="C148" s="31" t="s">
        <v>136</v>
      </c>
      <c r="D148" s="31" t="s">
        <v>133</v>
      </c>
      <c r="E148" s="31" t="s">
        <v>680</v>
      </c>
      <c r="F148" s="32" t="s">
        <v>92</v>
      </c>
    </row>
    <row r="149" spans="1:6">
      <c r="A149" s="29">
        <v>8001</v>
      </c>
      <c r="B149" s="31" t="s">
        <v>133</v>
      </c>
      <c r="C149" s="31" t="s">
        <v>136</v>
      </c>
      <c r="D149" s="31" t="s">
        <v>133</v>
      </c>
      <c r="E149" s="31" t="s">
        <v>680</v>
      </c>
      <c r="F149" s="32" t="s">
        <v>119</v>
      </c>
    </row>
    <row r="150" spans="1:6">
      <c r="A150" s="29">
        <v>8137</v>
      </c>
      <c r="B150" s="31" t="s">
        <v>803</v>
      </c>
      <c r="C150" s="31" t="s">
        <v>136</v>
      </c>
      <c r="D150" s="31" t="s">
        <v>133</v>
      </c>
      <c r="E150" s="31" t="s">
        <v>680</v>
      </c>
      <c r="F150" s="32" t="s">
        <v>92</v>
      </c>
    </row>
    <row r="151" spans="1:6">
      <c r="A151" s="29">
        <v>8296</v>
      </c>
      <c r="B151" s="31" t="s">
        <v>804</v>
      </c>
      <c r="C151" s="31" t="s">
        <v>136</v>
      </c>
      <c r="D151" s="31" t="s">
        <v>133</v>
      </c>
      <c r="E151" s="31" t="s">
        <v>680</v>
      </c>
      <c r="F151" s="32" t="s">
        <v>119</v>
      </c>
    </row>
    <row r="152" spans="1:6">
      <c r="A152" s="29">
        <v>8372</v>
      </c>
      <c r="B152" s="31" t="s">
        <v>805</v>
      </c>
      <c r="C152" s="31" t="s">
        <v>136</v>
      </c>
      <c r="D152" s="31" t="s">
        <v>133</v>
      </c>
      <c r="E152" s="31" t="s">
        <v>680</v>
      </c>
      <c r="F152" s="32" t="s">
        <v>92</v>
      </c>
    </row>
    <row r="153" spans="1:6">
      <c r="A153" s="29">
        <v>8421</v>
      </c>
      <c r="B153" s="31" t="s">
        <v>806</v>
      </c>
      <c r="C153" s="31" t="s">
        <v>136</v>
      </c>
      <c r="D153" s="31" t="s">
        <v>133</v>
      </c>
      <c r="E153" s="31" t="s">
        <v>680</v>
      </c>
      <c r="F153" s="32" t="s">
        <v>92</v>
      </c>
    </row>
    <row r="154" spans="1:6">
      <c r="A154" s="29">
        <v>8433</v>
      </c>
      <c r="B154" s="31" t="s">
        <v>399</v>
      </c>
      <c r="C154" s="31" t="s">
        <v>136</v>
      </c>
      <c r="D154" s="31" t="s">
        <v>133</v>
      </c>
      <c r="E154" s="31" t="s">
        <v>680</v>
      </c>
      <c r="F154" s="32" t="s">
        <v>92</v>
      </c>
    </row>
    <row r="155" spans="1:6">
      <c r="A155" s="29">
        <v>8436</v>
      </c>
      <c r="B155" s="31" t="s">
        <v>807</v>
      </c>
      <c r="C155" s="31" t="s">
        <v>136</v>
      </c>
      <c r="D155" s="31" t="s">
        <v>133</v>
      </c>
      <c r="E155" s="31" t="s">
        <v>680</v>
      </c>
      <c r="F155" s="32" t="s">
        <v>92</v>
      </c>
    </row>
    <row r="156" spans="1:6">
      <c r="A156" s="29">
        <v>8520</v>
      </c>
      <c r="B156" s="31" t="s">
        <v>808</v>
      </c>
      <c r="C156" s="31" t="s">
        <v>136</v>
      </c>
      <c r="D156" s="31" t="s">
        <v>133</v>
      </c>
      <c r="E156" s="31" t="s">
        <v>680</v>
      </c>
      <c r="F156" s="32" t="s">
        <v>92</v>
      </c>
    </row>
    <row r="157" spans="1:6">
      <c r="A157" s="29">
        <v>8549</v>
      </c>
      <c r="B157" s="31" t="s">
        <v>809</v>
      </c>
      <c r="C157" s="31" t="s">
        <v>136</v>
      </c>
      <c r="D157" s="31" t="s">
        <v>133</v>
      </c>
      <c r="E157" s="31" t="s">
        <v>680</v>
      </c>
      <c r="F157" s="32" t="s">
        <v>92</v>
      </c>
    </row>
    <row r="158" spans="1:6">
      <c r="A158" s="29">
        <v>8558</v>
      </c>
      <c r="B158" s="31" t="s">
        <v>810</v>
      </c>
      <c r="C158" s="31" t="s">
        <v>136</v>
      </c>
      <c r="D158" s="31" t="s">
        <v>133</v>
      </c>
      <c r="E158" s="31" t="s">
        <v>680</v>
      </c>
      <c r="F158" s="32" t="s">
        <v>92</v>
      </c>
    </row>
    <row r="159" spans="1:6">
      <c r="A159" s="29">
        <v>8560</v>
      </c>
      <c r="B159" s="31" t="s">
        <v>811</v>
      </c>
      <c r="C159" s="31" t="s">
        <v>136</v>
      </c>
      <c r="D159" s="31" t="s">
        <v>133</v>
      </c>
      <c r="E159" s="31" t="s">
        <v>680</v>
      </c>
      <c r="F159" s="32" t="s">
        <v>92</v>
      </c>
    </row>
    <row r="160" spans="1:6">
      <c r="A160" s="29">
        <v>8606</v>
      </c>
      <c r="B160" s="31" t="s">
        <v>812</v>
      </c>
      <c r="C160" s="31" t="s">
        <v>136</v>
      </c>
      <c r="D160" s="31" t="s">
        <v>133</v>
      </c>
      <c r="E160" s="31" t="s">
        <v>680</v>
      </c>
      <c r="F160" s="32" t="s">
        <v>92</v>
      </c>
    </row>
    <row r="161" spans="1:6">
      <c r="A161" s="29">
        <v>8634</v>
      </c>
      <c r="B161" s="31" t="s">
        <v>813</v>
      </c>
      <c r="C161" s="31" t="s">
        <v>136</v>
      </c>
      <c r="D161" s="31" t="s">
        <v>133</v>
      </c>
      <c r="E161" s="31" t="s">
        <v>680</v>
      </c>
      <c r="F161" s="32" t="s">
        <v>92</v>
      </c>
    </row>
    <row r="162" spans="1:6">
      <c r="A162" s="29">
        <v>8675</v>
      </c>
      <c r="B162" s="31" t="s">
        <v>814</v>
      </c>
      <c r="C162" s="31" t="s">
        <v>136</v>
      </c>
      <c r="D162" s="31" t="s">
        <v>133</v>
      </c>
      <c r="E162" s="31" t="s">
        <v>680</v>
      </c>
      <c r="F162" s="32" t="s">
        <v>92</v>
      </c>
    </row>
    <row r="163" spans="1:6">
      <c r="A163" s="29">
        <v>8685</v>
      </c>
      <c r="B163" s="31" t="s">
        <v>815</v>
      </c>
      <c r="C163" s="31" t="s">
        <v>136</v>
      </c>
      <c r="D163" s="31" t="s">
        <v>133</v>
      </c>
      <c r="E163" s="31" t="s">
        <v>680</v>
      </c>
      <c r="F163" s="32" t="s">
        <v>92</v>
      </c>
    </row>
    <row r="164" spans="1:6">
      <c r="A164" s="29">
        <v>8758</v>
      </c>
      <c r="B164" s="31" t="s">
        <v>816</v>
      </c>
      <c r="C164" s="31" t="s">
        <v>136</v>
      </c>
      <c r="D164" s="31" t="s">
        <v>133</v>
      </c>
      <c r="E164" s="31" t="s">
        <v>680</v>
      </c>
      <c r="F164" s="32" t="s">
        <v>119</v>
      </c>
    </row>
    <row r="165" spans="1:6">
      <c r="A165" s="29">
        <v>8770</v>
      </c>
      <c r="B165" s="31" t="s">
        <v>817</v>
      </c>
      <c r="C165" s="31" t="s">
        <v>136</v>
      </c>
      <c r="D165" s="31" t="s">
        <v>133</v>
      </c>
      <c r="E165" s="31" t="s">
        <v>680</v>
      </c>
      <c r="F165" s="32" t="s">
        <v>92</v>
      </c>
    </row>
    <row r="166" spans="1:6">
      <c r="A166" s="29">
        <v>8832</v>
      </c>
      <c r="B166" s="31" t="s">
        <v>818</v>
      </c>
      <c r="C166" s="31" t="s">
        <v>136</v>
      </c>
      <c r="D166" s="31" t="s">
        <v>133</v>
      </c>
      <c r="E166" s="31" t="s">
        <v>680</v>
      </c>
      <c r="F166" s="32" t="s">
        <v>92</v>
      </c>
    </row>
    <row r="167" spans="1:6">
      <c r="A167" s="29">
        <v>8849</v>
      </c>
      <c r="B167" s="31" t="s">
        <v>819</v>
      </c>
      <c r="C167" s="31" t="s">
        <v>136</v>
      </c>
      <c r="D167" s="31" t="s">
        <v>133</v>
      </c>
      <c r="E167" s="31" t="s">
        <v>680</v>
      </c>
      <c r="F167" s="32" t="s">
        <v>92</v>
      </c>
    </row>
    <row r="168" spans="1:6">
      <c r="A168" s="29">
        <v>13140</v>
      </c>
      <c r="B168" s="30" t="s">
        <v>820</v>
      </c>
      <c r="C168" s="31" t="s">
        <v>469</v>
      </c>
      <c r="D168" s="31" t="s">
        <v>466</v>
      </c>
      <c r="E168" s="31" t="s">
        <v>680</v>
      </c>
      <c r="F168" s="32" t="s">
        <v>92</v>
      </c>
    </row>
    <row r="169" spans="1:6">
      <c r="A169" s="29">
        <v>13212</v>
      </c>
      <c r="B169" s="30" t="s">
        <v>168</v>
      </c>
      <c r="C169" s="31" t="s">
        <v>469</v>
      </c>
      <c r="D169" s="31" t="s">
        <v>466</v>
      </c>
      <c r="E169" s="31" t="s">
        <v>680</v>
      </c>
      <c r="F169" s="32" t="s">
        <v>109</v>
      </c>
    </row>
    <row r="170" spans="1:6">
      <c r="A170" s="29">
        <v>13268</v>
      </c>
      <c r="B170" s="30" t="s">
        <v>821</v>
      </c>
      <c r="C170" s="31" t="s">
        <v>469</v>
      </c>
      <c r="D170" s="31" t="s">
        <v>475</v>
      </c>
      <c r="E170" s="31" t="s">
        <v>680</v>
      </c>
      <c r="F170" s="32" t="s">
        <v>109</v>
      </c>
    </row>
    <row r="171" spans="1:6">
      <c r="A171" s="29">
        <v>13473</v>
      </c>
      <c r="B171" s="30" t="s">
        <v>611</v>
      </c>
      <c r="C171" s="31" t="s">
        <v>469</v>
      </c>
      <c r="D171" s="31" t="s">
        <v>475</v>
      </c>
      <c r="E171" s="31" t="s">
        <v>680</v>
      </c>
      <c r="F171" s="32" t="s">
        <v>109</v>
      </c>
    </row>
    <row r="172" spans="1:6">
      <c r="A172" s="29">
        <v>13670</v>
      </c>
      <c r="B172" s="30" t="s">
        <v>822</v>
      </c>
      <c r="C172" s="31" t="s">
        <v>469</v>
      </c>
      <c r="D172" s="31" t="s">
        <v>142</v>
      </c>
      <c r="E172" s="31" t="s">
        <v>823</v>
      </c>
      <c r="F172" s="32" t="s">
        <v>126</v>
      </c>
    </row>
    <row r="173" spans="1:6">
      <c r="A173" s="29">
        <v>13683</v>
      </c>
      <c r="B173" s="30" t="s">
        <v>824</v>
      </c>
      <c r="C173" s="31" t="s">
        <v>469</v>
      </c>
      <c r="D173" s="31" t="s">
        <v>466</v>
      </c>
      <c r="E173" s="31" t="s">
        <v>680</v>
      </c>
      <c r="F173" s="32" t="s">
        <v>92</v>
      </c>
    </row>
    <row r="174" spans="1:6">
      <c r="A174" s="29">
        <v>13873</v>
      </c>
      <c r="B174" s="30" t="s">
        <v>825</v>
      </c>
      <c r="C174" s="31" t="s">
        <v>469</v>
      </c>
      <c r="D174" s="31" t="s">
        <v>466</v>
      </c>
      <c r="E174" s="31" t="s">
        <v>680</v>
      </c>
      <c r="F174" s="32" t="s">
        <v>92</v>
      </c>
    </row>
    <row r="175" spans="1:6">
      <c r="A175" s="29">
        <v>13006</v>
      </c>
      <c r="B175" s="31" t="s">
        <v>826</v>
      </c>
      <c r="C175" s="31" t="s">
        <v>469</v>
      </c>
      <c r="D175" s="31" t="s">
        <v>466</v>
      </c>
      <c r="E175" s="31" t="s">
        <v>680</v>
      </c>
      <c r="F175" s="32" t="s">
        <v>109</v>
      </c>
    </row>
    <row r="176" spans="1:6">
      <c r="A176" s="29">
        <v>13030</v>
      </c>
      <c r="B176" s="31" t="s">
        <v>827</v>
      </c>
      <c r="C176" s="31" t="s">
        <v>469</v>
      </c>
      <c r="D176" s="31" t="s">
        <v>466</v>
      </c>
      <c r="E176" s="31" t="s">
        <v>680</v>
      </c>
      <c r="F176" s="32" t="s">
        <v>109</v>
      </c>
    </row>
    <row r="177" spans="1:6">
      <c r="A177" s="29">
        <v>13042</v>
      </c>
      <c r="B177" s="31" t="s">
        <v>828</v>
      </c>
      <c r="C177" s="31" t="s">
        <v>469</v>
      </c>
      <c r="D177" s="31" t="s">
        <v>475</v>
      </c>
      <c r="E177" s="31" t="s">
        <v>680</v>
      </c>
      <c r="F177" s="32" t="s">
        <v>109</v>
      </c>
    </row>
    <row r="178" spans="1:6">
      <c r="A178" s="29">
        <v>13052</v>
      </c>
      <c r="B178" s="31" t="s">
        <v>829</v>
      </c>
      <c r="C178" s="31" t="s">
        <v>469</v>
      </c>
      <c r="D178" s="31" t="s">
        <v>466</v>
      </c>
      <c r="E178" s="31" t="s">
        <v>680</v>
      </c>
      <c r="F178" s="32" t="s">
        <v>92</v>
      </c>
    </row>
    <row r="179" spans="1:6">
      <c r="A179" s="29">
        <v>13062</v>
      </c>
      <c r="B179" s="31" t="s">
        <v>830</v>
      </c>
      <c r="C179" s="31" t="s">
        <v>469</v>
      </c>
      <c r="D179" s="31" t="s">
        <v>466</v>
      </c>
      <c r="E179" s="31" t="s">
        <v>680</v>
      </c>
      <c r="F179" s="32" t="s">
        <v>92</v>
      </c>
    </row>
    <row r="180" spans="1:6">
      <c r="A180" s="29">
        <v>13074</v>
      </c>
      <c r="B180" s="31" t="s">
        <v>831</v>
      </c>
      <c r="C180" s="31" t="s">
        <v>469</v>
      </c>
      <c r="D180" s="31" t="s">
        <v>475</v>
      </c>
      <c r="E180" s="31" t="s">
        <v>680</v>
      </c>
      <c r="F180" s="32" t="s">
        <v>109</v>
      </c>
    </row>
    <row r="181" spans="1:6">
      <c r="A181" s="29">
        <v>13160</v>
      </c>
      <c r="B181" s="31" t="s">
        <v>832</v>
      </c>
      <c r="C181" s="31" t="s">
        <v>469</v>
      </c>
      <c r="D181" s="31" t="s">
        <v>142</v>
      </c>
      <c r="E181" s="31" t="s">
        <v>823</v>
      </c>
      <c r="F181" s="32" t="s">
        <v>126</v>
      </c>
    </row>
    <row r="182" spans="1:6">
      <c r="A182" s="29">
        <v>13001</v>
      </c>
      <c r="B182" s="31" t="s">
        <v>466</v>
      </c>
      <c r="C182" s="31" t="s">
        <v>469</v>
      </c>
      <c r="D182" s="31" t="s">
        <v>466</v>
      </c>
      <c r="E182" s="31" t="s">
        <v>680</v>
      </c>
      <c r="F182" s="32" t="s">
        <v>119</v>
      </c>
    </row>
    <row r="183" spans="1:6">
      <c r="A183" s="29">
        <v>13188</v>
      </c>
      <c r="B183" s="31" t="s">
        <v>833</v>
      </c>
      <c r="C183" s="31" t="s">
        <v>469</v>
      </c>
      <c r="D183" s="31" t="s">
        <v>466</v>
      </c>
      <c r="E183" s="31" t="s">
        <v>680</v>
      </c>
      <c r="F183" s="32" t="s">
        <v>109</v>
      </c>
    </row>
    <row r="184" spans="1:6">
      <c r="A184" s="29">
        <v>13222</v>
      </c>
      <c r="B184" s="31" t="s">
        <v>834</v>
      </c>
      <c r="C184" s="31" t="s">
        <v>469</v>
      </c>
      <c r="D184" s="31" t="s">
        <v>466</v>
      </c>
      <c r="E184" s="31" t="s">
        <v>680</v>
      </c>
      <c r="F184" s="32" t="s">
        <v>92</v>
      </c>
    </row>
    <row r="185" spans="1:6">
      <c r="A185" s="29">
        <v>13244</v>
      </c>
      <c r="B185" s="31" t="s">
        <v>835</v>
      </c>
      <c r="C185" s="31" t="s">
        <v>469</v>
      </c>
      <c r="D185" s="31" t="s">
        <v>466</v>
      </c>
      <c r="E185" s="31" t="s">
        <v>680</v>
      </c>
      <c r="F185" s="32" t="s">
        <v>181</v>
      </c>
    </row>
    <row r="186" spans="1:6">
      <c r="A186" s="29">
        <v>13248</v>
      </c>
      <c r="B186" s="31" t="s">
        <v>836</v>
      </c>
      <c r="C186" s="31" t="s">
        <v>469</v>
      </c>
      <c r="D186" s="31" t="s">
        <v>466</v>
      </c>
      <c r="E186" s="31" t="s">
        <v>680</v>
      </c>
      <c r="F186" s="32" t="s">
        <v>109</v>
      </c>
    </row>
    <row r="187" spans="1:6">
      <c r="A187" s="29">
        <v>13300</v>
      </c>
      <c r="B187" s="31" t="s">
        <v>837</v>
      </c>
      <c r="C187" s="31" t="s">
        <v>469</v>
      </c>
      <c r="D187" s="31" t="s">
        <v>475</v>
      </c>
      <c r="E187" s="31" t="s">
        <v>680</v>
      </c>
      <c r="F187" s="32" t="s">
        <v>109</v>
      </c>
    </row>
    <row r="188" spans="1:6">
      <c r="A188" s="29">
        <v>13430</v>
      </c>
      <c r="B188" s="31" t="s">
        <v>838</v>
      </c>
      <c r="C188" s="31" t="s">
        <v>469</v>
      </c>
      <c r="D188" s="31" t="s">
        <v>466</v>
      </c>
      <c r="E188" s="31" t="s">
        <v>680</v>
      </c>
      <c r="F188" s="32" t="s">
        <v>109</v>
      </c>
    </row>
    <row r="189" spans="1:6">
      <c r="A189" s="29">
        <v>13433</v>
      </c>
      <c r="B189" s="31" t="s">
        <v>839</v>
      </c>
      <c r="C189" s="31" t="s">
        <v>469</v>
      </c>
      <c r="D189" s="31" t="s">
        <v>466</v>
      </c>
      <c r="E189" s="31" t="s">
        <v>680</v>
      </c>
      <c r="F189" s="32" t="s">
        <v>92</v>
      </c>
    </row>
    <row r="190" spans="1:6">
      <c r="A190" s="29">
        <v>13440</v>
      </c>
      <c r="B190" s="31" t="s">
        <v>840</v>
      </c>
      <c r="C190" s="31" t="s">
        <v>469</v>
      </c>
      <c r="D190" s="31" t="s">
        <v>466</v>
      </c>
      <c r="E190" s="31" t="s">
        <v>680</v>
      </c>
      <c r="F190" s="32" t="s">
        <v>109</v>
      </c>
    </row>
    <row r="191" spans="1:6">
      <c r="A191" s="29">
        <v>13442</v>
      </c>
      <c r="B191" s="31" t="s">
        <v>841</v>
      </c>
      <c r="C191" s="31" t="s">
        <v>469</v>
      </c>
      <c r="D191" s="31" t="s">
        <v>466</v>
      </c>
      <c r="E191" s="31" t="s">
        <v>680</v>
      </c>
      <c r="F191" s="32" t="s">
        <v>92</v>
      </c>
    </row>
    <row r="192" spans="1:6">
      <c r="A192" s="29">
        <v>13468</v>
      </c>
      <c r="B192" s="31" t="s">
        <v>842</v>
      </c>
      <c r="C192" s="31" t="s">
        <v>469</v>
      </c>
      <c r="D192" s="31" t="s">
        <v>466</v>
      </c>
      <c r="E192" s="31" t="s">
        <v>680</v>
      </c>
      <c r="F192" s="32" t="s">
        <v>109</v>
      </c>
    </row>
    <row r="193" spans="1:6">
      <c r="A193" s="29">
        <v>13458</v>
      </c>
      <c r="B193" s="31" t="s">
        <v>843</v>
      </c>
      <c r="C193" s="31" t="s">
        <v>469</v>
      </c>
      <c r="D193" s="31" t="s">
        <v>466</v>
      </c>
      <c r="E193" s="31" t="s">
        <v>823</v>
      </c>
      <c r="F193" s="32" t="s">
        <v>126</v>
      </c>
    </row>
    <row r="194" spans="1:6">
      <c r="A194" s="29">
        <v>13490</v>
      </c>
      <c r="B194" s="31" t="s">
        <v>844</v>
      </c>
      <c r="C194" s="31" t="s">
        <v>469</v>
      </c>
      <c r="D194" s="31" t="s">
        <v>466</v>
      </c>
      <c r="E194" s="31" t="s">
        <v>680</v>
      </c>
      <c r="F194" s="32" t="s">
        <v>109</v>
      </c>
    </row>
    <row r="195" spans="1:6">
      <c r="A195" s="29">
        <v>13549</v>
      </c>
      <c r="B195" s="31" t="s">
        <v>845</v>
      </c>
      <c r="C195" s="31" t="s">
        <v>469</v>
      </c>
      <c r="D195" s="31" t="s">
        <v>466</v>
      </c>
      <c r="E195" s="31" t="s">
        <v>680</v>
      </c>
      <c r="F195" s="32" t="s">
        <v>109</v>
      </c>
    </row>
    <row r="196" spans="1:6">
      <c r="A196" s="29">
        <v>13580</v>
      </c>
      <c r="B196" s="31" t="s">
        <v>470</v>
      </c>
      <c r="C196" s="31" t="s">
        <v>469</v>
      </c>
      <c r="D196" s="31" t="s">
        <v>466</v>
      </c>
      <c r="E196" s="31" t="s">
        <v>680</v>
      </c>
      <c r="F196" s="32" t="s">
        <v>109</v>
      </c>
    </row>
    <row r="197" spans="1:6">
      <c r="A197" s="29">
        <v>13600</v>
      </c>
      <c r="B197" s="31" t="s">
        <v>846</v>
      </c>
      <c r="C197" s="31" t="s">
        <v>469</v>
      </c>
      <c r="D197" s="31" t="s">
        <v>475</v>
      </c>
      <c r="E197" s="31" t="s">
        <v>680</v>
      </c>
      <c r="F197" s="32" t="s">
        <v>109</v>
      </c>
    </row>
    <row r="198" spans="1:6">
      <c r="A198" s="29">
        <v>13620</v>
      </c>
      <c r="B198" s="31" t="s">
        <v>847</v>
      </c>
      <c r="C198" s="31" t="s">
        <v>469</v>
      </c>
      <c r="D198" s="31" t="s">
        <v>466</v>
      </c>
      <c r="E198" s="31" t="s">
        <v>680</v>
      </c>
      <c r="F198" s="32" t="s">
        <v>181</v>
      </c>
    </row>
    <row r="199" spans="1:6">
      <c r="A199" s="29">
        <v>13647</v>
      </c>
      <c r="B199" s="31" t="s">
        <v>848</v>
      </c>
      <c r="C199" s="31" t="s">
        <v>469</v>
      </c>
      <c r="D199" s="31" t="s">
        <v>466</v>
      </c>
      <c r="E199" s="31" t="s">
        <v>680</v>
      </c>
      <c r="F199" s="32" t="s">
        <v>92</v>
      </c>
    </row>
    <row r="200" spans="1:6">
      <c r="A200" s="29">
        <v>13650</v>
      </c>
      <c r="B200" s="31" t="s">
        <v>849</v>
      </c>
      <c r="C200" s="31" t="s">
        <v>469</v>
      </c>
      <c r="D200" s="31" t="s">
        <v>466</v>
      </c>
      <c r="E200" s="31" t="s">
        <v>680</v>
      </c>
      <c r="F200" s="32" t="s">
        <v>109</v>
      </c>
    </row>
    <row r="201" spans="1:6">
      <c r="A201" s="29">
        <v>13654</v>
      </c>
      <c r="B201" s="31" t="s">
        <v>850</v>
      </c>
      <c r="C201" s="31" t="s">
        <v>469</v>
      </c>
      <c r="D201" s="31" t="s">
        <v>466</v>
      </c>
      <c r="E201" s="31" t="s">
        <v>680</v>
      </c>
      <c r="F201" s="32" t="s">
        <v>181</v>
      </c>
    </row>
    <row r="202" spans="1:6">
      <c r="A202" s="29">
        <v>13655</v>
      </c>
      <c r="B202" s="31" t="s">
        <v>851</v>
      </c>
      <c r="C202" s="31" t="s">
        <v>469</v>
      </c>
      <c r="D202" s="31" t="s">
        <v>466</v>
      </c>
      <c r="E202" s="31" t="s">
        <v>680</v>
      </c>
      <c r="F202" s="32" t="s">
        <v>109</v>
      </c>
    </row>
    <row r="203" spans="1:6">
      <c r="A203" s="29">
        <v>13657</v>
      </c>
      <c r="B203" s="31" t="s">
        <v>852</v>
      </c>
      <c r="C203" s="31" t="s">
        <v>469</v>
      </c>
      <c r="D203" s="31" t="s">
        <v>466</v>
      </c>
      <c r="E203" s="31" t="s">
        <v>680</v>
      </c>
      <c r="F203" s="32" t="s">
        <v>92</v>
      </c>
    </row>
    <row r="204" spans="1:6">
      <c r="A204" s="29">
        <v>13667</v>
      </c>
      <c r="B204" s="31" t="s">
        <v>853</v>
      </c>
      <c r="C204" s="31" t="s">
        <v>469</v>
      </c>
      <c r="D204" s="31" t="s">
        <v>466</v>
      </c>
      <c r="E204" s="31" t="s">
        <v>680</v>
      </c>
      <c r="F204" s="32" t="s">
        <v>109</v>
      </c>
    </row>
    <row r="205" spans="1:6">
      <c r="A205" s="29">
        <v>13673</v>
      </c>
      <c r="B205" s="31" t="s">
        <v>854</v>
      </c>
      <c r="C205" s="31" t="s">
        <v>469</v>
      </c>
      <c r="D205" s="31" t="s">
        <v>466</v>
      </c>
      <c r="E205" s="31" t="s">
        <v>680</v>
      </c>
      <c r="F205" s="32" t="s">
        <v>92</v>
      </c>
    </row>
    <row r="206" spans="1:6">
      <c r="A206" s="29">
        <v>13688</v>
      </c>
      <c r="B206" s="31" t="s">
        <v>855</v>
      </c>
      <c r="C206" s="31" t="s">
        <v>469</v>
      </c>
      <c r="D206" s="31" t="s">
        <v>142</v>
      </c>
      <c r="E206" s="31" t="s">
        <v>823</v>
      </c>
      <c r="F206" s="32" t="s">
        <v>126</v>
      </c>
    </row>
    <row r="207" spans="1:6">
      <c r="A207" s="29">
        <v>13744</v>
      </c>
      <c r="B207" s="31" t="s">
        <v>856</v>
      </c>
      <c r="C207" s="31" t="s">
        <v>469</v>
      </c>
      <c r="D207" s="31" t="s">
        <v>142</v>
      </c>
      <c r="E207" s="31" t="s">
        <v>823</v>
      </c>
      <c r="F207" s="32" t="s">
        <v>126</v>
      </c>
    </row>
    <row r="208" spans="1:6">
      <c r="A208" s="29">
        <v>13760</v>
      </c>
      <c r="B208" s="31" t="s">
        <v>857</v>
      </c>
      <c r="C208" s="31" t="s">
        <v>469</v>
      </c>
      <c r="D208" s="31" t="s">
        <v>466</v>
      </c>
      <c r="E208" s="31" t="s">
        <v>680</v>
      </c>
      <c r="F208" s="32" t="s">
        <v>181</v>
      </c>
    </row>
    <row r="209" spans="1:6">
      <c r="A209" s="29">
        <v>13780</v>
      </c>
      <c r="B209" s="31" t="s">
        <v>858</v>
      </c>
      <c r="C209" s="31" t="s">
        <v>469</v>
      </c>
      <c r="D209" s="31" t="s">
        <v>466</v>
      </c>
      <c r="E209" s="31" t="s">
        <v>680</v>
      </c>
      <c r="F209" s="32" t="s">
        <v>109</v>
      </c>
    </row>
    <row r="210" spans="1:6">
      <c r="A210" s="29">
        <v>13810</v>
      </c>
      <c r="B210" s="31" t="s">
        <v>859</v>
      </c>
      <c r="C210" s="31" t="s">
        <v>469</v>
      </c>
      <c r="D210" s="31" t="s">
        <v>466</v>
      </c>
      <c r="E210" s="31" t="s">
        <v>680</v>
      </c>
      <c r="F210" s="32" t="s">
        <v>109</v>
      </c>
    </row>
    <row r="211" spans="1:6">
      <c r="A211" s="29">
        <v>13836</v>
      </c>
      <c r="B211" s="31" t="s">
        <v>860</v>
      </c>
      <c r="C211" s="31" t="s">
        <v>469</v>
      </c>
      <c r="D211" s="31" t="s">
        <v>466</v>
      </c>
      <c r="E211" s="31" t="s">
        <v>680</v>
      </c>
      <c r="F211" s="32" t="s">
        <v>92</v>
      </c>
    </row>
    <row r="212" spans="1:6">
      <c r="A212" s="29">
        <v>13838</v>
      </c>
      <c r="B212" s="31" t="s">
        <v>861</v>
      </c>
      <c r="C212" s="31" t="s">
        <v>469</v>
      </c>
      <c r="D212" s="31" t="s">
        <v>466</v>
      </c>
      <c r="E212" s="31" t="s">
        <v>680</v>
      </c>
      <c r="F212" s="32" t="s">
        <v>92</v>
      </c>
    </row>
    <row r="213" spans="1:6">
      <c r="A213" s="29">
        <v>13894</v>
      </c>
      <c r="B213" s="31" t="s">
        <v>862</v>
      </c>
      <c r="C213" s="31" t="s">
        <v>469</v>
      </c>
      <c r="D213" s="31" t="s">
        <v>466</v>
      </c>
      <c r="E213" s="31" t="s">
        <v>680</v>
      </c>
      <c r="F213" s="32" t="s">
        <v>109</v>
      </c>
    </row>
    <row r="214" spans="1:6">
      <c r="A214" s="29">
        <v>15087</v>
      </c>
      <c r="B214" s="30" t="s">
        <v>863</v>
      </c>
      <c r="C214" s="31" t="s">
        <v>185</v>
      </c>
      <c r="D214" s="31" t="s">
        <v>182</v>
      </c>
      <c r="E214" s="31" t="s">
        <v>680</v>
      </c>
      <c r="F214" s="32" t="s">
        <v>92</v>
      </c>
    </row>
    <row r="215" spans="1:6">
      <c r="A215" s="29">
        <v>15106</v>
      </c>
      <c r="B215" s="30" t="s">
        <v>683</v>
      </c>
      <c r="C215" s="31" t="s">
        <v>185</v>
      </c>
      <c r="D215" s="31" t="s">
        <v>182</v>
      </c>
      <c r="E215" s="31" t="s">
        <v>680</v>
      </c>
      <c r="F215" s="32" t="s">
        <v>181</v>
      </c>
    </row>
    <row r="216" spans="1:6">
      <c r="A216" s="29">
        <v>15109</v>
      </c>
      <c r="B216" s="30" t="s">
        <v>864</v>
      </c>
      <c r="C216" s="31" t="s">
        <v>185</v>
      </c>
      <c r="D216" s="31" t="s">
        <v>182</v>
      </c>
      <c r="E216" s="31" t="s">
        <v>680</v>
      </c>
      <c r="F216" s="32" t="s">
        <v>109</v>
      </c>
    </row>
    <row r="217" spans="1:6">
      <c r="A217" s="29">
        <v>15131</v>
      </c>
      <c r="B217" s="30" t="s">
        <v>237</v>
      </c>
      <c r="C217" s="31" t="s">
        <v>185</v>
      </c>
      <c r="D217" s="31" t="s">
        <v>182</v>
      </c>
      <c r="E217" s="31" t="s">
        <v>680</v>
      </c>
      <c r="F217" s="32" t="s">
        <v>92</v>
      </c>
    </row>
    <row r="218" spans="1:6">
      <c r="A218" s="29">
        <v>15189</v>
      </c>
      <c r="B218" s="30" t="s">
        <v>865</v>
      </c>
      <c r="C218" s="31" t="s">
        <v>185</v>
      </c>
      <c r="D218" s="31" t="s">
        <v>182</v>
      </c>
      <c r="E218" s="31" t="s">
        <v>680</v>
      </c>
      <c r="F218" s="32" t="s">
        <v>92</v>
      </c>
    </row>
    <row r="219" spans="1:6">
      <c r="A219" s="29">
        <v>15368</v>
      </c>
      <c r="B219" s="30" t="s">
        <v>686</v>
      </c>
      <c r="C219" s="31" t="s">
        <v>185</v>
      </c>
      <c r="D219" s="31" t="s">
        <v>182</v>
      </c>
      <c r="E219" s="31" t="s">
        <v>680</v>
      </c>
      <c r="F219" s="32" t="s">
        <v>109</v>
      </c>
    </row>
    <row r="220" spans="1:6">
      <c r="A220" s="29">
        <v>15401</v>
      </c>
      <c r="B220" s="30" t="s">
        <v>666</v>
      </c>
      <c r="C220" s="31" t="s">
        <v>185</v>
      </c>
      <c r="D220" s="31" t="s">
        <v>182</v>
      </c>
      <c r="E220" s="31" t="s">
        <v>680</v>
      </c>
      <c r="F220" s="32" t="s">
        <v>109</v>
      </c>
    </row>
    <row r="221" spans="1:6">
      <c r="A221" s="29">
        <v>15455</v>
      </c>
      <c r="B221" s="30" t="s">
        <v>866</v>
      </c>
      <c r="C221" s="31" t="s">
        <v>185</v>
      </c>
      <c r="D221" s="31" t="s">
        <v>182</v>
      </c>
      <c r="E221" s="31" t="s">
        <v>680</v>
      </c>
      <c r="F221" s="32" t="s">
        <v>109</v>
      </c>
    </row>
    <row r="222" spans="1:6">
      <c r="A222" s="29">
        <v>15514</v>
      </c>
      <c r="B222" s="30" t="s">
        <v>867</v>
      </c>
      <c r="C222" s="31" t="s">
        <v>185</v>
      </c>
      <c r="D222" s="31" t="s">
        <v>182</v>
      </c>
      <c r="E222" s="31" t="s">
        <v>680</v>
      </c>
      <c r="F222" s="32" t="s">
        <v>109</v>
      </c>
    </row>
    <row r="223" spans="1:6">
      <c r="A223" s="29">
        <v>15690</v>
      </c>
      <c r="B223" s="30" t="s">
        <v>868</v>
      </c>
      <c r="C223" s="31" t="s">
        <v>185</v>
      </c>
      <c r="D223" s="31" t="s">
        <v>182</v>
      </c>
      <c r="E223" s="31" t="s">
        <v>680</v>
      </c>
      <c r="F223" s="32" t="s">
        <v>181</v>
      </c>
    </row>
    <row r="224" spans="1:6">
      <c r="A224" s="29">
        <v>15022</v>
      </c>
      <c r="B224" s="31" t="s">
        <v>869</v>
      </c>
      <c r="C224" s="31" t="s">
        <v>185</v>
      </c>
      <c r="D224" s="31" t="s">
        <v>182</v>
      </c>
      <c r="E224" s="31" t="s">
        <v>680</v>
      </c>
      <c r="F224" s="32" t="s">
        <v>181</v>
      </c>
    </row>
    <row r="225" spans="1:6">
      <c r="A225" s="29">
        <v>15047</v>
      </c>
      <c r="B225" s="31" t="s">
        <v>870</v>
      </c>
      <c r="C225" s="31" t="s">
        <v>185</v>
      </c>
      <c r="D225" s="31" t="s">
        <v>182</v>
      </c>
      <c r="E225" s="31" t="s">
        <v>680</v>
      </c>
      <c r="F225" s="32" t="s">
        <v>181</v>
      </c>
    </row>
    <row r="226" spans="1:6">
      <c r="A226" s="29">
        <v>15051</v>
      </c>
      <c r="B226" s="31" t="s">
        <v>871</v>
      </c>
      <c r="C226" s="31" t="s">
        <v>185</v>
      </c>
      <c r="D226" s="31" t="s">
        <v>182</v>
      </c>
      <c r="E226" s="31" t="s">
        <v>680</v>
      </c>
      <c r="F226" s="32" t="s">
        <v>92</v>
      </c>
    </row>
    <row r="227" spans="1:6">
      <c r="A227" s="29">
        <v>15090</v>
      </c>
      <c r="B227" s="31" t="s">
        <v>872</v>
      </c>
      <c r="C227" s="31" t="s">
        <v>185</v>
      </c>
      <c r="D227" s="31" t="s">
        <v>182</v>
      </c>
      <c r="E227" s="31" t="s">
        <v>680</v>
      </c>
      <c r="F227" s="32" t="s">
        <v>181</v>
      </c>
    </row>
    <row r="228" spans="1:6">
      <c r="A228" s="29">
        <v>15092</v>
      </c>
      <c r="B228" s="31" t="s">
        <v>873</v>
      </c>
      <c r="C228" s="31" t="s">
        <v>185</v>
      </c>
      <c r="D228" s="31" t="s">
        <v>182</v>
      </c>
      <c r="E228" s="31" t="s">
        <v>680</v>
      </c>
      <c r="F228" s="32" t="s">
        <v>181</v>
      </c>
    </row>
    <row r="229" spans="1:6">
      <c r="A229" s="29">
        <v>15097</v>
      </c>
      <c r="B229" s="31" t="s">
        <v>874</v>
      </c>
      <c r="C229" s="31" t="s">
        <v>185</v>
      </c>
      <c r="D229" s="31" t="s">
        <v>182</v>
      </c>
      <c r="E229" s="31" t="s">
        <v>680</v>
      </c>
      <c r="F229" s="32" t="s">
        <v>109</v>
      </c>
    </row>
    <row r="230" spans="1:6">
      <c r="A230" s="29">
        <v>15104</v>
      </c>
      <c r="B230" s="31" t="s">
        <v>185</v>
      </c>
      <c r="C230" s="31" t="s">
        <v>185</v>
      </c>
      <c r="D230" s="31" t="s">
        <v>182</v>
      </c>
      <c r="E230" s="31" t="s">
        <v>680</v>
      </c>
      <c r="F230" s="32" t="s">
        <v>92</v>
      </c>
    </row>
    <row r="231" spans="1:6">
      <c r="A231" s="29">
        <v>15114</v>
      </c>
      <c r="B231" s="31" t="s">
        <v>875</v>
      </c>
      <c r="C231" s="31" t="s">
        <v>185</v>
      </c>
      <c r="D231" s="31" t="s">
        <v>182</v>
      </c>
      <c r="E231" s="31" t="s">
        <v>680</v>
      </c>
      <c r="F231" s="32" t="s">
        <v>92</v>
      </c>
    </row>
    <row r="232" spans="1:6">
      <c r="A232" s="29">
        <v>15135</v>
      </c>
      <c r="B232" s="31" t="s">
        <v>876</v>
      </c>
      <c r="C232" s="31" t="s">
        <v>185</v>
      </c>
      <c r="D232" s="31" t="s">
        <v>182</v>
      </c>
      <c r="E232" s="31" t="s">
        <v>680</v>
      </c>
      <c r="F232" s="32" t="s">
        <v>109</v>
      </c>
    </row>
    <row r="233" spans="1:6">
      <c r="A233" s="29">
        <v>15162</v>
      </c>
      <c r="B233" s="31" t="s">
        <v>877</v>
      </c>
      <c r="C233" s="31" t="s">
        <v>185</v>
      </c>
      <c r="D233" s="31" t="s">
        <v>182</v>
      </c>
      <c r="E233" s="31" t="s">
        <v>680</v>
      </c>
      <c r="F233" s="32" t="s">
        <v>92</v>
      </c>
    </row>
    <row r="234" spans="1:6">
      <c r="A234" s="29">
        <v>15172</v>
      </c>
      <c r="B234" s="31" t="s">
        <v>878</v>
      </c>
      <c r="C234" s="31" t="s">
        <v>185</v>
      </c>
      <c r="D234" s="31" t="s">
        <v>182</v>
      </c>
      <c r="E234" s="31" t="s">
        <v>680</v>
      </c>
      <c r="F234" s="32" t="s">
        <v>181</v>
      </c>
    </row>
    <row r="235" spans="1:6">
      <c r="A235" s="29">
        <v>15176</v>
      </c>
      <c r="B235" s="31" t="s">
        <v>879</v>
      </c>
      <c r="C235" s="31" t="s">
        <v>185</v>
      </c>
      <c r="D235" s="31" t="s">
        <v>182</v>
      </c>
      <c r="E235" s="31" t="s">
        <v>680</v>
      </c>
      <c r="F235" s="32" t="s">
        <v>181</v>
      </c>
    </row>
    <row r="236" spans="1:6">
      <c r="A236" s="29">
        <v>15232</v>
      </c>
      <c r="B236" s="31" t="s">
        <v>880</v>
      </c>
      <c r="C236" s="31" t="s">
        <v>185</v>
      </c>
      <c r="D236" s="31" t="s">
        <v>182</v>
      </c>
      <c r="E236" s="31" t="s">
        <v>680</v>
      </c>
      <c r="F236" s="32" t="s">
        <v>92</v>
      </c>
    </row>
    <row r="237" spans="1:6">
      <c r="A237" s="29">
        <v>15180</v>
      </c>
      <c r="B237" s="31" t="s">
        <v>881</v>
      </c>
      <c r="C237" s="31" t="s">
        <v>185</v>
      </c>
      <c r="D237" s="31" t="s">
        <v>182</v>
      </c>
      <c r="E237" s="31" t="s">
        <v>680</v>
      </c>
      <c r="F237" s="32" t="s">
        <v>109</v>
      </c>
    </row>
    <row r="238" spans="1:6">
      <c r="A238" s="29">
        <v>15183</v>
      </c>
      <c r="B238" s="31" t="s">
        <v>882</v>
      </c>
      <c r="C238" s="31" t="s">
        <v>185</v>
      </c>
      <c r="D238" s="31" t="s">
        <v>182</v>
      </c>
      <c r="E238" s="31" t="s">
        <v>680</v>
      </c>
      <c r="F238" s="32" t="s">
        <v>109</v>
      </c>
    </row>
    <row r="239" spans="1:6">
      <c r="A239" s="29">
        <v>15185</v>
      </c>
      <c r="B239" s="31" t="s">
        <v>883</v>
      </c>
      <c r="C239" s="31" t="s">
        <v>185</v>
      </c>
      <c r="D239" s="31" t="s">
        <v>182</v>
      </c>
      <c r="E239" s="31" t="s">
        <v>680</v>
      </c>
      <c r="F239" s="32" t="s">
        <v>92</v>
      </c>
    </row>
    <row r="240" spans="1:6">
      <c r="A240" s="29">
        <v>15187</v>
      </c>
      <c r="B240" s="31" t="s">
        <v>884</v>
      </c>
      <c r="C240" s="31" t="s">
        <v>185</v>
      </c>
      <c r="D240" s="31" t="s">
        <v>182</v>
      </c>
      <c r="E240" s="31" t="s">
        <v>680</v>
      </c>
      <c r="F240" s="32" t="s">
        <v>92</v>
      </c>
    </row>
    <row r="241" spans="1:6">
      <c r="A241" s="29">
        <v>15236</v>
      </c>
      <c r="B241" s="31" t="s">
        <v>885</v>
      </c>
      <c r="C241" s="31" t="s">
        <v>185</v>
      </c>
      <c r="D241" s="31" t="s">
        <v>182</v>
      </c>
      <c r="E241" s="31" t="s">
        <v>680</v>
      </c>
      <c r="F241" s="32" t="s">
        <v>181</v>
      </c>
    </row>
    <row r="242" spans="1:6">
      <c r="A242" s="29">
        <v>15204</v>
      </c>
      <c r="B242" s="31" t="s">
        <v>886</v>
      </c>
      <c r="C242" s="31" t="s">
        <v>185</v>
      </c>
      <c r="D242" s="31" t="s">
        <v>182</v>
      </c>
      <c r="E242" s="31" t="s">
        <v>680</v>
      </c>
      <c r="F242" s="32" t="s">
        <v>92</v>
      </c>
    </row>
    <row r="243" spans="1:6">
      <c r="A243" s="29">
        <v>15212</v>
      </c>
      <c r="B243" s="31" t="s">
        <v>887</v>
      </c>
      <c r="C243" s="31" t="s">
        <v>185</v>
      </c>
      <c r="D243" s="31" t="s">
        <v>182</v>
      </c>
      <c r="E243" s="31" t="s">
        <v>680</v>
      </c>
      <c r="F243" s="32" t="s">
        <v>181</v>
      </c>
    </row>
    <row r="244" spans="1:6">
      <c r="A244" s="29">
        <v>15215</v>
      </c>
      <c r="B244" s="31" t="s">
        <v>888</v>
      </c>
      <c r="C244" s="31" t="s">
        <v>185</v>
      </c>
      <c r="D244" s="31" t="s">
        <v>182</v>
      </c>
      <c r="E244" s="31" t="s">
        <v>680</v>
      </c>
      <c r="F244" s="32" t="s">
        <v>92</v>
      </c>
    </row>
    <row r="245" spans="1:6">
      <c r="A245" s="29">
        <v>15218</v>
      </c>
      <c r="B245" s="31" t="s">
        <v>889</v>
      </c>
      <c r="C245" s="31" t="s">
        <v>185</v>
      </c>
      <c r="D245" s="31" t="s">
        <v>182</v>
      </c>
      <c r="E245" s="31" t="s">
        <v>680</v>
      </c>
      <c r="F245" s="32" t="s">
        <v>109</v>
      </c>
    </row>
    <row r="246" spans="1:6">
      <c r="A246" s="29">
        <v>15223</v>
      </c>
      <c r="B246" s="31" t="s">
        <v>890</v>
      </c>
      <c r="C246" s="31" t="s">
        <v>185</v>
      </c>
      <c r="D246" s="31" t="s">
        <v>142</v>
      </c>
      <c r="E246" s="31" t="s">
        <v>668</v>
      </c>
      <c r="F246" s="32" t="s">
        <v>126</v>
      </c>
    </row>
    <row r="247" spans="1:6">
      <c r="A247" s="29">
        <v>15224</v>
      </c>
      <c r="B247" s="31" t="s">
        <v>891</v>
      </c>
      <c r="C247" s="31" t="s">
        <v>185</v>
      </c>
      <c r="D247" s="31" t="s">
        <v>182</v>
      </c>
      <c r="E247" s="31" t="s">
        <v>680</v>
      </c>
      <c r="F247" s="32" t="s">
        <v>92</v>
      </c>
    </row>
    <row r="248" spans="1:6">
      <c r="A248" s="29">
        <v>15226</v>
      </c>
      <c r="B248" s="31" t="s">
        <v>892</v>
      </c>
      <c r="C248" s="31" t="s">
        <v>185</v>
      </c>
      <c r="D248" s="31" t="s">
        <v>182</v>
      </c>
      <c r="E248" s="31" t="s">
        <v>680</v>
      </c>
      <c r="F248" s="32" t="s">
        <v>92</v>
      </c>
    </row>
    <row r="249" spans="1:6">
      <c r="A249" s="29">
        <v>15238</v>
      </c>
      <c r="B249" s="31" t="s">
        <v>509</v>
      </c>
      <c r="C249" s="31" t="s">
        <v>185</v>
      </c>
      <c r="D249" s="31" t="s">
        <v>182</v>
      </c>
      <c r="E249" s="31" t="s">
        <v>680</v>
      </c>
      <c r="F249" s="32" t="s">
        <v>92</v>
      </c>
    </row>
    <row r="250" spans="1:6">
      <c r="A250" s="29">
        <v>15244</v>
      </c>
      <c r="B250" s="31" t="s">
        <v>893</v>
      </c>
      <c r="C250" s="31" t="s">
        <v>185</v>
      </c>
      <c r="D250" s="31" t="s">
        <v>182</v>
      </c>
      <c r="E250" s="31" t="s">
        <v>680</v>
      </c>
      <c r="F250" s="32" t="s">
        <v>109</v>
      </c>
    </row>
    <row r="251" spans="1:6">
      <c r="A251" s="29">
        <v>15248</v>
      </c>
      <c r="B251" s="31" t="s">
        <v>894</v>
      </c>
      <c r="C251" s="31" t="s">
        <v>185</v>
      </c>
      <c r="D251" s="31" t="s">
        <v>182</v>
      </c>
      <c r="E251" s="31" t="s">
        <v>680</v>
      </c>
      <c r="F251" s="32" t="s">
        <v>109</v>
      </c>
    </row>
    <row r="252" spans="1:6">
      <c r="A252" s="29">
        <v>15272</v>
      </c>
      <c r="B252" s="31" t="s">
        <v>895</v>
      </c>
      <c r="C252" s="31" t="s">
        <v>185</v>
      </c>
      <c r="D252" s="31" t="s">
        <v>182</v>
      </c>
      <c r="E252" s="31" t="s">
        <v>680</v>
      </c>
      <c r="F252" s="32" t="s">
        <v>92</v>
      </c>
    </row>
    <row r="253" spans="1:6">
      <c r="A253" s="29">
        <v>15276</v>
      </c>
      <c r="B253" s="31" t="s">
        <v>896</v>
      </c>
      <c r="C253" s="31" t="s">
        <v>185</v>
      </c>
      <c r="D253" s="31" t="s">
        <v>182</v>
      </c>
      <c r="E253" s="31" t="s">
        <v>680</v>
      </c>
      <c r="F253" s="32" t="s">
        <v>92</v>
      </c>
    </row>
    <row r="254" spans="1:6">
      <c r="A254" s="29">
        <v>15293</v>
      </c>
      <c r="B254" s="31" t="s">
        <v>897</v>
      </c>
      <c r="C254" s="31" t="s">
        <v>185</v>
      </c>
      <c r="D254" s="31" t="s">
        <v>182</v>
      </c>
      <c r="E254" s="31" t="s">
        <v>680</v>
      </c>
      <c r="F254" s="32" t="s">
        <v>92</v>
      </c>
    </row>
    <row r="255" spans="1:6">
      <c r="A255" s="29">
        <v>15296</v>
      </c>
      <c r="B255" s="31" t="s">
        <v>898</v>
      </c>
      <c r="C255" s="31" t="s">
        <v>185</v>
      </c>
      <c r="D255" s="31" t="s">
        <v>182</v>
      </c>
      <c r="E255" s="31" t="s">
        <v>680</v>
      </c>
      <c r="F255" s="32" t="s">
        <v>181</v>
      </c>
    </row>
    <row r="256" spans="1:6">
      <c r="A256" s="29">
        <v>15299</v>
      </c>
      <c r="B256" s="31" t="s">
        <v>899</v>
      </c>
      <c r="C256" s="31" t="s">
        <v>185</v>
      </c>
      <c r="D256" s="31" t="s">
        <v>182</v>
      </c>
      <c r="E256" s="31" t="s">
        <v>680</v>
      </c>
      <c r="F256" s="32" t="s">
        <v>181</v>
      </c>
    </row>
    <row r="257" spans="1:6">
      <c r="A257" s="29">
        <v>15317</v>
      </c>
      <c r="B257" s="31" t="s">
        <v>900</v>
      </c>
      <c r="C257" s="31" t="s">
        <v>185</v>
      </c>
      <c r="D257" s="31" t="s">
        <v>182</v>
      </c>
      <c r="E257" s="31" t="s">
        <v>680</v>
      </c>
      <c r="F257" s="32" t="s">
        <v>109</v>
      </c>
    </row>
    <row r="258" spans="1:6">
      <c r="A258" s="29">
        <v>15322</v>
      </c>
      <c r="B258" s="31" t="s">
        <v>901</v>
      </c>
      <c r="C258" s="31" t="s">
        <v>185</v>
      </c>
      <c r="D258" s="31" t="s">
        <v>182</v>
      </c>
      <c r="E258" s="31" t="s">
        <v>680</v>
      </c>
      <c r="F258" s="32" t="s">
        <v>92</v>
      </c>
    </row>
    <row r="259" spans="1:6">
      <c r="A259" s="29">
        <v>15325</v>
      </c>
      <c r="B259" s="31" t="s">
        <v>902</v>
      </c>
      <c r="C259" s="31" t="s">
        <v>185</v>
      </c>
      <c r="D259" s="31" t="s">
        <v>182</v>
      </c>
      <c r="E259" s="31" t="s">
        <v>680</v>
      </c>
      <c r="F259" s="32" t="s">
        <v>181</v>
      </c>
    </row>
    <row r="260" spans="1:6">
      <c r="A260" s="29">
        <v>15332</v>
      </c>
      <c r="B260" s="31" t="s">
        <v>903</v>
      </c>
      <c r="C260" s="31" t="s">
        <v>185</v>
      </c>
      <c r="D260" s="31" t="s">
        <v>182</v>
      </c>
      <c r="E260" s="31" t="s">
        <v>680</v>
      </c>
      <c r="F260" s="32" t="s">
        <v>109</v>
      </c>
    </row>
    <row r="261" spans="1:6">
      <c r="A261" s="29">
        <v>15362</v>
      </c>
      <c r="B261" s="31" t="s">
        <v>904</v>
      </c>
      <c r="C261" s="31" t="s">
        <v>185</v>
      </c>
      <c r="D261" s="31" t="s">
        <v>182</v>
      </c>
      <c r="E261" s="31" t="s">
        <v>680</v>
      </c>
      <c r="F261" s="32" t="s">
        <v>92</v>
      </c>
    </row>
    <row r="262" spans="1:6">
      <c r="A262" s="29">
        <v>15367</v>
      </c>
      <c r="B262" s="31" t="s">
        <v>905</v>
      </c>
      <c r="C262" s="31" t="s">
        <v>185</v>
      </c>
      <c r="D262" s="31" t="s">
        <v>182</v>
      </c>
      <c r="E262" s="31" t="s">
        <v>680</v>
      </c>
      <c r="F262" s="32" t="s">
        <v>92</v>
      </c>
    </row>
    <row r="263" spans="1:6">
      <c r="A263" s="29">
        <v>15380</v>
      </c>
      <c r="B263" s="31" t="s">
        <v>906</v>
      </c>
      <c r="C263" s="31" t="s">
        <v>185</v>
      </c>
      <c r="D263" s="31" t="s">
        <v>182</v>
      </c>
      <c r="E263" s="31" t="s">
        <v>680</v>
      </c>
      <c r="F263" s="32" t="s">
        <v>181</v>
      </c>
    </row>
    <row r="264" spans="1:6">
      <c r="A264" s="29">
        <v>15403</v>
      </c>
      <c r="B264" s="31" t="s">
        <v>907</v>
      </c>
      <c r="C264" s="31" t="s">
        <v>185</v>
      </c>
      <c r="D264" s="31" t="s">
        <v>182</v>
      </c>
      <c r="E264" s="31" t="s">
        <v>680</v>
      </c>
      <c r="F264" s="32" t="s">
        <v>109</v>
      </c>
    </row>
    <row r="265" spans="1:6">
      <c r="A265" s="29">
        <v>15377</v>
      </c>
      <c r="B265" s="31" t="s">
        <v>908</v>
      </c>
      <c r="C265" s="31" t="s">
        <v>185</v>
      </c>
      <c r="D265" s="31" t="s">
        <v>182</v>
      </c>
      <c r="E265" s="31" t="s">
        <v>680</v>
      </c>
      <c r="F265" s="32" t="s">
        <v>109</v>
      </c>
    </row>
    <row r="266" spans="1:6">
      <c r="A266" s="29">
        <v>15425</v>
      </c>
      <c r="B266" s="31" t="s">
        <v>909</v>
      </c>
      <c r="C266" s="31" t="s">
        <v>185</v>
      </c>
      <c r="D266" s="31" t="s">
        <v>182</v>
      </c>
      <c r="E266" s="31" t="s">
        <v>680</v>
      </c>
      <c r="F266" s="32" t="s">
        <v>181</v>
      </c>
    </row>
    <row r="267" spans="1:6">
      <c r="A267" s="29">
        <v>15442</v>
      </c>
      <c r="B267" s="31" t="s">
        <v>910</v>
      </c>
      <c r="C267" s="31" t="s">
        <v>185</v>
      </c>
      <c r="D267" s="31" t="s">
        <v>182</v>
      </c>
      <c r="E267" s="31" t="s">
        <v>680</v>
      </c>
      <c r="F267" s="32" t="s">
        <v>109</v>
      </c>
    </row>
    <row r="268" spans="1:6">
      <c r="A268" s="29">
        <v>15464</v>
      </c>
      <c r="B268" s="31" t="s">
        <v>911</v>
      </c>
      <c r="C268" s="31" t="s">
        <v>185</v>
      </c>
      <c r="D268" s="31" t="s">
        <v>182</v>
      </c>
      <c r="E268" s="31" t="s">
        <v>680</v>
      </c>
      <c r="F268" s="32" t="s">
        <v>92</v>
      </c>
    </row>
    <row r="269" spans="1:6">
      <c r="A269" s="29">
        <v>15466</v>
      </c>
      <c r="B269" s="31" t="s">
        <v>912</v>
      </c>
      <c r="C269" s="31" t="s">
        <v>185</v>
      </c>
      <c r="D269" s="31" t="s">
        <v>182</v>
      </c>
      <c r="E269" s="31" t="s">
        <v>680</v>
      </c>
      <c r="F269" s="32" t="s">
        <v>181</v>
      </c>
    </row>
    <row r="270" spans="1:6">
      <c r="A270" s="29">
        <v>15469</v>
      </c>
      <c r="B270" s="31" t="s">
        <v>913</v>
      </c>
      <c r="C270" s="31" t="s">
        <v>185</v>
      </c>
      <c r="D270" s="31" t="s">
        <v>182</v>
      </c>
      <c r="E270" s="31" t="s">
        <v>680</v>
      </c>
      <c r="F270" s="32" t="s">
        <v>92</v>
      </c>
    </row>
    <row r="271" spans="1:6">
      <c r="A271" s="29">
        <v>15476</v>
      </c>
      <c r="B271" s="31" t="s">
        <v>914</v>
      </c>
      <c r="C271" s="31" t="s">
        <v>185</v>
      </c>
      <c r="D271" s="31" t="s">
        <v>182</v>
      </c>
      <c r="E271" s="31" t="s">
        <v>680</v>
      </c>
      <c r="F271" s="32" t="s">
        <v>119</v>
      </c>
    </row>
    <row r="272" spans="1:6">
      <c r="A272" s="29">
        <v>15480</v>
      </c>
      <c r="B272" s="31" t="s">
        <v>915</v>
      </c>
      <c r="C272" s="31" t="s">
        <v>185</v>
      </c>
      <c r="D272" s="31" t="s">
        <v>182</v>
      </c>
      <c r="E272" s="31" t="s">
        <v>680</v>
      </c>
      <c r="F272" s="32" t="s">
        <v>109</v>
      </c>
    </row>
    <row r="273" spans="1:6">
      <c r="A273" s="29">
        <v>15491</v>
      </c>
      <c r="B273" s="31" t="s">
        <v>916</v>
      </c>
      <c r="C273" s="31" t="s">
        <v>185</v>
      </c>
      <c r="D273" s="31" t="s">
        <v>182</v>
      </c>
      <c r="E273" s="31" t="s">
        <v>680</v>
      </c>
      <c r="F273" s="32" t="s">
        <v>92</v>
      </c>
    </row>
    <row r="274" spans="1:6">
      <c r="A274" s="29">
        <v>15494</v>
      </c>
      <c r="B274" s="31" t="s">
        <v>917</v>
      </c>
      <c r="C274" s="31" t="s">
        <v>185</v>
      </c>
      <c r="D274" s="31" t="s">
        <v>182</v>
      </c>
      <c r="E274" s="31" t="s">
        <v>680</v>
      </c>
      <c r="F274" s="32" t="s">
        <v>92</v>
      </c>
    </row>
    <row r="275" spans="1:6">
      <c r="A275" s="29">
        <v>15500</v>
      </c>
      <c r="B275" s="31" t="s">
        <v>918</v>
      </c>
      <c r="C275" s="31" t="s">
        <v>185</v>
      </c>
      <c r="D275" s="31" t="s">
        <v>182</v>
      </c>
      <c r="E275" s="31" t="s">
        <v>680</v>
      </c>
      <c r="F275" s="32" t="s">
        <v>92</v>
      </c>
    </row>
    <row r="276" spans="1:6">
      <c r="A276" s="29">
        <v>15507</v>
      </c>
      <c r="B276" s="31" t="s">
        <v>919</v>
      </c>
      <c r="C276" s="31" t="s">
        <v>185</v>
      </c>
      <c r="D276" s="31" t="s">
        <v>182</v>
      </c>
      <c r="E276" s="31" t="s">
        <v>680</v>
      </c>
      <c r="F276" s="32" t="s">
        <v>109</v>
      </c>
    </row>
    <row r="277" spans="1:6">
      <c r="A277" s="29">
        <v>15511</v>
      </c>
      <c r="B277" s="31" t="s">
        <v>920</v>
      </c>
      <c r="C277" s="31" t="s">
        <v>185</v>
      </c>
      <c r="D277" s="31" t="s">
        <v>182</v>
      </c>
      <c r="E277" s="31" t="s">
        <v>680</v>
      </c>
      <c r="F277" s="32" t="s">
        <v>181</v>
      </c>
    </row>
    <row r="278" spans="1:6">
      <c r="A278" s="29">
        <v>15516</v>
      </c>
      <c r="B278" s="31" t="s">
        <v>921</v>
      </c>
      <c r="C278" s="31" t="s">
        <v>185</v>
      </c>
      <c r="D278" s="31" t="s">
        <v>182</v>
      </c>
      <c r="E278" s="31" t="s">
        <v>680</v>
      </c>
      <c r="F278" s="32" t="s">
        <v>92</v>
      </c>
    </row>
    <row r="279" spans="1:6">
      <c r="A279" s="29">
        <v>15518</v>
      </c>
      <c r="B279" s="31" t="s">
        <v>922</v>
      </c>
      <c r="C279" s="31" t="s">
        <v>185</v>
      </c>
      <c r="D279" s="31" t="s">
        <v>923</v>
      </c>
      <c r="E279" s="31" t="s">
        <v>680</v>
      </c>
      <c r="F279" s="32" t="s">
        <v>181</v>
      </c>
    </row>
    <row r="280" spans="1:6">
      <c r="A280" s="29">
        <v>15522</v>
      </c>
      <c r="B280" s="31" t="s">
        <v>924</v>
      </c>
      <c r="C280" s="31" t="s">
        <v>185</v>
      </c>
      <c r="D280" s="31" t="s">
        <v>182</v>
      </c>
      <c r="E280" s="31" t="s">
        <v>680</v>
      </c>
      <c r="F280" s="32" t="s">
        <v>109</v>
      </c>
    </row>
    <row r="281" spans="1:6">
      <c r="A281" s="29">
        <v>15531</v>
      </c>
      <c r="B281" s="31" t="s">
        <v>925</v>
      </c>
      <c r="C281" s="31" t="s">
        <v>185</v>
      </c>
      <c r="D281" s="31" t="s">
        <v>182</v>
      </c>
      <c r="E281" s="31" t="s">
        <v>680</v>
      </c>
      <c r="F281" s="32" t="s">
        <v>181</v>
      </c>
    </row>
    <row r="282" spans="1:6">
      <c r="A282" s="29">
        <v>15533</v>
      </c>
      <c r="B282" s="31" t="s">
        <v>926</v>
      </c>
      <c r="C282" s="31" t="s">
        <v>185</v>
      </c>
      <c r="D282" s="31" t="s">
        <v>182</v>
      </c>
      <c r="E282" s="31" t="s">
        <v>680</v>
      </c>
      <c r="F282" s="32" t="s">
        <v>109</v>
      </c>
    </row>
    <row r="283" spans="1:6">
      <c r="A283" s="29">
        <v>15537</v>
      </c>
      <c r="B283" s="31" t="s">
        <v>927</v>
      </c>
      <c r="C283" s="31" t="s">
        <v>185</v>
      </c>
      <c r="D283" s="31" t="s">
        <v>182</v>
      </c>
      <c r="E283" s="31" t="s">
        <v>680</v>
      </c>
      <c r="F283" s="32" t="s">
        <v>92</v>
      </c>
    </row>
    <row r="284" spans="1:6">
      <c r="A284" s="29">
        <v>15542</v>
      </c>
      <c r="B284" s="31" t="s">
        <v>928</v>
      </c>
      <c r="C284" s="31" t="s">
        <v>185</v>
      </c>
      <c r="D284" s="31" t="s">
        <v>182</v>
      </c>
      <c r="E284" s="31" t="s">
        <v>680</v>
      </c>
      <c r="F284" s="32" t="s">
        <v>181</v>
      </c>
    </row>
    <row r="285" spans="1:6">
      <c r="A285" s="29">
        <v>15550</v>
      </c>
      <c r="B285" s="31" t="s">
        <v>929</v>
      </c>
      <c r="C285" s="31" t="s">
        <v>185</v>
      </c>
      <c r="D285" s="31" t="s">
        <v>182</v>
      </c>
      <c r="E285" s="31" t="s">
        <v>680</v>
      </c>
      <c r="F285" s="32" t="s">
        <v>109</v>
      </c>
    </row>
    <row r="286" spans="1:6">
      <c r="A286" s="29">
        <v>15572</v>
      </c>
      <c r="B286" s="31" t="s">
        <v>930</v>
      </c>
      <c r="C286" s="31" t="s">
        <v>185</v>
      </c>
      <c r="D286" s="31" t="s">
        <v>285</v>
      </c>
      <c r="E286" s="31" t="s">
        <v>680</v>
      </c>
      <c r="F286" s="32" t="s">
        <v>109</v>
      </c>
    </row>
    <row r="287" spans="1:6">
      <c r="A287" s="29">
        <v>15580</v>
      </c>
      <c r="B287" s="31" t="s">
        <v>931</v>
      </c>
      <c r="C287" s="31" t="s">
        <v>185</v>
      </c>
      <c r="D287" s="31" t="s">
        <v>182</v>
      </c>
      <c r="E287" s="31" t="s">
        <v>680</v>
      </c>
      <c r="F287" s="32" t="s">
        <v>109</v>
      </c>
    </row>
    <row r="288" spans="1:6">
      <c r="A288" s="29">
        <v>15599</v>
      </c>
      <c r="B288" s="31" t="s">
        <v>932</v>
      </c>
      <c r="C288" s="31" t="s">
        <v>185</v>
      </c>
      <c r="D288" s="31" t="s">
        <v>182</v>
      </c>
      <c r="E288" s="31" t="s">
        <v>680</v>
      </c>
      <c r="F288" s="32" t="s">
        <v>92</v>
      </c>
    </row>
    <row r="289" spans="1:6">
      <c r="A289" s="29">
        <v>15600</v>
      </c>
      <c r="B289" s="31" t="s">
        <v>933</v>
      </c>
      <c r="C289" s="31" t="s">
        <v>185</v>
      </c>
      <c r="D289" s="31" t="s">
        <v>182</v>
      </c>
      <c r="E289" s="31" t="s">
        <v>680</v>
      </c>
      <c r="F289" s="32" t="s">
        <v>92</v>
      </c>
    </row>
    <row r="290" spans="1:6">
      <c r="A290" s="29">
        <v>15621</v>
      </c>
      <c r="B290" s="31" t="s">
        <v>934</v>
      </c>
      <c r="C290" s="31" t="s">
        <v>185</v>
      </c>
      <c r="D290" s="31" t="s">
        <v>182</v>
      </c>
      <c r="E290" s="31" t="s">
        <v>680</v>
      </c>
      <c r="F290" s="32" t="s">
        <v>181</v>
      </c>
    </row>
    <row r="291" spans="1:6">
      <c r="A291" s="29">
        <v>15632</v>
      </c>
      <c r="B291" s="31" t="s">
        <v>935</v>
      </c>
      <c r="C291" s="31" t="s">
        <v>185</v>
      </c>
      <c r="D291" s="31" t="s">
        <v>182</v>
      </c>
      <c r="E291" s="31" t="s">
        <v>680</v>
      </c>
      <c r="F291" s="32" t="s">
        <v>92</v>
      </c>
    </row>
    <row r="292" spans="1:6">
      <c r="A292" s="29">
        <v>15638</v>
      </c>
      <c r="B292" s="31" t="s">
        <v>936</v>
      </c>
      <c r="C292" s="31" t="s">
        <v>185</v>
      </c>
      <c r="D292" s="31" t="s">
        <v>182</v>
      </c>
      <c r="E292" s="31" t="s">
        <v>680</v>
      </c>
      <c r="F292" s="32" t="s">
        <v>92</v>
      </c>
    </row>
    <row r="293" spans="1:6">
      <c r="A293" s="29">
        <v>15646</v>
      </c>
      <c r="B293" s="31" t="s">
        <v>937</v>
      </c>
      <c r="C293" s="31" t="s">
        <v>185</v>
      </c>
      <c r="D293" s="31" t="s">
        <v>182</v>
      </c>
      <c r="E293" s="31" t="s">
        <v>680</v>
      </c>
      <c r="F293" s="32" t="s">
        <v>92</v>
      </c>
    </row>
    <row r="294" spans="1:6">
      <c r="A294" s="29">
        <v>15660</v>
      </c>
      <c r="B294" s="31" t="s">
        <v>938</v>
      </c>
      <c r="C294" s="31" t="s">
        <v>185</v>
      </c>
      <c r="D294" s="31" t="s">
        <v>182</v>
      </c>
      <c r="E294" s="31" t="s">
        <v>680</v>
      </c>
      <c r="F294" s="32" t="s">
        <v>109</v>
      </c>
    </row>
    <row r="295" spans="1:6">
      <c r="A295" s="29">
        <v>15664</v>
      </c>
      <c r="B295" s="31" t="s">
        <v>939</v>
      </c>
      <c r="C295" s="31" t="s">
        <v>185</v>
      </c>
      <c r="D295" s="31" t="s">
        <v>182</v>
      </c>
      <c r="E295" s="31" t="s">
        <v>680</v>
      </c>
      <c r="F295" s="32" t="s">
        <v>92</v>
      </c>
    </row>
    <row r="296" spans="1:6">
      <c r="A296" s="29">
        <v>15667</v>
      </c>
      <c r="B296" s="31" t="s">
        <v>318</v>
      </c>
      <c r="C296" s="31" t="s">
        <v>185</v>
      </c>
      <c r="D296" s="31" t="s">
        <v>182</v>
      </c>
      <c r="E296" s="31" t="s">
        <v>680</v>
      </c>
      <c r="F296" s="32" t="s">
        <v>181</v>
      </c>
    </row>
    <row r="297" spans="1:6">
      <c r="A297" s="29">
        <v>15673</v>
      </c>
      <c r="B297" s="31" t="s">
        <v>940</v>
      </c>
      <c r="C297" s="31" t="s">
        <v>185</v>
      </c>
      <c r="D297" s="31" t="s">
        <v>182</v>
      </c>
      <c r="E297" s="31" t="s">
        <v>680</v>
      </c>
      <c r="F297" s="32" t="s">
        <v>109</v>
      </c>
    </row>
    <row r="298" spans="1:6">
      <c r="A298" s="29">
        <v>15676</v>
      </c>
      <c r="B298" s="31" t="s">
        <v>941</v>
      </c>
      <c r="C298" s="31" t="s">
        <v>185</v>
      </c>
      <c r="D298" s="31" t="s">
        <v>182</v>
      </c>
      <c r="E298" s="31" t="s">
        <v>680</v>
      </c>
      <c r="F298" s="32" t="s">
        <v>181</v>
      </c>
    </row>
    <row r="299" spans="1:6">
      <c r="A299" s="29">
        <v>15681</v>
      </c>
      <c r="B299" s="31" t="s">
        <v>942</v>
      </c>
      <c r="C299" s="31" t="s">
        <v>185</v>
      </c>
      <c r="D299" s="31" t="s">
        <v>182</v>
      </c>
      <c r="E299" s="31" t="s">
        <v>680</v>
      </c>
      <c r="F299" s="32" t="s">
        <v>109</v>
      </c>
    </row>
    <row r="300" spans="1:6">
      <c r="A300" s="29">
        <v>15693</v>
      </c>
      <c r="B300" s="31" t="s">
        <v>943</v>
      </c>
      <c r="C300" s="31" t="s">
        <v>185</v>
      </c>
      <c r="D300" s="31" t="s">
        <v>182</v>
      </c>
      <c r="E300" s="31" t="s">
        <v>680</v>
      </c>
      <c r="F300" s="32" t="s">
        <v>92</v>
      </c>
    </row>
    <row r="301" spans="1:6">
      <c r="A301" s="29">
        <v>15696</v>
      </c>
      <c r="B301" s="31" t="s">
        <v>944</v>
      </c>
      <c r="C301" s="31" t="s">
        <v>185</v>
      </c>
      <c r="D301" s="31" t="s">
        <v>182</v>
      </c>
      <c r="E301" s="31" t="s">
        <v>680</v>
      </c>
      <c r="F301" s="32" t="s">
        <v>92</v>
      </c>
    </row>
    <row r="302" spans="1:6">
      <c r="A302" s="29">
        <v>15686</v>
      </c>
      <c r="B302" s="31" t="s">
        <v>945</v>
      </c>
      <c r="C302" s="31" t="s">
        <v>185</v>
      </c>
      <c r="D302" s="31" t="s">
        <v>182</v>
      </c>
      <c r="E302" s="31" t="s">
        <v>680</v>
      </c>
      <c r="F302" s="32" t="s">
        <v>181</v>
      </c>
    </row>
    <row r="303" spans="1:6">
      <c r="A303" s="29">
        <v>15720</v>
      </c>
      <c r="B303" s="31" t="s">
        <v>946</v>
      </c>
      <c r="C303" s="31" t="s">
        <v>185</v>
      </c>
      <c r="D303" s="31" t="s">
        <v>182</v>
      </c>
      <c r="E303" s="31" t="s">
        <v>680</v>
      </c>
      <c r="F303" s="32" t="s">
        <v>181</v>
      </c>
    </row>
    <row r="304" spans="1:6">
      <c r="A304" s="29">
        <v>15723</v>
      </c>
      <c r="B304" s="31" t="s">
        <v>947</v>
      </c>
      <c r="C304" s="31" t="s">
        <v>185</v>
      </c>
      <c r="D304" s="31" t="s">
        <v>182</v>
      </c>
      <c r="E304" s="31" t="s">
        <v>680</v>
      </c>
      <c r="F304" s="32" t="s">
        <v>181</v>
      </c>
    </row>
    <row r="305" spans="1:6">
      <c r="A305" s="29">
        <v>15740</v>
      </c>
      <c r="B305" s="31" t="s">
        <v>948</v>
      </c>
      <c r="C305" s="31" t="s">
        <v>185</v>
      </c>
      <c r="D305" s="31" t="s">
        <v>182</v>
      </c>
      <c r="E305" s="31" t="s">
        <v>680</v>
      </c>
      <c r="F305" s="32" t="s">
        <v>92</v>
      </c>
    </row>
    <row r="306" spans="1:6">
      <c r="A306" s="29">
        <v>15753</v>
      </c>
      <c r="B306" s="31" t="s">
        <v>949</v>
      </c>
      <c r="C306" s="31" t="s">
        <v>185</v>
      </c>
      <c r="D306" s="31" t="s">
        <v>182</v>
      </c>
      <c r="E306" s="31" t="s">
        <v>680</v>
      </c>
      <c r="F306" s="32" t="s">
        <v>181</v>
      </c>
    </row>
    <row r="307" spans="1:6">
      <c r="A307" s="29">
        <v>15757</v>
      </c>
      <c r="B307" s="31" t="s">
        <v>950</v>
      </c>
      <c r="C307" s="31" t="s">
        <v>185</v>
      </c>
      <c r="D307" s="31" t="s">
        <v>182</v>
      </c>
      <c r="E307" s="31" t="s">
        <v>680</v>
      </c>
      <c r="F307" s="32" t="s">
        <v>181</v>
      </c>
    </row>
    <row r="308" spans="1:6">
      <c r="A308" s="29">
        <v>15755</v>
      </c>
      <c r="B308" s="31" t="s">
        <v>951</v>
      </c>
      <c r="C308" s="31" t="s">
        <v>185</v>
      </c>
      <c r="D308" s="31" t="s">
        <v>182</v>
      </c>
      <c r="E308" s="31" t="s">
        <v>680</v>
      </c>
      <c r="F308" s="32" t="s">
        <v>181</v>
      </c>
    </row>
    <row r="309" spans="1:6">
      <c r="A309" s="29">
        <v>15759</v>
      </c>
      <c r="B309" s="31" t="s">
        <v>186</v>
      </c>
      <c r="C309" s="31" t="s">
        <v>185</v>
      </c>
      <c r="D309" s="31" t="s">
        <v>182</v>
      </c>
      <c r="E309" s="31" t="s">
        <v>680</v>
      </c>
      <c r="F309" s="32" t="s">
        <v>92</v>
      </c>
    </row>
    <row r="310" spans="1:6">
      <c r="A310" s="29">
        <v>15761</v>
      </c>
      <c r="B310" s="31" t="s">
        <v>952</v>
      </c>
      <c r="C310" s="31" t="s">
        <v>185</v>
      </c>
      <c r="D310" s="31" t="s">
        <v>182</v>
      </c>
      <c r="E310" s="31" t="s">
        <v>680</v>
      </c>
      <c r="F310" s="32" t="s">
        <v>181</v>
      </c>
    </row>
    <row r="311" spans="1:6">
      <c r="A311" s="29">
        <v>15762</v>
      </c>
      <c r="B311" s="31" t="s">
        <v>953</v>
      </c>
      <c r="C311" s="31" t="s">
        <v>185</v>
      </c>
      <c r="D311" s="31" t="s">
        <v>182</v>
      </c>
      <c r="E311" s="31" t="s">
        <v>680</v>
      </c>
      <c r="F311" s="32" t="s">
        <v>92</v>
      </c>
    </row>
    <row r="312" spans="1:6">
      <c r="A312" s="29">
        <v>15764</v>
      </c>
      <c r="B312" s="31" t="s">
        <v>954</v>
      </c>
      <c r="C312" s="31" t="s">
        <v>185</v>
      </c>
      <c r="D312" s="31" t="s">
        <v>182</v>
      </c>
      <c r="E312" s="31" t="s">
        <v>680</v>
      </c>
      <c r="F312" s="32" t="s">
        <v>119</v>
      </c>
    </row>
    <row r="313" spans="1:6">
      <c r="A313" s="29">
        <v>15763</v>
      </c>
      <c r="B313" s="31" t="s">
        <v>955</v>
      </c>
      <c r="C313" s="31" t="s">
        <v>185</v>
      </c>
      <c r="D313" s="31" t="s">
        <v>182</v>
      </c>
      <c r="E313" s="31" t="s">
        <v>680</v>
      </c>
      <c r="F313" s="32" t="s">
        <v>92</v>
      </c>
    </row>
    <row r="314" spans="1:6">
      <c r="A314" s="29">
        <v>15774</v>
      </c>
      <c r="B314" s="31" t="s">
        <v>956</v>
      </c>
      <c r="C314" s="31" t="s">
        <v>185</v>
      </c>
      <c r="D314" s="31" t="s">
        <v>182</v>
      </c>
      <c r="E314" s="31" t="s">
        <v>680</v>
      </c>
      <c r="F314" s="32" t="s">
        <v>181</v>
      </c>
    </row>
    <row r="315" spans="1:6">
      <c r="A315" s="29">
        <v>15776</v>
      </c>
      <c r="B315" s="31" t="s">
        <v>957</v>
      </c>
      <c r="C315" s="31" t="s">
        <v>185</v>
      </c>
      <c r="D315" s="31" t="s">
        <v>182</v>
      </c>
      <c r="E315" s="31" t="s">
        <v>680</v>
      </c>
      <c r="F315" s="32" t="s">
        <v>92</v>
      </c>
    </row>
    <row r="316" spans="1:6">
      <c r="A316" s="29">
        <v>15778</v>
      </c>
      <c r="B316" s="31" t="s">
        <v>958</v>
      </c>
      <c r="C316" s="31" t="s">
        <v>185</v>
      </c>
      <c r="D316" s="31" t="s">
        <v>182</v>
      </c>
      <c r="E316" s="31" t="s">
        <v>680</v>
      </c>
      <c r="F316" s="32" t="s">
        <v>181</v>
      </c>
    </row>
    <row r="317" spans="1:6">
      <c r="A317" s="29">
        <v>15790</v>
      </c>
      <c r="B317" s="31" t="s">
        <v>959</v>
      </c>
      <c r="C317" s="31" t="s">
        <v>185</v>
      </c>
      <c r="D317" s="31" t="s">
        <v>182</v>
      </c>
      <c r="E317" s="31" t="s">
        <v>680</v>
      </c>
      <c r="F317" s="32" t="s">
        <v>181</v>
      </c>
    </row>
    <row r="318" spans="1:6">
      <c r="A318" s="29">
        <v>15798</v>
      </c>
      <c r="B318" s="31" t="s">
        <v>960</v>
      </c>
      <c r="C318" s="31" t="s">
        <v>185</v>
      </c>
      <c r="D318" s="31" t="s">
        <v>182</v>
      </c>
      <c r="E318" s="31" t="s">
        <v>680</v>
      </c>
      <c r="F318" s="32" t="s">
        <v>181</v>
      </c>
    </row>
    <row r="319" spans="1:6">
      <c r="A319" s="29">
        <v>15804</v>
      </c>
      <c r="B319" s="31" t="s">
        <v>961</v>
      </c>
      <c r="C319" s="31" t="s">
        <v>185</v>
      </c>
      <c r="D319" s="31" t="s">
        <v>182</v>
      </c>
      <c r="E319" s="31" t="s">
        <v>680</v>
      </c>
      <c r="F319" s="32" t="s">
        <v>92</v>
      </c>
    </row>
    <row r="320" spans="1:6">
      <c r="A320" s="29">
        <v>15806</v>
      </c>
      <c r="B320" s="31" t="s">
        <v>962</v>
      </c>
      <c r="C320" s="31" t="s">
        <v>185</v>
      </c>
      <c r="D320" s="31" t="s">
        <v>182</v>
      </c>
      <c r="E320" s="31" t="s">
        <v>680</v>
      </c>
      <c r="F320" s="32" t="s">
        <v>92</v>
      </c>
    </row>
    <row r="321" spans="1:6">
      <c r="A321" s="29">
        <v>15808</v>
      </c>
      <c r="B321" s="31" t="s">
        <v>963</v>
      </c>
      <c r="C321" s="31" t="s">
        <v>185</v>
      </c>
      <c r="D321" s="31" t="s">
        <v>182</v>
      </c>
      <c r="E321" s="31" t="s">
        <v>680</v>
      </c>
      <c r="F321" s="32" t="s">
        <v>92</v>
      </c>
    </row>
    <row r="322" spans="1:6">
      <c r="A322" s="29">
        <v>15810</v>
      </c>
      <c r="B322" s="31" t="s">
        <v>964</v>
      </c>
      <c r="C322" s="31" t="s">
        <v>185</v>
      </c>
      <c r="D322" s="31" t="s">
        <v>182</v>
      </c>
      <c r="E322" s="31" t="s">
        <v>680</v>
      </c>
      <c r="F322" s="32" t="s">
        <v>181</v>
      </c>
    </row>
    <row r="323" spans="1:6">
      <c r="A323" s="29">
        <v>15814</v>
      </c>
      <c r="B323" s="31" t="s">
        <v>965</v>
      </c>
      <c r="C323" s="31" t="s">
        <v>185</v>
      </c>
      <c r="D323" s="31" t="s">
        <v>182</v>
      </c>
      <c r="E323" s="31" t="s">
        <v>680</v>
      </c>
      <c r="F323" s="32" t="s">
        <v>92</v>
      </c>
    </row>
    <row r="324" spans="1:6">
      <c r="A324" s="29">
        <v>15816</v>
      </c>
      <c r="B324" s="31" t="s">
        <v>966</v>
      </c>
      <c r="C324" s="31" t="s">
        <v>185</v>
      </c>
      <c r="D324" s="31" t="s">
        <v>182</v>
      </c>
      <c r="E324" s="31" t="s">
        <v>680</v>
      </c>
      <c r="F324" s="32" t="s">
        <v>92</v>
      </c>
    </row>
    <row r="325" spans="1:6">
      <c r="A325" s="29">
        <v>15820</v>
      </c>
      <c r="B325" s="31" t="s">
        <v>967</v>
      </c>
      <c r="C325" s="31" t="s">
        <v>185</v>
      </c>
      <c r="D325" s="31" t="s">
        <v>182</v>
      </c>
      <c r="E325" s="31" t="s">
        <v>680</v>
      </c>
      <c r="F325" s="32" t="s">
        <v>181</v>
      </c>
    </row>
    <row r="326" spans="1:6">
      <c r="A326" s="29">
        <v>15822</v>
      </c>
      <c r="B326" s="31" t="s">
        <v>968</v>
      </c>
      <c r="C326" s="31" t="s">
        <v>185</v>
      </c>
      <c r="D326" s="31" t="s">
        <v>182</v>
      </c>
      <c r="E326" s="31" t="s">
        <v>680</v>
      </c>
      <c r="F326" s="32" t="s">
        <v>92</v>
      </c>
    </row>
    <row r="327" spans="1:6">
      <c r="A327" s="29">
        <v>15001</v>
      </c>
      <c r="B327" s="31" t="s">
        <v>182</v>
      </c>
      <c r="C327" s="31" t="s">
        <v>185</v>
      </c>
      <c r="D327" s="31" t="s">
        <v>182</v>
      </c>
      <c r="E327" s="31" t="s">
        <v>680</v>
      </c>
      <c r="F327" s="32" t="s">
        <v>119</v>
      </c>
    </row>
    <row r="328" spans="1:6">
      <c r="A328" s="29">
        <v>15832</v>
      </c>
      <c r="B328" s="31" t="s">
        <v>969</v>
      </c>
      <c r="C328" s="31" t="s">
        <v>185</v>
      </c>
      <c r="D328" s="31" t="s">
        <v>182</v>
      </c>
      <c r="E328" s="31" t="s">
        <v>680</v>
      </c>
      <c r="F328" s="32" t="s">
        <v>181</v>
      </c>
    </row>
    <row r="329" spans="1:6">
      <c r="A329" s="29">
        <v>15835</v>
      </c>
      <c r="B329" s="31" t="s">
        <v>970</v>
      </c>
      <c r="C329" s="31" t="s">
        <v>185</v>
      </c>
      <c r="D329" s="31" t="s">
        <v>182</v>
      </c>
      <c r="E329" s="31" t="s">
        <v>680</v>
      </c>
      <c r="F329" s="32" t="s">
        <v>92</v>
      </c>
    </row>
    <row r="330" spans="1:6">
      <c r="A330" s="29">
        <v>15837</v>
      </c>
      <c r="B330" s="31" t="s">
        <v>971</v>
      </c>
      <c r="C330" s="31" t="s">
        <v>185</v>
      </c>
      <c r="D330" s="31" t="s">
        <v>182</v>
      </c>
      <c r="E330" s="31" t="s">
        <v>680</v>
      </c>
      <c r="F330" s="32" t="s">
        <v>92</v>
      </c>
    </row>
    <row r="331" spans="1:6">
      <c r="A331" s="29">
        <v>15839</v>
      </c>
      <c r="B331" s="31" t="s">
        <v>972</v>
      </c>
      <c r="C331" s="31" t="s">
        <v>185</v>
      </c>
      <c r="D331" s="31" t="s">
        <v>182</v>
      </c>
      <c r="E331" s="31" t="s">
        <v>680</v>
      </c>
      <c r="F331" s="32" t="s">
        <v>92</v>
      </c>
    </row>
    <row r="332" spans="1:6">
      <c r="A332" s="29">
        <v>15842</v>
      </c>
      <c r="B332" s="31" t="s">
        <v>973</v>
      </c>
      <c r="C332" s="31" t="s">
        <v>185</v>
      </c>
      <c r="D332" s="31" t="s">
        <v>182</v>
      </c>
      <c r="E332" s="31" t="s">
        <v>680</v>
      </c>
      <c r="F332" s="32" t="s">
        <v>92</v>
      </c>
    </row>
    <row r="333" spans="1:6">
      <c r="A333" s="29">
        <v>15861</v>
      </c>
      <c r="B333" s="31" t="s">
        <v>974</v>
      </c>
      <c r="C333" s="31" t="s">
        <v>185</v>
      </c>
      <c r="D333" s="31" t="s">
        <v>182</v>
      </c>
      <c r="E333" s="31" t="s">
        <v>680</v>
      </c>
      <c r="F333" s="32" t="s">
        <v>92</v>
      </c>
    </row>
    <row r="334" spans="1:6">
      <c r="A334" s="29">
        <v>15407</v>
      </c>
      <c r="B334" s="31" t="s">
        <v>975</v>
      </c>
      <c r="C334" s="31" t="s">
        <v>185</v>
      </c>
      <c r="D334" s="31" t="s">
        <v>182</v>
      </c>
      <c r="E334" s="31" t="s">
        <v>680</v>
      </c>
      <c r="F334" s="32" t="s">
        <v>92</v>
      </c>
    </row>
    <row r="335" spans="1:6">
      <c r="A335" s="29">
        <v>15879</v>
      </c>
      <c r="B335" s="31" t="s">
        <v>976</v>
      </c>
      <c r="C335" s="31" t="s">
        <v>185</v>
      </c>
      <c r="D335" s="31" t="s">
        <v>182</v>
      </c>
      <c r="E335" s="31" t="s">
        <v>680</v>
      </c>
      <c r="F335" s="32" t="s">
        <v>92</v>
      </c>
    </row>
    <row r="336" spans="1:6">
      <c r="A336" s="29">
        <v>15897</v>
      </c>
      <c r="B336" s="31" t="s">
        <v>977</v>
      </c>
      <c r="C336" s="31" t="s">
        <v>185</v>
      </c>
      <c r="D336" s="31" t="s">
        <v>182</v>
      </c>
      <c r="E336" s="31" t="s">
        <v>680</v>
      </c>
      <c r="F336" s="32" t="s">
        <v>181</v>
      </c>
    </row>
    <row r="337" spans="1:6">
      <c r="A337" s="29">
        <v>17524</v>
      </c>
      <c r="B337" s="30" t="s">
        <v>978</v>
      </c>
      <c r="C337" s="31" t="s">
        <v>237</v>
      </c>
      <c r="D337" s="31" t="s">
        <v>234</v>
      </c>
      <c r="E337" s="31" t="s">
        <v>680</v>
      </c>
      <c r="F337" s="32" t="s">
        <v>92</v>
      </c>
    </row>
    <row r="338" spans="1:6">
      <c r="A338" s="29">
        <v>17614</v>
      </c>
      <c r="B338" s="30" t="s">
        <v>979</v>
      </c>
      <c r="C338" s="31" t="s">
        <v>237</v>
      </c>
      <c r="D338" s="31" t="s">
        <v>234</v>
      </c>
      <c r="E338" s="31" t="s">
        <v>680</v>
      </c>
      <c r="F338" s="32" t="s">
        <v>92</v>
      </c>
    </row>
    <row r="339" spans="1:6">
      <c r="A339" s="29">
        <v>17653</v>
      </c>
      <c r="B339" s="30" t="s">
        <v>980</v>
      </c>
      <c r="C339" s="31" t="s">
        <v>237</v>
      </c>
      <c r="D339" s="31" t="s">
        <v>234</v>
      </c>
      <c r="E339" s="31" t="s">
        <v>680</v>
      </c>
      <c r="F339" s="32" t="s">
        <v>92</v>
      </c>
    </row>
    <row r="340" spans="1:6">
      <c r="A340" s="29">
        <v>17013</v>
      </c>
      <c r="B340" s="31" t="s">
        <v>981</v>
      </c>
      <c r="C340" s="31" t="s">
        <v>237</v>
      </c>
      <c r="D340" s="31" t="s">
        <v>234</v>
      </c>
      <c r="E340" s="31" t="s">
        <v>680</v>
      </c>
      <c r="F340" s="32" t="s">
        <v>181</v>
      </c>
    </row>
    <row r="341" spans="1:6">
      <c r="A341" s="29">
        <v>17042</v>
      </c>
      <c r="B341" s="31" t="s">
        <v>982</v>
      </c>
      <c r="C341" s="31" t="s">
        <v>237</v>
      </c>
      <c r="D341" s="31" t="s">
        <v>234</v>
      </c>
      <c r="E341" s="31" t="s">
        <v>680</v>
      </c>
      <c r="F341" s="32" t="s">
        <v>92</v>
      </c>
    </row>
    <row r="342" spans="1:6">
      <c r="A342" s="29">
        <v>17050</v>
      </c>
      <c r="B342" s="31" t="s">
        <v>983</v>
      </c>
      <c r="C342" s="31" t="s">
        <v>237</v>
      </c>
      <c r="D342" s="31" t="s">
        <v>234</v>
      </c>
      <c r="E342" s="31" t="s">
        <v>680</v>
      </c>
      <c r="F342" s="32" t="s">
        <v>92</v>
      </c>
    </row>
    <row r="343" spans="1:6">
      <c r="A343" s="29">
        <v>17088</v>
      </c>
      <c r="B343" s="31" t="s">
        <v>984</v>
      </c>
      <c r="C343" s="31" t="s">
        <v>237</v>
      </c>
      <c r="D343" s="31" t="s">
        <v>234</v>
      </c>
      <c r="E343" s="31" t="s">
        <v>680</v>
      </c>
      <c r="F343" s="32" t="s">
        <v>92</v>
      </c>
    </row>
    <row r="344" spans="1:6">
      <c r="A344" s="29">
        <v>17174</v>
      </c>
      <c r="B344" s="31" t="s">
        <v>985</v>
      </c>
      <c r="C344" s="31" t="s">
        <v>237</v>
      </c>
      <c r="D344" s="31" t="s">
        <v>234</v>
      </c>
      <c r="E344" s="31" t="s">
        <v>680</v>
      </c>
      <c r="F344" s="32" t="s">
        <v>92</v>
      </c>
    </row>
    <row r="345" spans="1:6">
      <c r="A345" s="29">
        <v>17272</v>
      </c>
      <c r="B345" s="31" t="s">
        <v>986</v>
      </c>
      <c r="C345" s="31" t="s">
        <v>237</v>
      </c>
      <c r="D345" s="31" t="s">
        <v>234</v>
      </c>
      <c r="E345" s="31" t="s">
        <v>680</v>
      </c>
      <c r="F345" s="32" t="s">
        <v>92</v>
      </c>
    </row>
    <row r="346" spans="1:6">
      <c r="A346" s="29">
        <v>17380</v>
      </c>
      <c r="B346" s="31" t="s">
        <v>987</v>
      </c>
      <c r="C346" s="31" t="s">
        <v>237</v>
      </c>
      <c r="D346" s="31" t="s">
        <v>377</v>
      </c>
      <c r="E346" s="31" t="s">
        <v>680</v>
      </c>
      <c r="F346" s="32" t="s">
        <v>181</v>
      </c>
    </row>
    <row r="347" spans="1:6">
      <c r="A347" s="29">
        <v>17388</v>
      </c>
      <c r="B347" s="31" t="s">
        <v>988</v>
      </c>
      <c r="C347" s="31" t="s">
        <v>237</v>
      </c>
      <c r="D347" s="31" t="s">
        <v>234</v>
      </c>
      <c r="E347" s="31" t="s">
        <v>680</v>
      </c>
      <c r="F347" s="32" t="s">
        <v>92</v>
      </c>
    </row>
    <row r="348" spans="1:6">
      <c r="A348" s="29">
        <v>17001</v>
      </c>
      <c r="B348" s="31" t="s">
        <v>234</v>
      </c>
      <c r="C348" s="31" t="s">
        <v>237</v>
      </c>
      <c r="D348" s="31" t="s">
        <v>234</v>
      </c>
      <c r="E348" s="31" t="s">
        <v>680</v>
      </c>
      <c r="F348" s="32" t="s">
        <v>119</v>
      </c>
    </row>
    <row r="349" spans="1:6">
      <c r="A349" s="29">
        <v>17433</v>
      </c>
      <c r="B349" s="31" t="s">
        <v>989</v>
      </c>
      <c r="C349" s="31" t="s">
        <v>237</v>
      </c>
      <c r="D349" s="31" t="s">
        <v>234</v>
      </c>
      <c r="E349" s="31" t="s">
        <v>680</v>
      </c>
      <c r="F349" s="32" t="s">
        <v>181</v>
      </c>
    </row>
    <row r="350" spans="1:6">
      <c r="A350" s="29">
        <v>17442</v>
      </c>
      <c r="B350" s="31" t="s">
        <v>990</v>
      </c>
      <c r="C350" s="31" t="s">
        <v>237</v>
      </c>
      <c r="D350" s="31" t="s">
        <v>234</v>
      </c>
      <c r="E350" s="31" t="s">
        <v>680</v>
      </c>
      <c r="F350" s="32" t="s">
        <v>92</v>
      </c>
    </row>
    <row r="351" spans="1:6">
      <c r="A351" s="29">
        <v>17444</v>
      </c>
      <c r="B351" s="31" t="s">
        <v>991</v>
      </c>
      <c r="C351" s="31" t="s">
        <v>237</v>
      </c>
      <c r="D351" s="31" t="s">
        <v>234</v>
      </c>
      <c r="E351" s="31" t="s">
        <v>680</v>
      </c>
      <c r="F351" s="32" t="s">
        <v>181</v>
      </c>
    </row>
    <row r="352" spans="1:6">
      <c r="A352" s="29">
        <v>17446</v>
      </c>
      <c r="B352" s="31" t="s">
        <v>992</v>
      </c>
      <c r="C352" s="31" t="s">
        <v>237</v>
      </c>
      <c r="D352" s="31" t="s">
        <v>234</v>
      </c>
      <c r="E352" s="31" t="s">
        <v>680</v>
      </c>
      <c r="F352" s="32" t="s">
        <v>181</v>
      </c>
    </row>
    <row r="353" spans="1:6">
      <c r="A353" s="29">
        <v>17486</v>
      </c>
      <c r="B353" s="31" t="s">
        <v>993</v>
      </c>
      <c r="C353" s="31" t="s">
        <v>237</v>
      </c>
      <c r="D353" s="31" t="s">
        <v>234</v>
      </c>
      <c r="E353" s="31" t="s">
        <v>680</v>
      </c>
      <c r="F353" s="32" t="s">
        <v>92</v>
      </c>
    </row>
    <row r="354" spans="1:6">
      <c r="A354" s="29">
        <v>17495</v>
      </c>
      <c r="B354" s="31" t="s">
        <v>994</v>
      </c>
      <c r="C354" s="31" t="s">
        <v>237</v>
      </c>
      <c r="D354" s="31" t="s">
        <v>377</v>
      </c>
      <c r="E354" s="31" t="s">
        <v>680</v>
      </c>
      <c r="F354" s="32" t="s">
        <v>109</v>
      </c>
    </row>
    <row r="355" spans="1:6">
      <c r="A355" s="29">
        <v>17513</v>
      </c>
      <c r="B355" s="31" t="s">
        <v>995</v>
      </c>
      <c r="C355" s="31" t="s">
        <v>237</v>
      </c>
      <c r="D355" s="31" t="s">
        <v>234</v>
      </c>
      <c r="E355" s="31" t="s">
        <v>680</v>
      </c>
      <c r="F355" s="32" t="s">
        <v>181</v>
      </c>
    </row>
    <row r="356" spans="1:6">
      <c r="A356" s="29">
        <v>17541</v>
      </c>
      <c r="B356" s="31" t="s">
        <v>996</v>
      </c>
      <c r="C356" s="31" t="s">
        <v>237</v>
      </c>
      <c r="D356" s="31" t="s">
        <v>234</v>
      </c>
      <c r="E356" s="31" t="s">
        <v>680</v>
      </c>
      <c r="F356" s="32" t="s">
        <v>181</v>
      </c>
    </row>
    <row r="357" spans="1:6">
      <c r="A357" s="29">
        <v>17616</v>
      </c>
      <c r="B357" s="31" t="s">
        <v>152</v>
      </c>
      <c r="C357" s="31" t="s">
        <v>237</v>
      </c>
      <c r="D357" s="31" t="s">
        <v>234</v>
      </c>
      <c r="E357" s="31" t="s">
        <v>680</v>
      </c>
      <c r="F357" s="32" t="s">
        <v>92</v>
      </c>
    </row>
    <row r="358" spans="1:6">
      <c r="A358" s="29">
        <v>17662</v>
      </c>
      <c r="B358" s="31" t="s">
        <v>997</v>
      </c>
      <c r="C358" s="31" t="s">
        <v>237</v>
      </c>
      <c r="D358" s="31" t="s">
        <v>234</v>
      </c>
      <c r="E358" s="31" t="s">
        <v>680</v>
      </c>
      <c r="F358" s="32" t="s">
        <v>109</v>
      </c>
    </row>
    <row r="359" spans="1:6">
      <c r="A359" s="29">
        <v>17665</v>
      </c>
      <c r="B359" s="31" t="s">
        <v>998</v>
      </c>
      <c r="C359" s="31" t="s">
        <v>237</v>
      </c>
      <c r="D359" s="31" t="s">
        <v>234</v>
      </c>
      <c r="E359" s="31" t="s">
        <v>680</v>
      </c>
      <c r="F359" s="32" t="s">
        <v>92</v>
      </c>
    </row>
    <row r="360" spans="1:6">
      <c r="A360" s="29">
        <v>17777</v>
      </c>
      <c r="B360" s="31" t="s">
        <v>335</v>
      </c>
      <c r="C360" s="31" t="s">
        <v>237</v>
      </c>
      <c r="D360" s="31" t="s">
        <v>234</v>
      </c>
      <c r="E360" s="31" t="s">
        <v>680</v>
      </c>
      <c r="F360" s="32" t="s">
        <v>92</v>
      </c>
    </row>
    <row r="361" spans="1:6">
      <c r="A361" s="29">
        <v>17867</v>
      </c>
      <c r="B361" s="31" t="s">
        <v>999</v>
      </c>
      <c r="C361" s="31" t="s">
        <v>237</v>
      </c>
      <c r="D361" s="31" t="s">
        <v>234</v>
      </c>
      <c r="E361" s="31" t="s">
        <v>680</v>
      </c>
      <c r="F361" s="32" t="s">
        <v>181</v>
      </c>
    </row>
    <row r="362" spans="1:6">
      <c r="A362" s="29">
        <v>17873</v>
      </c>
      <c r="B362" s="31" t="s">
        <v>1000</v>
      </c>
      <c r="C362" s="31" t="s">
        <v>237</v>
      </c>
      <c r="D362" s="31" t="s">
        <v>234</v>
      </c>
      <c r="E362" s="31" t="s">
        <v>680</v>
      </c>
      <c r="F362" s="32" t="s">
        <v>119</v>
      </c>
    </row>
    <row r="363" spans="1:6">
      <c r="A363" s="29">
        <v>17877</v>
      </c>
      <c r="B363" s="31" t="s">
        <v>1001</v>
      </c>
      <c r="C363" s="31" t="s">
        <v>237</v>
      </c>
      <c r="D363" s="31" t="s">
        <v>149</v>
      </c>
      <c r="E363" s="31" t="s">
        <v>680</v>
      </c>
      <c r="F363" s="32" t="s">
        <v>92</v>
      </c>
    </row>
    <row r="364" spans="1:6">
      <c r="A364" s="29">
        <v>18029</v>
      </c>
      <c r="B364" s="30" t="s">
        <v>1002</v>
      </c>
      <c r="C364" s="31" t="s">
        <v>103</v>
      </c>
      <c r="D364" s="31" t="s">
        <v>100</v>
      </c>
      <c r="E364" s="31" t="s">
        <v>680</v>
      </c>
      <c r="F364" s="32" t="s">
        <v>109</v>
      </c>
    </row>
    <row r="365" spans="1:6">
      <c r="A365" s="29">
        <v>18001</v>
      </c>
      <c r="B365" s="30" t="s">
        <v>590</v>
      </c>
      <c r="C365" s="31" t="s">
        <v>103</v>
      </c>
      <c r="D365" s="31" t="s">
        <v>100</v>
      </c>
      <c r="E365" s="31" t="s">
        <v>680</v>
      </c>
      <c r="F365" s="32" t="s">
        <v>109</v>
      </c>
    </row>
    <row r="366" spans="1:6">
      <c r="A366" s="29">
        <v>18592</v>
      </c>
      <c r="B366" s="30" t="s">
        <v>1003</v>
      </c>
      <c r="C366" s="31" t="s">
        <v>103</v>
      </c>
      <c r="D366" s="31" t="s">
        <v>100</v>
      </c>
      <c r="E366" s="31" t="s">
        <v>680</v>
      </c>
      <c r="F366" s="32" t="s">
        <v>126</v>
      </c>
    </row>
    <row r="367" spans="1:6">
      <c r="A367" s="29">
        <v>18860</v>
      </c>
      <c r="B367" s="30" t="s">
        <v>696</v>
      </c>
      <c r="C367" s="31" t="s">
        <v>103</v>
      </c>
      <c r="D367" s="31" t="s">
        <v>100</v>
      </c>
      <c r="E367" s="31" t="s">
        <v>680</v>
      </c>
      <c r="F367" s="32" t="s">
        <v>109</v>
      </c>
    </row>
    <row r="368" spans="1:6">
      <c r="A368" s="29">
        <v>18094</v>
      </c>
      <c r="B368" s="31" t="s">
        <v>1004</v>
      </c>
      <c r="C368" s="31" t="s">
        <v>103</v>
      </c>
      <c r="D368" s="31" t="s">
        <v>100</v>
      </c>
      <c r="E368" s="31" t="s">
        <v>680</v>
      </c>
      <c r="F368" s="32" t="s">
        <v>109</v>
      </c>
    </row>
    <row r="369" spans="1:6">
      <c r="A369" s="29">
        <v>18150</v>
      </c>
      <c r="B369" s="31" t="s">
        <v>122</v>
      </c>
      <c r="C369" s="31" t="s">
        <v>103</v>
      </c>
      <c r="D369" s="31" t="s">
        <v>100</v>
      </c>
      <c r="E369" s="31" t="s">
        <v>680</v>
      </c>
      <c r="F369" s="32" t="s">
        <v>126</v>
      </c>
    </row>
    <row r="370" spans="1:6">
      <c r="A370" s="29">
        <v>18205</v>
      </c>
      <c r="B370" s="31" t="s">
        <v>1005</v>
      </c>
      <c r="C370" s="31" t="s">
        <v>103</v>
      </c>
      <c r="D370" s="31" t="s">
        <v>100</v>
      </c>
      <c r="E370" s="31" t="s">
        <v>680</v>
      </c>
      <c r="F370" s="32" t="s">
        <v>109</v>
      </c>
    </row>
    <row r="371" spans="1:6">
      <c r="A371" s="29">
        <v>18247</v>
      </c>
      <c r="B371" s="31" t="s">
        <v>1006</v>
      </c>
      <c r="C371" s="31" t="s">
        <v>103</v>
      </c>
      <c r="D371" s="31" t="s">
        <v>100</v>
      </c>
      <c r="E371" s="31" t="s">
        <v>680</v>
      </c>
      <c r="F371" s="32" t="s">
        <v>109</v>
      </c>
    </row>
    <row r="372" spans="1:6">
      <c r="A372" s="29">
        <v>18256</v>
      </c>
      <c r="B372" s="31" t="s">
        <v>1007</v>
      </c>
      <c r="C372" s="31" t="s">
        <v>103</v>
      </c>
      <c r="D372" s="31" t="s">
        <v>100</v>
      </c>
      <c r="E372" s="31" t="s">
        <v>680</v>
      </c>
      <c r="F372" s="32" t="s">
        <v>109</v>
      </c>
    </row>
    <row r="373" spans="1:6">
      <c r="A373" s="29">
        <v>18410</v>
      </c>
      <c r="B373" s="31" t="s">
        <v>1008</v>
      </c>
      <c r="C373" s="31" t="s">
        <v>103</v>
      </c>
      <c r="D373" s="31" t="s">
        <v>100</v>
      </c>
      <c r="E373" s="31" t="s">
        <v>680</v>
      </c>
      <c r="F373" s="32" t="s">
        <v>109</v>
      </c>
    </row>
    <row r="374" spans="1:6">
      <c r="A374" s="29">
        <v>18460</v>
      </c>
      <c r="B374" s="31" t="s">
        <v>104</v>
      </c>
      <c r="C374" s="31" t="s">
        <v>103</v>
      </c>
      <c r="D374" s="31" t="s">
        <v>100</v>
      </c>
      <c r="E374" s="31" t="s">
        <v>680</v>
      </c>
      <c r="F374" s="32" t="s">
        <v>109</v>
      </c>
    </row>
    <row r="375" spans="1:6">
      <c r="A375" s="29">
        <v>18479</v>
      </c>
      <c r="B375" s="31" t="s">
        <v>1009</v>
      </c>
      <c r="C375" s="31" t="s">
        <v>103</v>
      </c>
      <c r="D375" s="31" t="s">
        <v>100</v>
      </c>
      <c r="E375" s="31" t="s">
        <v>680</v>
      </c>
      <c r="F375" s="32" t="s">
        <v>109</v>
      </c>
    </row>
    <row r="376" spans="1:6">
      <c r="A376" s="29">
        <v>18610</v>
      </c>
      <c r="B376" s="31" t="s">
        <v>1010</v>
      </c>
      <c r="C376" s="31" t="s">
        <v>103</v>
      </c>
      <c r="D376" s="31" t="s">
        <v>100</v>
      </c>
      <c r="E376" s="31" t="s">
        <v>680</v>
      </c>
      <c r="F376" s="32" t="s">
        <v>109</v>
      </c>
    </row>
    <row r="377" spans="1:6">
      <c r="A377" s="29">
        <v>18753</v>
      </c>
      <c r="B377" s="31" t="s">
        <v>1011</v>
      </c>
      <c r="C377" s="31" t="s">
        <v>103</v>
      </c>
      <c r="D377" s="31" t="s">
        <v>100</v>
      </c>
      <c r="E377" s="31" t="s">
        <v>1012</v>
      </c>
      <c r="F377" s="32" t="s">
        <v>126</v>
      </c>
    </row>
    <row r="378" spans="1:6">
      <c r="A378" s="29">
        <v>18756</v>
      </c>
      <c r="B378" s="31" t="s">
        <v>1013</v>
      </c>
      <c r="C378" s="31" t="s">
        <v>103</v>
      </c>
      <c r="D378" s="31" t="s">
        <v>100</v>
      </c>
      <c r="E378" s="31" t="s">
        <v>823</v>
      </c>
      <c r="F378" s="32" t="s">
        <v>126</v>
      </c>
    </row>
    <row r="379" spans="1:6">
      <c r="A379" s="29">
        <v>18785</v>
      </c>
      <c r="B379" s="31" t="s">
        <v>1014</v>
      </c>
      <c r="C379" s="31" t="s">
        <v>103</v>
      </c>
      <c r="D379" s="31" t="s">
        <v>100</v>
      </c>
      <c r="E379" s="31" t="s">
        <v>680</v>
      </c>
      <c r="F379" s="32" t="s">
        <v>109</v>
      </c>
    </row>
    <row r="380" spans="1:6">
      <c r="A380" s="29">
        <v>85300</v>
      </c>
      <c r="B380" s="30" t="s">
        <v>689</v>
      </c>
      <c r="C380" s="31" t="s">
        <v>1015</v>
      </c>
      <c r="D380" s="31" t="s">
        <v>923</v>
      </c>
      <c r="E380" s="31" t="s">
        <v>680</v>
      </c>
      <c r="F380" s="32" t="s">
        <v>181</v>
      </c>
    </row>
    <row r="381" spans="1:6">
      <c r="A381" s="29">
        <v>85440</v>
      </c>
      <c r="B381" s="30" t="s">
        <v>825</v>
      </c>
      <c r="C381" s="31" t="s">
        <v>1015</v>
      </c>
      <c r="D381" s="31" t="s">
        <v>158</v>
      </c>
      <c r="E381" s="31" t="s">
        <v>680</v>
      </c>
      <c r="F381" s="32" t="s">
        <v>181</v>
      </c>
    </row>
    <row r="382" spans="1:6">
      <c r="A382" s="29">
        <v>85010</v>
      </c>
      <c r="B382" s="31" t="s">
        <v>1016</v>
      </c>
      <c r="C382" s="31" t="s">
        <v>1015</v>
      </c>
      <c r="D382" s="31" t="s">
        <v>923</v>
      </c>
      <c r="E382" s="31" t="s">
        <v>680</v>
      </c>
      <c r="F382" s="32" t="s">
        <v>92</v>
      </c>
    </row>
    <row r="383" spans="1:6">
      <c r="A383" s="29">
        <v>85015</v>
      </c>
      <c r="B383" s="31" t="s">
        <v>1017</v>
      </c>
      <c r="C383" s="31" t="s">
        <v>1015</v>
      </c>
      <c r="D383" s="31" t="s">
        <v>923</v>
      </c>
      <c r="E383" s="31" t="s">
        <v>680</v>
      </c>
      <c r="F383" s="32" t="s">
        <v>109</v>
      </c>
    </row>
    <row r="384" spans="1:6">
      <c r="A384" s="29">
        <v>85125</v>
      </c>
      <c r="B384" s="31" t="s">
        <v>1018</v>
      </c>
      <c r="C384" s="31" t="s">
        <v>1015</v>
      </c>
      <c r="D384" s="31" t="s">
        <v>923</v>
      </c>
      <c r="E384" s="31" t="s">
        <v>680</v>
      </c>
      <c r="F384" s="32" t="s">
        <v>181</v>
      </c>
    </row>
    <row r="385" spans="1:6">
      <c r="A385" s="29">
        <v>85136</v>
      </c>
      <c r="B385" s="31" t="s">
        <v>1019</v>
      </c>
      <c r="C385" s="31" t="s">
        <v>1015</v>
      </c>
      <c r="D385" s="31" t="s">
        <v>923</v>
      </c>
      <c r="E385" s="31" t="s">
        <v>680</v>
      </c>
      <c r="F385" s="32" t="s">
        <v>109</v>
      </c>
    </row>
    <row r="386" spans="1:6">
      <c r="A386" s="29">
        <v>85139</v>
      </c>
      <c r="B386" s="31" t="s">
        <v>1020</v>
      </c>
      <c r="C386" s="31" t="s">
        <v>1015</v>
      </c>
      <c r="D386" s="31" t="s">
        <v>923</v>
      </c>
      <c r="E386" s="31" t="s">
        <v>680</v>
      </c>
      <c r="F386" s="32" t="s">
        <v>92</v>
      </c>
    </row>
    <row r="387" spans="1:6">
      <c r="A387" s="29">
        <v>85162</v>
      </c>
      <c r="B387" s="31" t="s">
        <v>1021</v>
      </c>
      <c r="C387" s="31" t="s">
        <v>1015</v>
      </c>
      <c r="D387" s="31" t="s">
        <v>923</v>
      </c>
      <c r="E387" s="31" t="s">
        <v>680</v>
      </c>
      <c r="F387" s="32" t="s">
        <v>92</v>
      </c>
    </row>
    <row r="388" spans="1:6">
      <c r="A388" s="29">
        <v>85225</v>
      </c>
      <c r="B388" s="31" t="s">
        <v>1022</v>
      </c>
      <c r="C388" s="31" t="s">
        <v>1015</v>
      </c>
      <c r="D388" s="31" t="s">
        <v>923</v>
      </c>
      <c r="E388" s="31" t="s">
        <v>680</v>
      </c>
      <c r="F388" s="32" t="s">
        <v>92</v>
      </c>
    </row>
    <row r="389" spans="1:6">
      <c r="A389" s="29">
        <v>85230</v>
      </c>
      <c r="B389" s="31" t="s">
        <v>1023</v>
      </c>
      <c r="C389" s="31" t="s">
        <v>1015</v>
      </c>
      <c r="D389" s="31" t="s">
        <v>923</v>
      </c>
      <c r="E389" s="31" t="s">
        <v>823</v>
      </c>
      <c r="F389" s="32" t="s">
        <v>126</v>
      </c>
    </row>
    <row r="390" spans="1:6">
      <c r="A390" s="29">
        <v>85250</v>
      </c>
      <c r="B390" s="31" t="s">
        <v>1024</v>
      </c>
      <c r="C390" s="31" t="s">
        <v>1015</v>
      </c>
      <c r="D390" s="31" t="s">
        <v>923</v>
      </c>
      <c r="E390" s="31" t="s">
        <v>680</v>
      </c>
      <c r="F390" s="32" t="s">
        <v>92</v>
      </c>
    </row>
    <row r="391" spans="1:6">
      <c r="A391" s="29">
        <v>85263</v>
      </c>
      <c r="B391" s="31" t="s">
        <v>1025</v>
      </c>
      <c r="C391" s="31" t="s">
        <v>1015</v>
      </c>
      <c r="D391" s="31" t="s">
        <v>923</v>
      </c>
      <c r="E391" s="31" t="s">
        <v>680</v>
      </c>
      <c r="F391" s="32" t="s">
        <v>92</v>
      </c>
    </row>
    <row r="392" spans="1:6">
      <c r="A392" s="29">
        <v>85279</v>
      </c>
      <c r="B392" s="31" t="s">
        <v>1026</v>
      </c>
      <c r="C392" s="31" t="s">
        <v>1015</v>
      </c>
      <c r="D392" s="31" t="s">
        <v>923</v>
      </c>
      <c r="E392" s="31" t="s">
        <v>680</v>
      </c>
      <c r="F392" s="32" t="s">
        <v>181</v>
      </c>
    </row>
    <row r="393" spans="1:6">
      <c r="A393" s="29">
        <v>85315</v>
      </c>
      <c r="B393" s="31" t="s">
        <v>1027</v>
      </c>
      <c r="C393" s="31" t="s">
        <v>1015</v>
      </c>
      <c r="D393" s="31" t="s">
        <v>923</v>
      </c>
      <c r="E393" s="31" t="s">
        <v>680</v>
      </c>
      <c r="F393" s="32" t="s">
        <v>109</v>
      </c>
    </row>
    <row r="394" spans="1:6">
      <c r="A394" s="29">
        <v>85325</v>
      </c>
      <c r="B394" s="31" t="s">
        <v>1028</v>
      </c>
      <c r="C394" s="31" t="s">
        <v>1015</v>
      </c>
      <c r="D394" s="31" t="s">
        <v>923</v>
      </c>
      <c r="E394" s="31" t="s">
        <v>680</v>
      </c>
      <c r="F394" s="32" t="s">
        <v>92</v>
      </c>
    </row>
    <row r="395" spans="1:6">
      <c r="A395" s="29">
        <v>85400</v>
      </c>
      <c r="B395" s="31" t="s">
        <v>1029</v>
      </c>
      <c r="C395" s="31" t="s">
        <v>1015</v>
      </c>
      <c r="D395" s="31" t="s">
        <v>923</v>
      </c>
      <c r="E395" s="31" t="s">
        <v>680</v>
      </c>
      <c r="F395" s="32" t="s">
        <v>181</v>
      </c>
    </row>
    <row r="396" spans="1:6">
      <c r="A396" s="29">
        <v>85410</v>
      </c>
      <c r="B396" s="31" t="s">
        <v>1030</v>
      </c>
      <c r="C396" s="31" t="s">
        <v>1015</v>
      </c>
      <c r="D396" s="31" t="s">
        <v>923</v>
      </c>
      <c r="E396" s="31" t="s">
        <v>680</v>
      </c>
      <c r="F396" s="32" t="s">
        <v>92</v>
      </c>
    </row>
    <row r="397" spans="1:6">
      <c r="A397" s="29">
        <v>85430</v>
      </c>
      <c r="B397" s="31" t="s">
        <v>1031</v>
      </c>
      <c r="C397" s="31" t="s">
        <v>1015</v>
      </c>
      <c r="D397" s="31" t="s">
        <v>923</v>
      </c>
      <c r="E397" s="31" t="s">
        <v>680</v>
      </c>
      <c r="F397" s="32" t="s">
        <v>92</v>
      </c>
    </row>
    <row r="398" spans="1:6">
      <c r="A398" s="29">
        <v>85001</v>
      </c>
      <c r="B398" s="31" t="s">
        <v>923</v>
      </c>
      <c r="C398" s="31" t="s">
        <v>1015</v>
      </c>
      <c r="D398" s="31" t="s">
        <v>923</v>
      </c>
      <c r="E398" s="31" t="s">
        <v>680</v>
      </c>
      <c r="F398" s="32" t="s">
        <v>119</v>
      </c>
    </row>
    <row r="399" spans="1:6">
      <c r="A399" s="29">
        <v>19050</v>
      </c>
      <c r="B399" s="30" t="s">
        <v>679</v>
      </c>
      <c r="C399" s="31" t="s">
        <v>175</v>
      </c>
      <c r="D399" s="31" t="s">
        <v>172</v>
      </c>
      <c r="E399" s="31" t="s">
        <v>680</v>
      </c>
      <c r="F399" s="32" t="s">
        <v>109</v>
      </c>
    </row>
    <row r="400" spans="1:6">
      <c r="A400" s="29">
        <v>19075</v>
      </c>
      <c r="B400" s="30" t="s">
        <v>1032</v>
      </c>
      <c r="C400" s="31" t="s">
        <v>175</v>
      </c>
      <c r="D400" s="31" t="s">
        <v>172</v>
      </c>
      <c r="E400" s="31" t="s">
        <v>680</v>
      </c>
      <c r="F400" s="32" t="s">
        <v>109</v>
      </c>
    </row>
    <row r="401" spans="1:6">
      <c r="A401" s="29">
        <v>19100</v>
      </c>
      <c r="B401" s="30" t="s">
        <v>469</v>
      </c>
      <c r="C401" s="31" t="s">
        <v>175</v>
      </c>
      <c r="D401" s="31" t="s">
        <v>172</v>
      </c>
      <c r="E401" s="31" t="s">
        <v>680</v>
      </c>
      <c r="F401" s="32" t="s">
        <v>109</v>
      </c>
    </row>
    <row r="402" spans="1:6">
      <c r="A402" s="29">
        <v>19256</v>
      </c>
      <c r="B402" s="30" t="s">
        <v>1033</v>
      </c>
      <c r="C402" s="31" t="s">
        <v>175</v>
      </c>
      <c r="D402" s="31" t="s">
        <v>172</v>
      </c>
      <c r="E402" s="31" t="s">
        <v>680</v>
      </c>
      <c r="F402" s="32" t="s">
        <v>181</v>
      </c>
    </row>
    <row r="403" spans="1:6">
      <c r="A403" s="29">
        <v>19290</v>
      </c>
      <c r="B403" s="30" t="s">
        <v>590</v>
      </c>
      <c r="C403" s="31" t="s">
        <v>175</v>
      </c>
      <c r="D403" s="31" t="s">
        <v>172</v>
      </c>
      <c r="E403" s="31" t="s">
        <v>680</v>
      </c>
      <c r="F403" s="32" t="s">
        <v>109</v>
      </c>
    </row>
    <row r="404" spans="1:6">
      <c r="A404" s="29">
        <v>19397</v>
      </c>
      <c r="B404" s="30" t="s">
        <v>1034</v>
      </c>
      <c r="C404" s="31" t="s">
        <v>175</v>
      </c>
      <c r="D404" s="31" t="s">
        <v>172</v>
      </c>
      <c r="E404" s="31" t="s">
        <v>680</v>
      </c>
      <c r="F404" s="32" t="s">
        <v>109</v>
      </c>
    </row>
    <row r="405" spans="1:6">
      <c r="A405" s="29">
        <v>19473</v>
      </c>
      <c r="B405" s="30" t="s">
        <v>611</v>
      </c>
      <c r="C405" s="31" t="s">
        <v>175</v>
      </c>
      <c r="D405" s="31" t="s">
        <v>172</v>
      </c>
      <c r="E405" s="31" t="s">
        <v>680</v>
      </c>
      <c r="F405" s="32" t="s">
        <v>181</v>
      </c>
    </row>
    <row r="406" spans="1:6">
      <c r="A406" s="29">
        <v>19517</v>
      </c>
      <c r="B406" s="30" t="s">
        <v>867</v>
      </c>
      <c r="C406" s="31" t="s">
        <v>175</v>
      </c>
      <c r="D406" s="31" t="s">
        <v>172</v>
      </c>
      <c r="E406" s="31" t="s">
        <v>680</v>
      </c>
      <c r="F406" s="32" t="s">
        <v>109</v>
      </c>
    </row>
    <row r="407" spans="1:6">
      <c r="A407" s="29">
        <v>19701</v>
      </c>
      <c r="B407" s="30" t="s">
        <v>824</v>
      </c>
      <c r="C407" s="31" t="s">
        <v>175</v>
      </c>
      <c r="D407" s="31" t="s">
        <v>172</v>
      </c>
      <c r="E407" s="31" t="s">
        <v>680</v>
      </c>
      <c r="F407" s="32" t="s">
        <v>109</v>
      </c>
    </row>
    <row r="408" spans="1:6">
      <c r="A408" s="29">
        <v>19780</v>
      </c>
      <c r="B408" s="30" t="s">
        <v>1035</v>
      </c>
      <c r="C408" s="31" t="s">
        <v>175</v>
      </c>
      <c r="D408" s="31" t="s">
        <v>172</v>
      </c>
      <c r="E408" s="31" t="s">
        <v>680</v>
      </c>
      <c r="F408" s="32" t="s">
        <v>181</v>
      </c>
    </row>
    <row r="409" spans="1:6">
      <c r="A409" s="29">
        <v>19785</v>
      </c>
      <c r="B409" s="30" t="s">
        <v>1036</v>
      </c>
      <c r="C409" s="31" t="s">
        <v>175</v>
      </c>
      <c r="D409" s="31" t="s">
        <v>172</v>
      </c>
      <c r="E409" s="31" t="s">
        <v>680</v>
      </c>
      <c r="F409" s="32" t="s">
        <v>109</v>
      </c>
    </row>
    <row r="410" spans="1:6">
      <c r="A410" s="29">
        <v>19022</v>
      </c>
      <c r="B410" s="31" t="s">
        <v>1037</v>
      </c>
      <c r="C410" s="31" t="s">
        <v>175</v>
      </c>
      <c r="D410" s="31" t="s">
        <v>172</v>
      </c>
      <c r="E410" s="31" t="s">
        <v>680</v>
      </c>
      <c r="F410" s="32" t="s">
        <v>109</v>
      </c>
    </row>
    <row r="411" spans="1:6">
      <c r="A411" s="29">
        <v>19110</v>
      </c>
      <c r="B411" s="31" t="s">
        <v>1038</v>
      </c>
      <c r="C411" s="31" t="s">
        <v>175</v>
      </c>
      <c r="D411" s="31" t="s">
        <v>172</v>
      </c>
      <c r="E411" s="31" t="s">
        <v>680</v>
      </c>
      <c r="F411" s="32" t="s">
        <v>92</v>
      </c>
    </row>
    <row r="412" spans="1:6">
      <c r="A412" s="29">
        <v>19130</v>
      </c>
      <c r="B412" s="31" t="s">
        <v>1039</v>
      </c>
      <c r="C412" s="31" t="s">
        <v>175</v>
      </c>
      <c r="D412" s="31" t="s">
        <v>172</v>
      </c>
      <c r="E412" s="31" t="s">
        <v>680</v>
      </c>
      <c r="F412" s="32" t="s">
        <v>181</v>
      </c>
    </row>
    <row r="413" spans="1:6">
      <c r="A413" s="29">
        <v>19137</v>
      </c>
      <c r="B413" s="31" t="s">
        <v>1040</v>
      </c>
      <c r="C413" s="31" t="s">
        <v>175</v>
      </c>
      <c r="D413" s="31" t="s">
        <v>172</v>
      </c>
      <c r="E413" s="31" t="s">
        <v>680</v>
      </c>
      <c r="F413" s="32" t="s">
        <v>181</v>
      </c>
    </row>
    <row r="414" spans="1:6">
      <c r="A414" s="29">
        <v>19142</v>
      </c>
      <c r="B414" s="31" t="s">
        <v>1041</v>
      </c>
      <c r="C414" s="31" t="s">
        <v>175</v>
      </c>
      <c r="D414" s="31" t="s">
        <v>172</v>
      </c>
      <c r="E414" s="31" t="s">
        <v>680</v>
      </c>
      <c r="F414" s="32" t="s">
        <v>92</v>
      </c>
    </row>
    <row r="415" spans="1:6">
      <c r="A415" s="29">
        <v>19212</v>
      </c>
      <c r="B415" s="31" t="s">
        <v>1042</v>
      </c>
      <c r="C415" s="31" t="s">
        <v>175</v>
      </c>
      <c r="D415" s="31" t="s">
        <v>172</v>
      </c>
      <c r="E415" s="31" t="s">
        <v>680</v>
      </c>
      <c r="F415" s="32" t="s">
        <v>181</v>
      </c>
    </row>
    <row r="416" spans="1:6">
      <c r="A416" s="29">
        <v>19300</v>
      </c>
      <c r="B416" s="31" t="s">
        <v>1043</v>
      </c>
      <c r="C416" s="31" t="s">
        <v>175</v>
      </c>
      <c r="D416" s="31" t="s">
        <v>172</v>
      </c>
      <c r="E416" s="31" t="s">
        <v>680</v>
      </c>
      <c r="F416" s="32" t="s">
        <v>92</v>
      </c>
    </row>
    <row r="417" spans="1:6">
      <c r="A417" s="29">
        <v>19318</v>
      </c>
      <c r="B417" s="31" t="s">
        <v>1044</v>
      </c>
      <c r="C417" s="31" t="s">
        <v>175</v>
      </c>
      <c r="D417" s="31" t="s">
        <v>172</v>
      </c>
      <c r="E417" s="31" t="s">
        <v>668</v>
      </c>
      <c r="F417" s="32" t="s">
        <v>126</v>
      </c>
    </row>
    <row r="418" spans="1:6">
      <c r="A418" s="29">
        <v>19355</v>
      </c>
      <c r="B418" s="31" t="s">
        <v>1045</v>
      </c>
      <c r="C418" s="31" t="s">
        <v>175</v>
      </c>
      <c r="D418" s="31" t="s">
        <v>172</v>
      </c>
      <c r="E418" s="31" t="s">
        <v>680</v>
      </c>
      <c r="F418" s="32" t="s">
        <v>109</v>
      </c>
    </row>
    <row r="419" spans="1:6">
      <c r="A419" s="29">
        <v>19364</v>
      </c>
      <c r="B419" s="31" t="s">
        <v>1046</v>
      </c>
      <c r="C419" s="31" t="s">
        <v>175</v>
      </c>
      <c r="D419" s="31" t="s">
        <v>172</v>
      </c>
      <c r="E419" s="31" t="s">
        <v>680</v>
      </c>
      <c r="F419" s="32" t="s">
        <v>181</v>
      </c>
    </row>
    <row r="420" spans="1:6">
      <c r="A420" s="29">
        <v>19392</v>
      </c>
      <c r="B420" s="31" t="s">
        <v>1047</v>
      </c>
      <c r="C420" s="31" t="s">
        <v>175</v>
      </c>
      <c r="D420" s="31" t="s">
        <v>172</v>
      </c>
      <c r="E420" s="31" t="s">
        <v>680</v>
      </c>
      <c r="F420" s="32" t="s">
        <v>181</v>
      </c>
    </row>
    <row r="421" spans="1:6">
      <c r="A421" s="29">
        <v>19418</v>
      </c>
      <c r="B421" s="31" t="s">
        <v>1048</v>
      </c>
      <c r="C421" s="31" t="s">
        <v>175</v>
      </c>
      <c r="D421" s="31" t="s">
        <v>172</v>
      </c>
      <c r="E421" s="31" t="s">
        <v>680</v>
      </c>
      <c r="F421" s="32" t="s">
        <v>109</v>
      </c>
    </row>
    <row r="422" spans="1:6">
      <c r="A422" s="29">
        <v>19450</v>
      </c>
      <c r="B422" s="31" t="s">
        <v>1049</v>
      </c>
      <c r="C422" s="31" t="s">
        <v>175</v>
      </c>
      <c r="D422" s="31" t="s">
        <v>172</v>
      </c>
      <c r="E422" s="31" t="s">
        <v>680</v>
      </c>
      <c r="F422" s="32" t="s">
        <v>109</v>
      </c>
    </row>
    <row r="423" spans="1:6">
      <c r="A423" s="29">
        <v>19455</v>
      </c>
      <c r="B423" s="31" t="s">
        <v>1050</v>
      </c>
      <c r="C423" s="31" t="s">
        <v>175</v>
      </c>
      <c r="D423" s="31" t="s">
        <v>172</v>
      </c>
      <c r="E423" s="31" t="s">
        <v>680</v>
      </c>
      <c r="F423" s="32" t="s">
        <v>181</v>
      </c>
    </row>
    <row r="424" spans="1:6">
      <c r="A424" s="29">
        <v>19513</v>
      </c>
      <c r="B424" s="31" t="s">
        <v>1051</v>
      </c>
      <c r="C424" s="31" t="s">
        <v>175</v>
      </c>
      <c r="D424" s="31" t="s">
        <v>172</v>
      </c>
      <c r="E424" s="31" t="s">
        <v>680</v>
      </c>
      <c r="F424" s="32" t="s">
        <v>92</v>
      </c>
    </row>
    <row r="425" spans="1:6">
      <c r="A425" s="29">
        <v>19532</v>
      </c>
      <c r="B425" s="31" t="s">
        <v>205</v>
      </c>
      <c r="C425" s="31" t="s">
        <v>175</v>
      </c>
      <c r="D425" s="31" t="s">
        <v>172</v>
      </c>
      <c r="E425" s="31" t="s">
        <v>680</v>
      </c>
      <c r="F425" s="32" t="s">
        <v>109</v>
      </c>
    </row>
    <row r="426" spans="1:6">
      <c r="A426" s="29">
        <v>19533</v>
      </c>
      <c r="B426" s="31" t="s">
        <v>1052</v>
      </c>
      <c r="C426" s="31" t="s">
        <v>175</v>
      </c>
      <c r="D426" s="31" t="s">
        <v>77</v>
      </c>
      <c r="E426" s="31" t="s">
        <v>823</v>
      </c>
      <c r="F426" s="32" t="s">
        <v>126</v>
      </c>
    </row>
    <row r="427" spans="1:6">
      <c r="A427" s="29">
        <v>19548</v>
      </c>
      <c r="B427" s="31" t="s">
        <v>1053</v>
      </c>
      <c r="C427" s="31" t="s">
        <v>175</v>
      </c>
      <c r="D427" s="31" t="s">
        <v>172</v>
      </c>
      <c r="E427" s="31" t="s">
        <v>680</v>
      </c>
      <c r="F427" s="32" t="s">
        <v>181</v>
      </c>
    </row>
    <row r="428" spans="1:6">
      <c r="A428" s="29">
        <v>19001</v>
      </c>
      <c r="B428" s="31" t="s">
        <v>176</v>
      </c>
      <c r="C428" s="31" t="s">
        <v>175</v>
      </c>
      <c r="D428" s="31" t="s">
        <v>172</v>
      </c>
      <c r="E428" s="31" t="s">
        <v>680</v>
      </c>
      <c r="F428" s="32" t="s">
        <v>181</v>
      </c>
    </row>
    <row r="429" spans="1:6">
      <c r="A429" s="29">
        <v>19573</v>
      </c>
      <c r="B429" s="31" t="s">
        <v>553</v>
      </c>
      <c r="C429" s="31" t="s">
        <v>175</v>
      </c>
      <c r="D429" s="31" t="s">
        <v>172</v>
      </c>
      <c r="E429" s="31" t="s">
        <v>680</v>
      </c>
      <c r="F429" s="32" t="s">
        <v>92</v>
      </c>
    </row>
    <row r="430" spans="1:6">
      <c r="A430" s="29">
        <v>19585</v>
      </c>
      <c r="B430" s="31" t="s">
        <v>1054</v>
      </c>
      <c r="C430" s="31" t="s">
        <v>175</v>
      </c>
      <c r="D430" s="31" t="s">
        <v>172</v>
      </c>
      <c r="E430" s="31" t="s">
        <v>680</v>
      </c>
      <c r="F430" s="32" t="s">
        <v>109</v>
      </c>
    </row>
    <row r="431" spans="1:6">
      <c r="A431" s="29">
        <v>19622</v>
      </c>
      <c r="B431" s="31" t="s">
        <v>1055</v>
      </c>
      <c r="C431" s="31" t="s">
        <v>175</v>
      </c>
      <c r="D431" s="31" t="s">
        <v>172</v>
      </c>
      <c r="E431" s="31" t="s">
        <v>680</v>
      </c>
      <c r="F431" s="32" t="s">
        <v>181</v>
      </c>
    </row>
    <row r="432" spans="1:6">
      <c r="A432" s="29">
        <v>19693</v>
      </c>
      <c r="B432" s="31" t="s">
        <v>1056</v>
      </c>
      <c r="C432" s="31" t="s">
        <v>175</v>
      </c>
      <c r="D432" s="31" t="s">
        <v>172</v>
      </c>
      <c r="E432" s="31" t="s">
        <v>680</v>
      </c>
      <c r="F432" s="32" t="s">
        <v>109</v>
      </c>
    </row>
    <row r="433" spans="1:6">
      <c r="A433" s="29">
        <v>19698</v>
      </c>
      <c r="B433" s="31" t="s">
        <v>1057</v>
      </c>
      <c r="C433" s="31" t="s">
        <v>175</v>
      </c>
      <c r="D433" s="31" t="s">
        <v>172</v>
      </c>
      <c r="E433" s="31" t="s">
        <v>680</v>
      </c>
      <c r="F433" s="32" t="s">
        <v>92</v>
      </c>
    </row>
    <row r="434" spans="1:6">
      <c r="A434" s="29">
        <v>19743</v>
      </c>
      <c r="B434" s="31" t="s">
        <v>1058</v>
      </c>
      <c r="C434" s="31" t="s">
        <v>175</v>
      </c>
      <c r="D434" s="31" t="s">
        <v>172</v>
      </c>
      <c r="E434" s="31" t="s">
        <v>680</v>
      </c>
      <c r="F434" s="32" t="s">
        <v>181</v>
      </c>
    </row>
    <row r="435" spans="1:6">
      <c r="A435" s="29">
        <v>19760</v>
      </c>
      <c r="B435" s="31" t="s">
        <v>1059</v>
      </c>
      <c r="C435" s="31" t="s">
        <v>175</v>
      </c>
      <c r="D435" s="31" t="s">
        <v>172</v>
      </c>
      <c r="E435" s="31" t="s">
        <v>680</v>
      </c>
      <c r="F435" s="32" t="s">
        <v>181</v>
      </c>
    </row>
    <row r="436" spans="1:6">
      <c r="A436" s="29">
        <v>19807</v>
      </c>
      <c r="B436" s="31" t="s">
        <v>1060</v>
      </c>
      <c r="C436" s="31" t="s">
        <v>175</v>
      </c>
      <c r="D436" s="31" t="s">
        <v>172</v>
      </c>
      <c r="E436" s="31" t="s">
        <v>680</v>
      </c>
      <c r="F436" s="32" t="s">
        <v>181</v>
      </c>
    </row>
    <row r="437" spans="1:6">
      <c r="A437" s="29">
        <v>19809</v>
      </c>
      <c r="B437" s="31" t="s">
        <v>1061</v>
      </c>
      <c r="C437" s="31" t="s">
        <v>175</v>
      </c>
      <c r="D437" s="31" t="s">
        <v>172</v>
      </c>
      <c r="E437" s="31" t="s">
        <v>668</v>
      </c>
      <c r="F437" s="32" t="s">
        <v>126</v>
      </c>
    </row>
    <row r="438" spans="1:6">
      <c r="A438" s="29">
        <v>19821</v>
      </c>
      <c r="B438" s="31" t="s">
        <v>1062</v>
      </c>
      <c r="C438" s="31" t="s">
        <v>175</v>
      </c>
      <c r="D438" s="31" t="s">
        <v>172</v>
      </c>
      <c r="E438" s="31" t="s">
        <v>680</v>
      </c>
      <c r="F438" s="32" t="s">
        <v>181</v>
      </c>
    </row>
    <row r="439" spans="1:6">
      <c r="A439" s="29">
        <v>19824</v>
      </c>
      <c r="B439" s="31" t="s">
        <v>1063</v>
      </c>
      <c r="C439" s="31" t="s">
        <v>175</v>
      </c>
      <c r="D439" s="31" t="s">
        <v>172</v>
      </c>
      <c r="E439" s="31" t="s">
        <v>680</v>
      </c>
      <c r="F439" s="32" t="s">
        <v>181</v>
      </c>
    </row>
    <row r="440" spans="1:6">
      <c r="A440" s="29">
        <v>19845</v>
      </c>
      <c r="B440" s="31" t="s">
        <v>1064</v>
      </c>
      <c r="C440" s="31" t="s">
        <v>175</v>
      </c>
      <c r="D440" s="31" t="s">
        <v>172</v>
      </c>
      <c r="E440" s="31" t="s">
        <v>680</v>
      </c>
      <c r="F440" s="32" t="s">
        <v>109</v>
      </c>
    </row>
    <row r="441" spans="1:6">
      <c r="A441" s="29">
        <v>20621</v>
      </c>
      <c r="B441" s="30" t="s">
        <v>1065</v>
      </c>
      <c r="C441" s="31" t="s">
        <v>478</v>
      </c>
      <c r="D441" s="31" t="s">
        <v>475</v>
      </c>
      <c r="E441" s="31" t="s">
        <v>680</v>
      </c>
      <c r="F441" s="32" t="s">
        <v>92</v>
      </c>
    </row>
    <row r="442" spans="1:6">
      <c r="A442" s="29">
        <v>20443</v>
      </c>
      <c r="B442" s="30" t="s">
        <v>1066</v>
      </c>
      <c r="C442" s="31" t="s">
        <v>478</v>
      </c>
      <c r="D442" s="31" t="s">
        <v>475</v>
      </c>
      <c r="E442" s="31" t="s">
        <v>680</v>
      </c>
      <c r="F442" s="32" t="s">
        <v>92</v>
      </c>
    </row>
    <row r="443" spans="1:6">
      <c r="A443" s="29">
        <v>20770</v>
      </c>
      <c r="B443" s="30" t="s">
        <v>1067</v>
      </c>
      <c r="C443" s="31" t="s">
        <v>478</v>
      </c>
      <c r="D443" s="31" t="s">
        <v>142</v>
      </c>
      <c r="E443" s="31" t="s">
        <v>680</v>
      </c>
      <c r="F443" s="32" t="s">
        <v>181</v>
      </c>
    </row>
    <row r="444" spans="1:6">
      <c r="A444" s="29">
        <v>20011</v>
      </c>
      <c r="B444" s="31" t="s">
        <v>1068</v>
      </c>
      <c r="C444" s="31" t="s">
        <v>478</v>
      </c>
      <c r="D444" s="31" t="s">
        <v>475</v>
      </c>
      <c r="E444" s="31" t="s">
        <v>680</v>
      </c>
      <c r="F444" s="32" t="s">
        <v>109</v>
      </c>
    </row>
    <row r="445" spans="1:6">
      <c r="A445" s="29">
        <v>20013</v>
      </c>
      <c r="B445" s="31" t="s">
        <v>1069</v>
      </c>
      <c r="C445" s="31" t="s">
        <v>478</v>
      </c>
      <c r="D445" s="31" t="s">
        <v>475</v>
      </c>
      <c r="E445" s="31" t="s">
        <v>680</v>
      </c>
      <c r="F445" s="32" t="s">
        <v>92</v>
      </c>
    </row>
    <row r="446" spans="1:6">
      <c r="A446" s="29">
        <v>20032</v>
      </c>
      <c r="B446" s="31" t="s">
        <v>1070</v>
      </c>
      <c r="C446" s="31" t="s">
        <v>478</v>
      </c>
      <c r="D446" s="31" t="s">
        <v>475</v>
      </c>
      <c r="E446" s="31" t="s">
        <v>680</v>
      </c>
      <c r="F446" s="32" t="s">
        <v>181</v>
      </c>
    </row>
    <row r="447" spans="1:6">
      <c r="A447" s="29">
        <v>20045</v>
      </c>
      <c r="B447" s="31" t="s">
        <v>1071</v>
      </c>
      <c r="C447" s="31" t="s">
        <v>478</v>
      </c>
      <c r="D447" s="31" t="s">
        <v>475</v>
      </c>
      <c r="E447" s="31" t="s">
        <v>680</v>
      </c>
      <c r="F447" s="32" t="s">
        <v>92</v>
      </c>
    </row>
    <row r="448" spans="1:6">
      <c r="A448" s="29">
        <v>20060</v>
      </c>
      <c r="B448" s="31" t="s">
        <v>1072</v>
      </c>
      <c r="C448" s="31" t="s">
        <v>478</v>
      </c>
      <c r="D448" s="31" t="s">
        <v>475</v>
      </c>
      <c r="E448" s="31" t="s">
        <v>680</v>
      </c>
      <c r="F448" s="32" t="s">
        <v>92</v>
      </c>
    </row>
    <row r="449" spans="1:6">
      <c r="A449" s="29">
        <v>20175</v>
      </c>
      <c r="B449" s="31" t="s">
        <v>1073</v>
      </c>
      <c r="C449" s="31" t="s">
        <v>478</v>
      </c>
      <c r="D449" s="31" t="s">
        <v>475</v>
      </c>
      <c r="E449" s="31" t="s">
        <v>680</v>
      </c>
      <c r="F449" s="32" t="s">
        <v>109</v>
      </c>
    </row>
    <row r="450" spans="1:6">
      <c r="A450" s="29">
        <v>20178</v>
      </c>
      <c r="B450" s="31" t="s">
        <v>1074</v>
      </c>
      <c r="C450" s="31" t="s">
        <v>478</v>
      </c>
      <c r="D450" s="31" t="s">
        <v>475</v>
      </c>
      <c r="E450" s="31" t="s">
        <v>680</v>
      </c>
      <c r="F450" s="32" t="s">
        <v>181</v>
      </c>
    </row>
    <row r="451" spans="1:6">
      <c r="A451" s="29">
        <v>20228</v>
      </c>
      <c r="B451" s="31" t="s">
        <v>1075</v>
      </c>
      <c r="C451" s="31" t="s">
        <v>478</v>
      </c>
      <c r="D451" s="31" t="s">
        <v>475</v>
      </c>
      <c r="E451" s="31" t="s">
        <v>680</v>
      </c>
      <c r="F451" s="32" t="s">
        <v>181</v>
      </c>
    </row>
    <row r="452" spans="1:6">
      <c r="A452" s="29">
        <v>20238</v>
      </c>
      <c r="B452" s="31" t="s">
        <v>1076</v>
      </c>
      <c r="C452" s="31" t="s">
        <v>478</v>
      </c>
      <c r="D452" s="31" t="s">
        <v>475</v>
      </c>
      <c r="E452" s="31" t="s">
        <v>680</v>
      </c>
      <c r="F452" s="32" t="s">
        <v>92</v>
      </c>
    </row>
    <row r="453" spans="1:6">
      <c r="A453" s="29">
        <v>20250</v>
      </c>
      <c r="B453" s="31" t="s">
        <v>1077</v>
      </c>
      <c r="C453" s="31" t="s">
        <v>478</v>
      </c>
      <c r="D453" s="31" t="s">
        <v>475</v>
      </c>
      <c r="E453" s="31" t="s">
        <v>680</v>
      </c>
      <c r="F453" s="32" t="s">
        <v>181</v>
      </c>
    </row>
    <row r="454" spans="1:6">
      <c r="A454" s="29">
        <v>20295</v>
      </c>
      <c r="B454" s="31" t="s">
        <v>1078</v>
      </c>
      <c r="C454" s="31" t="s">
        <v>478</v>
      </c>
      <c r="D454" s="31" t="s">
        <v>475</v>
      </c>
      <c r="E454" s="31" t="s">
        <v>680</v>
      </c>
      <c r="F454" s="32" t="s">
        <v>109</v>
      </c>
    </row>
    <row r="455" spans="1:6">
      <c r="A455" s="29">
        <v>20310</v>
      </c>
      <c r="B455" s="31" t="s">
        <v>1079</v>
      </c>
      <c r="C455" s="31" t="s">
        <v>478</v>
      </c>
      <c r="D455" s="31" t="s">
        <v>475</v>
      </c>
      <c r="E455" s="31" t="s">
        <v>680</v>
      </c>
      <c r="F455" s="32" t="s">
        <v>109</v>
      </c>
    </row>
    <row r="456" spans="1:6">
      <c r="A456" s="29">
        <v>20383</v>
      </c>
      <c r="B456" s="31" t="s">
        <v>1080</v>
      </c>
      <c r="C456" s="31" t="s">
        <v>478</v>
      </c>
      <c r="D456" s="31" t="s">
        <v>475</v>
      </c>
      <c r="E456" s="31" t="s">
        <v>680</v>
      </c>
      <c r="F456" s="32" t="s">
        <v>109</v>
      </c>
    </row>
    <row r="457" spans="1:6">
      <c r="A457" s="29">
        <v>20400</v>
      </c>
      <c r="B457" s="31" t="s">
        <v>1081</v>
      </c>
      <c r="C457" s="31" t="s">
        <v>478</v>
      </c>
      <c r="D457" s="31" t="s">
        <v>475</v>
      </c>
      <c r="E457" s="31" t="s">
        <v>680</v>
      </c>
      <c r="F457" s="32" t="s">
        <v>181</v>
      </c>
    </row>
    <row r="458" spans="1:6">
      <c r="A458" s="29">
        <v>20517</v>
      </c>
      <c r="B458" s="31" t="s">
        <v>479</v>
      </c>
      <c r="C458" s="31" t="s">
        <v>478</v>
      </c>
      <c r="D458" s="31" t="s">
        <v>475</v>
      </c>
      <c r="E458" s="31" t="s">
        <v>680</v>
      </c>
      <c r="F458" s="32" t="s">
        <v>109</v>
      </c>
    </row>
    <row r="459" spans="1:6">
      <c r="A459" s="29">
        <v>20550</v>
      </c>
      <c r="B459" s="31" t="s">
        <v>1082</v>
      </c>
      <c r="C459" s="31" t="s">
        <v>478</v>
      </c>
      <c r="D459" s="31" t="s">
        <v>475</v>
      </c>
      <c r="E459" s="31" t="s">
        <v>680</v>
      </c>
      <c r="F459" s="32" t="s">
        <v>109</v>
      </c>
    </row>
    <row r="460" spans="1:6">
      <c r="A460" s="29">
        <v>20570</v>
      </c>
      <c r="B460" s="31" t="s">
        <v>1083</v>
      </c>
      <c r="C460" s="31" t="s">
        <v>478</v>
      </c>
      <c r="D460" s="31" t="s">
        <v>475</v>
      </c>
      <c r="E460" s="31" t="s">
        <v>680</v>
      </c>
      <c r="F460" s="32" t="s">
        <v>181</v>
      </c>
    </row>
    <row r="461" spans="1:6">
      <c r="A461" s="29">
        <v>20614</v>
      </c>
      <c r="B461" s="31" t="s">
        <v>1084</v>
      </c>
      <c r="C461" s="31" t="s">
        <v>478</v>
      </c>
      <c r="D461" s="31" t="s">
        <v>475</v>
      </c>
      <c r="E461" s="31" t="s">
        <v>680</v>
      </c>
      <c r="F461" s="32" t="s">
        <v>109</v>
      </c>
    </row>
    <row r="462" spans="1:6">
      <c r="A462" s="29">
        <v>20710</v>
      </c>
      <c r="B462" s="31" t="s">
        <v>1085</v>
      </c>
      <c r="C462" s="31" t="s">
        <v>478</v>
      </c>
      <c r="D462" s="31" t="s">
        <v>142</v>
      </c>
      <c r="E462" s="31" t="s">
        <v>680</v>
      </c>
      <c r="F462" s="32" t="s">
        <v>181</v>
      </c>
    </row>
    <row r="463" spans="1:6">
      <c r="A463" s="29">
        <v>20750</v>
      </c>
      <c r="B463" s="31" t="s">
        <v>1086</v>
      </c>
      <c r="C463" s="31" t="s">
        <v>478</v>
      </c>
      <c r="D463" s="31" t="s">
        <v>475</v>
      </c>
      <c r="E463" s="31" t="s">
        <v>680</v>
      </c>
      <c r="F463" s="32" t="s">
        <v>92</v>
      </c>
    </row>
    <row r="464" spans="1:6">
      <c r="A464" s="29">
        <v>20787</v>
      </c>
      <c r="B464" s="31" t="s">
        <v>1087</v>
      </c>
      <c r="C464" s="31" t="s">
        <v>478</v>
      </c>
      <c r="D464" s="31" t="s">
        <v>475</v>
      </c>
      <c r="E464" s="31" t="s">
        <v>680</v>
      </c>
      <c r="F464" s="32" t="s">
        <v>109</v>
      </c>
    </row>
    <row r="465" spans="1:6">
      <c r="A465" s="29">
        <v>20001</v>
      </c>
      <c r="B465" s="31" t="s">
        <v>475</v>
      </c>
      <c r="C465" s="31" t="s">
        <v>478</v>
      </c>
      <c r="D465" s="31" t="s">
        <v>475</v>
      </c>
      <c r="E465" s="31" t="s">
        <v>680</v>
      </c>
      <c r="F465" s="32" t="s">
        <v>119</v>
      </c>
    </row>
    <row r="466" spans="1:6">
      <c r="A466" s="29">
        <v>27615</v>
      </c>
      <c r="B466" s="30" t="s">
        <v>979</v>
      </c>
      <c r="C466" s="31" t="s">
        <v>490</v>
      </c>
      <c r="D466" s="31" t="s">
        <v>272</v>
      </c>
      <c r="E466" s="31" t="s">
        <v>823</v>
      </c>
      <c r="F466" s="32" t="s">
        <v>126</v>
      </c>
    </row>
    <row r="467" spans="1:6">
      <c r="A467" s="29">
        <v>27006</v>
      </c>
      <c r="B467" s="31" t="s">
        <v>1088</v>
      </c>
      <c r="C467" s="31" t="s">
        <v>490</v>
      </c>
      <c r="D467" s="31" t="s">
        <v>272</v>
      </c>
      <c r="E467" s="31" t="s">
        <v>668</v>
      </c>
      <c r="F467" s="32" t="s">
        <v>126</v>
      </c>
    </row>
    <row r="468" spans="1:6">
      <c r="A468" s="29">
        <v>27025</v>
      </c>
      <c r="B468" s="31" t="s">
        <v>1089</v>
      </c>
      <c r="C468" s="31" t="s">
        <v>490</v>
      </c>
      <c r="D468" s="31" t="s">
        <v>285</v>
      </c>
      <c r="E468" s="31" t="s">
        <v>668</v>
      </c>
      <c r="F468" s="32" t="s">
        <v>126</v>
      </c>
    </row>
    <row r="469" spans="1:6">
      <c r="A469" s="29">
        <v>27050</v>
      </c>
      <c r="B469" s="31" t="s">
        <v>1090</v>
      </c>
      <c r="C469" s="31" t="s">
        <v>490</v>
      </c>
      <c r="D469" s="31" t="s">
        <v>272</v>
      </c>
      <c r="E469" s="31" t="s">
        <v>1012</v>
      </c>
      <c r="F469" s="32" t="s">
        <v>126</v>
      </c>
    </row>
    <row r="470" spans="1:6">
      <c r="A470" s="29">
        <v>27073</v>
      </c>
      <c r="B470" s="31" t="s">
        <v>1091</v>
      </c>
      <c r="C470" s="31" t="s">
        <v>490</v>
      </c>
      <c r="D470" s="31" t="s">
        <v>285</v>
      </c>
      <c r="E470" s="31" t="s">
        <v>668</v>
      </c>
      <c r="F470" s="32" t="s">
        <v>126</v>
      </c>
    </row>
    <row r="471" spans="1:6">
      <c r="A471" s="29">
        <v>27075</v>
      </c>
      <c r="B471" s="31" t="s">
        <v>1092</v>
      </c>
      <c r="C471" s="31" t="s">
        <v>490</v>
      </c>
      <c r="D471" s="31" t="s">
        <v>285</v>
      </c>
      <c r="E471" s="31" t="s">
        <v>668</v>
      </c>
      <c r="F471" s="32" t="s">
        <v>126</v>
      </c>
    </row>
    <row r="472" spans="1:6">
      <c r="A472" s="29">
        <v>27077</v>
      </c>
      <c r="B472" s="31" t="s">
        <v>1093</v>
      </c>
      <c r="C472" s="31" t="s">
        <v>490</v>
      </c>
      <c r="D472" s="31" t="s">
        <v>272</v>
      </c>
      <c r="E472" s="31" t="s">
        <v>668</v>
      </c>
      <c r="F472" s="32" t="s">
        <v>126</v>
      </c>
    </row>
    <row r="473" spans="1:6">
      <c r="A473" s="29">
        <v>27086</v>
      </c>
      <c r="B473" s="31" t="s">
        <v>1094</v>
      </c>
      <c r="C473" s="31" t="s">
        <v>490</v>
      </c>
      <c r="D473" s="31" t="s">
        <v>272</v>
      </c>
      <c r="E473" s="31" t="s">
        <v>680</v>
      </c>
      <c r="F473" s="32" t="s">
        <v>109</v>
      </c>
    </row>
    <row r="474" spans="1:6">
      <c r="A474" s="29">
        <v>27099</v>
      </c>
      <c r="B474" s="31" t="s">
        <v>1095</v>
      </c>
      <c r="C474" s="31" t="s">
        <v>490</v>
      </c>
      <c r="D474" s="31" t="s">
        <v>285</v>
      </c>
      <c r="E474" s="31" t="s">
        <v>668</v>
      </c>
      <c r="F474" s="32" t="s">
        <v>126</v>
      </c>
    </row>
    <row r="475" spans="1:6">
      <c r="A475" s="29">
        <v>27150</v>
      </c>
      <c r="B475" s="31" t="s">
        <v>1096</v>
      </c>
      <c r="C475" s="31" t="s">
        <v>490</v>
      </c>
      <c r="D475" s="31" t="s">
        <v>272</v>
      </c>
      <c r="E475" s="31" t="s">
        <v>680</v>
      </c>
      <c r="F475" s="32" t="s">
        <v>109</v>
      </c>
    </row>
    <row r="476" spans="1:6">
      <c r="A476" s="29">
        <v>27160</v>
      </c>
      <c r="B476" s="31" t="s">
        <v>1097</v>
      </c>
      <c r="C476" s="31" t="s">
        <v>490</v>
      </c>
      <c r="D476" s="31" t="s">
        <v>272</v>
      </c>
      <c r="E476" s="31" t="s">
        <v>680</v>
      </c>
      <c r="F476" s="32" t="s">
        <v>109</v>
      </c>
    </row>
    <row r="477" spans="1:6">
      <c r="A477" s="29">
        <v>27205</v>
      </c>
      <c r="B477" s="31" t="s">
        <v>491</v>
      </c>
      <c r="C477" s="31" t="s">
        <v>490</v>
      </c>
      <c r="D477" s="31" t="s">
        <v>285</v>
      </c>
      <c r="E477" s="31" t="s">
        <v>668</v>
      </c>
      <c r="F477" s="32" t="s">
        <v>126</v>
      </c>
    </row>
    <row r="478" spans="1:6">
      <c r="A478" s="29">
        <v>27135</v>
      </c>
      <c r="B478" s="31" t="s">
        <v>1098</v>
      </c>
      <c r="C478" s="31" t="s">
        <v>490</v>
      </c>
      <c r="D478" s="31" t="s">
        <v>272</v>
      </c>
      <c r="E478" s="31" t="s">
        <v>680</v>
      </c>
      <c r="F478" s="32" t="s">
        <v>109</v>
      </c>
    </row>
    <row r="479" spans="1:6">
      <c r="A479" s="29">
        <v>27245</v>
      </c>
      <c r="B479" s="31" t="s">
        <v>1099</v>
      </c>
      <c r="C479" s="31" t="s">
        <v>490</v>
      </c>
      <c r="D479" s="31" t="s">
        <v>285</v>
      </c>
      <c r="E479" s="31" t="s">
        <v>680</v>
      </c>
      <c r="F479" s="32" t="s">
        <v>109</v>
      </c>
    </row>
    <row r="480" spans="1:6">
      <c r="A480" s="29">
        <v>27250</v>
      </c>
      <c r="B480" s="31" t="s">
        <v>1100</v>
      </c>
      <c r="C480" s="31" t="s">
        <v>490</v>
      </c>
      <c r="D480" s="31" t="s">
        <v>172</v>
      </c>
      <c r="E480" s="31" t="s">
        <v>1101</v>
      </c>
      <c r="F480" s="32" t="s">
        <v>126</v>
      </c>
    </row>
    <row r="481" spans="1:6">
      <c r="A481" s="29">
        <v>27361</v>
      </c>
      <c r="B481" s="31" t="s">
        <v>1102</v>
      </c>
      <c r="C481" s="31" t="s">
        <v>490</v>
      </c>
      <c r="D481" s="31" t="s">
        <v>285</v>
      </c>
      <c r="E481" s="31" t="s">
        <v>668</v>
      </c>
      <c r="F481" s="32" t="s">
        <v>126</v>
      </c>
    </row>
    <row r="482" spans="1:6">
      <c r="A482" s="29">
        <v>27372</v>
      </c>
      <c r="B482" s="31" t="s">
        <v>1103</v>
      </c>
      <c r="C482" s="31" t="s">
        <v>490</v>
      </c>
      <c r="D482" s="31" t="s">
        <v>272</v>
      </c>
      <c r="E482" s="31" t="s">
        <v>752</v>
      </c>
      <c r="F482" s="32" t="s">
        <v>126</v>
      </c>
    </row>
    <row r="483" spans="1:6">
      <c r="A483" s="29">
        <v>27413</v>
      </c>
      <c r="B483" s="31" t="s">
        <v>1104</v>
      </c>
      <c r="C483" s="31" t="s">
        <v>490</v>
      </c>
      <c r="D483" s="31" t="s">
        <v>272</v>
      </c>
      <c r="E483" s="31" t="s">
        <v>680</v>
      </c>
      <c r="F483" s="32" t="s">
        <v>109</v>
      </c>
    </row>
    <row r="484" spans="1:6">
      <c r="A484" s="29">
        <v>27425</v>
      </c>
      <c r="B484" s="31" t="s">
        <v>1105</v>
      </c>
      <c r="C484" s="31" t="s">
        <v>490</v>
      </c>
      <c r="D484" s="31" t="s">
        <v>272</v>
      </c>
      <c r="E484" s="31" t="s">
        <v>680</v>
      </c>
      <c r="F484" s="32" t="s">
        <v>109</v>
      </c>
    </row>
    <row r="485" spans="1:6">
      <c r="A485" s="29">
        <v>27430</v>
      </c>
      <c r="B485" s="31" t="s">
        <v>1106</v>
      </c>
      <c r="C485" s="31" t="s">
        <v>490</v>
      </c>
      <c r="D485" s="31" t="s">
        <v>272</v>
      </c>
      <c r="E485" s="31" t="s">
        <v>680</v>
      </c>
      <c r="F485" s="32" t="s">
        <v>109</v>
      </c>
    </row>
    <row r="486" spans="1:6">
      <c r="A486" s="29">
        <v>27450</v>
      </c>
      <c r="B486" s="31" t="s">
        <v>1107</v>
      </c>
      <c r="C486" s="31" t="s">
        <v>490</v>
      </c>
      <c r="D486" s="31" t="s">
        <v>272</v>
      </c>
      <c r="E486" s="31" t="s">
        <v>680</v>
      </c>
      <c r="F486" s="32" t="s">
        <v>109</v>
      </c>
    </row>
    <row r="487" spans="1:6">
      <c r="A487" s="29">
        <v>27491</v>
      </c>
      <c r="B487" s="31" t="s">
        <v>1108</v>
      </c>
      <c r="C487" s="31" t="s">
        <v>490</v>
      </c>
      <c r="D487" s="31" t="s">
        <v>285</v>
      </c>
      <c r="E487" s="31" t="s">
        <v>668</v>
      </c>
      <c r="F487" s="32" t="s">
        <v>126</v>
      </c>
    </row>
    <row r="488" spans="1:6">
      <c r="A488" s="29">
        <v>27495</v>
      </c>
      <c r="B488" s="31" t="s">
        <v>1109</v>
      </c>
      <c r="C488" s="31" t="s">
        <v>490</v>
      </c>
      <c r="D488" s="31" t="s">
        <v>285</v>
      </c>
      <c r="E488" s="31" t="s">
        <v>668</v>
      </c>
      <c r="F488" s="32" t="s">
        <v>126</v>
      </c>
    </row>
    <row r="489" spans="1:6">
      <c r="A489" s="29">
        <v>27001</v>
      </c>
      <c r="B489" s="31" t="s">
        <v>1110</v>
      </c>
      <c r="C489" s="31" t="s">
        <v>490</v>
      </c>
      <c r="D489" s="31" t="s">
        <v>285</v>
      </c>
      <c r="E489" s="31" t="s">
        <v>668</v>
      </c>
      <c r="F489" s="32" t="s">
        <v>126</v>
      </c>
    </row>
    <row r="490" spans="1:6">
      <c r="A490" s="29">
        <v>27580</v>
      </c>
      <c r="B490" s="31" t="s">
        <v>1111</v>
      </c>
      <c r="C490" s="31" t="s">
        <v>490</v>
      </c>
      <c r="D490" s="31" t="s">
        <v>272</v>
      </c>
      <c r="E490" s="31" t="s">
        <v>680</v>
      </c>
      <c r="F490" s="32" t="s">
        <v>109</v>
      </c>
    </row>
    <row r="491" spans="1:6">
      <c r="A491" s="29">
        <v>27600</v>
      </c>
      <c r="B491" s="31" t="s">
        <v>1112</v>
      </c>
      <c r="C491" s="31" t="s">
        <v>490</v>
      </c>
      <c r="D491" s="31" t="s">
        <v>285</v>
      </c>
      <c r="E491" s="31" t="s">
        <v>668</v>
      </c>
      <c r="F491" s="32" t="s">
        <v>126</v>
      </c>
    </row>
    <row r="492" spans="1:6">
      <c r="A492" s="29">
        <v>27660</v>
      </c>
      <c r="B492" s="31" t="s">
        <v>1113</v>
      </c>
      <c r="C492" s="31" t="s">
        <v>490</v>
      </c>
      <c r="D492" s="31" t="s">
        <v>149</v>
      </c>
      <c r="E492" s="31" t="s">
        <v>680</v>
      </c>
      <c r="F492" s="32" t="s">
        <v>109</v>
      </c>
    </row>
    <row r="493" spans="1:6">
      <c r="A493" s="29">
        <v>27745</v>
      </c>
      <c r="B493" s="31" t="s">
        <v>1114</v>
      </c>
      <c r="C493" s="31" t="s">
        <v>490</v>
      </c>
      <c r="D493" s="31" t="s">
        <v>285</v>
      </c>
      <c r="E493" s="31" t="s">
        <v>668</v>
      </c>
      <c r="F493" s="32" t="s">
        <v>126</v>
      </c>
    </row>
    <row r="494" spans="1:6">
      <c r="A494" s="29">
        <v>27787</v>
      </c>
      <c r="B494" s="31" t="s">
        <v>1115</v>
      </c>
      <c r="C494" s="31" t="s">
        <v>490</v>
      </c>
      <c r="D494" s="31" t="s">
        <v>285</v>
      </c>
      <c r="E494" s="31" t="s">
        <v>668</v>
      </c>
      <c r="F494" s="32" t="s">
        <v>126</v>
      </c>
    </row>
    <row r="495" spans="1:6">
      <c r="A495" s="29">
        <v>27800</v>
      </c>
      <c r="B495" s="31" t="s">
        <v>1116</v>
      </c>
      <c r="C495" s="31" t="s">
        <v>490</v>
      </c>
      <c r="D495" s="31" t="s">
        <v>272</v>
      </c>
      <c r="E495" s="31" t="s">
        <v>752</v>
      </c>
      <c r="F495" s="32" t="s">
        <v>126</v>
      </c>
    </row>
    <row r="496" spans="1:6">
      <c r="A496" s="29">
        <v>27810</v>
      </c>
      <c r="B496" s="31" t="s">
        <v>1117</v>
      </c>
      <c r="C496" s="31" t="s">
        <v>490</v>
      </c>
      <c r="D496" s="31" t="s">
        <v>272</v>
      </c>
      <c r="E496" s="31" t="s">
        <v>680</v>
      </c>
      <c r="F496" s="32" t="s">
        <v>109</v>
      </c>
    </row>
    <row r="497" spans="1:6">
      <c r="A497" s="29">
        <v>23079</v>
      </c>
      <c r="B497" s="30" t="s">
        <v>864</v>
      </c>
      <c r="C497" s="31" t="s">
        <v>168</v>
      </c>
      <c r="D497" s="31" t="s">
        <v>165</v>
      </c>
      <c r="E497" s="31" t="s">
        <v>680</v>
      </c>
      <c r="F497" s="32" t="s">
        <v>92</v>
      </c>
    </row>
    <row r="498" spans="1:6">
      <c r="A498" s="29">
        <v>23168</v>
      </c>
      <c r="B498" s="30" t="s">
        <v>1118</v>
      </c>
      <c r="C498" s="31" t="s">
        <v>168</v>
      </c>
      <c r="D498" s="31" t="s">
        <v>165</v>
      </c>
      <c r="E498" s="31" t="s">
        <v>680</v>
      </c>
      <c r="F498" s="32" t="s">
        <v>181</v>
      </c>
    </row>
    <row r="499" spans="1:6">
      <c r="A499" s="29">
        <v>23678</v>
      </c>
      <c r="B499" s="30" t="s">
        <v>690</v>
      </c>
      <c r="C499" s="31" t="s">
        <v>168</v>
      </c>
      <c r="D499" s="31" t="s">
        <v>165</v>
      </c>
      <c r="E499" s="31" t="s">
        <v>680</v>
      </c>
      <c r="F499" s="32" t="s">
        <v>92</v>
      </c>
    </row>
    <row r="500" spans="1:6">
      <c r="A500" s="29">
        <v>23068</v>
      </c>
      <c r="B500" s="31" t="s">
        <v>578</v>
      </c>
      <c r="C500" s="31" t="s">
        <v>168</v>
      </c>
      <c r="D500" s="31" t="s">
        <v>165</v>
      </c>
      <c r="E500" s="31" t="s">
        <v>680</v>
      </c>
      <c r="F500" s="32" t="s">
        <v>181</v>
      </c>
    </row>
    <row r="501" spans="1:6">
      <c r="A501" s="29">
        <v>23090</v>
      </c>
      <c r="B501" s="31" t="s">
        <v>1119</v>
      </c>
      <c r="C501" s="31" t="s">
        <v>168</v>
      </c>
      <c r="D501" s="31" t="s">
        <v>165</v>
      </c>
      <c r="E501" s="31" t="s">
        <v>680</v>
      </c>
      <c r="F501" s="32" t="s">
        <v>92</v>
      </c>
    </row>
    <row r="502" spans="1:6">
      <c r="A502" s="29">
        <v>23162</v>
      </c>
      <c r="B502" s="31" t="s">
        <v>1120</v>
      </c>
      <c r="C502" s="31" t="s">
        <v>168</v>
      </c>
      <c r="D502" s="31" t="s">
        <v>165</v>
      </c>
      <c r="E502" s="31" t="s">
        <v>680</v>
      </c>
      <c r="F502" s="32" t="s">
        <v>119</v>
      </c>
    </row>
    <row r="503" spans="1:6">
      <c r="A503" s="29">
        <v>23182</v>
      </c>
      <c r="B503" s="31" t="s">
        <v>1121</v>
      </c>
      <c r="C503" s="31" t="s">
        <v>168</v>
      </c>
      <c r="D503" s="31" t="s">
        <v>165</v>
      </c>
      <c r="E503" s="31" t="s">
        <v>680</v>
      </c>
      <c r="F503" s="32" t="s">
        <v>92</v>
      </c>
    </row>
    <row r="504" spans="1:6">
      <c r="A504" s="29">
        <v>23189</v>
      </c>
      <c r="B504" s="31" t="s">
        <v>1122</v>
      </c>
      <c r="C504" s="31" t="s">
        <v>168</v>
      </c>
      <c r="D504" s="31" t="s">
        <v>165</v>
      </c>
      <c r="E504" s="31" t="s">
        <v>680</v>
      </c>
      <c r="F504" s="32" t="s">
        <v>92</v>
      </c>
    </row>
    <row r="505" spans="1:6">
      <c r="A505" s="29">
        <v>23300</v>
      </c>
      <c r="B505" s="31" t="s">
        <v>1123</v>
      </c>
      <c r="C505" s="31" t="s">
        <v>168</v>
      </c>
      <c r="D505" s="31" t="s">
        <v>165</v>
      </c>
      <c r="E505" s="31" t="s">
        <v>680</v>
      </c>
      <c r="F505" s="32" t="s">
        <v>92</v>
      </c>
    </row>
    <row r="506" spans="1:6">
      <c r="A506" s="29">
        <v>23350</v>
      </c>
      <c r="B506" s="31" t="s">
        <v>1124</v>
      </c>
      <c r="C506" s="31" t="s">
        <v>168</v>
      </c>
      <c r="D506" s="31" t="s">
        <v>165</v>
      </c>
      <c r="E506" s="31" t="s">
        <v>680</v>
      </c>
      <c r="F506" s="32" t="s">
        <v>92</v>
      </c>
    </row>
    <row r="507" spans="1:6">
      <c r="A507" s="29">
        <v>23417</v>
      </c>
      <c r="B507" s="31" t="s">
        <v>1125</v>
      </c>
      <c r="C507" s="31" t="s">
        <v>168</v>
      </c>
      <c r="D507" s="31" t="s">
        <v>165</v>
      </c>
      <c r="E507" s="31" t="s">
        <v>680</v>
      </c>
      <c r="F507" s="32" t="s">
        <v>92</v>
      </c>
    </row>
    <row r="508" spans="1:6">
      <c r="A508" s="29">
        <v>23419</v>
      </c>
      <c r="B508" s="31" t="s">
        <v>1126</v>
      </c>
      <c r="C508" s="31" t="s">
        <v>168</v>
      </c>
      <c r="D508" s="31" t="s">
        <v>165</v>
      </c>
      <c r="E508" s="31" t="s">
        <v>680</v>
      </c>
      <c r="F508" s="32" t="s">
        <v>92</v>
      </c>
    </row>
    <row r="509" spans="1:6">
      <c r="A509" s="29">
        <v>23464</v>
      </c>
      <c r="B509" s="31" t="s">
        <v>1127</v>
      </c>
      <c r="C509" s="31" t="s">
        <v>168</v>
      </c>
      <c r="D509" s="31" t="s">
        <v>165</v>
      </c>
      <c r="E509" s="31" t="s">
        <v>680</v>
      </c>
      <c r="F509" s="32" t="s">
        <v>92</v>
      </c>
    </row>
    <row r="510" spans="1:6">
      <c r="A510" s="29">
        <v>23466</v>
      </c>
      <c r="B510" s="31" t="s">
        <v>1128</v>
      </c>
      <c r="C510" s="31" t="s">
        <v>168</v>
      </c>
      <c r="D510" s="31" t="s">
        <v>165</v>
      </c>
      <c r="E510" s="31" t="s">
        <v>680</v>
      </c>
      <c r="F510" s="32" t="s">
        <v>109</v>
      </c>
    </row>
    <row r="511" spans="1:6">
      <c r="A511" s="29">
        <v>23001</v>
      </c>
      <c r="B511" s="31" t="s">
        <v>165</v>
      </c>
      <c r="C511" s="31" t="s">
        <v>168</v>
      </c>
      <c r="D511" s="31" t="s">
        <v>165</v>
      </c>
      <c r="E511" s="31" t="s">
        <v>680</v>
      </c>
      <c r="F511" s="32" t="s">
        <v>119</v>
      </c>
    </row>
    <row r="512" spans="1:6">
      <c r="A512" s="29">
        <v>23500</v>
      </c>
      <c r="B512" s="31" t="s">
        <v>585</v>
      </c>
      <c r="C512" s="31" t="s">
        <v>168</v>
      </c>
      <c r="D512" s="31" t="s">
        <v>165</v>
      </c>
      <c r="E512" s="31" t="s">
        <v>680</v>
      </c>
      <c r="F512" s="32" t="s">
        <v>181</v>
      </c>
    </row>
    <row r="513" spans="1:6">
      <c r="A513" s="29">
        <v>23555</v>
      </c>
      <c r="B513" s="31" t="s">
        <v>1129</v>
      </c>
      <c r="C513" s="31" t="s">
        <v>168</v>
      </c>
      <c r="D513" s="31" t="s">
        <v>165</v>
      </c>
      <c r="E513" s="31" t="s">
        <v>680</v>
      </c>
      <c r="F513" s="32" t="s">
        <v>92</v>
      </c>
    </row>
    <row r="514" spans="1:6">
      <c r="A514" s="29">
        <v>23570</v>
      </c>
      <c r="B514" s="31" t="s">
        <v>1130</v>
      </c>
      <c r="C514" s="31" t="s">
        <v>168</v>
      </c>
      <c r="D514" s="31" t="s">
        <v>165</v>
      </c>
      <c r="E514" s="31" t="s">
        <v>680</v>
      </c>
      <c r="F514" s="32" t="s">
        <v>92</v>
      </c>
    </row>
    <row r="515" spans="1:6">
      <c r="A515" s="29">
        <v>23574</v>
      </c>
      <c r="B515" s="31" t="s">
        <v>1131</v>
      </c>
      <c r="C515" s="31" t="s">
        <v>168</v>
      </c>
      <c r="D515" s="31" t="s">
        <v>165</v>
      </c>
      <c r="E515" s="31" t="s">
        <v>680</v>
      </c>
      <c r="F515" s="32" t="s">
        <v>181</v>
      </c>
    </row>
    <row r="516" spans="1:6">
      <c r="A516" s="29">
        <v>23580</v>
      </c>
      <c r="B516" s="31" t="s">
        <v>1132</v>
      </c>
      <c r="C516" s="31" t="s">
        <v>168</v>
      </c>
      <c r="D516" s="31" t="s">
        <v>165</v>
      </c>
      <c r="E516" s="31" t="s">
        <v>680</v>
      </c>
      <c r="F516" s="32" t="s">
        <v>109</v>
      </c>
    </row>
    <row r="517" spans="1:6">
      <c r="A517" s="29">
        <v>23586</v>
      </c>
      <c r="B517" s="31" t="s">
        <v>1133</v>
      </c>
      <c r="C517" s="31" t="s">
        <v>168</v>
      </c>
      <c r="D517" s="31" t="s">
        <v>165</v>
      </c>
      <c r="E517" s="31" t="s">
        <v>680</v>
      </c>
      <c r="F517" s="32" t="s">
        <v>92</v>
      </c>
    </row>
    <row r="518" spans="1:6">
      <c r="A518" s="29">
        <v>23660</v>
      </c>
      <c r="B518" s="31" t="s">
        <v>1134</v>
      </c>
      <c r="C518" s="31" t="s">
        <v>168</v>
      </c>
      <c r="D518" s="31" t="s">
        <v>165</v>
      </c>
      <c r="E518" s="31" t="s">
        <v>680</v>
      </c>
      <c r="F518" s="32" t="s">
        <v>92</v>
      </c>
    </row>
    <row r="519" spans="1:6">
      <c r="A519" s="29">
        <v>23670</v>
      </c>
      <c r="B519" s="31" t="s">
        <v>1135</v>
      </c>
      <c r="C519" s="31" t="s">
        <v>168</v>
      </c>
      <c r="D519" s="31" t="s">
        <v>165</v>
      </c>
      <c r="E519" s="31" t="s">
        <v>680</v>
      </c>
      <c r="F519" s="32" t="s">
        <v>92</v>
      </c>
    </row>
    <row r="520" spans="1:6">
      <c r="A520" s="29">
        <v>23672</v>
      </c>
      <c r="B520" s="31" t="s">
        <v>1136</v>
      </c>
      <c r="C520" s="31" t="s">
        <v>168</v>
      </c>
      <c r="D520" s="31" t="s">
        <v>165</v>
      </c>
      <c r="E520" s="31" t="s">
        <v>680</v>
      </c>
      <c r="F520" s="32" t="s">
        <v>92</v>
      </c>
    </row>
    <row r="521" spans="1:6">
      <c r="A521" s="29">
        <v>23675</v>
      </c>
      <c r="B521" s="31" t="s">
        <v>1137</v>
      </c>
      <c r="C521" s="31" t="s">
        <v>168</v>
      </c>
      <c r="D521" s="31" t="s">
        <v>165</v>
      </c>
      <c r="E521" s="31" t="s">
        <v>680</v>
      </c>
      <c r="F521" s="32" t="s">
        <v>92</v>
      </c>
    </row>
    <row r="522" spans="1:6">
      <c r="A522" s="29">
        <v>23686</v>
      </c>
      <c r="B522" s="31" t="s">
        <v>1138</v>
      </c>
      <c r="C522" s="31" t="s">
        <v>168</v>
      </c>
      <c r="D522" s="31" t="s">
        <v>165</v>
      </c>
      <c r="E522" s="31" t="s">
        <v>680</v>
      </c>
      <c r="F522" s="32" t="s">
        <v>92</v>
      </c>
    </row>
    <row r="523" spans="1:6">
      <c r="A523" s="29">
        <v>23807</v>
      </c>
      <c r="B523" s="31" t="s">
        <v>564</v>
      </c>
      <c r="C523" s="31" t="s">
        <v>168</v>
      </c>
      <c r="D523" s="31" t="s">
        <v>165</v>
      </c>
      <c r="E523" s="31" t="s">
        <v>680</v>
      </c>
      <c r="F523" s="32" t="s">
        <v>181</v>
      </c>
    </row>
    <row r="524" spans="1:6">
      <c r="A524" s="29">
        <v>23855</v>
      </c>
      <c r="B524" s="31" t="s">
        <v>1139</v>
      </c>
      <c r="C524" s="31" t="s">
        <v>168</v>
      </c>
      <c r="D524" s="31" t="s">
        <v>165</v>
      </c>
      <c r="E524" s="31" t="s">
        <v>680</v>
      </c>
      <c r="F524" s="32" t="s">
        <v>181</v>
      </c>
    </row>
    <row r="525" spans="1:6">
      <c r="A525" s="29">
        <v>25019</v>
      </c>
      <c r="B525" s="30" t="s">
        <v>485</v>
      </c>
      <c r="C525" s="31" t="s">
        <v>114</v>
      </c>
      <c r="D525" s="31" t="s">
        <v>111</v>
      </c>
      <c r="E525" s="31" t="s">
        <v>680</v>
      </c>
      <c r="F525" s="32" t="s">
        <v>92</v>
      </c>
    </row>
    <row r="526" spans="1:6">
      <c r="A526" s="29">
        <v>25120</v>
      </c>
      <c r="B526" s="30" t="s">
        <v>1140</v>
      </c>
      <c r="C526" s="31" t="s">
        <v>114</v>
      </c>
      <c r="D526" s="31" t="s">
        <v>111</v>
      </c>
      <c r="E526" s="31" t="s">
        <v>680</v>
      </c>
      <c r="F526" s="32" t="s">
        <v>181</v>
      </c>
    </row>
    <row r="527" spans="1:6">
      <c r="A527" s="29">
        <v>25258</v>
      </c>
      <c r="B527" s="30" t="s">
        <v>821</v>
      </c>
      <c r="C527" s="31" t="s">
        <v>114</v>
      </c>
      <c r="D527" s="31" t="s">
        <v>111</v>
      </c>
      <c r="E527" s="31" t="s">
        <v>680</v>
      </c>
      <c r="F527" s="32" t="s">
        <v>181</v>
      </c>
    </row>
    <row r="528" spans="1:6">
      <c r="A528" s="29">
        <v>25312</v>
      </c>
      <c r="B528" s="30" t="s">
        <v>570</v>
      </c>
      <c r="C528" s="31" t="s">
        <v>114</v>
      </c>
      <c r="D528" s="31" t="s">
        <v>111</v>
      </c>
      <c r="E528" s="31" t="s">
        <v>680</v>
      </c>
      <c r="F528" s="32" t="s">
        <v>92</v>
      </c>
    </row>
    <row r="529" spans="1:6">
      <c r="A529" s="29">
        <v>25402</v>
      </c>
      <c r="B529" s="30" t="s">
        <v>1034</v>
      </c>
      <c r="C529" s="31" t="s">
        <v>114</v>
      </c>
      <c r="D529" s="31" t="s">
        <v>111</v>
      </c>
      <c r="E529" s="31" t="s">
        <v>680</v>
      </c>
      <c r="F529" s="32" t="s">
        <v>92</v>
      </c>
    </row>
    <row r="530" spans="1:6">
      <c r="A530" s="29">
        <v>25473</v>
      </c>
      <c r="B530" s="30" t="s">
        <v>1141</v>
      </c>
      <c r="C530" s="31" t="s">
        <v>114</v>
      </c>
      <c r="D530" s="31" t="s">
        <v>111</v>
      </c>
      <c r="E530" s="31" t="s">
        <v>680</v>
      </c>
      <c r="F530" s="32" t="s">
        <v>119</v>
      </c>
    </row>
    <row r="531" spans="1:6">
      <c r="A531" s="29">
        <v>25483</v>
      </c>
      <c r="B531" s="30" t="s">
        <v>80</v>
      </c>
      <c r="C531" s="31" t="s">
        <v>114</v>
      </c>
      <c r="D531" s="31" t="s">
        <v>111</v>
      </c>
      <c r="E531" s="31" t="s">
        <v>680</v>
      </c>
      <c r="F531" s="32" t="s">
        <v>181</v>
      </c>
    </row>
    <row r="532" spans="1:6">
      <c r="A532" s="29">
        <v>25612</v>
      </c>
      <c r="B532" s="30" t="s">
        <v>1142</v>
      </c>
      <c r="C532" s="31" t="s">
        <v>114</v>
      </c>
      <c r="D532" s="31" t="s">
        <v>111</v>
      </c>
      <c r="E532" s="31" t="s">
        <v>680</v>
      </c>
      <c r="F532" s="32" t="s">
        <v>181</v>
      </c>
    </row>
    <row r="533" spans="1:6">
      <c r="A533" s="29">
        <v>25649</v>
      </c>
      <c r="B533" s="30" t="s">
        <v>1143</v>
      </c>
      <c r="C533" s="31" t="s">
        <v>114</v>
      </c>
      <c r="D533" s="31" t="s">
        <v>111</v>
      </c>
      <c r="E533" s="31" t="s">
        <v>680</v>
      </c>
      <c r="F533" s="32" t="s">
        <v>181</v>
      </c>
    </row>
    <row r="534" spans="1:6">
      <c r="A534" s="29">
        <v>25653</v>
      </c>
      <c r="B534" s="30" t="s">
        <v>1144</v>
      </c>
      <c r="C534" s="31" t="s">
        <v>114</v>
      </c>
      <c r="D534" s="31" t="s">
        <v>111</v>
      </c>
      <c r="E534" s="31" t="s">
        <v>680</v>
      </c>
      <c r="F534" s="32" t="s">
        <v>181</v>
      </c>
    </row>
    <row r="535" spans="1:6">
      <c r="A535" s="29">
        <v>25658</v>
      </c>
      <c r="B535" s="30" t="s">
        <v>691</v>
      </c>
      <c r="C535" s="31" t="s">
        <v>114</v>
      </c>
      <c r="D535" s="31" t="s">
        <v>111</v>
      </c>
      <c r="E535" s="31" t="s">
        <v>680</v>
      </c>
      <c r="F535" s="32" t="s">
        <v>92</v>
      </c>
    </row>
    <row r="536" spans="1:6">
      <c r="A536" s="29">
        <v>25506</v>
      </c>
      <c r="B536" s="30" t="s">
        <v>697</v>
      </c>
      <c r="C536" s="31" t="s">
        <v>114</v>
      </c>
      <c r="D536" s="31" t="s">
        <v>111</v>
      </c>
      <c r="E536" s="31" t="s">
        <v>680</v>
      </c>
      <c r="F536" s="32" t="s">
        <v>181</v>
      </c>
    </row>
    <row r="537" spans="1:6">
      <c r="A537" s="29">
        <v>25001</v>
      </c>
      <c r="B537" s="31" t="s">
        <v>1145</v>
      </c>
      <c r="C537" s="31" t="s">
        <v>114</v>
      </c>
      <c r="D537" s="31" t="s">
        <v>111</v>
      </c>
      <c r="E537" s="31" t="s">
        <v>680</v>
      </c>
      <c r="F537" s="32" t="s">
        <v>181</v>
      </c>
    </row>
    <row r="538" spans="1:6">
      <c r="A538" s="29">
        <v>25035</v>
      </c>
      <c r="B538" s="31" t="s">
        <v>1146</v>
      </c>
      <c r="C538" s="31" t="s">
        <v>114</v>
      </c>
      <c r="D538" s="31" t="s">
        <v>111</v>
      </c>
      <c r="E538" s="31" t="s">
        <v>680</v>
      </c>
      <c r="F538" s="32" t="s">
        <v>92</v>
      </c>
    </row>
    <row r="539" spans="1:6">
      <c r="A539" s="29">
        <v>25040</v>
      </c>
      <c r="B539" s="31" t="s">
        <v>1147</v>
      </c>
      <c r="C539" s="31" t="s">
        <v>114</v>
      </c>
      <c r="D539" s="31" t="s">
        <v>111</v>
      </c>
      <c r="E539" s="31" t="s">
        <v>680</v>
      </c>
      <c r="F539" s="32" t="s">
        <v>92</v>
      </c>
    </row>
    <row r="540" spans="1:6">
      <c r="A540" s="29">
        <v>25599</v>
      </c>
      <c r="B540" s="31" t="s">
        <v>1148</v>
      </c>
      <c r="C540" s="31" t="s">
        <v>114</v>
      </c>
      <c r="D540" s="31" t="s">
        <v>111</v>
      </c>
      <c r="E540" s="31" t="s">
        <v>680</v>
      </c>
      <c r="F540" s="32" t="s">
        <v>181</v>
      </c>
    </row>
    <row r="541" spans="1:6">
      <c r="A541" s="29">
        <v>25053</v>
      </c>
      <c r="B541" s="31" t="s">
        <v>1149</v>
      </c>
      <c r="C541" s="31" t="s">
        <v>114</v>
      </c>
      <c r="D541" s="31" t="s">
        <v>111</v>
      </c>
      <c r="E541" s="31" t="s">
        <v>680</v>
      </c>
      <c r="F541" s="32" t="s">
        <v>92</v>
      </c>
    </row>
    <row r="542" spans="1:6">
      <c r="A542" s="29">
        <v>25086</v>
      </c>
      <c r="B542" s="31" t="s">
        <v>1150</v>
      </c>
      <c r="C542" s="31" t="s">
        <v>114</v>
      </c>
      <c r="D542" s="31" t="s">
        <v>111</v>
      </c>
      <c r="E542" s="31" t="s">
        <v>680</v>
      </c>
      <c r="F542" s="32" t="s">
        <v>181</v>
      </c>
    </row>
    <row r="543" spans="1:6">
      <c r="A543" s="29">
        <v>25095</v>
      </c>
      <c r="B543" s="31" t="s">
        <v>1151</v>
      </c>
      <c r="C543" s="31" t="s">
        <v>114</v>
      </c>
      <c r="D543" s="31" t="s">
        <v>111</v>
      </c>
      <c r="E543" s="31" t="s">
        <v>680</v>
      </c>
      <c r="F543" s="32" t="s">
        <v>181</v>
      </c>
    </row>
    <row r="544" spans="1:6">
      <c r="A544" s="29">
        <v>11001</v>
      </c>
      <c r="B544" s="31" t="s">
        <v>111</v>
      </c>
      <c r="C544" s="31" t="s">
        <v>114</v>
      </c>
      <c r="D544" s="31" t="s">
        <v>111</v>
      </c>
      <c r="E544" s="31" t="s">
        <v>680</v>
      </c>
      <c r="F544" s="32" t="s">
        <v>119</v>
      </c>
    </row>
    <row r="545" spans="1:6">
      <c r="A545" s="29">
        <v>25099</v>
      </c>
      <c r="B545" s="31" t="s">
        <v>1152</v>
      </c>
      <c r="C545" s="31" t="s">
        <v>114</v>
      </c>
      <c r="D545" s="31" t="s">
        <v>111</v>
      </c>
      <c r="E545" s="31" t="s">
        <v>680</v>
      </c>
      <c r="F545" s="32" t="s">
        <v>92</v>
      </c>
    </row>
    <row r="546" spans="1:6">
      <c r="A546" s="29">
        <v>25123</v>
      </c>
      <c r="B546" s="31" t="s">
        <v>1153</v>
      </c>
      <c r="C546" s="31" t="s">
        <v>114</v>
      </c>
      <c r="D546" s="31" t="s">
        <v>111</v>
      </c>
      <c r="E546" s="31" t="s">
        <v>680</v>
      </c>
      <c r="F546" s="32" t="s">
        <v>92</v>
      </c>
    </row>
    <row r="547" spans="1:6">
      <c r="A547" s="29">
        <v>25126</v>
      </c>
      <c r="B547" s="31" t="s">
        <v>1154</v>
      </c>
      <c r="C547" s="31" t="s">
        <v>114</v>
      </c>
      <c r="D547" s="31" t="s">
        <v>111</v>
      </c>
      <c r="E547" s="31" t="s">
        <v>680</v>
      </c>
      <c r="F547" s="32" t="s">
        <v>92</v>
      </c>
    </row>
    <row r="548" spans="1:6">
      <c r="A548" s="29">
        <v>25148</v>
      </c>
      <c r="B548" s="31" t="s">
        <v>1155</v>
      </c>
      <c r="C548" s="31" t="s">
        <v>114</v>
      </c>
      <c r="D548" s="31" t="s">
        <v>111</v>
      </c>
      <c r="E548" s="31" t="s">
        <v>680</v>
      </c>
      <c r="F548" s="32" t="s">
        <v>181</v>
      </c>
    </row>
    <row r="549" spans="1:6">
      <c r="A549" s="29">
        <v>25151</v>
      </c>
      <c r="B549" s="31" t="s">
        <v>1156</v>
      </c>
      <c r="C549" s="31" t="s">
        <v>114</v>
      </c>
      <c r="D549" s="31" t="s">
        <v>111</v>
      </c>
      <c r="E549" s="31" t="s">
        <v>680</v>
      </c>
      <c r="F549" s="32" t="s">
        <v>92</v>
      </c>
    </row>
    <row r="550" spans="1:6">
      <c r="A550" s="29">
        <v>25154</v>
      </c>
      <c r="B550" s="31" t="s">
        <v>1157</v>
      </c>
      <c r="C550" s="31" t="s">
        <v>114</v>
      </c>
      <c r="D550" s="31" t="s">
        <v>111</v>
      </c>
      <c r="E550" s="31" t="s">
        <v>680</v>
      </c>
      <c r="F550" s="32" t="s">
        <v>181</v>
      </c>
    </row>
    <row r="551" spans="1:6">
      <c r="A551" s="29">
        <v>25168</v>
      </c>
      <c r="B551" s="31" t="s">
        <v>1158</v>
      </c>
      <c r="C551" s="31" t="s">
        <v>114</v>
      </c>
      <c r="D551" s="31" t="s">
        <v>111</v>
      </c>
      <c r="E551" s="31" t="s">
        <v>680</v>
      </c>
      <c r="F551" s="32" t="s">
        <v>181</v>
      </c>
    </row>
    <row r="552" spans="1:6">
      <c r="A552" s="29">
        <v>25175</v>
      </c>
      <c r="B552" s="31" t="s">
        <v>1159</v>
      </c>
      <c r="C552" s="31" t="s">
        <v>114</v>
      </c>
      <c r="D552" s="31" t="s">
        <v>111</v>
      </c>
      <c r="E552" s="31" t="s">
        <v>680</v>
      </c>
      <c r="F552" s="32" t="s">
        <v>92</v>
      </c>
    </row>
    <row r="553" spans="1:6">
      <c r="A553" s="29">
        <v>25178</v>
      </c>
      <c r="B553" s="31" t="s">
        <v>1160</v>
      </c>
      <c r="C553" s="31" t="s">
        <v>114</v>
      </c>
      <c r="D553" s="31" t="s">
        <v>111</v>
      </c>
      <c r="E553" s="31" t="s">
        <v>680</v>
      </c>
      <c r="F553" s="32" t="s">
        <v>92</v>
      </c>
    </row>
    <row r="554" spans="1:6">
      <c r="A554" s="29">
        <v>25181</v>
      </c>
      <c r="B554" s="31" t="s">
        <v>1161</v>
      </c>
      <c r="C554" s="31" t="s">
        <v>114</v>
      </c>
      <c r="D554" s="31" t="s">
        <v>111</v>
      </c>
      <c r="E554" s="31" t="s">
        <v>680</v>
      </c>
      <c r="F554" s="32" t="s">
        <v>92</v>
      </c>
    </row>
    <row r="555" spans="1:6">
      <c r="A555" s="29">
        <v>25183</v>
      </c>
      <c r="B555" s="31" t="s">
        <v>1162</v>
      </c>
      <c r="C555" s="31" t="s">
        <v>114</v>
      </c>
      <c r="D555" s="31" t="s">
        <v>182</v>
      </c>
      <c r="E555" s="31" t="s">
        <v>680</v>
      </c>
      <c r="F555" s="32" t="s">
        <v>92</v>
      </c>
    </row>
    <row r="556" spans="1:6">
      <c r="A556" s="29">
        <v>25200</v>
      </c>
      <c r="B556" s="31" t="s">
        <v>1163</v>
      </c>
      <c r="C556" s="31" t="s">
        <v>114</v>
      </c>
      <c r="D556" s="31" t="s">
        <v>111</v>
      </c>
      <c r="E556" s="31" t="s">
        <v>680</v>
      </c>
      <c r="F556" s="32" t="s">
        <v>92</v>
      </c>
    </row>
    <row r="557" spans="1:6">
      <c r="A557" s="29">
        <v>25214</v>
      </c>
      <c r="B557" s="31" t="s">
        <v>373</v>
      </c>
      <c r="C557" s="31" t="s">
        <v>114</v>
      </c>
      <c r="D557" s="31" t="s">
        <v>111</v>
      </c>
      <c r="E557" s="31" t="s">
        <v>680</v>
      </c>
      <c r="F557" s="32" t="s">
        <v>92</v>
      </c>
    </row>
    <row r="558" spans="1:6">
      <c r="A558" s="29">
        <v>25224</v>
      </c>
      <c r="B558" s="31" t="s">
        <v>1164</v>
      </c>
      <c r="C558" s="31" t="s">
        <v>114</v>
      </c>
      <c r="D558" s="31" t="s">
        <v>111</v>
      </c>
      <c r="E558" s="31" t="s">
        <v>680</v>
      </c>
      <c r="F558" s="32" t="s">
        <v>181</v>
      </c>
    </row>
    <row r="559" spans="1:6">
      <c r="A559" s="29">
        <v>25245</v>
      </c>
      <c r="B559" s="31" t="s">
        <v>1165</v>
      </c>
      <c r="C559" s="31" t="s">
        <v>114</v>
      </c>
      <c r="D559" s="31" t="s">
        <v>111</v>
      </c>
      <c r="E559" s="31" t="s">
        <v>680</v>
      </c>
      <c r="F559" s="32" t="s">
        <v>92</v>
      </c>
    </row>
    <row r="560" spans="1:6">
      <c r="A560" s="29">
        <v>25260</v>
      </c>
      <c r="B560" s="31" t="s">
        <v>1166</v>
      </c>
      <c r="C560" s="31" t="s">
        <v>114</v>
      </c>
      <c r="D560" s="31" t="s">
        <v>111</v>
      </c>
      <c r="E560" s="31" t="s">
        <v>680</v>
      </c>
      <c r="F560" s="32" t="s">
        <v>92</v>
      </c>
    </row>
    <row r="561" spans="1:6">
      <c r="A561" s="29">
        <v>25269</v>
      </c>
      <c r="B561" s="31" t="s">
        <v>1167</v>
      </c>
      <c r="C561" s="31" t="s">
        <v>114</v>
      </c>
      <c r="D561" s="31" t="s">
        <v>111</v>
      </c>
      <c r="E561" s="31" t="s">
        <v>680</v>
      </c>
      <c r="F561" s="32" t="s">
        <v>92</v>
      </c>
    </row>
    <row r="562" spans="1:6">
      <c r="A562" s="29">
        <v>25279</v>
      </c>
      <c r="B562" s="31" t="s">
        <v>1168</v>
      </c>
      <c r="C562" s="31" t="s">
        <v>114</v>
      </c>
      <c r="D562" s="31" t="s">
        <v>111</v>
      </c>
      <c r="E562" s="31" t="s">
        <v>680</v>
      </c>
      <c r="F562" s="32" t="s">
        <v>92</v>
      </c>
    </row>
    <row r="563" spans="1:6">
      <c r="A563" s="29">
        <v>25281</v>
      </c>
      <c r="B563" s="31" t="s">
        <v>1169</v>
      </c>
      <c r="C563" s="31" t="s">
        <v>114</v>
      </c>
      <c r="D563" s="31" t="s">
        <v>111</v>
      </c>
      <c r="E563" s="31" t="s">
        <v>680</v>
      </c>
      <c r="F563" s="32" t="s">
        <v>92</v>
      </c>
    </row>
    <row r="564" spans="1:6">
      <c r="A564" s="29">
        <v>25286</v>
      </c>
      <c r="B564" s="31" t="s">
        <v>386</v>
      </c>
      <c r="C564" s="31" t="s">
        <v>114</v>
      </c>
      <c r="D564" s="31" t="s">
        <v>111</v>
      </c>
      <c r="E564" s="31" t="s">
        <v>680</v>
      </c>
      <c r="F564" s="32" t="s">
        <v>92</v>
      </c>
    </row>
    <row r="565" spans="1:6">
      <c r="A565" s="29">
        <v>25288</v>
      </c>
      <c r="B565" s="31" t="s">
        <v>1170</v>
      </c>
      <c r="C565" s="31" t="s">
        <v>114</v>
      </c>
      <c r="D565" s="31" t="s">
        <v>111</v>
      </c>
      <c r="E565" s="31" t="s">
        <v>680</v>
      </c>
      <c r="F565" s="32" t="s">
        <v>181</v>
      </c>
    </row>
    <row r="566" spans="1:6">
      <c r="A566" s="29">
        <v>25290</v>
      </c>
      <c r="B566" s="31" t="s">
        <v>1171</v>
      </c>
      <c r="C566" s="31" t="s">
        <v>114</v>
      </c>
      <c r="D566" s="31" t="s">
        <v>111</v>
      </c>
      <c r="E566" s="31" t="s">
        <v>680</v>
      </c>
      <c r="F566" s="32" t="s">
        <v>92</v>
      </c>
    </row>
    <row r="567" spans="1:6">
      <c r="A567" s="29">
        <v>25293</v>
      </c>
      <c r="B567" s="31" t="s">
        <v>1172</v>
      </c>
      <c r="C567" s="31" t="s">
        <v>114</v>
      </c>
      <c r="D567" s="31" t="s">
        <v>111</v>
      </c>
      <c r="E567" s="31" t="s">
        <v>680</v>
      </c>
      <c r="F567" s="32" t="s">
        <v>181</v>
      </c>
    </row>
    <row r="568" spans="1:6">
      <c r="A568" s="29">
        <v>25295</v>
      </c>
      <c r="B568" s="31" t="s">
        <v>1173</v>
      </c>
      <c r="C568" s="31" t="s">
        <v>114</v>
      </c>
      <c r="D568" s="31" t="s">
        <v>111</v>
      </c>
      <c r="E568" s="31" t="s">
        <v>680</v>
      </c>
      <c r="F568" s="32" t="s">
        <v>92</v>
      </c>
    </row>
    <row r="569" spans="1:6">
      <c r="A569" s="29">
        <v>25297</v>
      </c>
      <c r="B569" s="31" t="s">
        <v>1174</v>
      </c>
      <c r="C569" s="31" t="s">
        <v>114</v>
      </c>
      <c r="D569" s="31" t="s">
        <v>111</v>
      </c>
      <c r="E569" s="31" t="s">
        <v>680</v>
      </c>
      <c r="F569" s="32" t="s">
        <v>181</v>
      </c>
    </row>
    <row r="570" spans="1:6">
      <c r="A570" s="29">
        <v>25299</v>
      </c>
      <c r="B570" s="31" t="s">
        <v>1175</v>
      </c>
      <c r="C570" s="31" t="s">
        <v>114</v>
      </c>
      <c r="D570" s="31" t="s">
        <v>111</v>
      </c>
      <c r="E570" s="31" t="s">
        <v>680</v>
      </c>
      <c r="F570" s="32" t="s">
        <v>181</v>
      </c>
    </row>
    <row r="571" spans="1:6">
      <c r="A571" s="29">
        <v>25307</v>
      </c>
      <c r="B571" s="31" t="s">
        <v>1176</v>
      </c>
      <c r="C571" s="31" t="s">
        <v>114</v>
      </c>
      <c r="D571" s="31" t="s">
        <v>111</v>
      </c>
      <c r="E571" s="31" t="s">
        <v>680</v>
      </c>
      <c r="F571" s="32" t="s">
        <v>181</v>
      </c>
    </row>
    <row r="572" spans="1:6">
      <c r="A572" s="29">
        <v>25317</v>
      </c>
      <c r="B572" s="31" t="s">
        <v>1177</v>
      </c>
      <c r="C572" s="31" t="s">
        <v>114</v>
      </c>
      <c r="D572" s="31" t="s">
        <v>111</v>
      </c>
      <c r="E572" s="31" t="s">
        <v>680</v>
      </c>
      <c r="F572" s="32" t="s">
        <v>181</v>
      </c>
    </row>
    <row r="573" spans="1:6">
      <c r="A573" s="29">
        <v>25320</v>
      </c>
      <c r="B573" s="31" t="s">
        <v>1178</v>
      </c>
      <c r="C573" s="31" t="s">
        <v>114</v>
      </c>
      <c r="D573" s="31" t="s">
        <v>111</v>
      </c>
      <c r="E573" s="31" t="s">
        <v>680</v>
      </c>
      <c r="F573" s="32" t="s">
        <v>181</v>
      </c>
    </row>
    <row r="574" spans="1:6">
      <c r="A574" s="29">
        <v>25322</v>
      </c>
      <c r="B574" s="31" t="s">
        <v>1179</v>
      </c>
      <c r="C574" s="31" t="s">
        <v>114</v>
      </c>
      <c r="D574" s="31" t="s">
        <v>111</v>
      </c>
      <c r="E574" s="31" t="s">
        <v>680</v>
      </c>
      <c r="F574" s="32" t="s">
        <v>92</v>
      </c>
    </row>
    <row r="575" spans="1:6">
      <c r="A575" s="29">
        <v>25324</v>
      </c>
      <c r="B575" s="31" t="s">
        <v>1180</v>
      </c>
      <c r="C575" s="31" t="s">
        <v>114</v>
      </c>
      <c r="D575" s="31" t="s">
        <v>377</v>
      </c>
      <c r="E575" s="31" t="s">
        <v>680</v>
      </c>
      <c r="F575" s="32" t="s">
        <v>181</v>
      </c>
    </row>
    <row r="576" spans="1:6">
      <c r="A576" s="29">
        <v>25326</v>
      </c>
      <c r="B576" s="31" t="s">
        <v>1181</v>
      </c>
      <c r="C576" s="31" t="s">
        <v>114</v>
      </c>
      <c r="D576" s="31" t="s">
        <v>111</v>
      </c>
      <c r="E576" s="31" t="s">
        <v>680</v>
      </c>
      <c r="F576" s="32" t="s">
        <v>92</v>
      </c>
    </row>
    <row r="577" spans="1:6">
      <c r="A577" s="29">
        <v>25328</v>
      </c>
      <c r="B577" s="31" t="s">
        <v>1182</v>
      </c>
      <c r="C577" s="31" t="s">
        <v>114</v>
      </c>
      <c r="D577" s="31" t="s">
        <v>111</v>
      </c>
      <c r="E577" s="31" t="s">
        <v>680</v>
      </c>
      <c r="F577" s="32" t="s">
        <v>181</v>
      </c>
    </row>
    <row r="578" spans="1:6">
      <c r="A578" s="29">
        <v>25335</v>
      </c>
      <c r="B578" s="31" t="s">
        <v>1183</v>
      </c>
      <c r="C578" s="31" t="s">
        <v>114</v>
      </c>
      <c r="D578" s="31" t="s">
        <v>158</v>
      </c>
      <c r="E578" s="31" t="s">
        <v>680</v>
      </c>
      <c r="F578" s="32" t="s">
        <v>92</v>
      </c>
    </row>
    <row r="579" spans="1:6">
      <c r="A579" s="29">
        <v>25339</v>
      </c>
      <c r="B579" s="31" t="s">
        <v>1184</v>
      </c>
      <c r="C579" s="31" t="s">
        <v>114</v>
      </c>
      <c r="D579" s="31" t="s">
        <v>111</v>
      </c>
      <c r="E579" s="31" t="s">
        <v>680</v>
      </c>
      <c r="F579" s="32" t="s">
        <v>181</v>
      </c>
    </row>
    <row r="580" spans="1:6">
      <c r="A580" s="29">
        <v>25368</v>
      </c>
      <c r="B580" s="31" t="s">
        <v>1185</v>
      </c>
      <c r="C580" s="31" t="s">
        <v>114</v>
      </c>
      <c r="D580" s="31" t="s">
        <v>111</v>
      </c>
      <c r="E580" s="31" t="s">
        <v>680</v>
      </c>
      <c r="F580" s="32" t="s">
        <v>181</v>
      </c>
    </row>
    <row r="581" spans="1:6">
      <c r="A581" s="29">
        <v>25372</v>
      </c>
      <c r="B581" s="31" t="s">
        <v>1186</v>
      </c>
      <c r="C581" s="31" t="s">
        <v>114</v>
      </c>
      <c r="D581" s="31" t="s">
        <v>111</v>
      </c>
      <c r="E581" s="31" t="s">
        <v>680</v>
      </c>
      <c r="F581" s="32" t="s">
        <v>181</v>
      </c>
    </row>
    <row r="582" spans="1:6">
      <c r="A582" s="29">
        <v>25377</v>
      </c>
      <c r="B582" s="31" t="s">
        <v>1187</v>
      </c>
      <c r="C582" s="31" t="s">
        <v>114</v>
      </c>
      <c r="D582" s="31" t="s">
        <v>111</v>
      </c>
      <c r="E582" s="31" t="s">
        <v>680</v>
      </c>
      <c r="F582" s="32" t="s">
        <v>92</v>
      </c>
    </row>
    <row r="583" spans="1:6">
      <c r="A583" s="29">
        <v>25386</v>
      </c>
      <c r="B583" s="31" t="s">
        <v>346</v>
      </c>
      <c r="C583" s="31" t="s">
        <v>114</v>
      </c>
      <c r="D583" s="31" t="s">
        <v>111</v>
      </c>
      <c r="E583" s="31" t="s">
        <v>680</v>
      </c>
      <c r="F583" s="32" t="s">
        <v>92</v>
      </c>
    </row>
    <row r="584" spans="1:6">
      <c r="A584" s="29">
        <v>25394</v>
      </c>
      <c r="B584" s="31" t="s">
        <v>1188</v>
      </c>
      <c r="C584" s="31" t="s">
        <v>114</v>
      </c>
      <c r="D584" s="31" t="s">
        <v>111</v>
      </c>
      <c r="E584" s="31" t="s">
        <v>680</v>
      </c>
      <c r="F584" s="32" t="s">
        <v>181</v>
      </c>
    </row>
    <row r="585" spans="1:6">
      <c r="A585" s="29">
        <v>25398</v>
      </c>
      <c r="B585" s="31" t="s">
        <v>1189</v>
      </c>
      <c r="C585" s="31" t="s">
        <v>114</v>
      </c>
      <c r="D585" s="31" t="s">
        <v>111</v>
      </c>
      <c r="E585" s="31" t="s">
        <v>680</v>
      </c>
      <c r="F585" s="32" t="s">
        <v>181</v>
      </c>
    </row>
    <row r="586" spans="1:6">
      <c r="A586" s="29">
        <v>25407</v>
      </c>
      <c r="B586" s="31" t="s">
        <v>1190</v>
      </c>
      <c r="C586" s="31" t="s">
        <v>114</v>
      </c>
      <c r="D586" s="31" t="s">
        <v>111</v>
      </c>
      <c r="E586" s="31" t="s">
        <v>680</v>
      </c>
      <c r="F586" s="32" t="s">
        <v>181</v>
      </c>
    </row>
    <row r="587" spans="1:6">
      <c r="A587" s="29">
        <v>25426</v>
      </c>
      <c r="B587" s="31" t="s">
        <v>1191</v>
      </c>
      <c r="C587" s="31" t="s">
        <v>114</v>
      </c>
      <c r="D587" s="31" t="s">
        <v>111</v>
      </c>
      <c r="E587" s="31" t="s">
        <v>680</v>
      </c>
      <c r="F587" s="32" t="s">
        <v>181</v>
      </c>
    </row>
    <row r="588" spans="1:6">
      <c r="A588" s="29">
        <v>25430</v>
      </c>
      <c r="B588" s="31" t="s">
        <v>1192</v>
      </c>
      <c r="C588" s="31" t="s">
        <v>114</v>
      </c>
      <c r="D588" s="31" t="s">
        <v>111</v>
      </c>
      <c r="E588" s="31" t="s">
        <v>680</v>
      </c>
      <c r="F588" s="32" t="s">
        <v>92</v>
      </c>
    </row>
    <row r="589" spans="1:6">
      <c r="A589" s="29">
        <v>25436</v>
      </c>
      <c r="B589" s="31" t="s">
        <v>1193</v>
      </c>
      <c r="C589" s="31" t="s">
        <v>114</v>
      </c>
      <c r="D589" s="31" t="s">
        <v>111</v>
      </c>
      <c r="E589" s="31" t="s">
        <v>680</v>
      </c>
      <c r="F589" s="32" t="s">
        <v>181</v>
      </c>
    </row>
    <row r="590" spans="1:6">
      <c r="A590" s="29">
        <v>25438</v>
      </c>
      <c r="B590" s="31" t="s">
        <v>1194</v>
      </c>
      <c r="C590" s="31" t="s">
        <v>114</v>
      </c>
      <c r="D590" s="31" t="s">
        <v>158</v>
      </c>
      <c r="E590" s="31" t="s">
        <v>680</v>
      </c>
      <c r="F590" s="32" t="s">
        <v>109</v>
      </c>
    </row>
    <row r="591" spans="1:6">
      <c r="A591" s="29">
        <v>25486</v>
      </c>
      <c r="B591" s="31" t="s">
        <v>1195</v>
      </c>
      <c r="C591" s="31" t="s">
        <v>114</v>
      </c>
      <c r="D591" s="31" t="s">
        <v>111</v>
      </c>
      <c r="E591" s="31" t="s">
        <v>680</v>
      </c>
      <c r="F591" s="32" t="s">
        <v>92</v>
      </c>
    </row>
    <row r="592" spans="1:6">
      <c r="A592" s="29">
        <v>25488</v>
      </c>
      <c r="B592" s="31" t="s">
        <v>1196</v>
      </c>
      <c r="C592" s="31" t="s">
        <v>114</v>
      </c>
      <c r="D592" s="31" t="s">
        <v>111</v>
      </c>
      <c r="E592" s="31" t="s">
        <v>680</v>
      </c>
      <c r="F592" s="32" t="s">
        <v>181</v>
      </c>
    </row>
    <row r="593" spans="1:6">
      <c r="A593" s="29">
        <v>25489</v>
      </c>
      <c r="B593" s="31" t="s">
        <v>1197</v>
      </c>
      <c r="C593" s="31" t="s">
        <v>114</v>
      </c>
      <c r="D593" s="31" t="s">
        <v>111</v>
      </c>
      <c r="E593" s="31" t="s">
        <v>680</v>
      </c>
      <c r="F593" s="32" t="s">
        <v>181</v>
      </c>
    </row>
    <row r="594" spans="1:6">
      <c r="A594" s="29">
        <v>25491</v>
      </c>
      <c r="B594" s="31" t="s">
        <v>1198</v>
      </c>
      <c r="C594" s="31" t="s">
        <v>114</v>
      </c>
      <c r="D594" s="31" t="s">
        <v>111</v>
      </c>
      <c r="E594" s="31" t="s">
        <v>680</v>
      </c>
      <c r="F594" s="32" t="s">
        <v>181</v>
      </c>
    </row>
    <row r="595" spans="1:6">
      <c r="A595" s="29">
        <v>25513</v>
      </c>
      <c r="B595" s="31" t="s">
        <v>1199</v>
      </c>
      <c r="C595" s="31" t="s">
        <v>114</v>
      </c>
      <c r="D595" s="31" t="s">
        <v>111</v>
      </c>
      <c r="E595" s="31" t="s">
        <v>680</v>
      </c>
      <c r="F595" s="32" t="s">
        <v>181</v>
      </c>
    </row>
    <row r="596" spans="1:6">
      <c r="A596" s="29">
        <v>25518</v>
      </c>
      <c r="B596" s="31" t="s">
        <v>1200</v>
      </c>
      <c r="C596" s="31" t="s">
        <v>114</v>
      </c>
      <c r="D596" s="31" t="s">
        <v>111</v>
      </c>
      <c r="E596" s="31" t="s">
        <v>680</v>
      </c>
      <c r="F596" s="32" t="s">
        <v>109</v>
      </c>
    </row>
    <row r="597" spans="1:6">
      <c r="A597" s="29">
        <v>25524</v>
      </c>
      <c r="B597" s="31" t="s">
        <v>1201</v>
      </c>
      <c r="C597" s="31" t="s">
        <v>114</v>
      </c>
      <c r="D597" s="31" t="s">
        <v>111</v>
      </c>
      <c r="E597" s="31" t="s">
        <v>680</v>
      </c>
      <c r="F597" s="32" t="s">
        <v>181</v>
      </c>
    </row>
    <row r="598" spans="1:6">
      <c r="A598" s="29">
        <v>25530</v>
      </c>
      <c r="B598" s="31" t="s">
        <v>1202</v>
      </c>
      <c r="C598" s="31" t="s">
        <v>114</v>
      </c>
      <c r="D598" s="31" t="s">
        <v>158</v>
      </c>
      <c r="E598" s="31" t="s">
        <v>680</v>
      </c>
      <c r="F598" s="32" t="s">
        <v>181</v>
      </c>
    </row>
    <row r="599" spans="1:6">
      <c r="A599" s="29">
        <v>25535</v>
      </c>
      <c r="B599" s="31" t="s">
        <v>1203</v>
      </c>
      <c r="C599" s="31" t="s">
        <v>114</v>
      </c>
      <c r="D599" s="31" t="s">
        <v>111</v>
      </c>
      <c r="E599" s="31" t="s">
        <v>680</v>
      </c>
      <c r="F599" s="32" t="s">
        <v>92</v>
      </c>
    </row>
    <row r="600" spans="1:6">
      <c r="A600" s="29">
        <v>25572</v>
      </c>
      <c r="B600" s="31" t="s">
        <v>1204</v>
      </c>
      <c r="C600" s="31" t="s">
        <v>114</v>
      </c>
      <c r="D600" s="31" t="s">
        <v>111</v>
      </c>
      <c r="E600" s="31" t="s">
        <v>680</v>
      </c>
      <c r="F600" s="32" t="s">
        <v>109</v>
      </c>
    </row>
    <row r="601" spans="1:6">
      <c r="A601" s="29">
        <v>25580</v>
      </c>
      <c r="B601" s="31" t="s">
        <v>1205</v>
      </c>
      <c r="C601" s="31" t="s">
        <v>114</v>
      </c>
      <c r="D601" s="31" t="s">
        <v>111</v>
      </c>
      <c r="E601" s="31" t="s">
        <v>680</v>
      </c>
      <c r="F601" s="32" t="s">
        <v>181</v>
      </c>
    </row>
    <row r="602" spans="1:6">
      <c r="A602" s="29">
        <v>25592</v>
      </c>
      <c r="B602" s="31" t="s">
        <v>1206</v>
      </c>
      <c r="C602" s="31" t="s">
        <v>114</v>
      </c>
      <c r="D602" s="31" t="s">
        <v>111</v>
      </c>
      <c r="E602" s="31" t="s">
        <v>680</v>
      </c>
      <c r="F602" s="32" t="s">
        <v>181</v>
      </c>
    </row>
    <row r="603" spans="1:6">
      <c r="A603" s="29">
        <v>25594</v>
      </c>
      <c r="B603" s="31" t="s">
        <v>1207</v>
      </c>
      <c r="C603" s="31" t="s">
        <v>114</v>
      </c>
      <c r="D603" s="31" t="s">
        <v>111</v>
      </c>
      <c r="E603" s="31" t="s">
        <v>680</v>
      </c>
      <c r="F603" s="32" t="s">
        <v>181</v>
      </c>
    </row>
    <row r="604" spans="1:6">
      <c r="A604" s="29">
        <v>25596</v>
      </c>
      <c r="B604" s="31" t="s">
        <v>1208</v>
      </c>
      <c r="C604" s="31" t="s">
        <v>114</v>
      </c>
      <c r="D604" s="31" t="s">
        <v>111</v>
      </c>
      <c r="E604" s="31" t="s">
        <v>680</v>
      </c>
      <c r="F604" s="32" t="s">
        <v>181</v>
      </c>
    </row>
    <row r="605" spans="1:6">
      <c r="A605" s="29">
        <v>25645</v>
      </c>
      <c r="B605" s="31" t="s">
        <v>1209</v>
      </c>
      <c r="C605" s="31" t="s">
        <v>114</v>
      </c>
      <c r="D605" s="31" t="s">
        <v>111</v>
      </c>
      <c r="E605" s="31" t="s">
        <v>680</v>
      </c>
      <c r="F605" s="32" t="s">
        <v>92</v>
      </c>
    </row>
    <row r="606" spans="1:6">
      <c r="A606" s="29">
        <v>25662</v>
      </c>
      <c r="B606" s="31" t="s">
        <v>1210</v>
      </c>
      <c r="C606" s="31" t="s">
        <v>114</v>
      </c>
      <c r="D606" s="31" t="s">
        <v>111</v>
      </c>
      <c r="E606" s="31" t="s">
        <v>680</v>
      </c>
      <c r="F606" s="32" t="s">
        <v>181</v>
      </c>
    </row>
    <row r="607" spans="1:6">
      <c r="A607" s="29">
        <v>25718</v>
      </c>
      <c r="B607" s="31" t="s">
        <v>1211</v>
      </c>
      <c r="C607" s="31" t="s">
        <v>114</v>
      </c>
      <c r="D607" s="31" t="s">
        <v>111</v>
      </c>
      <c r="E607" s="31" t="s">
        <v>680</v>
      </c>
      <c r="F607" s="32" t="s">
        <v>92</v>
      </c>
    </row>
    <row r="608" spans="1:6">
      <c r="A608" s="29">
        <v>25736</v>
      </c>
      <c r="B608" s="31" t="s">
        <v>1212</v>
      </c>
      <c r="C608" s="31" t="s">
        <v>114</v>
      </c>
      <c r="D608" s="31" t="s">
        <v>111</v>
      </c>
      <c r="E608" s="31" t="s">
        <v>680</v>
      </c>
      <c r="F608" s="32" t="s">
        <v>92</v>
      </c>
    </row>
    <row r="609" spans="1:6">
      <c r="A609" s="29">
        <v>25740</v>
      </c>
      <c r="B609" s="31" t="s">
        <v>1213</v>
      </c>
      <c r="C609" s="31" t="s">
        <v>114</v>
      </c>
      <c r="D609" s="31" t="s">
        <v>111</v>
      </c>
      <c r="E609" s="31" t="s">
        <v>680</v>
      </c>
      <c r="F609" s="32" t="s">
        <v>92</v>
      </c>
    </row>
    <row r="610" spans="1:6">
      <c r="A610" s="29">
        <v>25743</v>
      </c>
      <c r="B610" s="31" t="s">
        <v>1214</v>
      </c>
      <c r="C610" s="31" t="s">
        <v>114</v>
      </c>
      <c r="D610" s="31" t="s">
        <v>111</v>
      </c>
      <c r="E610" s="31" t="s">
        <v>680</v>
      </c>
      <c r="F610" s="32" t="s">
        <v>92</v>
      </c>
    </row>
    <row r="611" spans="1:6">
      <c r="A611" s="29">
        <v>25745</v>
      </c>
      <c r="B611" s="31" t="s">
        <v>1215</v>
      </c>
      <c r="C611" s="31" t="s">
        <v>114</v>
      </c>
      <c r="D611" s="31" t="s">
        <v>182</v>
      </c>
      <c r="E611" s="31" t="s">
        <v>680</v>
      </c>
      <c r="F611" s="32" t="s">
        <v>181</v>
      </c>
    </row>
    <row r="612" spans="1:6">
      <c r="A612" s="29">
        <v>25754</v>
      </c>
      <c r="B612" s="31" t="s">
        <v>532</v>
      </c>
      <c r="C612" s="31" t="s">
        <v>114</v>
      </c>
      <c r="D612" s="31" t="s">
        <v>111</v>
      </c>
      <c r="E612" s="31" t="s">
        <v>680</v>
      </c>
      <c r="F612" s="32" t="s">
        <v>119</v>
      </c>
    </row>
    <row r="613" spans="1:6">
      <c r="A613" s="29">
        <v>25758</v>
      </c>
      <c r="B613" s="31" t="s">
        <v>1216</v>
      </c>
      <c r="C613" s="31" t="s">
        <v>114</v>
      </c>
      <c r="D613" s="31" t="s">
        <v>111</v>
      </c>
      <c r="E613" s="31" t="s">
        <v>680</v>
      </c>
      <c r="F613" s="32" t="s">
        <v>92</v>
      </c>
    </row>
    <row r="614" spans="1:6">
      <c r="A614" s="29">
        <v>25769</v>
      </c>
      <c r="B614" s="31" t="s">
        <v>1217</v>
      </c>
      <c r="C614" s="31" t="s">
        <v>114</v>
      </c>
      <c r="D614" s="31" t="s">
        <v>111</v>
      </c>
      <c r="E614" s="31" t="s">
        <v>680</v>
      </c>
      <c r="F614" s="32" t="s">
        <v>92</v>
      </c>
    </row>
    <row r="615" spans="1:6">
      <c r="A615" s="29">
        <v>25772</v>
      </c>
      <c r="B615" s="31" t="s">
        <v>1218</v>
      </c>
      <c r="C615" s="31" t="s">
        <v>114</v>
      </c>
      <c r="D615" s="31" t="s">
        <v>111</v>
      </c>
      <c r="E615" s="31" t="s">
        <v>680</v>
      </c>
      <c r="F615" s="32" t="s">
        <v>92</v>
      </c>
    </row>
    <row r="616" spans="1:6">
      <c r="A616" s="29">
        <v>25777</v>
      </c>
      <c r="B616" s="31" t="s">
        <v>1219</v>
      </c>
      <c r="C616" s="31" t="s">
        <v>114</v>
      </c>
      <c r="D616" s="31" t="s">
        <v>111</v>
      </c>
      <c r="E616" s="31" t="s">
        <v>680</v>
      </c>
      <c r="F616" s="32" t="s">
        <v>92</v>
      </c>
    </row>
    <row r="617" spans="1:6">
      <c r="A617" s="29">
        <v>25779</v>
      </c>
      <c r="B617" s="31" t="s">
        <v>1220</v>
      </c>
      <c r="C617" s="31" t="s">
        <v>114</v>
      </c>
      <c r="D617" s="31" t="s">
        <v>111</v>
      </c>
      <c r="E617" s="31" t="s">
        <v>680</v>
      </c>
      <c r="F617" s="32" t="s">
        <v>181</v>
      </c>
    </row>
    <row r="618" spans="1:6">
      <c r="A618" s="29">
        <v>25781</v>
      </c>
      <c r="B618" s="31" t="s">
        <v>1221</v>
      </c>
      <c r="C618" s="31" t="s">
        <v>114</v>
      </c>
      <c r="D618" s="31" t="s">
        <v>111</v>
      </c>
      <c r="E618" s="31" t="s">
        <v>680</v>
      </c>
      <c r="F618" s="32" t="s">
        <v>92</v>
      </c>
    </row>
    <row r="619" spans="1:6">
      <c r="A619" s="29">
        <v>25785</v>
      </c>
      <c r="B619" s="31" t="s">
        <v>1222</v>
      </c>
      <c r="C619" s="31" t="s">
        <v>114</v>
      </c>
      <c r="D619" s="31" t="s">
        <v>111</v>
      </c>
      <c r="E619" s="31" t="s">
        <v>680</v>
      </c>
      <c r="F619" s="32" t="s">
        <v>92</v>
      </c>
    </row>
    <row r="620" spans="1:6">
      <c r="A620" s="29">
        <v>25793</v>
      </c>
      <c r="B620" s="31" t="s">
        <v>1223</v>
      </c>
      <c r="C620" s="31" t="s">
        <v>114</v>
      </c>
      <c r="D620" s="31" t="s">
        <v>111</v>
      </c>
      <c r="E620" s="31" t="s">
        <v>680</v>
      </c>
      <c r="F620" s="32" t="s">
        <v>92</v>
      </c>
    </row>
    <row r="621" spans="1:6">
      <c r="A621" s="29">
        <v>25797</v>
      </c>
      <c r="B621" s="31" t="s">
        <v>1224</v>
      </c>
      <c r="C621" s="31" t="s">
        <v>114</v>
      </c>
      <c r="D621" s="31" t="s">
        <v>111</v>
      </c>
      <c r="E621" s="31" t="s">
        <v>680</v>
      </c>
      <c r="F621" s="32" t="s">
        <v>92</v>
      </c>
    </row>
    <row r="622" spans="1:6">
      <c r="A622" s="29">
        <v>25799</v>
      </c>
      <c r="B622" s="31" t="s">
        <v>1225</v>
      </c>
      <c r="C622" s="31" t="s">
        <v>114</v>
      </c>
      <c r="D622" s="31" t="s">
        <v>111</v>
      </c>
      <c r="E622" s="31" t="s">
        <v>680</v>
      </c>
      <c r="F622" s="32" t="s">
        <v>92</v>
      </c>
    </row>
    <row r="623" spans="1:6">
      <c r="A623" s="29">
        <v>25805</v>
      </c>
      <c r="B623" s="31" t="s">
        <v>1226</v>
      </c>
      <c r="C623" s="31" t="s">
        <v>114</v>
      </c>
      <c r="D623" s="31" t="s">
        <v>111</v>
      </c>
      <c r="E623" s="31" t="s">
        <v>680</v>
      </c>
      <c r="F623" s="32" t="s">
        <v>92</v>
      </c>
    </row>
    <row r="624" spans="1:6">
      <c r="A624" s="29">
        <v>25807</v>
      </c>
      <c r="B624" s="31" t="s">
        <v>1227</v>
      </c>
      <c r="C624" s="31" t="s">
        <v>114</v>
      </c>
      <c r="D624" s="31" t="s">
        <v>111</v>
      </c>
      <c r="E624" s="31" t="s">
        <v>680</v>
      </c>
      <c r="F624" s="32" t="s">
        <v>181</v>
      </c>
    </row>
    <row r="625" spans="1:6">
      <c r="A625" s="29">
        <v>25815</v>
      </c>
      <c r="B625" s="31" t="s">
        <v>1228</v>
      </c>
      <c r="C625" s="31" t="s">
        <v>114</v>
      </c>
      <c r="D625" s="31" t="s">
        <v>111</v>
      </c>
      <c r="E625" s="31" t="s">
        <v>680</v>
      </c>
      <c r="F625" s="32" t="s">
        <v>181</v>
      </c>
    </row>
    <row r="626" spans="1:6">
      <c r="A626" s="29">
        <v>25817</v>
      </c>
      <c r="B626" s="31" t="s">
        <v>1229</v>
      </c>
      <c r="C626" s="31" t="s">
        <v>114</v>
      </c>
      <c r="D626" s="31" t="s">
        <v>111</v>
      </c>
      <c r="E626" s="31" t="s">
        <v>680</v>
      </c>
      <c r="F626" s="32" t="s">
        <v>92</v>
      </c>
    </row>
    <row r="627" spans="1:6">
      <c r="A627" s="29">
        <v>25823</v>
      </c>
      <c r="B627" s="31" t="s">
        <v>1230</v>
      </c>
      <c r="C627" s="31" t="s">
        <v>114</v>
      </c>
      <c r="D627" s="31" t="s">
        <v>111</v>
      </c>
      <c r="E627" s="31" t="s">
        <v>680</v>
      </c>
      <c r="F627" s="32" t="s">
        <v>181</v>
      </c>
    </row>
    <row r="628" spans="1:6">
      <c r="A628" s="29">
        <v>25839</v>
      </c>
      <c r="B628" s="31" t="s">
        <v>1231</v>
      </c>
      <c r="C628" s="31" t="s">
        <v>114</v>
      </c>
      <c r="D628" s="31" t="s">
        <v>111</v>
      </c>
      <c r="E628" s="31" t="s">
        <v>680</v>
      </c>
      <c r="F628" s="32" t="s">
        <v>181</v>
      </c>
    </row>
    <row r="629" spans="1:6">
      <c r="A629" s="29">
        <v>25841</v>
      </c>
      <c r="B629" s="31" t="s">
        <v>1232</v>
      </c>
      <c r="C629" s="31" t="s">
        <v>114</v>
      </c>
      <c r="D629" s="31" t="s">
        <v>111</v>
      </c>
      <c r="E629" s="31" t="s">
        <v>680</v>
      </c>
      <c r="F629" s="32" t="s">
        <v>92</v>
      </c>
    </row>
    <row r="630" spans="1:6">
      <c r="A630" s="29">
        <v>25845</v>
      </c>
      <c r="B630" s="31" t="s">
        <v>1233</v>
      </c>
      <c r="C630" s="31" t="s">
        <v>114</v>
      </c>
      <c r="D630" s="31" t="s">
        <v>111</v>
      </c>
      <c r="E630" s="31" t="s">
        <v>680</v>
      </c>
      <c r="F630" s="32" t="s">
        <v>92</v>
      </c>
    </row>
    <row r="631" spans="1:6">
      <c r="A631" s="29">
        <v>25851</v>
      </c>
      <c r="B631" s="31" t="s">
        <v>1234</v>
      </c>
      <c r="C631" s="31" t="s">
        <v>114</v>
      </c>
      <c r="D631" s="31" t="s">
        <v>111</v>
      </c>
      <c r="E631" s="31" t="s">
        <v>680</v>
      </c>
      <c r="F631" s="32" t="s">
        <v>181</v>
      </c>
    </row>
    <row r="632" spans="1:6">
      <c r="A632" s="29">
        <v>25862</v>
      </c>
      <c r="B632" s="31" t="s">
        <v>1235</v>
      </c>
      <c r="C632" s="31" t="s">
        <v>114</v>
      </c>
      <c r="D632" s="31" t="s">
        <v>111</v>
      </c>
      <c r="E632" s="31" t="s">
        <v>680</v>
      </c>
      <c r="F632" s="32" t="s">
        <v>181</v>
      </c>
    </row>
    <row r="633" spans="1:6">
      <c r="A633" s="29">
        <v>25867</v>
      </c>
      <c r="B633" s="31" t="s">
        <v>1236</v>
      </c>
      <c r="C633" s="31" t="s">
        <v>114</v>
      </c>
      <c r="D633" s="31" t="s">
        <v>111</v>
      </c>
      <c r="E633" s="31" t="s">
        <v>680</v>
      </c>
      <c r="F633" s="32" t="s">
        <v>181</v>
      </c>
    </row>
    <row r="634" spans="1:6">
      <c r="A634" s="29">
        <v>25843</v>
      </c>
      <c r="B634" s="31" t="s">
        <v>1237</v>
      </c>
      <c r="C634" s="31" t="s">
        <v>114</v>
      </c>
      <c r="D634" s="31" t="s">
        <v>111</v>
      </c>
      <c r="E634" s="31" t="s">
        <v>680</v>
      </c>
      <c r="F634" s="32" t="s">
        <v>92</v>
      </c>
    </row>
    <row r="635" spans="1:6">
      <c r="A635" s="29">
        <v>25871</v>
      </c>
      <c r="B635" s="31" t="s">
        <v>1238</v>
      </c>
      <c r="C635" s="31" t="s">
        <v>114</v>
      </c>
      <c r="D635" s="31" t="s">
        <v>111</v>
      </c>
      <c r="E635" s="31" t="s">
        <v>680</v>
      </c>
      <c r="F635" s="32" t="s">
        <v>181</v>
      </c>
    </row>
    <row r="636" spans="1:6">
      <c r="A636" s="29">
        <v>25873</v>
      </c>
      <c r="B636" s="31" t="s">
        <v>1239</v>
      </c>
      <c r="C636" s="31" t="s">
        <v>114</v>
      </c>
      <c r="D636" s="31" t="s">
        <v>182</v>
      </c>
      <c r="E636" s="31" t="s">
        <v>680</v>
      </c>
      <c r="F636" s="32" t="s">
        <v>92</v>
      </c>
    </row>
    <row r="637" spans="1:6">
      <c r="A637" s="29">
        <v>25875</v>
      </c>
      <c r="B637" s="31" t="s">
        <v>1240</v>
      </c>
      <c r="C637" s="31" t="s">
        <v>114</v>
      </c>
      <c r="D637" s="31" t="s">
        <v>111</v>
      </c>
      <c r="E637" s="31" t="s">
        <v>680</v>
      </c>
      <c r="F637" s="32" t="s">
        <v>92</v>
      </c>
    </row>
    <row r="638" spans="1:6">
      <c r="A638" s="29">
        <v>25878</v>
      </c>
      <c r="B638" s="31" t="s">
        <v>1241</v>
      </c>
      <c r="C638" s="31" t="s">
        <v>114</v>
      </c>
      <c r="D638" s="31" t="s">
        <v>111</v>
      </c>
      <c r="E638" s="31" t="s">
        <v>680</v>
      </c>
      <c r="F638" s="32" t="s">
        <v>181</v>
      </c>
    </row>
    <row r="639" spans="1:6">
      <c r="A639" s="29">
        <v>25885</v>
      </c>
      <c r="B639" s="31" t="s">
        <v>1242</v>
      </c>
      <c r="C639" s="31" t="s">
        <v>114</v>
      </c>
      <c r="D639" s="31" t="s">
        <v>111</v>
      </c>
      <c r="E639" s="31" t="s">
        <v>680</v>
      </c>
      <c r="F639" s="32" t="s">
        <v>109</v>
      </c>
    </row>
    <row r="640" spans="1:6">
      <c r="A640" s="29">
        <v>25898</v>
      </c>
      <c r="B640" s="31" t="s">
        <v>1243</v>
      </c>
      <c r="C640" s="31" t="s">
        <v>114</v>
      </c>
      <c r="D640" s="31" t="s">
        <v>111</v>
      </c>
      <c r="E640" s="31" t="s">
        <v>680</v>
      </c>
      <c r="F640" s="32" t="s">
        <v>92</v>
      </c>
    </row>
    <row r="641" spans="1:6">
      <c r="A641" s="29">
        <v>25899</v>
      </c>
      <c r="B641" s="31" t="s">
        <v>616</v>
      </c>
      <c r="C641" s="31" t="s">
        <v>114</v>
      </c>
      <c r="D641" s="31" t="s">
        <v>111</v>
      </c>
      <c r="E641" s="31" t="s">
        <v>680</v>
      </c>
      <c r="F641" s="32" t="s">
        <v>92</v>
      </c>
    </row>
    <row r="642" spans="1:6">
      <c r="A642" s="29">
        <v>94884</v>
      </c>
      <c r="B642" s="30" t="s">
        <v>801</v>
      </c>
      <c r="C642" s="31" t="s">
        <v>1244</v>
      </c>
      <c r="D642" s="31" t="s">
        <v>158</v>
      </c>
      <c r="E642" s="31" t="s">
        <v>668</v>
      </c>
      <c r="F642" s="32" t="s">
        <v>126</v>
      </c>
    </row>
    <row r="643" spans="1:6">
      <c r="A643" s="29">
        <v>94343</v>
      </c>
      <c r="B643" s="31" t="s">
        <v>1245</v>
      </c>
      <c r="C643" s="31" t="s">
        <v>1244</v>
      </c>
      <c r="D643" s="31" t="s">
        <v>158</v>
      </c>
      <c r="E643" s="31" t="s">
        <v>668</v>
      </c>
      <c r="F643" s="32" t="s">
        <v>126</v>
      </c>
    </row>
    <row r="644" spans="1:6">
      <c r="A644" s="29">
        <v>94886</v>
      </c>
      <c r="B644" s="31" t="s">
        <v>1246</v>
      </c>
      <c r="C644" s="31" t="s">
        <v>1244</v>
      </c>
      <c r="D644" s="31" t="s">
        <v>158</v>
      </c>
      <c r="E644" s="31" t="s">
        <v>668</v>
      </c>
      <c r="F644" s="32" t="s">
        <v>126</v>
      </c>
    </row>
    <row r="645" spans="1:6">
      <c r="A645" s="29">
        <v>94001</v>
      </c>
      <c r="B645" s="31" t="s">
        <v>1247</v>
      </c>
      <c r="C645" s="31" t="s">
        <v>1244</v>
      </c>
      <c r="D645" s="31" t="s">
        <v>111</v>
      </c>
      <c r="E645" s="31" t="s">
        <v>668</v>
      </c>
      <c r="F645" s="32" t="s">
        <v>126</v>
      </c>
    </row>
    <row r="646" spans="1:6">
      <c r="A646" s="29">
        <v>94885</v>
      </c>
      <c r="B646" s="31" t="s">
        <v>1248</v>
      </c>
      <c r="C646" s="31" t="s">
        <v>1244</v>
      </c>
      <c r="D646" s="31" t="s">
        <v>158</v>
      </c>
      <c r="E646" s="31" t="s">
        <v>668</v>
      </c>
      <c r="F646" s="32" t="s">
        <v>126</v>
      </c>
    </row>
    <row r="647" spans="1:6">
      <c r="A647" s="29">
        <v>94663</v>
      </c>
      <c r="B647" s="31" t="s">
        <v>1249</v>
      </c>
      <c r="C647" s="31" t="s">
        <v>1244</v>
      </c>
      <c r="D647" s="31" t="s">
        <v>158</v>
      </c>
      <c r="E647" s="31" t="s">
        <v>668</v>
      </c>
      <c r="F647" s="32" t="s">
        <v>126</v>
      </c>
    </row>
    <row r="648" spans="1:6">
      <c r="A648" s="29">
        <v>94888</v>
      </c>
      <c r="B648" s="31" t="s">
        <v>1250</v>
      </c>
      <c r="C648" s="31" t="s">
        <v>1244</v>
      </c>
      <c r="D648" s="31" t="s">
        <v>158</v>
      </c>
      <c r="E648" s="31" t="s">
        <v>668</v>
      </c>
      <c r="F648" s="32" t="s">
        <v>126</v>
      </c>
    </row>
    <row r="649" spans="1:6">
      <c r="A649" s="29">
        <v>94887</v>
      </c>
      <c r="B649" s="31" t="s">
        <v>1251</v>
      </c>
      <c r="C649" s="31" t="s">
        <v>1244</v>
      </c>
      <c r="D649" s="31" t="s">
        <v>158</v>
      </c>
      <c r="E649" s="31" t="s">
        <v>668</v>
      </c>
      <c r="F649" s="32" t="s">
        <v>126</v>
      </c>
    </row>
    <row r="650" spans="1:6">
      <c r="A650" s="29">
        <v>94883</v>
      </c>
      <c r="B650" s="31" t="s">
        <v>1252</v>
      </c>
      <c r="C650" s="31" t="s">
        <v>1244</v>
      </c>
      <c r="D650" s="31" t="s">
        <v>158</v>
      </c>
      <c r="E650" s="31" t="s">
        <v>668</v>
      </c>
      <c r="F650" s="32" t="s">
        <v>126</v>
      </c>
    </row>
    <row r="651" spans="1:6">
      <c r="A651" s="29">
        <v>95015</v>
      </c>
      <c r="B651" s="30" t="s">
        <v>820</v>
      </c>
      <c r="C651" s="31" t="s">
        <v>1253</v>
      </c>
      <c r="D651" s="31" t="s">
        <v>158</v>
      </c>
      <c r="E651" s="31" t="s">
        <v>668</v>
      </c>
      <c r="F651" s="32" t="s">
        <v>126</v>
      </c>
    </row>
    <row r="652" spans="1:6">
      <c r="A652" s="29">
        <v>95200</v>
      </c>
      <c r="B652" s="30" t="s">
        <v>866</v>
      </c>
      <c r="C652" s="31" t="s">
        <v>1253</v>
      </c>
      <c r="D652" s="31" t="s">
        <v>158</v>
      </c>
      <c r="E652" s="31" t="s">
        <v>668</v>
      </c>
      <c r="F652" s="32" t="s">
        <v>126</v>
      </c>
    </row>
    <row r="653" spans="1:6">
      <c r="A653" s="29">
        <v>95025</v>
      </c>
      <c r="B653" s="31" t="s">
        <v>1254</v>
      </c>
      <c r="C653" s="31" t="s">
        <v>1253</v>
      </c>
      <c r="D653" s="31" t="s">
        <v>158</v>
      </c>
      <c r="E653" s="31" t="s">
        <v>680</v>
      </c>
      <c r="F653" s="32" t="s">
        <v>109</v>
      </c>
    </row>
    <row r="654" spans="1:6">
      <c r="A654" s="29">
        <v>95001</v>
      </c>
      <c r="B654" s="31" t="s">
        <v>1255</v>
      </c>
      <c r="C654" s="31" t="s">
        <v>1253</v>
      </c>
      <c r="D654" s="31" t="s">
        <v>158</v>
      </c>
      <c r="E654" s="31" t="s">
        <v>680</v>
      </c>
      <c r="F654" s="32" t="s">
        <v>109</v>
      </c>
    </row>
    <row r="655" spans="1:6">
      <c r="A655" s="29">
        <v>41319</v>
      </c>
      <c r="B655" s="30" t="s">
        <v>685</v>
      </c>
      <c r="C655" s="31" t="s">
        <v>216</v>
      </c>
      <c r="D655" s="31" t="s">
        <v>100</v>
      </c>
      <c r="E655" s="31" t="s">
        <v>680</v>
      </c>
      <c r="F655" s="32" t="s">
        <v>181</v>
      </c>
    </row>
    <row r="656" spans="1:6">
      <c r="A656" s="29">
        <v>41530</v>
      </c>
      <c r="B656" s="30" t="s">
        <v>978</v>
      </c>
      <c r="C656" s="31" t="s">
        <v>216</v>
      </c>
      <c r="D656" s="31" t="s">
        <v>100</v>
      </c>
      <c r="E656" s="31" t="s">
        <v>680</v>
      </c>
      <c r="F656" s="32" t="s">
        <v>109</v>
      </c>
    </row>
    <row r="657" spans="1:6">
      <c r="A657" s="29">
        <v>41676</v>
      </c>
      <c r="B657" s="30" t="s">
        <v>868</v>
      </c>
      <c r="C657" s="31" t="s">
        <v>216</v>
      </c>
      <c r="D657" s="31" t="s">
        <v>100</v>
      </c>
      <c r="E657" s="31" t="s">
        <v>680</v>
      </c>
      <c r="F657" s="32" t="s">
        <v>181</v>
      </c>
    </row>
    <row r="658" spans="1:6">
      <c r="A658" s="29">
        <v>41006</v>
      </c>
      <c r="B658" s="31" t="s">
        <v>1256</v>
      </c>
      <c r="C658" s="31" t="s">
        <v>216</v>
      </c>
      <c r="D658" s="31" t="s">
        <v>100</v>
      </c>
      <c r="E658" s="31" t="s">
        <v>680</v>
      </c>
      <c r="F658" s="32" t="s">
        <v>181</v>
      </c>
    </row>
    <row r="659" spans="1:6">
      <c r="A659" s="29">
        <v>41013</v>
      </c>
      <c r="B659" s="31" t="s">
        <v>1257</v>
      </c>
      <c r="C659" s="31" t="s">
        <v>216</v>
      </c>
      <c r="D659" s="31" t="s">
        <v>100</v>
      </c>
      <c r="E659" s="31" t="s">
        <v>680</v>
      </c>
      <c r="F659" s="32" t="s">
        <v>181</v>
      </c>
    </row>
    <row r="660" spans="1:6">
      <c r="A660" s="29">
        <v>41016</v>
      </c>
      <c r="B660" s="31" t="s">
        <v>1258</v>
      </c>
      <c r="C660" s="31" t="s">
        <v>216</v>
      </c>
      <c r="D660" s="31" t="s">
        <v>100</v>
      </c>
      <c r="E660" s="31" t="s">
        <v>680</v>
      </c>
      <c r="F660" s="32" t="s">
        <v>92</v>
      </c>
    </row>
    <row r="661" spans="1:6">
      <c r="A661" s="29">
        <v>41020</v>
      </c>
      <c r="B661" s="31" t="s">
        <v>1259</v>
      </c>
      <c r="C661" s="31" t="s">
        <v>216</v>
      </c>
      <c r="D661" s="31" t="s">
        <v>100</v>
      </c>
      <c r="E661" s="31" t="s">
        <v>680</v>
      </c>
      <c r="F661" s="32" t="s">
        <v>92</v>
      </c>
    </row>
    <row r="662" spans="1:6">
      <c r="A662" s="29">
        <v>41026</v>
      </c>
      <c r="B662" s="31" t="s">
        <v>1260</v>
      </c>
      <c r="C662" s="31" t="s">
        <v>216</v>
      </c>
      <c r="D662" s="31" t="s">
        <v>100</v>
      </c>
      <c r="E662" s="31" t="s">
        <v>680</v>
      </c>
      <c r="F662" s="32" t="s">
        <v>181</v>
      </c>
    </row>
    <row r="663" spans="1:6">
      <c r="A663" s="29">
        <v>41078</v>
      </c>
      <c r="B663" s="31" t="s">
        <v>1261</v>
      </c>
      <c r="C663" s="31" t="s">
        <v>216</v>
      </c>
      <c r="D663" s="31" t="s">
        <v>100</v>
      </c>
      <c r="E663" s="31" t="s">
        <v>680</v>
      </c>
      <c r="F663" s="32" t="s">
        <v>92</v>
      </c>
    </row>
    <row r="664" spans="1:6">
      <c r="A664" s="29">
        <v>41132</v>
      </c>
      <c r="B664" s="31" t="s">
        <v>1262</v>
      </c>
      <c r="C664" s="31" t="s">
        <v>216</v>
      </c>
      <c r="D664" s="31" t="s">
        <v>100</v>
      </c>
      <c r="E664" s="31" t="s">
        <v>680</v>
      </c>
      <c r="F664" s="32" t="s">
        <v>92</v>
      </c>
    </row>
    <row r="665" spans="1:6">
      <c r="A665" s="29">
        <v>41206</v>
      </c>
      <c r="B665" s="31" t="s">
        <v>1263</v>
      </c>
      <c r="C665" s="31" t="s">
        <v>216</v>
      </c>
      <c r="D665" s="31" t="s">
        <v>100</v>
      </c>
      <c r="E665" s="31" t="s">
        <v>680</v>
      </c>
      <c r="F665" s="32" t="s">
        <v>181</v>
      </c>
    </row>
    <row r="666" spans="1:6">
      <c r="A666" s="29">
        <v>41244</v>
      </c>
      <c r="B666" s="31" t="s">
        <v>1264</v>
      </c>
      <c r="C666" s="31" t="s">
        <v>216</v>
      </c>
      <c r="D666" s="31" t="s">
        <v>100</v>
      </c>
      <c r="E666" s="31" t="s">
        <v>680</v>
      </c>
      <c r="F666" s="32" t="s">
        <v>181</v>
      </c>
    </row>
    <row r="667" spans="1:6">
      <c r="A667" s="29">
        <v>41298</v>
      </c>
      <c r="B667" s="31" t="s">
        <v>1265</v>
      </c>
      <c r="C667" s="31" t="s">
        <v>216</v>
      </c>
      <c r="D667" s="31" t="s">
        <v>100</v>
      </c>
      <c r="E667" s="31" t="s">
        <v>680</v>
      </c>
      <c r="F667" s="32" t="s">
        <v>181</v>
      </c>
    </row>
    <row r="668" spans="1:6">
      <c r="A668" s="29">
        <v>41306</v>
      </c>
      <c r="B668" s="31" t="s">
        <v>1266</v>
      </c>
      <c r="C668" s="31" t="s">
        <v>216</v>
      </c>
      <c r="D668" s="31" t="s">
        <v>100</v>
      </c>
      <c r="E668" s="31" t="s">
        <v>680</v>
      </c>
      <c r="F668" s="32" t="s">
        <v>92</v>
      </c>
    </row>
    <row r="669" spans="1:6">
      <c r="A669" s="29">
        <v>41349</v>
      </c>
      <c r="B669" s="31" t="s">
        <v>1267</v>
      </c>
      <c r="C669" s="31" t="s">
        <v>216</v>
      </c>
      <c r="D669" s="31" t="s">
        <v>100</v>
      </c>
      <c r="E669" s="31" t="s">
        <v>680</v>
      </c>
      <c r="F669" s="32" t="s">
        <v>92</v>
      </c>
    </row>
    <row r="670" spans="1:6">
      <c r="A670" s="29">
        <v>41357</v>
      </c>
      <c r="B670" s="31" t="s">
        <v>1268</v>
      </c>
      <c r="C670" s="31" t="s">
        <v>216</v>
      </c>
      <c r="D670" s="31" t="s">
        <v>100</v>
      </c>
      <c r="E670" s="31" t="s">
        <v>680</v>
      </c>
      <c r="F670" s="32" t="s">
        <v>92</v>
      </c>
    </row>
    <row r="671" spans="1:6">
      <c r="A671" s="29">
        <v>41359</v>
      </c>
      <c r="B671" s="31" t="s">
        <v>1269</v>
      </c>
      <c r="C671" s="31" t="s">
        <v>216</v>
      </c>
      <c r="D671" s="31" t="s">
        <v>100</v>
      </c>
      <c r="E671" s="31" t="s">
        <v>680</v>
      </c>
      <c r="F671" s="32" t="s">
        <v>109</v>
      </c>
    </row>
    <row r="672" spans="1:6">
      <c r="A672" s="29">
        <v>41378</v>
      </c>
      <c r="B672" s="31" t="s">
        <v>1270</v>
      </c>
      <c r="C672" s="31" t="s">
        <v>216</v>
      </c>
      <c r="D672" s="31" t="s">
        <v>100</v>
      </c>
      <c r="E672" s="31" t="s">
        <v>680</v>
      </c>
      <c r="F672" s="32" t="s">
        <v>181</v>
      </c>
    </row>
    <row r="673" spans="1:6">
      <c r="A673" s="29">
        <v>41396</v>
      </c>
      <c r="B673" s="31" t="s">
        <v>1271</v>
      </c>
      <c r="C673" s="31" t="s">
        <v>216</v>
      </c>
      <c r="D673" s="31" t="s">
        <v>100</v>
      </c>
      <c r="E673" s="31" t="s">
        <v>680</v>
      </c>
      <c r="F673" s="32" t="s">
        <v>181</v>
      </c>
    </row>
    <row r="674" spans="1:6">
      <c r="A674" s="29">
        <v>41483</v>
      </c>
      <c r="B674" s="31" t="s">
        <v>1272</v>
      </c>
      <c r="C674" s="31" t="s">
        <v>216</v>
      </c>
      <c r="D674" s="31" t="s">
        <v>100</v>
      </c>
      <c r="E674" s="31" t="s">
        <v>680</v>
      </c>
      <c r="F674" s="32" t="s">
        <v>181</v>
      </c>
    </row>
    <row r="675" spans="1:6">
      <c r="A675" s="29">
        <v>41001</v>
      </c>
      <c r="B675" s="31" t="s">
        <v>100</v>
      </c>
      <c r="C675" s="31" t="s">
        <v>216</v>
      </c>
      <c r="D675" s="31" t="s">
        <v>100</v>
      </c>
      <c r="E675" s="31" t="s">
        <v>680</v>
      </c>
      <c r="F675" s="32" t="s">
        <v>119</v>
      </c>
    </row>
    <row r="676" spans="1:6">
      <c r="A676" s="29">
        <v>41503</v>
      </c>
      <c r="B676" s="31" t="s">
        <v>1273</v>
      </c>
      <c r="C676" s="31" t="s">
        <v>216</v>
      </c>
      <c r="D676" s="31" t="s">
        <v>100</v>
      </c>
      <c r="E676" s="31" t="s">
        <v>680</v>
      </c>
      <c r="F676" s="32" t="s">
        <v>109</v>
      </c>
    </row>
    <row r="677" spans="1:6">
      <c r="A677" s="29">
        <v>41518</v>
      </c>
      <c r="B677" s="31" t="s">
        <v>1274</v>
      </c>
      <c r="C677" s="31" t="s">
        <v>216</v>
      </c>
      <c r="D677" s="31" t="s">
        <v>100</v>
      </c>
      <c r="E677" s="31" t="s">
        <v>680</v>
      </c>
      <c r="F677" s="32" t="s">
        <v>92</v>
      </c>
    </row>
    <row r="678" spans="1:6">
      <c r="A678" s="29">
        <v>41524</v>
      </c>
      <c r="B678" s="31" t="s">
        <v>1275</v>
      </c>
      <c r="C678" s="31" t="s">
        <v>216</v>
      </c>
      <c r="D678" s="31" t="s">
        <v>100</v>
      </c>
      <c r="E678" s="31" t="s">
        <v>680</v>
      </c>
      <c r="F678" s="32" t="s">
        <v>119</v>
      </c>
    </row>
    <row r="679" spans="1:6">
      <c r="A679" s="29">
        <v>41548</v>
      </c>
      <c r="B679" s="31" t="s">
        <v>1276</v>
      </c>
      <c r="C679" s="31" t="s">
        <v>216</v>
      </c>
      <c r="D679" s="31" t="s">
        <v>100</v>
      </c>
      <c r="E679" s="31" t="s">
        <v>680</v>
      </c>
      <c r="F679" s="32" t="s">
        <v>181</v>
      </c>
    </row>
    <row r="680" spans="1:6">
      <c r="A680" s="29">
        <v>41551</v>
      </c>
      <c r="B680" s="31" t="s">
        <v>1277</v>
      </c>
      <c r="C680" s="31" t="s">
        <v>216</v>
      </c>
      <c r="D680" s="31" t="s">
        <v>100</v>
      </c>
      <c r="E680" s="31" t="s">
        <v>680</v>
      </c>
      <c r="F680" s="32" t="s">
        <v>181</v>
      </c>
    </row>
    <row r="681" spans="1:6">
      <c r="A681" s="29">
        <v>41615</v>
      </c>
      <c r="B681" s="31" t="s">
        <v>1278</v>
      </c>
      <c r="C681" s="31" t="s">
        <v>216</v>
      </c>
      <c r="D681" s="31" t="s">
        <v>100</v>
      </c>
      <c r="E681" s="31" t="s">
        <v>680</v>
      </c>
      <c r="F681" s="32" t="s">
        <v>119</v>
      </c>
    </row>
    <row r="682" spans="1:6">
      <c r="A682" s="29">
        <v>41660</v>
      </c>
      <c r="B682" s="31" t="s">
        <v>1279</v>
      </c>
      <c r="C682" s="31" t="s">
        <v>216</v>
      </c>
      <c r="D682" s="31" t="s">
        <v>100</v>
      </c>
      <c r="E682" s="31" t="s">
        <v>680</v>
      </c>
      <c r="F682" s="32" t="s">
        <v>109</v>
      </c>
    </row>
    <row r="683" spans="1:6">
      <c r="A683" s="29">
        <v>41668</v>
      </c>
      <c r="B683" s="31" t="s">
        <v>1280</v>
      </c>
      <c r="C683" s="31" t="s">
        <v>216</v>
      </c>
      <c r="D683" s="31" t="s">
        <v>100</v>
      </c>
      <c r="E683" s="31" t="s">
        <v>680</v>
      </c>
      <c r="F683" s="32" t="s">
        <v>109</v>
      </c>
    </row>
    <row r="684" spans="1:6">
      <c r="A684" s="29">
        <v>41770</v>
      </c>
      <c r="B684" s="31" t="s">
        <v>1281</v>
      </c>
      <c r="C684" s="31" t="s">
        <v>216</v>
      </c>
      <c r="D684" s="31" t="s">
        <v>100</v>
      </c>
      <c r="E684" s="31" t="s">
        <v>680</v>
      </c>
      <c r="F684" s="32" t="s">
        <v>181</v>
      </c>
    </row>
    <row r="685" spans="1:6">
      <c r="A685" s="29">
        <v>41791</v>
      </c>
      <c r="B685" s="31" t="s">
        <v>1282</v>
      </c>
      <c r="C685" s="31" t="s">
        <v>216</v>
      </c>
      <c r="D685" s="31" t="s">
        <v>100</v>
      </c>
      <c r="E685" s="31" t="s">
        <v>680</v>
      </c>
      <c r="F685" s="32" t="s">
        <v>181</v>
      </c>
    </row>
    <row r="686" spans="1:6">
      <c r="A686" s="29">
        <v>41799</v>
      </c>
      <c r="B686" s="31" t="s">
        <v>1283</v>
      </c>
      <c r="C686" s="31" t="s">
        <v>216</v>
      </c>
      <c r="D686" s="31" t="s">
        <v>100</v>
      </c>
      <c r="E686" s="31" t="s">
        <v>680</v>
      </c>
      <c r="F686" s="32" t="s">
        <v>92</v>
      </c>
    </row>
    <row r="687" spans="1:6">
      <c r="A687" s="29">
        <v>41801</v>
      </c>
      <c r="B687" s="31" t="s">
        <v>1284</v>
      </c>
      <c r="C687" s="31" t="s">
        <v>216</v>
      </c>
      <c r="D687" s="31" t="s">
        <v>100</v>
      </c>
      <c r="E687" s="31" t="s">
        <v>680</v>
      </c>
      <c r="F687" s="32" t="s">
        <v>92</v>
      </c>
    </row>
    <row r="688" spans="1:6">
      <c r="A688" s="29">
        <v>41797</v>
      </c>
      <c r="B688" s="31" t="s">
        <v>1285</v>
      </c>
      <c r="C688" s="31" t="s">
        <v>216</v>
      </c>
      <c r="D688" s="31" t="s">
        <v>100</v>
      </c>
      <c r="E688" s="31" t="s">
        <v>680</v>
      </c>
      <c r="F688" s="32" t="s">
        <v>92</v>
      </c>
    </row>
    <row r="689" spans="1:6">
      <c r="A689" s="29">
        <v>41807</v>
      </c>
      <c r="B689" s="31" t="s">
        <v>1286</v>
      </c>
      <c r="C689" s="31" t="s">
        <v>216</v>
      </c>
      <c r="D689" s="31" t="s">
        <v>100</v>
      </c>
      <c r="E689" s="31" t="s">
        <v>680</v>
      </c>
      <c r="F689" s="32" t="s">
        <v>181</v>
      </c>
    </row>
    <row r="690" spans="1:6">
      <c r="A690" s="29">
        <v>41872</v>
      </c>
      <c r="B690" s="31" t="s">
        <v>1287</v>
      </c>
      <c r="C690" s="31" t="s">
        <v>216</v>
      </c>
      <c r="D690" s="31" t="s">
        <v>100</v>
      </c>
      <c r="E690" s="31" t="s">
        <v>680</v>
      </c>
      <c r="F690" s="32" t="s">
        <v>92</v>
      </c>
    </row>
    <row r="691" spans="1:6">
      <c r="A691" s="29">
        <v>41885</v>
      </c>
      <c r="B691" s="31" t="s">
        <v>1288</v>
      </c>
      <c r="C691" s="31" t="s">
        <v>216</v>
      </c>
      <c r="D691" s="31" t="s">
        <v>100</v>
      </c>
      <c r="E691" s="31" t="s">
        <v>680</v>
      </c>
      <c r="F691" s="32" t="s">
        <v>92</v>
      </c>
    </row>
    <row r="692" spans="1:6">
      <c r="A692" s="29">
        <v>44035</v>
      </c>
      <c r="B692" s="30" t="s">
        <v>1002</v>
      </c>
      <c r="C692" s="31" t="s">
        <v>645</v>
      </c>
      <c r="D692" s="31" t="s">
        <v>475</v>
      </c>
      <c r="E692" s="31" t="s">
        <v>680</v>
      </c>
      <c r="F692" s="32" t="s">
        <v>181</v>
      </c>
    </row>
    <row r="693" spans="1:6">
      <c r="A693" s="29">
        <v>44560</v>
      </c>
      <c r="B693" s="30" t="s">
        <v>1066</v>
      </c>
      <c r="C693" s="31" t="s">
        <v>645</v>
      </c>
      <c r="D693" s="31" t="s">
        <v>338</v>
      </c>
      <c r="E693" s="31" t="s">
        <v>680</v>
      </c>
      <c r="F693" s="32" t="s">
        <v>109</v>
      </c>
    </row>
    <row r="694" spans="1:6">
      <c r="A694" s="29">
        <v>44874</v>
      </c>
      <c r="B694" s="30" t="s">
        <v>825</v>
      </c>
      <c r="C694" s="31" t="s">
        <v>645</v>
      </c>
      <c r="D694" s="31" t="s">
        <v>475</v>
      </c>
      <c r="E694" s="31" t="s">
        <v>680</v>
      </c>
      <c r="F694" s="32" t="s">
        <v>92</v>
      </c>
    </row>
    <row r="695" spans="1:6">
      <c r="A695" s="29">
        <v>44078</v>
      </c>
      <c r="B695" s="31" t="s">
        <v>1289</v>
      </c>
      <c r="C695" s="31" t="s">
        <v>645</v>
      </c>
      <c r="D695" s="31" t="s">
        <v>475</v>
      </c>
      <c r="E695" s="31" t="s">
        <v>680</v>
      </c>
      <c r="F695" s="32" t="s">
        <v>92</v>
      </c>
    </row>
    <row r="696" spans="1:6">
      <c r="A696" s="29">
        <v>44090</v>
      </c>
      <c r="B696" s="31" t="s">
        <v>1290</v>
      </c>
      <c r="C696" s="31" t="s">
        <v>645</v>
      </c>
      <c r="D696" s="31" t="s">
        <v>338</v>
      </c>
      <c r="E696" s="31" t="s">
        <v>680</v>
      </c>
      <c r="F696" s="32" t="s">
        <v>181</v>
      </c>
    </row>
    <row r="697" spans="1:6">
      <c r="A697" s="29">
        <v>44098</v>
      </c>
      <c r="B697" s="31" t="s">
        <v>1291</v>
      </c>
      <c r="C697" s="31" t="s">
        <v>645</v>
      </c>
      <c r="D697" s="31" t="s">
        <v>475</v>
      </c>
      <c r="E697" s="31" t="s">
        <v>680</v>
      </c>
      <c r="F697" s="32" t="s">
        <v>92</v>
      </c>
    </row>
    <row r="698" spans="1:6">
      <c r="A698" s="29">
        <v>44110</v>
      </c>
      <c r="B698" s="31" t="s">
        <v>1292</v>
      </c>
      <c r="C698" s="31" t="s">
        <v>645</v>
      </c>
      <c r="D698" s="31" t="s">
        <v>475</v>
      </c>
      <c r="E698" s="31" t="s">
        <v>680</v>
      </c>
      <c r="F698" s="32" t="s">
        <v>92</v>
      </c>
    </row>
    <row r="699" spans="1:6">
      <c r="A699" s="29">
        <v>44279</v>
      </c>
      <c r="B699" s="31" t="s">
        <v>1293</v>
      </c>
      <c r="C699" s="31" t="s">
        <v>645</v>
      </c>
      <c r="D699" s="31" t="s">
        <v>475</v>
      </c>
      <c r="E699" s="31" t="s">
        <v>680</v>
      </c>
      <c r="F699" s="32" t="s">
        <v>92</v>
      </c>
    </row>
    <row r="700" spans="1:6">
      <c r="A700" s="29">
        <v>44378</v>
      </c>
      <c r="B700" s="31" t="s">
        <v>1294</v>
      </c>
      <c r="C700" s="31" t="s">
        <v>645</v>
      </c>
      <c r="D700" s="31" t="s">
        <v>475</v>
      </c>
      <c r="E700" s="31" t="s">
        <v>680</v>
      </c>
      <c r="F700" s="32" t="s">
        <v>181</v>
      </c>
    </row>
    <row r="701" spans="1:6">
      <c r="A701" s="29">
        <v>44420</v>
      </c>
      <c r="B701" s="31" t="s">
        <v>1295</v>
      </c>
      <c r="C701" s="31" t="s">
        <v>645</v>
      </c>
      <c r="D701" s="31" t="s">
        <v>475</v>
      </c>
      <c r="E701" s="31" t="s">
        <v>680</v>
      </c>
      <c r="F701" s="32" t="s">
        <v>92</v>
      </c>
    </row>
    <row r="702" spans="1:6">
      <c r="A702" s="29">
        <v>44430</v>
      </c>
      <c r="B702" s="31" t="s">
        <v>1296</v>
      </c>
      <c r="C702" s="31" t="s">
        <v>645</v>
      </c>
      <c r="D702" s="31" t="s">
        <v>338</v>
      </c>
      <c r="E702" s="31" t="s">
        <v>680</v>
      </c>
      <c r="F702" s="32" t="s">
        <v>109</v>
      </c>
    </row>
    <row r="703" spans="1:6">
      <c r="A703" s="29">
        <v>44001</v>
      </c>
      <c r="B703" s="31" t="s">
        <v>646</v>
      </c>
      <c r="C703" s="31" t="s">
        <v>645</v>
      </c>
      <c r="D703" s="31" t="s">
        <v>338</v>
      </c>
      <c r="E703" s="31" t="s">
        <v>680</v>
      </c>
      <c r="F703" s="32" t="s">
        <v>181</v>
      </c>
    </row>
    <row r="704" spans="1:6">
      <c r="A704" s="29">
        <v>44650</v>
      </c>
      <c r="B704" s="31" t="s">
        <v>1297</v>
      </c>
      <c r="C704" s="31" t="s">
        <v>645</v>
      </c>
      <c r="D704" s="31" t="s">
        <v>475</v>
      </c>
      <c r="E704" s="31" t="s">
        <v>680</v>
      </c>
      <c r="F704" s="32" t="s">
        <v>92</v>
      </c>
    </row>
    <row r="705" spans="1:6">
      <c r="A705" s="29">
        <v>44847</v>
      </c>
      <c r="B705" s="31" t="s">
        <v>1298</v>
      </c>
      <c r="C705" s="31" t="s">
        <v>645</v>
      </c>
      <c r="D705" s="31" t="s">
        <v>338</v>
      </c>
      <c r="E705" s="31" t="s">
        <v>680</v>
      </c>
      <c r="F705" s="32" t="s">
        <v>109</v>
      </c>
    </row>
    <row r="706" spans="1:6">
      <c r="A706" s="29">
        <v>44855</v>
      </c>
      <c r="B706" s="31" t="s">
        <v>1299</v>
      </c>
      <c r="C706" s="31" t="s">
        <v>645</v>
      </c>
      <c r="D706" s="31" t="s">
        <v>475</v>
      </c>
      <c r="E706" s="31" t="s">
        <v>680</v>
      </c>
      <c r="F706" s="32" t="s">
        <v>92</v>
      </c>
    </row>
    <row r="707" spans="1:6">
      <c r="A707" s="29">
        <v>47189</v>
      </c>
      <c r="B707" s="30" t="s">
        <v>865</v>
      </c>
      <c r="C707" s="31" t="s">
        <v>295</v>
      </c>
      <c r="D707" s="31" t="s">
        <v>338</v>
      </c>
      <c r="E707" s="31" t="s">
        <v>680</v>
      </c>
      <c r="F707" s="32" t="s">
        <v>92</v>
      </c>
    </row>
    <row r="708" spans="1:6">
      <c r="A708" s="29">
        <v>47205</v>
      </c>
      <c r="B708" s="30" t="s">
        <v>296</v>
      </c>
      <c r="C708" s="31" t="s">
        <v>295</v>
      </c>
      <c r="D708" s="31" t="s">
        <v>133</v>
      </c>
      <c r="E708" s="31" t="s">
        <v>680</v>
      </c>
      <c r="F708" s="32" t="s">
        <v>181</v>
      </c>
    </row>
    <row r="709" spans="1:6">
      <c r="A709" s="29">
        <v>47318</v>
      </c>
      <c r="B709" s="30" t="s">
        <v>1300</v>
      </c>
      <c r="C709" s="31" t="s">
        <v>295</v>
      </c>
      <c r="D709" s="31" t="s">
        <v>338</v>
      </c>
      <c r="E709" s="31" t="s">
        <v>680</v>
      </c>
      <c r="F709" s="32" t="s">
        <v>109</v>
      </c>
    </row>
    <row r="710" spans="1:6">
      <c r="A710" s="29">
        <v>47675</v>
      </c>
      <c r="B710" s="30" t="s">
        <v>980</v>
      </c>
      <c r="C710" s="31" t="s">
        <v>295</v>
      </c>
      <c r="D710" s="31" t="s">
        <v>133</v>
      </c>
      <c r="E710" s="31" t="s">
        <v>680</v>
      </c>
      <c r="F710" s="32" t="s">
        <v>92</v>
      </c>
    </row>
    <row r="711" spans="1:6">
      <c r="A711" s="29">
        <v>47030</v>
      </c>
      <c r="B711" s="31" t="s">
        <v>1301</v>
      </c>
      <c r="C711" s="31" t="s">
        <v>295</v>
      </c>
      <c r="D711" s="31" t="s">
        <v>338</v>
      </c>
      <c r="E711" s="31" t="s">
        <v>680</v>
      </c>
      <c r="F711" s="32" t="s">
        <v>109</v>
      </c>
    </row>
    <row r="712" spans="1:6">
      <c r="A712" s="29">
        <v>47053</v>
      </c>
      <c r="B712" s="31" t="s">
        <v>1302</v>
      </c>
      <c r="C712" s="31" t="s">
        <v>295</v>
      </c>
      <c r="D712" s="31" t="s">
        <v>338</v>
      </c>
      <c r="E712" s="31" t="s">
        <v>680</v>
      </c>
      <c r="F712" s="32" t="s">
        <v>181</v>
      </c>
    </row>
    <row r="713" spans="1:6">
      <c r="A713" s="29">
        <v>47058</v>
      </c>
      <c r="B713" s="31" t="s">
        <v>1303</v>
      </c>
      <c r="C713" s="31" t="s">
        <v>295</v>
      </c>
      <c r="D713" s="31" t="s">
        <v>475</v>
      </c>
      <c r="E713" s="31" t="s">
        <v>680</v>
      </c>
      <c r="F713" s="32" t="s">
        <v>181</v>
      </c>
    </row>
    <row r="714" spans="1:6">
      <c r="A714" s="29">
        <v>47161</v>
      </c>
      <c r="B714" s="31" t="s">
        <v>1304</v>
      </c>
      <c r="C714" s="31" t="s">
        <v>295</v>
      </c>
      <c r="D714" s="31" t="s">
        <v>133</v>
      </c>
      <c r="E714" s="31" t="s">
        <v>680</v>
      </c>
      <c r="F714" s="32" t="s">
        <v>109</v>
      </c>
    </row>
    <row r="715" spans="1:6">
      <c r="A715" s="29">
        <v>47170</v>
      </c>
      <c r="B715" s="31" t="s">
        <v>1305</v>
      </c>
      <c r="C715" s="31" t="s">
        <v>295</v>
      </c>
      <c r="D715" s="31" t="s">
        <v>338</v>
      </c>
      <c r="E715" s="31" t="s">
        <v>680</v>
      </c>
      <c r="F715" s="32" t="s">
        <v>109</v>
      </c>
    </row>
    <row r="716" spans="1:6">
      <c r="A716" s="29">
        <v>47245</v>
      </c>
      <c r="B716" s="31" t="s">
        <v>1306</v>
      </c>
      <c r="C716" s="31" t="s">
        <v>295</v>
      </c>
      <c r="D716" s="31" t="s">
        <v>338</v>
      </c>
      <c r="E716" s="31" t="s">
        <v>680</v>
      </c>
      <c r="F716" s="32" t="s">
        <v>109</v>
      </c>
    </row>
    <row r="717" spans="1:6">
      <c r="A717" s="29">
        <v>47258</v>
      </c>
      <c r="B717" s="31" t="s">
        <v>1307</v>
      </c>
      <c r="C717" s="31" t="s">
        <v>295</v>
      </c>
      <c r="D717" s="31" t="s">
        <v>133</v>
      </c>
      <c r="E717" s="31" t="s">
        <v>680</v>
      </c>
      <c r="F717" s="32" t="s">
        <v>181</v>
      </c>
    </row>
    <row r="718" spans="1:6">
      <c r="A718" s="29">
        <v>47268</v>
      </c>
      <c r="B718" s="31" t="s">
        <v>1308</v>
      </c>
      <c r="C718" s="31" t="s">
        <v>295</v>
      </c>
      <c r="D718" s="31" t="s">
        <v>338</v>
      </c>
      <c r="E718" s="31" t="s">
        <v>680</v>
      </c>
      <c r="F718" s="32" t="s">
        <v>181</v>
      </c>
    </row>
    <row r="719" spans="1:6">
      <c r="A719" s="29">
        <v>47288</v>
      </c>
      <c r="B719" s="31" t="s">
        <v>1309</v>
      </c>
      <c r="C719" s="31" t="s">
        <v>295</v>
      </c>
      <c r="D719" s="31" t="s">
        <v>338</v>
      </c>
      <c r="E719" s="31" t="s">
        <v>680</v>
      </c>
      <c r="F719" s="32" t="s">
        <v>181</v>
      </c>
    </row>
    <row r="720" spans="1:6">
      <c r="A720" s="29">
        <v>47460</v>
      </c>
      <c r="B720" s="31" t="s">
        <v>1310</v>
      </c>
      <c r="C720" s="31" t="s">
        <v>295</v>
      </c>
      <c r="D720" s="31" t="s">
        <v>475</v>
      </c>
      <c r="E720" s="31" t="s">
        <v>680</v>
      </c>
      <c r="F720" s="32" t="s">
        <v>109</v>
      </c>
    </row>
    <row r="721" spans="1:6">
      <c r="A721" s="29">
        <v>47541</v>
      </c>
      <c r="B721" s="31" t="s">
        <v>1311</v>
      </c>
      <c r="C721" s="31" t="s">
        <v>295</v>
      </c>
      <c r="D721" s="31" t="s">
        <v>133</v>
      </c>
      <c r="E721" s="31" t="s">
        <v>680</v>
      </c>
      <c r="F721" s="32" t="s">
        <v>181</v>
      </c>
    </row>
    <row r="722" spans="1:6">
      <c r="A722" s="29">
        <v>47545</v>
      </c>
      <c r="B722" s="31" t="s">
        <v>1312</v>
      </c>
      <c r="C722" s="31" t="s">
        <v>295</v>
      </c>
      <c r="D722" s="31" t="s">
        <v>338</v>
      </c>
      <c r="E722" s="31" t="s">
        <v>680</v>
      </c>
      <c r="F722" s="32" t="s">
        <v>109</v>
      </c>
    </row>
    <row r="723" spans="1:6">
      <c r="A723" s="29">
        <v>47551</v>
      </c>
      <c r="B723" s="31" t="s">
        <v>1313</v>
      </c>
      <c r="C723" s="31" t="s">
        <v>295</v>
      </c>
      <c r="D723" s="31" t="s">
        <v>338</v>
      </c>
      <c r="E723" s="31" t="s">
        <v>680</v>
      </c>
      <c r="F723" s="32" t="s">
        <v>109</v>
      </c>
    </row>
    <row r="724" spans="1:6">
      <c r="A724" s="29">
        <v>47555</v>
      </c>
      <c r="B724" s="31" t="s">
        <v>1314</v>
      </c>
      <c r="C724" s="31" t="s">
        <v>295</v>
      </c>
      <c r="D724" s="31" t="s">
        <v>338</v>
      </c>
      <c r="E724" s="31" t="s">
        <v>680</v>
      </c>
      <c r="F724" s="32" t="s">
        <v>109</v>
      </c>
    </row>
    <row r="725" spans="1:6">
      <c r="A725" s="29">
        <v>47570</v>
      </c>
      <c r="B725" s="31" t="s">
        <v>1315</v>
      </c>
      <c r="C725" s="31" t="s">
        <v>295</v>
      </c>
      <c r="D725" s="31" t="s">
        <v>338</v>
      </c>
      <c r="E725" s="31" t="s">
        <v>680</v>
      </c>
      <c r="F725" s="32" t="s">
        <v>92</v>
      </c>
    </row>
    <row r="726" spans="1:6">
      <c r="A726" s="29">
        <v>47605</v>
      </c>
      <c r="B726" s="31" t="s">
        <v>1316</v>
      </c>
      <c r="C726" s="31" t="s">
        <v>295</v>
      </c>
      <c r="D726" s="31" t="s">
        <v>133</v>
      </c>
      <c r="E726" s="31" t="s">
        <v>680</v>
      </c>
      <c r="F726" s="32" t="s">
        <v>181</v>
      </c>
    </row>
    <row r="727" spans="1:6">
      <c r="A727" s="29">
        <v>47660</v>
      </c>
      <c r="B727" s="31" t="s">
        <v>1317</v>
      </c>
      <c r="C727" s="31" t="s">
        <v>295</v>
      </c>
      <c r="D727" s="31" t="s">
        <v>338</v>
      </c>
      <c r="E727" s="31" t="s">
        <v>680</v>
      </c>
      <c r="F727" s="32" t="s">
        <v>109</v>
      </c>
    </row>
    <row r="728" spans="1:6">
      <c r="A728" s="29">
        <v>47692</v>
      </c>
      <c r="B728" s="31" t="s">
        <v>1318</v>
      </c>
      <c r="C728" s="31" t="s">
        <v>295</v>
      </c>
      <c r="D728" s="31" t="s">
        <v>338</v>
      </c>
      <c r="E728" s="31" t="s">
        <v>680</v>
      </c>
      <c r="F728" s="32" t="s">
        <v>109</v>
      </c>
    </row>
    <row r="729" spans="1:6">
      <c r="A729" s="29">
        <v>47703</v>
      </c>
      <c r="B729" s="31" t="s">
        <v>1319</v>
      </c>
      <c r="C729" s="31" t="s">
        <v>295</v>
      </c>
      <c r="D729" s="31" t="s">
        <v>338</v>
      </c>
      <c r="E729" s="31" t="s">
        <v>680</v>
      </c>
      <c r="F729" s="32" t="s">
        <v>109</v>
      </c>
    </row>
    <row r="730" spans="1:6">
      <c r="A730" s="29">
        <v>47707</v>
      </c>
      <c r="B730" s="31" t="s">
        <v>1320</v>
      </c>
      <c r="C730" s="31" t="s">
        <v>295</v>
      </c>
      <c r="D730" s="31" t="s">
        <v>338</v>
      </c>
      <c r="E730" s="31" t="s">
        <v>680</v>
      </c>
      <c r="F730" s="32" t="s">
        <v>109</v>
      </c>
    </row>
    <row r="731" spans="1:6">
      <c r="A731" s="29">
        <v>47720</v>
      </c>
      <c r="B731" s="31" t="s">
        <v>1321</v>
      </c>
      <c r="C731" s="31" t="s">
        <v>295</v>
      </c>
      <c r="D731" s="31" t="s">
        <v>338</v>
      </c>
      <c r="E731" s="31" t="s">
        <v>680</v>
      </c>
      <c r="F731" s="32" t="s">
        <v>109</v>
      </c>
    </row>
    <row r="732" spans="1:6">
      <c r="A732" s="29">
        <v>47001</v>
      </c>
      <c r="B732" s="31" t="s">
        <v>338</v>
      </c>
      <c r="C732" s="31" t="s">
        <v>295</v>
      </c>
      <c r="D732" s="31" t="s">
        <v>338</v>
      </c>
      <c r="E732" s="31" t="s">
        <v>680</v>
      </c>
      <c r="F732" s="32" t="s">
        <v>119</v>
      </c>
    </row>
    <row r="733" spans="1:6">
      <c r="A733" s="29">
        <v>47745</v>
      </c>
      <c r="B733" s="31" t="s">
        <v>1322</v>
      </c>
      <c r="C733" s="31" t="s">
        <v>295</v>
      </c>
      <c r="D733" s="31" t="s">
        <v>133</v>
      </c>
      <c r="E733" s="31" t="s">
        <v>680</v>
      </c>
      <c r="F733" s="32" t="s">
        <v>92</v>
      </c>
    </row>
    <row r="734" spans="1:6">
      <c r="A734" s="29">
        <v>47798</v>
      </c>
      <c r="B734" s="31" t="s">
        <v>1323</v>
      </c>
      <c r="C734" s="31" t="s">
        <v>295</v>
      </c>
      <c r="D734" s="31" t="s">
        <v>338</v>
      </c>
      <c r="E734" s="31" t="s">
        <v>680</v>
      </c>
      <c r="F734" s="32" t="s">
        <v>109</v>
      </c>
    </row>
    <row r="735" spans="1:6">
      <c r="A735" s="29">
        <v>47960</v>
      </c>
      <c r="B735" s="31" t="s">
        <v>1324</v>
      </c>
      <c r="C735" s="31" t="s">
        <v>295</v>
      </c>
      <c r="D735" s="31" t="s">
        <v>133</v>
      </c>
      <c r="E735" s="31" t="s">
        <v>752</v>
      </c>
      <c r="F735" s="32" t="s">
        <v>126</v>
      </c>
    </row>
    <row r="736" spans="1:6">
      <c r="A736" s="29">
        <v>47980</v>
      </c>
      <c r="B736" s="31" t="s">
        <v>1325</v>
      </c>
      <c r="C736" s="31" t="s">
        <v>295</v>
      </c>
      <c r="D736" s="31" t="s">
        <v>338</v>
      </c>
      <c r="E736" s="31" t="s">
        <v>680</v>
      </c>
      <c r="F736" s="32" t="s">
        <v>92</v>
      </c>
    </row>
    <row r="737" spans="1:6">
      <c r="A737" s="29">
        <v>50313</v>
      </c>
      <c r="B737" s="30" t="s">
        <v>570</v>
      </c>
      <c r="C737" s="31" t="s">
        <v>161</v>
      </c>
      <c r="D737" s="31" t="s">
        <v>158</v>
      </c>
      <c r="E737" s="31" t="s">
        <v>680</v>
      </c>
      <c r="F737" s="32" t="s">
        <v>92</v>
      </c>
    </row>
    <row r="738" spans="1:6">
      <c r="A738" s="29">
        <v>50318</v>
      </c>
      <c r="B738" s="30" t="s">
        <v>1300</v>
      </c>
      <c r="C738" s="31" t="s">
        <v>161</v>
      </c>
      <c r="D738" s="31" t="s">
        <v>158</v>
      </c>
      <c r="E738" s="31" t="s">
        <v>680</v>
      </c>
      <c r="F738" s="32" t="s">
        <v>92</v>
      </c>
    </row>
    <row r="739" spans="1:6">
      <c r="A739" s="29">
        <v>50590</v>
      </c>
      <c r="B739" s="30" t="s">
        <v>1003</v>
      </c>
      <c r="C739" s="31" t="s">
        <v>161</v>
      </c>
      <c r="D739" s="31" t="s">
        <v>158</v>
      </c>
      <c r="E739" s="31" t="s">
        <v>680</v>
      </c>
      <c r="F739" s="32" t="s">
        <v>109</v>
      </c>
    </row>
    <row r="740" spans="1:6">
      <c r="A740" s="29">
        <v>50606</v>
      </c>
      <c r="B740" s="30" t="s">
        <v>1326</v>
      </c>
      <c r="C740" s="31" t="s">
        <v>161</v>
      </c>
      <c r="D740" s="31" t="s">
        <v>158</v>
      </c>
      <c r="E740" s="31" t="s">
        <v>680</v>
      </c>
      <c r="F740" s="32" t="s">
        <v>92</v>
      </c>
    </row>
    <row r="741" spans="1:6">
      <c r="A741" s="29">
        <v>50689</v>
      </c>
      <c r="B741" s="30" t="s">
        <v>1067</v>
      </c>
      <c r="C741" s="31" t="s">
        <v>161</v>
      </c>
      <c r="D741" s="31" t="s">
        <v>158</v>
      </c>
      <c r="E741" s="31" t="s">
        <v>680</v>
      </c>
      <c r="F741" s="32" t="s">
        <v>92</v>
      </c>
    </row>
    <row r="742" spans="1:6">
      <c r="A742" s="29">
        <v>50006</v>
      </c>
      <c r="B742" s="31" t="s">
        <v>633</v>
      </c>
      <c r="C742" s="31" t="s">
        <v>161</v>
      </c>
      <c r="D742" s="31" t="s">
        <v>158</v>
      </c>
      <c r="E742" s="31" t="s">
        <v>680</v>
      </c>
      <c r="F742" s="32" t="s">
        <v>92</v>
      </c>
    </row>
    <row r="743" spans="1:6">
      <c r="A743" s="29">
        <v>50110</v>
      </c>
      <c r="B743" s="31" t="s">
        <v>1327</v>
      </c>
      <c r="C743" s="31" t="s">
        <v>161</v>
      </c>
      <c r="D743" s="31" t="s">
        <v>158</v>
      </c>
      <c r="E743" s="31" t="s">
        <v>680</v>
      </c>
      <c r="F743" s="32" t="s">
        <v>92</v>
      </c>
    </row>
    <row r="744" spans="1:6">
      <c r="A744" s="29">
        <v>50124</v>
      </c>
      <c r="B744" s="31" t="s">
        <v>1328</v>
      </c>
      <c r="C744" s="31" t="s">
        <v>161</v>
      </c>
      <c r="D744" s="31" t="s">
        <v>158</v>
      </c>
      <c r="E744" s="31" t="s">
        <v>680</v>
      </c>
      <c r="F744" s="32" t="s">
        <v>181</v>
      </c>
    </row>
    <row r="745" spans="1:6">
      <c r="A745" s="29">
        <v>50150</v>
      </c>
      <c r="B745" s="31" t="s">
        <v>1329</v>
      </c>
      <c r="C745" s="31" t="s">
        <v>161</v>
      </c>
      <c r="D745" s="31" t="s">
        <v>158</v>
      </c>
      <c r="E745" s="31" t="s">
        <v>680</v>
      </c>
      <c r="F745" s="32" t="s">
        <v>92</v>
      </c>
    </row>
    <row r="746" spans="1:6">
      <c r="A746" s="29">
        <v>50223</v>
      </c>
      <c r="B746" s="31" t="s">
        <v>1330</v>
      </c>
      <c r="C746" s="31" t="s">
        <v>161</v>
      </c>
      <c r="D746" s="31" t="s">
        <v>158</v>
      </c>
      <c r="E746" s="31" t="s">
        <v>680</v>
      </c>
      <c r="F746" s="32" t="s">
        <v>92</v>
      </c>
    </row>
    <row r="747" spans="1:6">
      <c r="A747" s="29">
        <v>50226</v>
      </c>
      <c r="B747" s="31" t="s">
        <v>1331</v>
      </c>
      <c r="C747" s="31" t="s">
        <v>161</v>
      </c>
      <c r="D747" s="31" t="s">
        <v>158</v>
      </c>
      <c r="E747" s="31" t="s">
        <v>680</v>
      </c>
      <c r="F747" s="32" t="s">
        <v>92</v>
      </c>
    </row>
    <row r="748" spans="1:6">
      <c r="A748" s="29">
        <v>50245</v>
      </c>
      <c r="B748" s="31" t="s">
        <v>1332</v>
      </c>
      <c r="C748" s="31" t="s">
        <v>161</v>
      </c>
      <c r="D748" s="31" t="s">
        <v>158</v>
      </c>
      <c r="E748" s="31" t="s">
        <v>680</v>
      </c>
      <c r="F748" s="32" t="s">
        <v>109</v>
      </c>
    </row>
    <row r="749" spans="1:6">
      <c r="A749" s="29">
        <v>50251</v>
      </c>
      <c r="B749" s="31" t="s">
        <v>1333</v>
      </c>
      <c r="C749" s="31" t="s">
        <v>161</v>
      </c>
      <c r="D749" s="31" t="s">
        <v>158</v>
      </c>
      <c r="E749" s="31" t="s">
        <v>680</v>
      </c>
      <c r="F749" s="32" t="s">
        <v>92</v>
      </c>
    </row>
    <row r="750" spans="1:6">
      <c r="A750" s="29">
        <v>50270</v>
      </c>
      <c r="B750" s="31" t="s">
        <v>1334</v>
      </c>
      <c r="C750" s="31" t="s">
        <v>161</v>
      </c>
      <c r="D750" s="31" t="s">
        <v>158</v>
      </c>
      <c r="E750" s="31" t="s">
        <v>680</v>
      </c>
      <c r="F750" s="32" t="s">
        <v>92</v>
      </c>
    </row>
    <row r="751" spans="1:6">
      <c r="A751" s="29">
        <v>50287</v>
      </c>
      <c r="B751" s="31" t="s">
        <v>223</v>
      </c>
      <c r="C751" s="31" t="s">
        <v>161</v>
      </c>
      <c r="D751" s="31" t="s">
        <v>158</v>
      </c>
      <c r="E751" s="31" t="s">
        <v>680</v>
      </c>
      <c r="F751" s="32" t="s">
        <v>181</v>
      </c>
    </row>
    <row r="752" spans="1:6">
      <c r="A752" s="29">
        <v>50350</v>
      </c>
      <c r="B752" s="31" t="s">
        <v>1335</v>
      </c>
      <c r="C752" s="31" t="s">
        <v>161</v>
      </c>
      <c r="D752" s="31" t="s">
        <v>158</v>
      </c>
      <c r="E752" s="31" t="s">
        <v>668</v>
      </c>
      <c r="F752" s="32" t="s">
        <v>126</v>
      </c>
    </row>
    <row r="753" spans="1:6">
      <c r="A753" s="29">
        <v>50400</v>
      </c>
      <c r="B753" s="31" t="s">
        <v>1336</v>
      </c>
      <c r="C753" s="31" t="s">
        <v>161</v>
      </c>
      <c r="D753" s="31" t="s">
        <v>158</v>
      </c>
      <c r="E753" s="31" t="s">
        <v>680</v>
      </c>
      <c r="F753" s="32" t="s">
        <v>181</v>
      </c>
    </row>
    <row r="754" spans="1:6">
      <c r="A754" s="29">
        <v>50325</v>
      </c>
      <c r="B754" s="31" t="s">
        <v>1337</v>
      </c>
      <c r="C754" s="31" t="s">
        <v>161</v>
      </c>
      <c r="D754" s="31" t="s">
        <v>158</v>
      </c>
      <c r="E754" s="31" t="s">
        <v>668</v>
      </c>
      <c r="F754" s="32" t="s">
        <v>126</v>
      </c>
    </row>
    <row r="755" spans="1:6">
      <c r="A755" s="29">
        <v>50330</v>
      </c>
      <c r="B755" s="31" t="s">
        <v>411</v>
      </c>
      <c r="C755" s="31" t="s">
        <v>161</v>
      </c>
      <c r="D755" s="31" t="s">
        <v>158</v>
      </c>
      <c r="E755" s="31" t="s">
        <v>680</v>
      </c>
      <c r="F755" s="32" t="s">
        <v>181</v>
      </c>
    </row>
    <row r="756" spans="1:6">
      <c r="A756" s="29">
        <v>50450</v>
      </c>
      <c r="B756" s="31" t="s">
        <v>1338</v>
      </c>
      <c r="C756" s="31" t="s">
        <v>161</v>
      </c>
      <c r="D756" s="31" t="s">
        <v>158</v>
      </c>
      <c r="E756" s="31" t="s">
        <v>680</v>
      </c>
      <c r="F756" s="32" t="s">
        <v>109</v>
      </c>
    </row>
    <row r="757" spans="1:6">
      <c r="A757" s="29">
        <v>50568</v>
      </c>
      <c r="B757" s="31" t="s">
        <v>1339</v>
      </c>
      <c r="C757" s="31" t="s">
        <v>161</v>
      </c>
      <c r="D757" s="31" t="s">
        <v>158</v>
      </c>
      <c r="E757" s="31" t="s">
        <v>680</v>
      </c>
      <c r="F757" s="32" t="s">
        <v>181</v>
      </c>
    </row>
    <row r="758" spans="1:6">
      <c r="A758" s="29">
        <v>50577</v>
      </c>
      <c r="B758" s="31" t="s">
        <v>1340</v>
      </c>
      <c r="C758" s="31" t="s">
        <v>161</v>
      </c>
      <c r="D758" s="31" t="s">
        <v>158</v>
      </c>
      <c r="E758" s="31" t="s">
        <v>680</v>
      </c>
      <c r="F758" s="32" t="s">
        <v>181</v>
      </c>
    </row>
    <row r="759" spans="1:6">
      <c r="A759" s="29">
        <v>50573</v>
      </c>
      <c r="B759" s="31" t="s">
        <v>1341</v>
      </c>
      <c r="C759" s="31" t="s">
        <v>161</v>
      </c>
      <c r="D759" s="31" t="s">
        <v>158</v>
      </c>
      <c r="E759" s="31" t="s">
        <v>680</v>
      </c>
      <c r="F759" s="32" t="s">
        <v>92</v>
      </c>
    </row>
    <row r="760" spans="1:6">
      <c r="A760" s="29">
        <v>50680</v>
      </c>
      <c r="B760" s="31" t="s">
        <v>1342</v>
      </c>
      <c r="C760" s="31" t="s">
        <v>161</v>
      </c>
      <c r="D760" s="31" t="s">
        <v>158</v>
      </c>
      <c r="E760" s="31" t="s">
        <v>680</v>
      </c>
      <c r="F760" s="32" t="s">
        <v>92</v>
      </c>
    </row>
    <row r="761" spans="1:6">
      <c r="A761" s="29">
        <v>50683</v>
      </c>
      <c r="B761" s="31" t="s">
        <v>1343</v>
      </c>
      <c r="C761" s="31" t="s">
        <v>161</v>
      </c>
      <c r="D761" s="31" t="s">
        <v>158</v>
      </c>
      <c r="E761" s="31" t="s">
        <v>680</v>
      </c>
      <c r="F761" s="32" t="s">
        <v>181</v>
      </c>
    </row>
    <row r="762" spans="1:6">
      <c r="A762" s="29">
        <v>50686</v>
      </c>
      <c r="B762" s="31" t="s">
        <v>1344</v>
      </c>
      <c r="C762" s="31" t="s">
        <v>161</v>
      </c>
      <c r="D762" s="31" t="s">
        <v>158</v>
      </c>
      <c r="E762" s="31" t="s">
        <v>680</v>
      </c>
      <c r="F762" s="32" t="s">
        <v>109</v>
      </c>
    </row>
    <row r="763" spans="1:6">
      <c r="A763" s="29">
        <v>50370</v>
      </c>
      <c r="B763" s="31" t="s">
        <v>1345</v>
      </c>
      <c r="C763" s="31" t="s">
        <v>161</v>
      </c>
      <c r="D763" s="31" t="s">
        <v>158</v>
      </c>
      <c r="E763" s="31" t="s">
        <v>668</v>
      </c>
      <c r="F763" s="32" t="s">
        <v>126</v>
      </c>
    </row>
    <row r="764" spans="1:6">
      <c r="A764" s="29">
        <v>50001</v>
      </c>
      <c r="B764" s="31" t="s">
        <v>158</v>
      </c>
      <c r="C764" s="31" t="s">
        <v>161</v>
      </c>
      <c r="D764" s="31" t="s">
        <v>158</v>
      </c>
      <c r="E764" s="31" t="s">
        <v>680</v>
      </c>
      <c r="F764" s="32" t="s">
        <v>119</v>
      </c>
    </row>
    <row r="765" spans="1:6">
      <c r="A765" s="29">
        <v>50711</v>
      </c>
      <c r="B765" s="31" t="s">
        <v>1346</v>
      </c>
      <c r="C765" s="31" t="s">
        <v>161</v>
      </c>
      <c r="D765" s="31" t="s">
        <v>158</v>
      </c>
      <c r="E765" s="31" t="s">
        <v>680</v>
      </c>
      <c r="F765" s="32" t="s">
        <v>181</v>
      </c>
    </row>
    <row r="766" spans="1:6">
      <c r="A766" s="29">
        <v>52019</v>
      </c>
      <c r="B766" s="30" t="s">
        <v>485</v>
      </c>
      <c r="C766" s="31" t="s">
        <v>80</v>
      </c>
      <c r="D766" s="31" t="s">
        <v>77</v>
      </c>
      <c r="E766" s="31" t="s">
        <v>680</v>
      </c>
      <c r="F766" s="32" t="s">
        <v>92</v>
      </c>
    </row>
    <row r="767" spans="1:6">
      <c r="A767" s="29">
        <v>52083</v>
      </c>
      <c r="B767" s="30" t="s">
        <v>863</v>
      </c>
      <c r="C767" s="31" t="s">
        <v>80</v>
      </c>
      <c r="D767" s="31" t="s">
        <v>77</v>
      </c>
      <c r="E767" s="31" t="s">
        <v>680</v>
      </c>
      <c r="F767" s="32" t="s">
        <v>181</v>
      </c>
    </row>
    <row r="768" spans="1:6">
      <c r="A768" s="29">
        <v>52203</v>
      </c>
      <c r="B768" s="30" t="s">
        <v>1347</v>
      </c>
      <c r="C768" s="31" t="s">
        <v>80</v>
      </c>
      <c r="D768" s="31" t="s">
        <v>77</v>
      </c>
      <c r="E768" s="31" t="s">
        <v>680</v>
      </c>
      <c r="F768" s="32" t="s">
        <v>109</v>
      </c>
    </row>
    <row r="769" spans="1:6">
      <c r="A769" s="29">
        <v>52215</v>
      </c>
      <c r="B769" s="30" t="s">
        <v>168</v>
      </c>
      <c r="C769" s="31" t="s">
        <v>80</v>
      </c>
      <c r="D769" s="31" t="s">
        <v>77</v>
      </c>
      <c r="E769" s="31" t="s">
        <v>680</v>
      </c>
      <c r="F769" s="32" t="s">
        <v>92</v>
      </c>
    </row>
    <row r="770" spans="1:6">
      <c r="A770" s="29">
        <v>52260</v>
      </c>
      <c r="B770" s="30" t="s">
        <v>1033</v>
      </c>
      <c r="C770" s="31" t="s">
        <v>80</v>
      </c>
      <c r="D770" s="31" t="s">
        <v>77</v>
      </c>
      <c r="E770" s="31" t="s">
        <v>680</v>
      </c>
      <c r="F770" s="32" t="s">
        <v>92</v>
      </c>
    </row>
    <row r="771" spans="1:6">
      <c r="A771" s="29">
        <v>52399</v>
      </c>
      <c r="B771" s="30" t="s">
        <v>687</v>
      </c>
      <c r="C771" s="31" t="s">
        <v>80</v>
      </c>
      <c r="D771" s="31" t="s">
        <v>77</v>
      </c>
      <c r="E771" s="31" t="s">
        <v>680</v>
      </c>
      <c r="F771" s="32" t="s">
        <v>181</v>
      </c>
    </row>
    <row r="772" spans="1:6">
      <c r="A772" s="29">
        <v>52473</v>
      </c>
      <c r="B772" s="30" t="s">
        <v>1141</v>
      </c>
      <c r="C772" s="31" t="s">
        <v>80</v>
      </c>
      <c r="D772" s="31" t="s">
        <v>77</v>
      </c>
      <c r="E772" s="31" t="s">
        <v>680</v>
      </c>
      <c r="F772" s="32" t="s">
        <v>109</v>
      </c>
    </row>
    <row r="773" spans="1:6">
      <c r="A773" s="29">
        <v>52480</v>
      </c>
      <c r="B773" s="30" t="s">
        <v>80</v>
      </c>
      <c r="C773" s="31" t="s">
        <v>80</v>
      </c>
      <c r="D773" s="31" t="s">
        <v>77</v>
      </c>
      <c r="E773" s="31" t="s">
        <v>680</v>
      </c>
      <c r="F773" s="32" t="s">
        <v>92</v>
      </c>
    </row>
    <row r="774" spans="1:6">
      <c r="A774" s="29">
        <v>52565</v>
      </c>
      <c r="B774" s="30" t="s">
        <v>1348</v>
      </c>
      <c r="C774" s="31" t="s">
        <v>80</v>
      </c>
      <c r="D774" s="31" t="s">
        <v>77</v>
      </c>
      <c r="E774" s="31" t="s">
        <v>680</v>
      </c>
      <c r="F774" s="32" t="s">
        <v>181</v>
      </c>
    </row>
    <row r="775" spans="1:6">
      <c r="A775" s="29">
        <v>52612</v>
      </c>
      <c r="B775" s="30" t="s">
        <v>1142</v>
      </c>
      <c r="C775" s="31" t="s">
        <v>80</v>
      </c>
      <c r="D775" s="31" t="s">
        <v>77</v>
      </c>
      <c r="E775" s="31" t="s">
        <v>680</v>
      </c>
      <c r="F775" s="32" t="s">
        <v>181</v>
      </c>
    </row>
    <row r="776" spans="1:6">
      <c r="A776" s="29">
        <v>52685</v>
      </c>
      <c r="B776" s="30" t="s">
        <v>1143</v>
      </c>
      <c r="C776" s="31" t="s">
        <v>80</v>
      </c>
      <c r="D776" s="31" t="s">
        <v>77</v>
      </c>
      <c r="E776" s="31" t="s">
        <v>680</v>
      </c>
      <c r="F776" s="32" t="s">
        <v>92</v>
      </c>
    </row>
    <row r="777" spans="1:6">
      <c r="A777" s="29">
        <v>52693</v>
      </c>
      <c r="B777" s="30" t="s">
        <v>822</v>
      </c>
      <c r="C777" s="31" t="s">
        <v>80</v>
      </c>
      <c r="D777" s="31" t="s">
        <v>77</v>
      </c>
      <c r="E777" s="31" t="s">
        <v>680</v>
      </c>
      <c r="F777" s="32" t="s">
        <v>109</v>
      </c>
    </row>
    <row r="778" spans="1:6">
      <c r="A778" s="29">
        <v>52696</v>
      </c>
      <c r="B778" s="30" t="s">
        <v>694</v>
      </c>
      <c r="C778" s="31" t="s">
        <v>80</v>
      </c>
      <c r="D778" s="31" t="s">
        <v>77</v>
      </c>
      <c r="E778" s="31" t="s">
        <v>823</v>
      </c>
      <c r="F778" s="32" t="s">
        <v>126</v>
      </c>
    </row>
    <row r="779" spans="1:6">
      <c r="A779" s="29">
        <v>52022</v>
      </c>
      <c r="B779" s="31" t="s">
        <v>1349</v>
      </c>
      <c r="C779" s="31" t="s">
        <v>80</v>
      </c>
      <c r="D779" s="31" t="s">
        <v>77</v>
      </c>
      <c r="E779" s="31" t="s">
        <v>680</v>
      </c>
      <c r="F779" s="32" t="s">
        <v>92</v>
      </c>
    </row>
    <row r="780" spans="1:6">
      <c r="A780" s="29">
        <v>52036</v>
      </c>
      <c r="B780" s="31" t="s">
        <v>1350</v>
      </c>
      <c r="C780" s="31" t="s">
        <v>80</v>
      </c>
      <c r="D780" s="31" t="s">
        <v>77</v>
      </c>
      <c r="E780" s="31" t="s">
        <v>680</v>
      </c>
      <c r="F780" s="32" t="s">
        <v>92</v>
      </c>
    </row>
    <row r="781" spans="1:6">
      <c r="A781" s="29">
        <v>52051</v>
      </c>
      <c r="B781" s="31" t="s">
        <v>1351</v>
      </c>
      <c r="C781" s="31" t="s">
        <v>80</v>
      </c>
      <c r="D781" s="31" t="s">
        <v>77</v>
      </c>
      <c r="E781" s="31" t="s">
        <v>680</v>
      </c>
      <c r="F781" s="32" t="s">
        <v>92</v>
      </c>
    </row>
    <row r="782" spans="1:6">
      <c r="A782" s="29">
        <v>52079</v>
      </c>
      <c r="B782" s="31" t="s">
        <v>129</v>
      </c>
      <c r="C782" s="31" t="s">
        <v>80</v>
      </c>
      <c r="D782" s="31" t="s">
        <v>77</v>
      </c>
      <c r="E782" s="31" t="s">
        <v>680</v>
      </c>
      <c r="F782" s="32" t="s">
        <v>109</v>
      </c>
    </row>
    <row r="783" spans="1:6">
      <c r="A783" s="29">
        <v>52110</v>
      </c>
      <c r="B783" s="31" t="s">
        <v>81</v>
      </c>
      <c r="C783" s="31" t="s">
        <v>80</v>
      </c>
      <c r="D783" s="31" t="s">
        <v>77</v>
      </c>
      <c r="E783" s="31" t="s">
        <v>680</v>
      </c>
      <c r="F783" s="32" t="s">
        <v>92</v>
      </c>
    </row>
    <row r="784" spans="1:6">
      <c r="A784" s="29">
        <v>52240</v>
      </c>
      <c r="B784" s="31" t="s">
        <v>1352</v>
      </c>
      <c r="C784" s="31" t="s">
        <v>80</v>
      </c>
      <c r="D784" s="31" t="s">
        <v>77</v>
      </c>
      <c r="E784" s="31" t="s">
        <v>680</v>
      </c>
      <c r="F784" s="32" t="s">
        <v>92</v>
      </c>
    </row>
    <row r="785" spans="1:6">
      <c r="A785" s="29">
        <v>52207</v>
      </c>
      <c r="B785" s="31" t="s">
        <v>1353</v>
      </c>
      <c r="C785" s="31" t="s">
        <v>80</v>
      </c>
      <c r="D785" s="31" t="s">
        <v>77</v>
      </c>
      <c r="E785" s="31" t="s">
        <v>680</v>
      </c>
      <c r="F785" s="32" t="s">
        <v>92</v>
      </c>
    </row>
    <row r="786" spans="1:6">
      <c r="A786" s="29">
        <v>52210</v>
      </c>
      <c r="B786" s="31" t="s">
        <v>1354</v>
      </c>
      <c r="C786" s="31" t="s">
        <v>80</v>
      </c>
      <c r="D786" s="31" t="s">
        <v>77</v>
      </c>
      <c r="E786" s="31" t="s">
        <v>680</v>
      </c>
      <c r="F786" s="32" t="s">
        <v>92</v>
      </c>
    </row>
    <row r="787" spans="1:6">
      <c r="A787" s="29">
        <v>52224</v>
      </c>
      <c r="B787" s="31" t="s">
        <v>1355</v>
      </c>
      <c r="C787" s="31" t="s">
        <v>80</v>
      </c>
      <c r="D787" s="31" t="s">
        <v>77</v>
      </c>
      <c r="E787" s="31" t="s">
        <v>680</v>
      </c>
      <c r="F787" s="32" t="s">
        <v>92</v>
      </c>
    </row>
    <row r="788" spans="1:6">
      <c r="A788" s="29">
        <v>52227</v>
      </c>
      <c r="B788" s="31" t="s">
        <v>1356</v>
      </c>
      <c r="C788" s="31" t="s">
        <v>80</v>
      </c>
      <c r="D788" s="31" t="s">
        <v>77</v>
      </c>
      <c r="E788" s="31" t="s">
        <v>680</v>
      </c>
      <c r="F788" s="32" t="s">
        <v>181</v>
      </c>
    </row>
    <row r="789" spans="1:6">
      <c r="A789" s="29">
        <v>52233</v>
      </c>
      <c r="B789" s="31" t="s">
        <v>1357</v>
      </c>
      <c r="C789" s="31" t="s">
        <v>80</v>
      </c>
      <c r="D789" s="31" t="s">
        <v>77</v>
      </c>
      <c r="E789" s="31" t="s">
        <v>680</v>
      </c>
      <c r="F789" s="32" t="s">
        <v>92</v>
      </c>
    </row>
    <row r="790" spans="1:6">
      <c r="A790" s="29">
        <v>52250</v>
      </c>
      <c r="B790" s="31" t="s">
        <v>1358</v>
      </c>
      <c r="C790" s="31" t="s">
        <v>80</v>
      </c>
      <c r="D790" s="31" t="s">
        <v>77</v>
      </c>
      <c r="E790" s="31" t="s">
        <v>752</v>
      </c>
      <c r="F790" s="32" t="s">
        <v>126</v>
      </c>
    </row>
    <row r="791" spans="1:6">
      <c r="A791" s="29">
        <v>52254</v>
      </c>
      <c r="B791" s="31" t="s">
        <v>1359</v>
      </c>
      <c r="C791" s="31" t="s">
        <v>80</v>
      </c>
      <c r="D791" s="31" t="s">
        <v>77</v>
      </c>
      <c r="E791" s="31" t="s">
        <v>680</v>
      </c>
      <c r="F791" s="32" t="s">
        <v>92</v>
      </c>
    </row>
    <row r="792" spans="1:6">
      <c r="A792" s="29">
        <v>52256</v>
      </c>
      <c r="B792" s="31" t="s">
        <v>1360</v>
      </c>
      <c r="C792" s="31" t="s">
        <v>80</v>
      </c>
      <c r="D792" s="31" t="s">
        <v>77</v>
      </c>
      <c r="E792" s="31" t="s">
        <v>680</v>
      </c>
      <c r="F792" s="32" t="s">
        <v>92</v>
      </c>
    </row>
    <row r="793" spans="1:6">
      <c r="A793" s="29">
        <v>52258</v>
      </c>
      <c r="B793" s="31" t="s">
        <v>1361</v>
      </c>
      <c r="C793" s="31" t="s">
        <v>80</v>
      </c>
      <c r="D793" s="31" t="s">
        <v>77</v>
      </c>
      <c r="E793" s="31" t="s">
        <v>680</v>
      </c>
      <c r="F793" s="32" t="s">
        <v>92</v>
      </c>
    </row>
    <row r="794" spans="1:6">
      <c r="A794" s="29">
        <v>52520</v>
      </c>
      <c r="B794" s="31" t="s">
        <v>1362</v>
      </c>
      <c r="C794" s="31" t="s">
        <v>80</v>
      </c>
      <c r="D794" s="31" t="s">
        <v>77</v>
      </c>
      <c r="E794" s="31" t="s">
        <v>752</v>
      </c>
      <c r="F794" s="32" t="s">
        <v>126</v>
      </c>
    </row>
    <row r="795" spans="1:6">
      <c r="A795" s="29">
        <v>52287</v>
      </c>
      <c r="B795" s="31" t="s">
        <v>1363</v>
      </c>
      <c r="C795" s="31" t="s">
        <v>80</v>
      </c>
      <c r="D795" s="31" t="s">
        <v>77</v>
      </c>
      <c r="E795" s="31" t="s">
        <v>680</v>
      </c>
      <c r="F795" s="32" t="s">
        <v>92</v>
      </c>
    </row>
    <row r="796" spans="1:6">
      <c r="A796" s="29">
        <v>52317</v>
      </c>
      <c r="B796" s="31" t="s">
        <v>1364</v>
      </c>
      <c r="C796" s="31" t="s">
        <v>80</v>
      </c>
      <c r="D796" s="31" t="s">
        <v>77</v>
      </c>
      <c r="E796" s="31" t="s">
        <v>680</v>
      </c>
      <c r="F796" s="32" t="s">
        <v>92</v>
      </c>
    </row>
    <row r="797" spans="1:6">
      <c r="A797" s="29">
        <v>52320</v>
      </c>
      <c r="B797" s="31" t="s">
        <v>1365</v>
      </c>
      <c r="C797" s="31" t="s">
        <v>80</v>
      </c>
      <c r="D797" s="31" t="s">
        <v>77</v>
      </c>
      <c r="E797" s="31" t="s">
        <v>680</v>
      </c>
      <c r="F797" s="32" t="s">
        <v>92</v>
      </c>
    </row>
    <row r="798" spans="1:6">
      <c r="A798" s="29">
        <v>52323</v>
      </c>
      <c r="B798" s="31" t="s">
        <v>1366</v>
      </c>
      <c r="C798" s="31" t="s">
        <v>80</v>
      </c>
      <c r="D798" s="31" t="s">
        <v>77</v>
      </c>
      <c r="E798" s="31" t="s">
        <v>680</v>
      </c>
      <c r="F798" s="32" t="s">
        <v>92</v>
      </c>
    </row>
    <row r="799" spans="1:6">
      <c r="A799" s="29">
        <v>52352</v>
      </c>
      <c r="B799" s="31" t="s">
        <v>1367</v>
      </c>
      <c r="C799" s="31" t="s">
        <v>80</v>
      </c>
      <c r="D799" s="31" t="s">
        <v>77</v>
      </c>
      <c r="E799" s="31" t="s">
        <v>680</v>
      </c>
      <c r="F799" s="32" t="s">
        <v>92</v>
      </c>
    </row>
    <row r="800" spans="1:6">
      <c r="A800" s="29">
        <v>52354</v>
      </c>
      <c r="B800" s="31" t="s">
        <v>1368</v>
      </c>
      <c r="C800" s="31" t="s">
        <v>80</v>
      </c>
      <c r="D800" s="31" t="s">
        <v>77</v>
      </c>
      <c r="E800" s="31" t="s">
        <v>680</v>
      </c>
      <c r="F800" s="32" t="s">
        <v>92</v>
      </c>
    </row>
    <row r="801" spans="1:6">
      <c r="A801" s="29">
        <v>52356</v>
      </c>
      <c r="B801" s="31" t="s">
        <v>330</v>
      </c>
      <c r="C801" s="31" t="s">
        <v>80</v>
      </c>
      <c r="D801" s="31" t="s">
        <v>77</v>
      </c>
      <c r="E801" s="31" t="s">
        <v>680</v>
      </c>
      <c r="F801" s="32" t="s">
        <v>92</v>
      </c>
    </row>
    <row r="802" spans="1:6">
      <c r="A802" s="29">
        <v>52378</v>
      </c>
      <c r="B802" s="31" t="s">
        <v>1369</v>
      </c>
      <c r="C802" s="31" t="s">
        <v>80</v>
      </c>
      <c r="D802" s="31" t="s">
        <v>77</v>
      </c>
      <c r="E802" s="31" t="s">
        <v>680</v>
      </c>
      <c r="F802" s="32" t="s">
        <v>181</v>
      </c>
    </row>
    <row r="803" spans="1:6">
      <c r="A803" s="29">
        <v>52381</v>
      </c>
      <c r="B803" s="31" t="s">
        <v>1370</v>
      </c>
      <c r="C803" s="31" t="s">
        <v>80</v>
      </c>
      <c r="D803" s="31" t="s">
        <v>77</v>
      </c>
      <c r="E803" s="31" t="s">
        <v>680</v>
      </c>
      <c r="F803" s="32" t="s">
        <v>92</v>
      </c>
    </row>
    <row r="804" spans="1:6">
      <c r="A804" s="29">
        <v>52385</v>
      </c>
      <c r="B804" s="31" t="s">
        <v>1371</v>
      </c>
      <c r="C804" s="31" t="s">
        <v>80</v>
      </c>
      <c r="D804" s="31" t="s">
        <v>77</v>
      </c>
      <c r="E804" s="31" t="s">
        <v>680</v>
      </c>
      <c r="F804" s="32" t="s">
        <v>109</v>
      </c>
    </row>
    <row r="805" spans="1:6">
      <c r="A805" s="29">
        <v>52390</v>
      </c>
      <c r="B805" s="31" t="s">
        <v>1372</v>
      </c>
      <c r="C805" s="31" t="s">
        <v>80</v>
      </c>
      <c r="D805" s="31" t="s">
        <v>77</v>
      </c>
      <c r="E805" s="31" t="s">
        <v>752</v>
      </c>
      <c r="F805" s="32" t="s">
        <v>126</v>
      </c>
    </row>
    <row r="806" spans="1:6">
      <c r="A806" s="29">
        <v>52405</v>
      </c>
      <c r="B806" s="31" t="s">
        <v>1373</v>
      </c>
      <c r="C806" s="31" t="s">
        <v>80</v>
      </c>
      <c r="D806" s="31" t="s">
        <v>77</v>
      </c>
      <c r="E806" s="31" t="s">
        <v>680</v>
      </c>
      <c r="F806" s="32" t="s">
        <v>181</v>
      </c>
    </row>
    <row r="807" spans="1:6">
      <c r="A807" s="29">
        <v>52411</v>
      </c>
      <c r="B807" s="31" t="s">
        <v>1374</v>
      </c>
      <c r="C807" s="31" t="s">
        <v>80</v>
      </c>
      <c r="D807" s="31" t="s">
        <v>77</v>
      </c>
      <c r="E807" s="31" t="s">
        <v>680</v>
      </c>
      <c r="F807" s="32" t="s">
        <v>181</v>
      </c>
    </row>
    <row r="808" spans="1:6">
      <c r="A808" s="29">
        <v>52418</v>
      </c>
      <c r="B808" s="31" t="s">
        <v>1375</v>
      </c>
      <c r="C808" s="31" t="s">
        <v>80</v>
      </c>
      <c r="D808" s="31" t="s">
        <v>77</v>
      </c>
      <c r="E808" s="31" t="s">
        <v>680</v>
      </c>
      <c r="F808" s="32" t="s">
        <v>181</v>
      </c>
    </row>
    <row r="809" spans="1:6">
      <c r="A809" s="29">
        <v>52427</v>
      </c>
      <c r="B809" s="31" t="s">
        <v>1376</v>
      </c>
      <c r="C809" s="31" t="s">
        <v>80</v>
      </c>
      <c r="D809" s="31" t="s">
        <v>77</v>
      </c>
      <c r="E809" s="31" t="s">
        <v>752</v>
      </c>
      <c r="F809" s="32" t="s">
        <v>126</v>
      </c>
    </row>
    <row r="810" spans="1:6">
      <c r="A810" s="29">
        <v>52435</v>
      </c>
      <c r="B810" s="31" t="s">
        <v>1377</v>
      </c>
      <c r="C810" s="31" t="s">
        <v>80</v>
      </c>
      <c r="D810" s="31" t="s">
        <v>77</v>
      </c>
      <c r="E810" s="31" t="s">
        <v>680</v>
      </c>
      <c r="F810" s="32" t="s">
        <v>181</v>
      </c>
    </row>
    <row r="811" spans="1:6">
      <c r="A811" s="29">
        <v>52490</v>
      </c>
      <c r="B811" s="31" t="s">
        <v>1378</v>
      </c>
      <c r="C811" s="31" t="s">
        <v>80</v>
      </c>
      <c r="D811" s="31" t="s">
        <v>77</v>
      </c>
      <c r="E811" s="31" t="s">
        <v>752</v>
      </c>
      <c r="F811" s="32" t="s">
        <v>126</v>
      </c>
    </row>
    <row r="812" spans="1:6">
      <c r="A812" s="29">
        <v>52506</v>
      </c>
      <c r="B812" s="31" t="s">
        <v>1379</v>
      </c>
      <c r="C812" s="31" t="s">
        <v>80</v>
      </c>
      <c r="D812" s="31" t="s">
        <v>77</v>
      </c>
      <c r="E812" s="31" t="s">
        <v>680</v>
      </c>
      <c r="F812" s="32" t="s">
        <v>92</v>
      </c>
    </row>
    <row r="813" spans="1:6">
      <c r="A813" s="29">
        <v>52001</v>
      </c>
      <c r="B813" s="31" t="s">
        <v>77</v>
      </c>
      <c r="C813" s="31" t="s">
        <v>80</v>
      </c>
      <c r="D813" s="31" t="s">
        <v>77</v>
      </c>
      <c r="E813" s="31" t="s">
        <v>680</v>
      </c>
      <c r="F813" s="32" t="s">
        <v>119</v>
      </c>
    </row>
    <row r="814" spans="1:6">
      <c r="A814" s="29">
        <v>52540</v>
      </c>
      <c r="B814" s="31" t="s">
        <v>1380</v>
      </c>
      <c r="C814" s="31" t="s">
        <v>80</v>
      </c>
      <c r="D814" s="31" t="s">
        <v>77</v>
      </c>
      <c r="E814" s="31" t="s">
        <v>680</v>
      </c>
      <c r="F814" s="32" t="s">
        <v>109</v>
      </c>
    </row>
    <row r="815" spans="1:6">
      <c r="A815" s="29">
        <v>52560</v>
      </c>
      <c r="B815" s="31" t="s">
        <v>1381</v>
      </c>
      <c r="C815" s="31" t="s">
        <v>80</v>
      </c>
      <c r="D815" s="31" t="s">
        <v>77</v>
      </c>
      <c r="E815" s="31" t="s">
        <v>680</v>
      </c>
      <c r="F815" s="32" t="s">
        <v>92</v>
      </c>
    </row>
    <row r="816" spans="1:6">
      <c r="A816" s="29">
        <v>52573</v>
      </c>
      <c r="B816" s="31" t="s">
        <v>1382</v>
      </c>
      <c r="C816" s="31" t="s">
        <v>80</v>
      </c>
      <c r="D816" s="31" t="s">
        <v>77</v>
      </c>
      <c r="E816" s="31" t="s">
        <v>680</v>
      </c>
      <c r="F816" s="32" t="s">
        <v>92</v>
      </c>
    </row>
    <row r="817" spans="1:6">
      <c r="A817" s="29">
        <v>52585</v>
      </c>
      <c r="B817" s="31" t="s">
        <v>1383</v>
      </c>
      <c r="C817" s="31" t="s">
        <v>80</v>
      </c>
      <c r="D817" s="31" t="s">
        <v>77</v>
      </c>
      <c r="E817" s="31" t="s">
        <v>680</v>
      </c>
      <c r="F817" s="32" t="s">
        <v>92</v>
      </c>
    </row>
    <row r="818" spans="1:6">
      <c r="A818" s="29">
        <v>52621</v>
      </c>
      <c r="B818" s="31" t="s">
        <v>1384</v>
      </c>
      <c r="C818" s="31" t="s">
        <v>80</v>
      </c>
      <c r="D818" s="31" t="s">
        <v>77</v>
      </c>
      <c r="E818" s="31" t="s">
        <v>752</v>
      </c>
      <c r="F818" s="32" t="s">
        <v>126</v>
      </c>
    </row>
    <row r="819" spans="1:6">
      <c r="A819" s="29">
        <v>52678</v>
      </c>
      <c r="B819" s="31" t="s">
        <v>1385</v>
      </c>
      <c r="C819" s="31" t="s">
        <v>80</v>
      </c>
      <c r="D819" s="31" t="s">
        <v>77</v>
      </c>
      <c r="E819" s="31" t="s">
        <v>680</v>
      </c>
      <c r="F819" s="32" t="s">
        <v>181</v>
      </c>
    </row>
    <row r="820" spans="1:6">
      <c r="A820" s="29">
        <v>52835</v>
      </c>
      <c r="B820" s="31" t="s">
        <v>1386</v>
      </c>
      <c r="C820" s="31" t="s">
        <v>80</v>
      </c>
      <c r="D820" s="31" t="s">
        <v>77</v>
      </c>
      <c r="E820" s="31" t="s">
        <v>680</v>
      </c>
      <c r="F820" s="32" t="s">
        <v>109</v>
      </c>
    </row>
    <row r="821" spans="1:6">
      <c r="A821" s="29">
        <v>52687</v>
      </c>
      <c r="B821" s="31" t="s">
        <v>1387</v>
      </c>
      <c r="C821" s="31" t="s">
        <v>80</v>
      </c>
      <c r="D821" s="31" t="s">
        <v>77</v>
      </c>
      <c r="E821" s="31" t="s">
        <v>680</v>
      </c>
      <c r="F821" s="32" t="s">
        <v>92</v>
      </c>
    </row>
    <row r="822" spans="1:6">
      <c r="A822" s="29">
        <v>52694</v>
      </c>
      <c r="B822" s="31" t="s">
        <v>1388</v>
      </c>
      <c r="C822" s="31" t="s">
        <v>80</v>
      </c>
      <c r="D822" s="31" t="s">
        <v>77</v>
      </c>
      <c r="E822" s="31" t="s">
        <v>680</v>
      </c>
      <c r="F822" s="32" t="s">
        <v>92</v>
      </c>
    </row>
    <row r="823" spans="1:6">
      <c r="A823" s="29">
        <v>52683</v>
      </c>
      <c r="B823" s="31" t="s">
        <v>1389</v>
      </c>
      <c r="C823" s="31" t="s">
        <v>80</v>
      </c>
      <c r="D823" s="31" t="s">
        <v>77</v>
      </c>
      <c r="E823" s="31" t="s">
        <v>680</v>
      </c>
      <c r="F823" s="32" t="s">
        <v>92</v>
      </c>
    </row>
    <row r="824" spans="1:6">
      <c r="A824" s="29">
        <v>52699</v>
      </c>
      <c r="B824" s="31" t="s">
        <v>1390</v>
      </c>
      <c r="C824" s="31" t="s">
        <v>80</v>
      </c>
      <c r="D824" s="31" t="s">
        <v>77</v>
      </c>
      <c r="E824" s="31" t="s">
        <v>680</v>
      </c>
      <c r="F824" s="32" t="s">
        <v>109</v>
      </c>
    </row>
    <row r="825" spans="1:6">
      <c r="A825" s="29">
        <v>52720</v>
      </c>
      <c r="B825" s="31" t="s">
        <v>1391</v>
      </c>
      <c r="C825" s="31" t="s">
        <v>80</v>
      </c>
      <c r="D825" s="31" t="s">
        <v>77</v>
      </c>
      <c r="E825" s="31" t="s">
        <v>680</v>
      </c>
      <c r="F825" s="32" t="s">
        <v>92</v>
      </c>
    </row>
    <row r="826" spans="1:6">
      <c r="A826" s="29">
        <v>52786</v>
      </c>
      <c r="B826" s="31" t="s">
        <v>1392</v>
      </c>
      <c r="C826" s="31" t="s">
        <v>80</v>
      </c>
      <c r="D826" s="31" t="s">
        <v>77</v>
      </c>
      <c r="E826" s="31" t="s">
        <v>680</v>
      </c>
      <c r="F826" s="32" t="s">
        <v>92</v>
      </c>
    </row>
    <row r="827" spans="1:6">
      <c r="A827" s="29">
        <v>52788</v>
      </c>
      <c r="B827" s="31" t="s">
        <v>1393</v>
      </c>
      <c r="C827" s="31" t="s">
        <v>80</v>
      </c>
      <c r="D827" s="31" t="s">
        <v>77</v>
      </c>
      <c r="E827" s="31" t="s">
        <v>680</v>
      </c>
      <c r="F827" s="32" t="s">
        <v>92</v>
      </c>
    </row>
    <row r="828" spans="1:6">
      <c r="A828" s="29">
        <v>52838</v>
      </c>
      <c r="B828" s="31" t="s">
        <v>1394</v>
      </c>
      <c r="C828" s="31" t="s">
        <v>80</v>
      </c>
      <c r="D828" s="31" t="s">
        <v>77</v>
      </c>
      <c r="E828" s="31" t="s">
        <v>680</v>
      </c>
      <c r="F828" s="32" t="s">
        <v>92</v>
      </c>
    </row>
    <row r="829" spans="1:6">
      <c r="A829" s="29">
        <v>52885</v>
      </c>
      <c r="B829" s="31" t="s">
        <v>1395</v>
      </c>
      <c r="C829" s="31" t="s">
        <v>80</v>
      </c>
      <c r="D829" s="31" t="s">
        <v>77</v>
      </c>
      <c r="E829" s="31" t="s">
        <v>680</v>
      </c>
      <c r="F829" s="32" t="s">
        <v>92</v>
      </c>
    </row>
    <row r="830" spans="1:6">
      <c r="A830" s="29">
        <v>54553</v>
      </c>
      <c r="B830" s="30" t="s">
        <v>669</v>
      </c>
      <c r="C830" s="31" t="s">
        <v>261</v>
      </c>
      <c r="D830" s="31" t="s">
        <v>258</v>
      </c>
      <c r="E830" s="31" t="s">
        <v>680</v>
      </c>
      <c r="F830" s="32" t="s">
        <v>92</v>
      </c>
    </row>
    <row r="831" spans="1:6">
      <c r="A831" s="29">
        <v>54673</v>
      </c>
      <c r="B831" s="30" t="s">
        <v>1144</v>
      </c>
      <c r="C831" s="31" t="s">
        <v>261</v>
      </c>
      <c r="D831" s="31" t="s">
        <v>258</v>
      </c>
      <c r="E831" s="31" t="s">
        <v>680</v>
      </c>
      <c r="F831" s="32" t="s">
        <v>92</v>
      </c>
    </row>
    <row r="832" spans="1:6">
      <c r="A832" s="29">
        <v>54680</v>
      </c>
      <c r="B832" s="30" t="s">
        <v>1396</v>
      </c>
      <c r="C832" s="31" t="s">
        <v>261</v>
      </c>
      <c r="D832" s="31" t="s">
        <v>258</v>
      </c>
      <c r="E832" s="31" t="s">
        <v>680</v>
      </c>
      <c r="F832" s="32" t="s">
        <v>92</v>
      </c>
    </row>
    <row r="833" spans="1:6">
      <c r="A833" s="29">
        <v>54820</v>
      </c>
      <c r="B833" s="30" t="s">
        <v>695</v>
      </c>
      <c r="C833" s="31" t="s">
        <v>261</v>
      </c>
      <c r="D833" s="31" t="s">
        <v>258</v>
      </c>
      <c r="E833" s="31" t="s">
        <v>680</v>
      </c>
      <c r="F833" s="32" t="s">
        <v>109</v>
      </c>
    </row>
    <row r="834" spans="1:6">
      <c r="A834" s="29">
        <v>54003</v>
      </c>
      <c r="B834" s="31" t="s">
        <v>1397</v>
      </c>
      <c r="C834" s="31" t="s">
        <v>261</v>
      </c>
      <c r="D834" s="31" t="s">
        <v>258</v>
      </c>
      <c r="E834" s="31" t="s">
        <v>680</v>
      </c>
      <c r="F834" s="32" t="s">
        <v>181</v>
      </c>
    </row>
    <row r="835" spans="1:6">
      <c r="A835" s="29">
        <v>54051</v>
      </c>
      <c r="B835" s="31" t="s">
        <v>1398</v>
      </c>
      <c r="C835" s="31" t="s">
        <v>261</v>
      </c>
      <c r="D835" s="31" t="s">
        <v>258</v>
      </c>
      <c r="E835" s="31" t="s">
        <v>680</v>
      </c>
      <c r="F835" s="32" t="s">
        <v>109</v>
      </c>
    </row>
    <row r="836" spans="1:6">
      <c r="A836" s="29">
        <v>54099</v>
      </c>
      <c r="B836" s="31" t="s">
        <v>1399</v>
      </c>
      <c r="C836" s="31" t="s">
        <v>261</v>
      </c>
      <c r="D836" s="31" t="s">
        <v>258</v>
      </c>
      <c r="E836" s="31" t="s">
        <v>680</v>
      </c>
      <c r="F836" s="32" t="s">
        <v>92</v>
      </c>
    </row>
    <row r="837" spans="1:6">
      <c r="A837" s="29">
        <v>54109</v>
      </c>
      <c r="B837" s="31" t="s">
        <v>1400</v>
      </c>
      <c r="C837" s="31" t="s">
        <v>261</v>
      </c>
      <c r="D837" s="31" t="s">
        <v>258</v>
      </c>
      <c r="E837" s="31" t="s">
        <v>680</v>
      </c>
      <c r="F837" s="32" t="s">
        <v>181</v>
      </c>
    </row>
    <row r="838" spans="1:6">
      <c r="A838" s="29">
        <v>54128</v>
      </c>
      <c r="B838" s="31" t="s">
        <v>1401</v>
      </c>
      <c r="C838" s="31" t="s">
        <v>261</v>
      </c>
      <c r="D838" s="31" t="s">
        <v>258</v>
      </c>
      <c r="E838" s="31" t="s">
        <v>680</v>
      </c>
      <c r="F838" s="32" t="s">
        <v>109</v>
      </c>
    </row>
    <row r="839" spans="1:6">
      <c r="A839" s="29">
        <v>54125</v>
      </c>
      <c r="B839" s="31" t="s">
        <v>1402</v>
      </c>
      <c r="C839" s="31" t="s">
        <v>261</v>
      </c>
      <c r="D839" s="31" t="s">
        <v>258</v>
      </c>
      <c r="E839" s="31" t="s">
        <v>680</v>
      </c>
      <c r="F839" s="32" t="s">
        <v>181</v>
      </c>
    </row>
    <row r="840" spans="1:6">
      <c r="A840" s="29">
        <v>54172</v>
      </c>
      <c r="B840" s="31" t="s">
        <v>1403</v>
      </c>
      <c r="C840" s="31" t="s">
        <v>261</v>
      </c>
      <c r="D840" s="31" t="s">
        <v>258</v>
      </c>
      <c r="E840" s="31" t="s">
        <v>680</v>
      </c>
      <c r="F840" s="32" t="s">
        <v>92</v>
      </c>
    </row>
    <row r="841" spans="1:6">
      <c r="A841" s="29">
        <v>54174</v>
      </c>
      <c r="B841" s="31" t="s">
        <v>1404</v>
      </c>
      <c r="C841" s="31" t="s">
        <v>261</v>
      </c>
      <c r="D841" s="31" t="s">
        <v>258</v>
      </c>
      <c r="E841" s="31" t="s">
        <v>680</v>
      </c>
      <c r="F841" s="32" t="s">
        <v>109</v>
      </c>
    </row>
    <row r="842" spans="1:6">
      <c r="A842" s="29">
        <v>54206</v>
      </c>
      <c r="B842" s="31" t="s">
        <v>1405</v>
      </c>
      <c r="C842" s="31" t="s">
        <v>261</v>
      </c>
      <c r="D842" s="31" t="s">
        <v>258</v>
      </c>
      <c r="E842" s="31" t="s">
        <v>680</v>
      </c>
      <c r="F842" s="32" t="s">
        <v>109</v>
      </c>
    </row>
    <row r="843" spans="1:6">
      <c r="A843" s="29">
        <v>54001</v>
      </c>
      <c r="B843" s="31" t="s">
        <v>258</v>
      </c>
      <c r="C843" s="31" t="s">
        <v>261</v>
      </c>
      <c r="D843" s="31" t="s">
        <v>258</v>
      </c>
      <c r="E843" s="31" t="s">
        <v>680</v>
      </c>
      <c r="F843" s="32" t="s">
        <v>119</v>
      </c>
    </row>
    <row r="844" spans="1:6">
      <c r="A844" s="29">
        <v>54223</v>
      </c>
      <c r="B844" s="31" t="s">
        <v>1406</v>
      </c>
      <c r="C844" s="31" t="s">
        <v>261</v>
      </c>
      <c r="D844" s="31" t="s">
        <v>258</v>
      </c>
      <c r="E844" s="31" t="s">
        <v>680</v>
      </c>
      <c r="F844" s="32" t="s">
        <v>109</v>
      </c>
    </row>
    <row r="845" spans="1:6">
      <c r="A845" s="29">
        <v>54239</v>
      </c>
      <c r="B845" s="31" t="s">
        <v>1407</v>
      </c>
      <c r="C845" s="31" t="s">
        <v>261</v>
      </c>
      <c r="D845" s="31" t="s">
        <v>258</v>
      </c>
      <c r="E845" s="31" t="s">
        <v>680</v>
      </c>
      <c r="F845" s="32" t="s">
        <v>92</v>
      </c>
    </row>
    <row r="846" spans="1:6">
      <c r="A846" s="29">
        <v>54245</v>
      </c>
      <c r="B846" s="31" t="s">
        <v>1408</v>
      </c>
      <c r="C846" s="31" t="s">
        <v>261</v>
      </c>
      <c r="D846" s="31" t="s">
        <v>258</v>
      </c>
      <c r="E846" s="31" t="s">
        <v>680</v>
      </c>
      <c r="F846" s="32" t="s">
        <v>109</v>
      </c>
    </row>
    <row r="847" spans="1:6">
      <c r="A847" s="29">
        <v>54250</v>
      </c>
      <c r="B847" s="31" t="s">
        <v>1409</v>
      </c>
      <c r="C847" s="31" t="s">
        <v>261</v>
      </c>
      <c r="D847" s="31" t="s">
        <v>258</v>
      </c>
      <c r="E847" s="31" t="s">
        <v>680</v>
      </c>
      <c r="F847" s="32" t="s">
        <v>109</v>
      </c>
    </row>
    <row r="848" spans="1:6">
      <c r="A848" s="29">
        <v>54261</v>
      </c>
      <c r="B848" s="31" t="s">
        <v>1410</v>
      </c>
      <c r="C848" s="31" t="s">
        <v>261</v>
      </c>
      <c r="D848" s="31" t="s">
        <v>258</v>
      </c>
      <c r="E848" s="31" t="s">
        <v>680</v>
      </c>
      <c r="F848" s="32" t="s">
        <v>92</v>
      </c>
    </row>
    <row r="849" spans="1:6">
      <c r="A849" s="29">
        <v>54313</v>
      </c>
      <c r="B849" s="31" t="s">
        <v>1411</v>
      </c>
      <c r="C849" s="31" t="s">
        <v>261</v>
      </c>
      <c r="D849" s="31" t="s">
        <v>258</v>
      </c>
      <c r="E849" s="31" t="s">
        <v>680</v>
      </c>
      <c r="F849" s="32" t="s">
        <v>92</v>
      </c>
    </row>
    <row r="850" spans="1:6">
      <c r="A850" s="29">
        <v>54344</v>
      </c>
      <c r="B850" s="31" t="s">
        <v>1412</v>
      </c>
      <c r="C850" s="31" t="s">
        <v>261</v>
      </c>
      <c r="D850" s="31" t="s">
        <v>258</v>
      </c>
      <c r="E850" s="31" t="s">
        <v>680</v>
      </c>
      <c r="F850" s="32" t="s">
        <v>109</v>
      </c>
    </row>
    <row r="851" spans="1:6">
      <c r="A851" s="29">
        <v>54347</v>
      </c>
      <c r="B851" s="31" t="s">
        <v>1413</v>
      </c>
      <c r="C851" s="31" t="s">
        <v>261</v>
      </c>
      <c r="D851" s="31" t="s">
        <v>258</v>
      </c>
      <c r="E851" s="31" t="s">
        <v>680</v>
      </c>
      <c r="F851" s="32" t="s">
        <v>181</v>
      </c>
    </row>
    <row r="852" spans="1:6">
      <c r="A852" s="29">
        <v>54385</v>
      </c>
      <c r="B852" s="31" t="s">
        <v>1414</v>
      </c>
      <c r="C852" s="31" t="s">
        <v>261</v>
      </c>
      <c r="D852" s="31" t="s">
        <v>142</v>
      </c>
      <c r="E852" s="31" t="s">
        <v>680</v>
      </c>
      <c r="F852" s="32" t="s">
        <v>181</v>
      </c>
    </row>
    <row r="853" spans="1:6">
      <c r="A853" s="29">
        <v>54398</v>
      </c>
      <c r="B853" s="31" t="s">
        <v>1415</v>
      </c>
      <c r="C853" s="31" t="s">
        <v>261</v>
      </c>
      <c r="D853" s="31" t="s">
        <v>258</v>
      </c>
      <c r="E853" s="31" t="s">
        <v>680</v>
      </c>
      <c r="F853" s="32" t="s">
        <v>109</v>
      </c>
    </row>
    <row r="854" spans="1:6">
      <c r="A854" s="29">
        <v>54377</v>
      </c>
      <c r="B854" s="31" t="s">
        <v>1416</v>
      </c>
      <c r="C854" s="31" t="s">
        <v>261</v>
      </c>
      <c r="D854" s="31" t="s">
        <v>258</v>
      </c>
      <c r="E854" s="31" t="s">
        <v>680</v>
      </c>
      <c r="F854" s="32" t="s">
        <v>109</v>
      </c>
    </row>
    <row r="855" spans="1:6">
      <c r="A855" s="29">
        <v>54405</v>
      </c>
      <c r="B855" s="31" t="s">
        <v>446</v>
      </c>
      <c r="C855" s="31" t="s">
        <v>261</v>
      </c>
      <c r="D855" s="31" t="s">
        <v>258</v>
      </c>
      <c r="E855" s="31" t="s">
        <v>680</v>
      </c>
      <c r="F855" s="32" t="s">
        <v>119</v>
      </c>
    </row>
    <row r="856" spans="1:6">
      <c r="A856" s="29">
        <v>54418</v>
      </c>
      <c r="B856" s="31" t="s">
        <v>1417</v>
      </c>
      <c r="C856" s="31" t="s">
        <v>261</v>
      </c>
      <c r="D856" s="31" t="s">
        <v>258</v>
      </c>
      <c r="E856" s="31" t="s">
        <v>680</v>
      </c>
      <c r="F856" s="32" t="s">
        <v>181</v>
      </c>
    </row>
    <row r="857" spans="1:6">
      <c r="A857" s="29">
        <v>54480</v>
      </c>
      <c r="B857" s="31" t="s">
        <v>1418</v>
      </c>
      <c r="C857" s="31" t="s">
        <v>261</v>
      </c>
      <c r="D857" s="31" t="s">
        <v>258</v>
      </c>
      <c r="E857" s="31" t="s">
        <v>680</v>
      </c>
      <c r="F857" s="32" t="s">
        <v>181</v>
      </c>
    </row>
    <row r="858" spans="1:6">
      <c r="A858" s="29">
        <v>54498</v>
      </c>
      <c r="B858" s="31" t="s">
        <v>1419</v>
      </c>
      <c r="C858" s="31" t="s">
        <v>261</v>
      </c>
      <c r="D858" s="31" t="s">
        <v>258</v>
      </c>
      <c r="E858" s="31" t="s">
        <v>680</v>
      </c>
      <c r="F858" s="32" t="s">
        <v>109</v>
      </c>
    </row>
    <row r="859" spans="1:6">
      <c r="A859" s="29">
        <v>54518</v>
      </c>
      <c r="B859" s="31" t="s">
        <v>262</v>
      </c>
      <c r="C859" s="31" t="s">
        <v>261</v>
      </c>
      <c r="D859" s="31" t="s">
        <v>258</v>
      </c>
      <c r="E859" s="31" t="s">
        <v>680</v>
      </c>
      <c r="F859" s="32" t="s">
        <v>181</v>
      </c>
    </row>
    <row r="860" spans="1:6">
      <c r="A860" s="29">
        <v>54520</v>
      </c>
      <c r="B860" s="31" t="s">
        <v>1420</v>
      </c>
      <c r="C860" s="31" t="s">
        <v>261</v>
      </c>
      <c r="D860" s="31" t="s">
        <v>258</v>
      </c>
      <c r="E860" s="31" t="s">
        <v>680</v>
      </c>
      <c r="F860" s="32" t="s">
        <v>181</v>
      </c>
    </row>
    <row r="861" spans="1:6">
      <c r="A861" s="29">
        <v>54599</v>
      </c>
      <c r="B861" s="31" t="s">
        <v>1421</v>
      </c>
      <c r="C861" s="31" t="s">
        <v>261</v>
      </c>
      <c r="D861" s="31" t="s">
        <v>258</v>
      </c>
      <c r="E861" s="31" t="s">
        <v>680</v>
      </c>
      <c r="F861" s="32" t="s">
        <v>181</v>
      </c>
    </row>
    <row r="862" spans="1:6">
      <c r="A862" s="29">
        <v>54660</v>
      </c>
      <c r="B862" s="31" t="s">
        <v>1422</v>
      </c>
      <c r="C862" s="31" t="s">
        <v>261</v>
      </c>
      <c r="D862" s="31" t="s">
        <v>258</v>
      </c>
      <c r="E862" s="31" t="s">
        <v>680</v>
      </c>
      <c r="F862" s="32" t="s">
        <v>92</v>
      </c>
    </row>
    <row r="863" spans="1:6">
      <c r="A863" s="29">
        <v>54670</v>
      </c>
      <c r="B863" s="31" t="s">
        <v>1423</v>
      </c>
      <c r="C863" s="31" t="s">
        <v>261</v>
      </c>
      <c r="D863" s="31" t="s">
        <v>258</v>
      </c>
      <c r="E863" s="31" t="s">
        <v>680</v>
      </c>
      <c r="F863" s="32" t="s">
        <v>109</v>
      </c>
    </row>
    <row r="864" spans="1:6">
      <c r="A864" s="29">
        <v>54720</v>
      </c>
      <c r="B864" s="31" t="s">
        <v>1424</v>
      </c>
      <c r="C864" s="31" t="s">
        <v>261</v>
      </c>
      <c r="D864" s="31" t="s">
        <v>258</v>
      </c>
      <c r="E864" s="31" t="s">
        <v>680</v>
      </c>
      <c r="F864" s="32" t="s">
        <v>92</v>
      </c>
    </row>
    <row r="865" spans="1:6">
      <c r="A865" s="29">
        <v>54743</v>
      </c>
      <c r="B865" s="31" t="s">
        <v>1425</v>
      </c>
      <c r="C865" s="31" t="s">
        <v>261</v>
      </c>
      <c r="D865" s="31" t="s">
        <v>258</v>
      </c>
      <c r="E865" s="31" t="s">
        <v>680</v>
      </c>
      <c r="F865" s="32" t="s">
        <v>109</v>
      </c>
    </row>
    <row r="866" spans="1:6">
      <c r="A866" s="29">
        <v>54800</v>
      </c>
      <c r="B866" s="31" t="s">
        <v>1426</v>
      </c>
      <c r="C866" s="31" t="s">
        <v>261</v>
      </c>
      <c r="D866" s="31" t="s">
        <v>258</v>
      </c>
      <c r="E866" s="31" t="s">
        <v>680</v>
      </c>
      <c r="F866" s="32" t="s">
        <v>109</v>
      </c>
    </row>
    <row r="867" spans="1:6">
      <c r="A867" s="29">
        <v>54810</v>
      </c>
      <c r="B867" s="31" t="s">
        <v>1427</v>
      </c>
      <c r="C867" s="31" t="s">
        <v>261</v>
      </c>
      <c r="D867" s="31" t="s">
        <v>258</v>
      </c>
      <c r="E867" s="31" t="s">
        <v>680</v>
      </c>
      <c r="F867" s="32" t="s">
        <v>126</v>
      </c>
    </row>
    <row r="868" spans="1:6">
      <c r="A868" s="29">
        <v>54871</v>
      </c>
      <c r="B868" s="31" t="s">
        <v>1428</v>
      </c>
      <c r="C868" s="31" t="s">
        <v>261</v>
      </c>
      <c r="D868" s="31" t="s">
        <v>258</v>
      </c>
      <c r="E868" s="31" t="s">
        <v>680</v>
      </c>
      <c r="F868" s="32" t="s">
        <v>109</v>
      </c>
    </row>
    <row r="869" spans="1:6">
      <c r="A869" s="29">
        <v>54874</v>
      </c>
      <c r="B869" s="31" t="s">
        <v>1429</v>
      </c>
      <c r="C869" s="31" t="s">
        <v>261</v>
      </c>
      <c r="D869" s="31" t="s">
        <v>258</v>
      </c>
      <c r="E869" s="31" t="s">
        <v>680</v>
      </c>
      <c r="F869" s="32" t="s">
        <v>119</v>
      </c>
    </row>
    <row r="870" spans="1:6">
      <c r="A870" s="29">
        <v>86219</v>
      </c>
      <c r="B870" s="30" t="s">
        <v>1347</v>
      </c>
      <c r="C870" s="31" t="s">
        <v>416</v>
      </c>
      <c r="D870" s="31" t="s">
        <v>77</v>
      </c>
      <c r="E870" s="31" t="s">
        <v>680</v>
      </c>
      <c r="F870" s="32" t="s">
        <v>92</v>
      </c>
    </row>
    <row r="871" spans="1:6">
      <c r="A871" s="29">
        <v>86755</v>
      </c>
      <c r="B871" s="30" t="s">
        <v>691</v>
      </c>
      <c r="C871" s="31" t="s">
        <v>416</v>
      </c>
      <c r="D871" s="31" t="s">
        <v>77</v>
      </c>
      <c r="E871" s="31" t="s">
        <v>680</v>
      </c>
      <c r="F871" s="32" t="s">
        <v>181</v>
      </c>
    </row>
    <row r="872" spans="1:6">
      <c r="A872" s="29">
        <v>86757</v>
      </c>
      <c r="B872" s="30" t="s">
        <v>1430</v>
      </c>
      <c r="C872" s="31" t="s">
        <v>416</v>
      </c>
      <c r="D872" s="31" t="s">
        <v>77</v>
      </c>
      <c r="E872" s="31" t="s">
        <v>680</v>
      </c>
      <c r="F872" s="32" t="s">
        <v>109</v>
      </c>
    </row>
    <row r="873" spans="1:6">
      <c r="A873" s="29">
        <v>86760</v>
      </c>
      <c r="B873" s="30" t="s">
        <v>1396</v>
      </c>
      <c r="C873" s="31" t="s">
        <v>416</v>
      </c>
      <c r="D873" s="31" t="s">
        <v>77</v>
      </c>
      <c r="E873" s="31" t="s">
        <v>680</v>
      </c>
      <c r="F873" s="32" t="s">
        <v>92</v>
      </c>
    </row>
    <row r="874" spans="1:6">
      <c r="A874" s="29">
        <v>86573</v>
      </c>
      <c r="B874" s="31" t="s">
        <v>1431</v>
      </c>
      <c r="C874" s="31" t="s">
        <v>416</v>
      </c>
      <c r="D874" s="31" t="s">
        <v>77</v>
      </c>
      <c r="E874" s="33" t="s">
        <v>668</v>
      </c>
      <c r="F874" s="32" t="s">
        <v>109</v>
      </c>
    </row>
    <row r="875" spans="1:6">
      <c r="A875" s="29">
        <v>86001</v>
      </c>
      <c r="B875" s="31" t="s">
        <v>1432</v>
      </c>
      <c r="C875" s="31" t="s">
        <v>416</v>
      </c>
      <c r="D875" s="31" t="s">
        <v>77</v>
      </c>
      <c r="E875" s="31" t="s">
        <v>680</v>
      </c>
      <c r="F875" s="32" t="s">
        <v>109</v>
      </c>
    </row>
    <row r="876" spans="1:6">
      <c r="A876" s="29">
        <v>86320</v>
      </c>
      <c r="B876" s="31" t="s">
        <v>1433</v>
      </c>
      <c r="C876" s="31" t="s">
        <v>416</v>
      </c>
      <c r="D876" s="31" t="s">
        <v>77</v>
      </c>
      <c r="E876" s="31" t="s">
        <v>680</v>
      </c>
      <c r="F876" s="32" t="s">
        <v>109</v>
      </c>
    </row>
    <row r="877" spans="1:6">
      <c r="A877" s="29">
        <v>86568</v>
      </c>
      <c r="B877" s="31" t="s">
        <v>417</v>
      </c>
      <c r="C877" s="31" t="s">
        <v>416</v>
      </c>
      <c r="D877" s="31" t="s">
        <v>77</v>
      </c>
      <c r="E877" s="31" t="s">
        <v>680</v>
      </c>
      <c r="F877" s="32" t="s">
        <v>109</v>
      </c>
    </row>
    <row r="878" spans="1:6">
      <c r="A878" s="29">
        <v>86569</v>
      </c>
      <c r="B878" s="31" t="s">
        <v>1434</v>
      </c>
      <c r="C878" s="31" t="s">
        <v>416</v>
      </c>
      <c r="D878" s="31" t="s">
        <v>77</v>
      </c>
      <c r="E878" s="31" t="s">
        <v>680</v>
      </c>
      <c r="F878" s="32" t="s">
        <v>109</v>
      </c>
    </row>
    <row r="879" spans="1:6">
      <c r="A879" s="29">
        <v>86571</v>
      </c>
      <c r="B879" s="31" t="s">
        <v>1435</v>
      </c>
      <c r="C879" s="31" t="s">
        <v>416</v>
      </c>
      <c r="D879" s="31" t="s">
        <v>77</v>
      </c>
      <c r="E879" s="31" t="s">
        <v>680</v>
      </c>
      <c r="F879" s="32" t="s">
        <v>109</v>
      </c>
    </row>
    <row r="880" spans="1:6">
      <c r="A880" s="29">
        <v>86749</v>
      </c>
      <c r="B880" s="31" t="s">
        <v>1436</v>
      </c>
      <c r="C880" s="31" t="s">
        <v>416</v>
      </c>
      <c r="D880" s="31" t="s">
        <v>77</v>
      </c>
      <c r="E880" s="31" t="s">
        <v>680</v>
      </c>
      <c r="F880" s="32" t="s">
        <v>181</v>
      </c>
    </row>
    <row r="881" spans="1:6">
      <c r="A881" s="29">
        <v>86865</v>
      </c>
      <c r="B881" s="31" t="s">
        <v>559</v>
      </c>
      <c r="C881" s="31" t="s">
        <v>416</v>
      </c>
      <c r="D881" s="31" t="s">
        <v>77</v>
      </c>
      <c r="E881" s="31" t="s">
        <v>680</v>
      </c>
      <c r="F881" s="32" t="s">
        <v>109</v>
      </c>
    </row>
    <row r="882" spans="1:6">
      <c r="A882" s="29">
        <v>86885</v>
      </c>
      <c r="B882" s="31" t="s">
        <v>1437</v>
      </c>
      <c r="C882" s="31" t="s">
        <v>416</v>
      </c>
      <c r="D882" s="31" t="s">
        <v>77</v>
      </c>
      <c r="E882" s="31" t="s">
        <v>680</v>
      </c>
      <c r="F882" s="32" t="s">
        <v>109</v>
      </c>
    </row>
    <row r="883" spans="1:6">
      <c r="A883" s="29">
        <v>63001</v>
      </c>
      <c r="B883" s="30" t="s">
        <v>542</v>
      </c>
      <c r="C883" s="31" t="s">
        <v>541</v>
      </c>
      <c r="D883" s="31" t="s">
        <v>149</v>
      </c>
      <c r="E883" s="31" t="s">
        <v>680</v>
      </c>
      <c r="F883" s="32" t="s">
        <v>92</v>
      </c>
    </row>
    <row r="884" spans="1:6">
      <c r="A884" s="29">
        <v>63111</v>
      </c>
      <c r="B884" s="30" t="s">
        <v>864</v>
      </c>
      <c r="C884" s="31" t="s">
        <v>541</v>
      </c>
      <c r="D884" s="31" t="s">
        <v>149</v>
      </c>
      <c r="E884" s="31" t="s">
        <v>680</v>
      </c>
      <c r="F884" s="32" t="s">
        <v>92</v>
      </c>
    </row>
    <row r="885" spans="1:6">
      <c r="A885" s="29">
        <v>63212</v>
      </c>
      <c r="B885" s="30" t="s">
        <v>168</v>
      </c>
      <c r="C885" s="31" t="s">
        <v>541</v>
      </c>
      <c r="D885" s="31" t="s">
        <v>149</v>
      </c>
      <c r="E885" s="31" t="s">
        <v>680</v>
      </c>
      <c r="F885" s="32" t="s">
        <v>92</v>
      </c>
    </row>
    <row r="886" spans="1:6">
      <c r="A886" s="29">
        <v>63130</v>
      </c>
      <c r="B886" s="31" t="s">
        <v>1438</v>
      </c>
      <c r="C886" s="31" t="s">
        <v>541</v>
      </c>
      <c r="D886" s="31" t="s">
        <v>149</v>
      </c>
      <c r="E886" s="31" t="s">
        <v>680</v>
      </c>
      <c r="F886" s="32" t="s">
        <v>92</v>
      </c>
    </row>
    <row r="887" spans="1:6">
      <c r="A887" s="29">
        <v>63190</v>
      </c>
      <c r="B887" s="31" t="s">
        <v>1439</v>
      </c>
      <c r="C887" s="31" t="s">
        <v>541</v>
      </c>
      <c r="D887" s="31" t="s">
        <v>149</v>
      </c>
      <c r="E887" s="31" t="s">
        <v>680</v>
      </c>
      <c r="F887" s="32" t="s">
        <v>92</v>
      </c>
    </row>
    <row r="888" spans="1:6">
      <c r="A888" s="29">
        <v>63272</v>
      </c>
      <c r="B888" s="31" t="s">
        <v>1440</v>
      </c>
      <c r="C888" s="31" t="s">
        <v>541</v>
      </c>
      <c r="D888" s="31" t="s">
        <v>149</v>
      </c>
      <c r="E888" s="31" t="s">
        <v>680</v>
      </c>
      <c r="F888" s="32" t="s">
        <v>92</v>
      </c>
    </row>
    <row r="889" spans="1:6">
      <c r="A889" s="29">
        <v>63302</v>
      </c>
      <c r="B889" s="31" t="s">
        <v>1441</v>
      </c>
      <c r="C889" s="31" t="s">
        <v>541</v>
      </c>
      <c r="D889" s="31" t="s">
        <v>149</v>
      </c>
      <c r="E889" s="31" t="s">
        <v>680</v>
      </c>
      <c r="F889" s="32" t="s">
        <v>181</v>
      </c>
    </row>
    <row r="890" spans="1:6">
      <c r="A890" s="29">
        <v>63401</v>
      </c>
      <c r="B890" s="31" t="s">
        <v>1442</v>
      </c>
      <c r="C890" s="31" t="s">
        <v>541</v>
      </c>
      <c r="D890" s="31" t="s">
        <v>149</v>
      </c>
      <c r="E890" s="31" t="s">
        <v>680</v>
      </c>
      <c r="F890" s="32" t="s">
        <v>92</v>
      </c>
    </row>
    <row r="891" spans="1:6">
      <c r="A891" s="29">
        <v>63470</v>
      </c>
      <c r="B891" s="31" t="s">
        <v>1443</v>
      </c>
      <c r="C891" s="31" t="s">
        <v>541</v>
      </c>
      <c r="D891" s="31" t="s">
        <v>149</v>
      </c>
      <c r="E891" s="31" t="s">
        <v>680</v>
      </c>
      <c r="F891" s="32" t="s">
        <v>92</v>
      </c>
    </row>
    <row r="892" spans="1:6">
      <c r="A892" s="29">
        <v>63548</v>
      </c>
      <c r="B892" s="31" t="s">
        <v>1444</v>
      </c>
      <c r="C892" s="31" t="s">
        <v>541</v>
      </c>
      <c r="D892" s="31" t="s">
        <v>149</v>
      </c>
      <c r="E892" s="31" t="s">
        <v>680</v>
      </c>
      <c r="F892" s="32" t="s">
        <v>181</v>
      </c>
    </row>
    <row r="893" spans="1:6">
      <c r="A893" s="29">
        <v>63594</v>
      </c>
      <c r="B893" s="31" t="s">
        <v>1445</v>
      </c>
      <c r="C893" s="31" t="s">
        <v>541</v>
      </c>
      <c r="D893" s="31" t="s">
        <v>149</v>
      </c>
      <c r="E893" s="31" t="s">
        <v>680</v>
      </c>
      <c r="F893" s="32" t="s">
        <v>92</v>
      </c>
    </row>
    <row r="894" spans="1:6">
      <c r="A894" s="29">
        <v>63690</v>
      </c>
      <c r="B894" s="31" t="s">
        <v>1446</v>
      </c>
      <c r="C894" s="31" t="s">
        <v>541</v>
      </c>
      <c r="D894" s="31" t="s">
        <v>149</v>
      </c>
      <c r="E894" s="31" t="s">
        <v>680</v>
      </c>
      <c r="F894" s="32" t="s">
        <v>92</v>
      </c>
    </row>
    <row r="895" spans="1:6">
      <c r="A895" s="29">
        <v>66075</v>
      </c>
      <c r="B895" s="30" t="s">
        <v>1032</v>
      </c>
      <c r="C895" s="31" t="s">
        <v>152</v>
      </c>
      <c r="D895" s="31" t="s">
        <v>149</v>
      </c>
      <c r="E895" s="31" t="s">
        <v>680</v>
      </c>
      <c r="F895" s="32" t="s">
        <v>92</v>
      </c>
    </row>
    <row r="896" spans="1:6">
      <c r="A896" s="29">
        <v>66045</v>
      </c>
      <c r="B896" s="31" t="s">
        <v>1447</v>
      </c>
      <c r="C896" s="31" t="s">
        <v>152</v>
      </c>
      <c r="D896" s="31" t="s">
        <v>149</v>
      </c>
      <c r="E896" s="31" t="s">
        <v>680</v>
      </c>
      <c r="F896" s="32" t="s">
        <v>92</v>
      </c>
    </row>
    <row r="897" spans="1:6">
      <c r="A897" s="29">
        <v>66088</v>
      </c>
      <c r="B897" s="31" t="s">
        <v>1448</v>
      </c>
      <c r="C897" s="31" t="s">
        <v>152</v>
      </c>
      <c r="D897" s="31" t="s">
        <v>149</v>
      </c>
      <c r="E897" s="31" t="s">
        <v>680</v>
      </c>
      <c r="F897" s="32" t="s">
        <v>92</v>
      </c>
    </row>
    <row r="898" spans="1:6">
      <c r="A898" s="29">
        <v>66170</v>
      </c>
      <c r="B898" s="31" t="s">
        <v>1449</v>
      </c>
      <c r="C898" s="31" t="s">
        <v>152</v>
      </c>
      <c r="D898" s="31" t="s">
        <v>149</v>
      </c>
      <c r="E898" s="31" t="s">
        <v>680</v>
      </c>
      <c r="F898" s="32" t="s">
        <v>119</v>
      </c>
    </row>
    <row r="899" spans="1:6">
      <c r="A899" s="29">
        <v>66318</v>
      </c>
      <c r="B899" s="31" t="s">
        <v>1450</v>
      </c>
      <c r="C899" s="31" t="s">
        <v>152</v>
      </c>
      <c r="D899" s="31" t="s">
        <v>149</v>
      </c>
      <c r="E899" s="31" t="s">
        <v>680</v>
      </c>
      <c r="F899" s="32" t="s">
        <v>92</v>
      </c>
    </row>
    <row r="900" spans="1:6">
      <c r="A900" s="29">
        <v>66383</v>
      </c>
      <c r="B900" s="31" t="s">
        <v>1451</v>
      </c>
      <c r="C900" s="31" t="s">
        <v>152</v>
      </c>
      <c r="D900" s="31" t="s">
        <v>149</v>
      </c>
      <c r="E900" s="31" t="s">
        <v>680</v>
      </c>
      <c r="F900" s="32" t="s">
        <v>92</v>
      </c>
    </row>
    <row r="901" spans="1:6">
      <c r="A901" s="29">
        <v>66400</v>
      </c>
      <c r="B901" s="31" t="s">
        <v>153</v>
      </c>
      <c r="C901" s="31" t="s">
        <v>152</v>
      </c>
      <c r="D901" s="31" t="s">
        <v>149</v>
      </c>
      <c r="E901" s="31" t="s">
        <v>680</v>
      </c>
      <c r="F901" s="32" t="s">
        <v>119</v>
      </c>
    </row>
    <row r="902" spans="1:6">
      <c r="A902" s="29">
        <v>66440</v>
      </c>
      <c r="B902" s="31" t="s">
        <v>1452</v>
      </c>
      <c r="C902" s="31" t="s">
        <v>152</v>
      </c>
      <c r="D902" s="31" t="s">
        <v>149</v>
      </c>
      <c r="E902" s="31" t="s">
        <v>680</v>
      </c>
      <c r="F902" s="32" t="s">
        <v>92</v>
      </c>
    </row>
    <row r="903" spans="1:6">
      <c r="A903" s="29">
        <v>66456</v>
      </c>
      <c r="B903" s="31" t="s">
        <v>1453</v>
      </c>
      <c r="C903" s="31" t="s">
        <v>152</v>
      </c>
      <c r="D903" s="31" t="s">
        <v>149</v>
      </c>
      <c r="E903" s="31" t="s">
        <v>680</v>
      </c>
      <c r="F903" s="32" t="s">
        <v>92</v>
      </c>
    </row>
    <row r="904" spans="1:6">
      <c r="A904" s="29">
        <v>66001</v>
      </c>
      <c r="B904" s="31" t="s">
        <v>149</v>
      </c>
      <c r="C904" s="31" t="s">
        <v>152</v>
      </c>
      <c r="D904" s="31" t="s">
        <v>149</v>
      </c>
      <c r="E904" s="31" t="s">
        <v>680</v>
      </c>
      <c r="F904" s="32" t="s">
        <v>119</v>
      </c>
    </row>
    <row r="905" spans="1:6">
      <c r="A905" s="29">
        <v>66572</v>
      </c>
      <c r="B905" s="31" t="s">
        <v>1454</v>
      </c>
      <c r="C905" s="31" t="s">
        <v>152</v>
      </c>
      <c r="D905" s="31" t="s">
        <v>149</v>
      </c>
      <c r="E905" s="31" t="s">
        <v>680</v>
      </c>
      <c r="F905" s="32" t="s">
        <v>92</v>
      </c>
    </row>
    <row r="906" spans="1:6">
      <c r="A906" s="29">
        <v>66594</v>
      </c>
      <c r="B906" s="31" t="s">
        <v>1455</v>
      </c>
      <c r="C906" s="31" t="s">
        <v>152</v>
      </c>
      <c r="D906" s="31" t="s">
        <v>149</v>
      </c>
      <c r="E906" s="31" t="s">
        <v>680</v>
      </c>
      <c r="F906" s="32" t="s">
        <v>92</v>
      </c>
    </row>
    <row r="907" spans="1:6">
      <c r="A907" s="29">
        <v>66682</v>
      </c>
      <c r="B907" s="31" t="s">
        <v>1456</v>
      </c>
      <c r="C907" s="31" t="s">
        <v>152</v>
      </c>
      <c r="D907" s="31" t="s">
        <v>149</v>
      </c>
      <c r="E907" s="31" t="s">
        <v>680</v>
      </c>
      <c r="F907" s="32" t="s">
        <v>119</v>
      </c>
    </row>
    <row r="908" spans="1:6">
      <c r="A908" s="29">
        <v>66687</v>
      </c>
      <c r="B908" s="31" t="s">
        <v>1457</v>
      </c>
      <c r="C908" s="31" t="s">
        <v>152</v>
      </c>
      <c r="D908" s="31" t="s">
        <v>149</v>
      </c>
      <c r="E908" s="31" t="s">
        <v>680</v>
      </c>
      <c r="F908" s="32" t="s">
        <v>92</v>
      </c>
    </row>
    <row r="909" spans="1:6">
      <c r="A909" s="29">
        <v>88564</v>
      </c>
      <c r="B909" s="30" t="s">
        <v>1348</v>
      </c>
      <c r="C909" s="31" t="s">
        <v>1458</v>
      </c>
      <c r="D909" s="31" t="s">
        <v>133</v>
      </c>
      <c r="E909" s="31" t="s">
        <v>668</v>
      </c>
      <c r="F909" s="32" t="s">
        <v>126</v>
      </c>
    </row>
    <row r="910" spans="1:6">
      <c r="A910" s="29">
        <v>88001</v>
      </c>
      <c r="B910" s="30" t="s">
        <v>1459</v>
      </c>
      <c r="C910" s="31" t="s">
        <v>1458</v>
      </c>
      <c r="D910" s="31" t="s">
        <v>133</v>
      </c>
      <c r="E910" s="31" t="s">
        <v>668</v>
      </c>
      <c r="F910" s="32" t="s">
        <v>126</v>
      </c>
    </row>
    <row r="911" spans="1:6">
      <c r="A911" s="29">
        <v>68020</v>
      </c>
      <c r="B911" s="30" t="s">
        <v>1002</v>
      </c>
      <c r="C911" s="31" t="s">
        <v>145</v>
      </c>
      <c r="D911" s="31" t="s">
        <v>182</v>
      </c>
      <c r="E911" s="31" t="s">
        <v>680</v>
      </c>
      <c r="F911" s="32" t="s">
        <v>181</v>
      </c>
    </row>
    <row r="912" spans="1:6">
      <c r="A912" s="29">
        <v>68077</v>
      </c>
      <c r="B912" s="30" t="s">
        <v>681</v>
      </c>
      <c r="C912" s="31" t="s">
        <v>145</v>
      </c>
      <c r="D912" s="31" t="s">
        <v>182</v>
      </c>
      <c r="E912" s="31" t="s">
        <v>680</v>
      </c>
      <c r="F912" s="32" t="s">
        <v>92</v>
      </c>
    </row>
    <row r="913" spans="1:6">
      <c r="A913" s="29">
        <v>68092</v>
      </c>
      <c r="B913" s="30" t="s">
        <v>682</v>
      </c>
      <c r="C913" s="31" t="s">
        <v>145</v>
      </c>
      <c r="D913" s="31" t="s">
        <v>142</v>
      </c>
      <c r="E913" s="31" t="s">
        <v>680</v>
      </c>
      <c r="F913" s="32" t="s">
        <v>109</v>
      </c>
    </row>
    <row r="914" spans="1:6">
      <c r="A914" s="29">
        <v>68101</v>
      </c>
      <c r="B914" s="30" t="s">
        <v>469</v>
      </c>
      <c r="C914" s="31" t="s">
        <v>145</v>
      </c>
      <c r="D914" s="31" t="s">
        <v>182</v>
      </c>
      <c r="E914" s="31" t="s">
        <v>680</v>
      </c>
      <c r="F914" s="32" t="s">
        <v>181</v>
      </c>
    </row>
    <row r="915" spans="1:6">
      <c r="A915" s="29">
        <v>68121</v>
      </c>
      <c r="B915" s="30" t="s">
        <v>1140</v>
      </c>
      <c r="C915" s="31" t="s">
        <v>145</v>
      </c>
      <c r="D915" s="31" t="s">
        <v>142</v>
      </c>
      <c r="E915" s="31" t="s">
        <v>680</v>
      </c>
      <c r="F915" s="32" t="s">
        <v>181</v>
      </c>
    </row>
    <row r="916" spans="1:6">
      <c r="A916" s="29">
        <v>68176</v>
      </c>
      <c r="B916" s="30" t="s">
        <v>1118</v>
      </c>
      <c r="C916" s="31" t="s">
        <v>145</v>
      </c>
      <c r="D916" s="31" t="s">
        <v>142</v>
      </c>
      <c r="E916" s="31" t="s">
        <v>680</v>
      </c>
      <c r="F916" s="32" t="s">
        <v>109</v>
      </c>
    </row>
    <row r="917" spans="1:6">
      <c r="A917" s="29">
        <v>68207</v>
      </c>
      <c r="B917" s="30" t="s">
        <v>684</v>
      </c>
      <c r="C917" s="31" t="s">
        <v>145</v>
      </c>
      <c r="D917" s="31" t="s">
        <v>142</v>
      </c>
      <c r="E917" s="31" t="s">
        <v>680</v>
      </c>
      <c r="F917" s="32" t="s">
        <v>109</v>
      </c>
    </row>
    <row r="918" spans="1:6">
      <c r="A918" s="29">
        <v>68250</v>
      </c>
      <c r="B918" s="30" t="s">
        <v>821</v>
      </c>
      <c r="C918" s="31" t="s">
        <v>145</v>
      </c>
      <c r="D918" s="31" t="s">
        <v>142</v>
      </c>
      <c r="E918" s="31" t="s">
        <v>680</v>
      </c>
      <c r="F918" s="32" t="s">
        <v>109</v>
      </c>
    </row>
    <row r="919" spans="1:6">
      <c r="A919" s="29">
        <v>68320</v>
      </c>
      <c r="B919" s="30" t="s">
        <v>685</v>
      </c>
      <c r="C919" s="31" t="s">
        <v>145</v>
      </c>
      <c r="D919" s="31" t="s">
        <v>142</v>
      </c>
      <c r="E919" s="31" t="s">
        <v>680</v>
      </c>
      <c r="F919" s="32" t="s">
        <v>109</v>
      </c>
    </row>
    <row r="920" spans="1:6">
      <c r="A920" s="29">
        <v>68397</v>
      </c>
      <c r="B920" s="30" t="s">
        <v>1065</v>
      </c>
      <c r="C920" s="31" t="s">
        <v>145</v>
      </c>
      <c r="D920" s="31" t="s">
        <v>142</v>
      </c>
      <c r="E920" s="31" t="s">
        <v>680</v>
      </c>
      <c r="F920" s="32" t="s">
        <v>109</v>
      </c>
    </row>
    <row r="921" spans="1:6">
      <c r="A921" s="29">
        <v>68615</v>
      </c>
      <c r="B921" s="30" t="s">
        <v>688</v>
      </c>
      <c r="C921" s="31" t="s">
        <v>145</v>
      </c>
      <c r="D921" s="31" t="s">
        <v>142</v>
      </c>
      <c r="E921" s="31" t="s">
        <v>680</v>
      </c>
      <c r="F921" s="32" t="s">
        <v>92</v>
      </c>
    </row>
    <row r="922" spans="1:6">
      <c r="A922" s="29">
        <v>68669</v>
      </c>
      <c r="B922" s="30" t="s">
        <v>1459</v>
      </c>
      <c r="C922" s="31" t="s">
        <v>145</v>
      </c>
      <c r="D922" s="31" t="s">
        <v>142</v>
      </c>
      <c r="E922" s="31" t="s">
        <v>680</v>
      </c>
      <c r="F922" s="32" t="s">
        <v>181</v>
      </c>
    </row>
    <row r="923" spans="1:6">
      <c r="A923" s="29">
        <v>68686</v>
      </c>
      <c r="B923" s="30" t="s">
        <v>1430</v>
      </c>
      <c r="C923" s="31" t="s">
        <v>145</v>
      </c>
      <c r="D923" s="31" t="s">
        <v>182</v>
      </c>
      <c r="E923" s="31" t="s">
        <v>680</v>
      </c>
      <c r="F923" s="32" t="s">
        <v>109</v>
      </c>
    </row>
    <row r="924" spans="1:6">
      <c r="A924" s="29">
        <v>68705</v>
      </c>
      <c r="B924" s="30" t="s">
        <v>694</v>
      </c>
      <c r="C924" s="31" t="s">
        <v>145</v>
      </c>
      <c r="D924" s="31" t="s">
        <v>142</v>
      </c>
      <c r="E924" s="31" t="s">
        <v>680</v>
      </c>
      <c r="F924" s="32" t="s">
        <v>92</v>
      </c>
    </row>
    <row r="925" spans="1:6">
      <c r="A925" s="29">
        <v>68773</v>
      </c>
      <c r="B925" s="30" t="s">
        <v>1036</v>
      </c>
      <c r="C925" s="31" t="s">
        <v>145</v>
      </c>
      <c r="D925" s="31" t="s">
        <v>182</v>
      </c>
      <c r="E925" s="31" t="s">
        <v>680</v>
      </c>
      <c r="F925" s="32" t="s">
        <v>181</v>
      </c>
    </row>
    <row r="926" spans="1:6">
      <c r="A926" s="29">
        <v>68872</v>
      </c>
      <c r="B926" s="30" t="s">
        <v>825</v>
      </c>
      <c r="C926" s="31" t="s">
        <v>145</v>
      </c>
      <c r="D926" s="31" t="s">
        <v>142</v>
      </c>
      <c r="E926" s="31" t="s">
        <v>680</v>
      </c>
      <c r="F926" s="32" t="s">
        <v>181</v>
      </c>
    </row>
    <row r="927" spans="1:6">
      <c r="A927" s="29">
        <v>68013</v>
      </c>
      <c r="B927" s="31" t="s">
        <v>1460</v>
      </c>
      <c r="C927" s="31" t="s">
        <v>145</v>
      </c>
      <c r="D927" s="31" t="s">
        <v>142</v>
      </c>
      <c r="E927" s="31" t="s">
        <v>680</v>
      </c>
      <c r="F927" s="32" t="s">
        <v>109</v>
      </c>
    </row>
    <row r="928" spans="1:6">
      <c r="A928" s="29">
        <v>68051</v>
      </c>
      <c r="B928" s="31" t="s">
        <v>1461</v>
      </c>
      <c r="C928" s="31" t="s">
        <v>145</v>
      </c>
      <c r="D928" s="31" t="s">
        <v>142</v>
      </c>
      <c r="E928" s="31" t="s">
        <v>680</v>
      </c>
      <c r="F928" s="32" t="s">
        <v>92</v>
      </c>
    </row>
    <row r="929" spans="1:6">
      <c r="A929" s="29">
        <v>68079</v>
      </c>
      <c r="B929" s="31" t="s">
        <v>1462</v>
      </c>
      <c r="C929" s="31" t="s">
        <v>145</v>
      </c>
      <c r="D929" s="31" t="s">
        <v>142</v>
      </c>
      <c r="E929" s="31" t="s">
        <v>680</v>
      </c>
      <c r="F929" s="32" t="s">
        <v>181</v>
      </c>
    </row>
    <row r="930" spans="1:6">
      <c r="A930" s="29">
        <v>68081</v>
      </c>
      <c r="B930" s="31" t="s">
        <v>1463</v>
      </c>
      <c r="C930" s="31" t="s">
        <v>145</v>
      </c>
      <c r="D930" s="31" t="s">
        <v>142</v>
      </c>
      <c r="E930" s="31" t="s">
        <v>680</v>
      </c>
      <c r="F930" s="32" t="s">
        <v>181</v>
      </c>
    </row>
    <row r="931" spans="1:6">
      <c r="A931" s="29">
        <v>68001</v>
      </c>
      <c r="B931" s="31" t="s">
        <v>142</v>
      </c>
      <c r="C931" s="31" t="s">
        <v>145</v>
      </c>
      <c r="D931" s="31" t="s">
        <v>142</v>
      </c>
      <c r="E931" s="31" t="s">
        <v>680</v>
      </c>
      <c r="F931" s="32" t="s">
        <v>119</v>
      </c>
    </row>
    <row r="932" spans="1:6">
      <c r="A932" s="29">
        <v>68132</v>
      </c>
      <c r="B932" s="31" t="s">
        <v>1464</v>
      </c>
      <c r="C932" s="31" t="s">
        <v>145</v>
      </c>
      <c r="D932" s="31" t="s">
        <v>142</v>
      </c>
      <c r="E932" s="31" t="s">
        <v>680</v>
      </c>
      <c r="F932" s="32" t="s">
        <v>181</v>
      </c>
    </row>
    <row r="933" spans="1:6">
      <c r="A933" s="29">
        <v>68147</v>
      </c>
      <c r="B933" s="31" t="s">
        <v>1465</v>
      </c>
      <c r="C933" s="31" t="s">
        <v>145</v>
      </c>
      <c r="D933" s="31" t="s">
        <v>142</v>
      </c>
      <c r="E933" s="31" t="s">
        <v>680</v>
      </c>
      <c r="F933" s="32" t="s">
        <v>109</v>
      </c>
    </row>
    <row r="934" spans="1:6">
      <c r="A934" s="29">
        <v>68152</v>
      </c>
      <c r="B934" s="31" t="s">
        <v>1466</v>
      </c>
      <c r="C934" s="31" t="s">
        <v>145</v>
      </c>
      <c r="D934" s="31" t="s">
        <v>142</v>
      </c>
      <c r="E934" s="31" t="s">
        <v>680</v>
      </c>
      <c r="F934" s="32" t="s">
        <v>109</v>
      </c>
    </row>
    <row r="935" spans="1:6">
      <c r="A935" s="29">
        <v>68160</v>
      </c>
      <c r="B935" s="31" t="s">
        <v>1467</v>
      </c>
      <c r="C935" s="31" t="s">
        <v>145</v>
      </c>
      <c r="D935" s="31" t="s">
        <v>142</v>
      </c>
      <c r="E935" s="31" t="s">
        <v>680</v>
      </c>
      <c r="F935" s="32" t="s">
        <v>181</v>
      </c>
    </row>
    <row r="936" spans="1:6">
      <c r="A936" s="29">
        <v>68162</v>
      </c>
      <c r="B936" s="31" t="s">
        <v>1468</v>
      </c>
      <c r="C936" s="31" t="s">
        <v>145</v>
      </c>
      <c r="D936" s="31" t="s">
        <v>142</v>
      </c>
      <c r="E936" s="31" t="s">
        <v>680</v>
      </c>
      <c r="F936" s="32" t="s">
        <v>109</v>
      </c>
    </row>
    <row r="937" spans="1:6">
      <c r="A937" s="29">
        <v>68167</v>
      </c>
      <c r="B937" s="31" t="s">
        <v>1469</v>
      </c>
      <c r="C937" s="31" t="s">
        <v>145</v>
      </c>
      <c r="D937" s="31" t="s">
        <v>142</v>
      </c>
      <c r="E937" s="31" t="s">
        <v>680</v>
      </c>
      <c r="F937" s="32" t="s">
        <v>109</v>
      </c>
    </row>
    <row r="938" spans="1:6">
      <c r="A938" s="29">
        <v>68169</v>
      </c>
      <c r="B938" s="31" t="s">
        <v>1470</v>
      </c>
      <c r="C938" s="31" t="s">
        <v>145</v>
      </c>
      <c r="D938" s="31" t="s">
        <v>142</v>
      </c>
      <c r="E938" s="31" t="s">
        <v>680</v>
      </c>
      <c r="F938" s="32" t="s">
        <v>92</v>
      </c>
    </row>
    <row r="939" spans="1:6">
      <c r="A939" s="29">
        <v>68179</v>
      </c>
      <c r="B939" s="31" t="s">
        <v>1471</v>
      </c>
      <c r="C939" s="31" t="s">
        <v>145</v>
      </c>
      <c r="D939" s="31" t="s">
        <v>182</v>
      </c>
      <c r="E939" s="31" t="s">
        <v>680</v>
      </c>
      <c r="F939" s="32" t="s">
        <v>109</v>
      </c>
    </row>
    <row r="940" spans="1:6">
      <c r="A940" s="29">
        <v>68190</v>
      </c>
      <c r="B940" s="31" t="s">
        <v>1472</v>
      </c>
      <c r="C940" s="31" t="s">
        <v>145</v>
      </c>
      <c r="D940" s="31" t="s">
        <v>142</v>
      </c>
      <c r="E940" s="31" t="s">
        <v>680</v>
      </c>
      <c r="F940" s="32" t="s">
        <v>109</v>
      </c>
    </row>
    <row r="941" spans="1:6">
      <c r="A941" s="29">
        <v>68209</v>
      </c>
      <c r="B941" s="31" t="s">
        <v>1473</v>
      </c>
      <c r="C941" s="31" t="s">
        <v>145</v>
      </c>
      <c r="D941" s="31" t="s">
        <v>142</v>
      </c>
      <c r="E941" s="31" t="s">
        <v>680</v>
      </c>
      <c r="F941" s="32" t="s">
        <v>181</v>
      </c>
    </row>
    <row r="942" spans="1:6">
      <c r="A942" s="29">
        <v>68211</v>
      </c>
      <c r="B942" s="31" t="s">
        <v>1474</v>
      </c>
      <c r="C942" s="31" t="s">
        <v>145</v>
      </c>
      <c r="D942" s="31" t="s">
        <v>142</v>
      </c>
      <c r="E942" s="31" t="s">
        <v>680</v>
      </c>
      <c r="F942" s="32" t="s">
        <v>109</v>
      </c>
    </row>
    <row r="943" spans="1:6">
      <c r="A943" s="29">
        <v>68217</v>
      </c>
      <c r="B943" s="31" t="s">
        <v>1475</v>
      </c>
      <c r="C943" s="31" t="s">
        <v>145</v>
      </c>
      <c r="D943" s="31" t="s">
        <v>142</v>
      </c>
      <c r="E943" s="31" t="s">
        <v>680</v>
      </c>
      <c r="F943" s="32" t="s">
        <v>109</v>
      </c>
    </row>
    <row r="944" spans="1:6">
      <c r="A944" s="29">
        <v>68229</v>
      </c>
      <c r="B944" s="31" t="s">
        <v>1476</v>
      </c>
      <c r="C944" s="31" t="s">
        <v>145</v>
      </c>
      <c r="D944" s="31" t="s">
        <v>142</v>
      </c>
      <c r="E944" s="31" t="s">
        <v>680</v>
      </c>
      <c r="F944" s="32" t="s">
        <v>92</v>
      </c>
    </row>
    <row r="945" spans="1:6">
      <c r="A945" s="29">
        <v>68235</v>
      </c>
      <c r="B945" s="31" t="s">
        <v>1477</v>
      </c>
      <c r="C945" s="31" t="s">
        <v>145</v>
      </c>
      <c r="D945" s="31" t="s">
        <v>142</v>
      </c>
      <c r="E945" s="31" t="s">
        <v>680</v>
      </c>
      <c r="F945" s="32" t="s">
        <v>109</v>
      </c>
    </row>
    <row r="946" spans="1:6">
      <c r="A946" s="29">
        <v>68245</v>
      </c>
      <c r="B946" s="31" t="s">
        <v>1478</v>
      </c>
      <c r="C946" s="31" t="s">
        <v>145</v>
      </c>
      <c r="D946" s="31" t="s">
        <v>142</v>
      </c>
      <c r="E946" s="31" t="s">
        <v>680</v>
      </c>
      <c r="F946" s="32" t="s">
        <v>109</v>
      </c>
    </row>
    <row r="947" spans="1:6">
      <c r="A947" s="29">
        <v>68255</v>
      </c>
      <c r="B947" s="31" t="s">
        <v>229</v>
      </c>
      <c r="C947" s="31" t="s">
        <v>145</v>
      </c>
      <c r="D947" s="31" t="s">
        <v>142</v>
      </c>
      <c r="E947" s="31" t="s">
        <v>680</v>
      </c>
      <c r="F947" s="32" t="s">
        <v>92</v>
      </c>
    </row>
    <row r="948" spans="1:6">
      <c r="A948" s="29">
        <v>68264</v>
      </c>
      <c r="B948" s="31" t="s">
        <v>1479</v>
      </c>
      <c r="C948" s="31" t="s">
        <v>145</v>
      </c>
      <c r="D948" s="31" t="s">
        <v>142</v>
      </c>
      <c r="E948" s="31" t="s">
        <v>680</v>
      </c>
      <c r="F948" s="32" t="s">
        <v>109</v>
      </c>
    </row>
    <row r="949" spans="1:6">
      <c r="A949" s="29">
        <v>68266</v>
      </c>
      <c r="B949" s="31" t="s">
        <v>1480</v>
      </c>
      <c r="C949" s="31" t="s">
        <v>145</v>
      </c>
      <c r="D949" s="31" t="s">
        <v>142</v>
      </c>
      <c r="E949" s="31" t="s">
        <v>680</v>
      </c>
      <c r="F949" s="32" t="s">
        <v>109</v>
      </c>
    </row>
    <row r="950" spans="1:6">
      <c r="A950" s="29">
        <v>68271</v>
      </c>
      <c r="B950" s="31" t="s">
        <v>1481</v>
      </c>
      <c r="C950" s="31" t="s">
        <v>145</v>
      </c>
      <c r="D950" s="31" t="s">
        <v>182</v>
      </c>
      <c r="E950" s="31" t="s">
        <v>680</v>
      </c>
      <c r="F950" s="32" t="s">
        <v>109</v>
      </c>
    </row>
    <row r="951" spans="1:6">
      <c r="A951" s="29">
        <v>68276</v>
      </c>
      <c r="B951" s="31" t="s">
        <v>1482</v>
      </c>
      <c r="C951" s="31" t="s">
        <v>145</v>
      </c>
      <c r="D951" s="31" t="s">
        <v>142</v>
      </c>
      <c r="E951" s="31" t="s">
        <v>680</v>
      </c>
      <c r="F951" s="32" t="s">
        <v>119</v>
      </c>
    </row>
    <row r="952" spans="1:6">
      <c r="A952" s="29">
        <v>68296</v>
      </c>
      <c r="B952" s="31" t="s">
        <v>1483</v>
      </c>
      <c r="C952" s="31" t="s">
        <v>145</v>
      </c>
      <c r="D952" s="31" t="s">
        <v>142</v>
      </c>
      <c r="E952" s="31" t="s">
        <v>680</v>
      </c>
      <c r="F952" s="32" t="s">
        <v>181</v>
      </c>
    </row>
    <row r="953" spans="1:6">
      <c r="A953" s="29">
        <v>68298</v>
      </c>
      <c r="B953" s="31" t="s">
        <v>1484</v>
      </c>
      <c r="C953" s="31" t="s">
        <v>145</v>
      </c>
      <c r="D953" s="31" t="s">
        <v>142</v>
      </c>
      <c r="E953" s="31" t="s">
        <v>680</v>
      </c>
      <c r="F953" s="32" t="s">
        <v>109</v>
      </c>
    </row>
    <row r="954" spans="1:6">
      <c r="A954" s="29">
        <v>68307</v>
      </c>
      <c r="B954" s="31" t="s">
        <v>1485</v>
      </c>
      <c r="C954" s="31" t="s">
        <v>145</v>
      </c>
      <c r="D954" s="31" t="s">
        <v>142</v>
      </c>
      <c r="E954" s="31" t="s">
        <v>680</v>
      </c>
      <c r="F954" s="32" t="s">
        <v>119</v>
      </c>
    </row>
    <row r="955" spans="1:6">
      <c r="A955" s="29">
        <v>68318</v>
      </c>
      <c r="B955" s="31" t="s">
        <v>1486</v>
      </c>
      <c r="C955" s="31" t="s">
        <v>145</v>
      </c>
      <c r="D955" s="31" t="s">
        <v>142</v>
      </c>
      <c r="E955" s="31" t="s">
        <v>680</v>
      </c>
      <c r="F955" s="32" t="s">
        <v>181</v>
      </c>
    </row>
    <row r="956" spans="1:6">
      <c r="A956" s="29">
        <v>68322</v>
      </c>
      <c r="B956" s="31" t="s">
        <v>1487</v>
      </c>
      <c r="C956" s="31" t="s">
        <v>145</v>
      </c>
      <c r="D956" s="31" t="s">
        <v>142</v>
      </c>
      <c r="E956" s="31" t="s">
        <v>680</v>
      </c>
      <c r="F956" s="32" t="s">
        <v>109</v>
      </c>
    </row>
    <row r="957" spans="1:6">
      <c r="A957" s="29">
        <v>68324</v>
      </c>
      <c r="B957" s="31" t="s">
        <v>1488</v>
      </c>
      <c r="C957" s="31" t="s">
        <v>145</v>
      </c>
      <c r="D957" s="31" t="s">
        <v>142</v>
      </c>
      <c r="E957" s="31" t="s">
        <v>680</v>
      </c>
      <c r="F957" s="32" t="s">
        <v>109</v>
      </c>
    </row>
    <row r="958" spans="1:6">
      <c r="A958" s="29">
        <v>68327</v>
      </c>
      <c r="B958" s="31" t="s">
        <v>1489</v>
      </c>
      <c r="C958" s="31" t="s">
        <v>145</v>
      </c>
      <c r="D958" s="31" t="s">
        <v>142</v>
      </c>
      <c r="E958" s="31" t="s">
        <v>680</v>
      </c>
      <c r="F958" s="32" t="s">
        <v>181</v>
      </c>
    </row>
    <row r="959" spans="1:6">
      <c r="A959" s="29">
        <v>68344</v>
      </c>
      <c r="B959" s="31" t="s">
        <v>1490</v>
      </c>
      <c r="C959" s="31" t="s">
        <v>145</v>
      </c>
      <c r="D959" s="31" t="s">
        <v>142</v>
      </c>
      <c r="E959" s="31" t="s">
        <v>680</v>
      </c>
      <c r="F959" s="32" t="s">
        <v>181</v>
      </c>
    </row>
    <row r="960" spans="1:6">
      <c r="A960" s="29">
        <v>68368</v>
      </c>
      <c r="B960" s="31" t="s">
        <v>1491</v>
      </c>
      <c r="C960" s="31" t="s">
        <v>145</v>
      </c>
      <c r="D960" s="31" t="s">
        <v>182</v>
      </c>
      <c r="E960" s="31" t="s">
        <v>680</v>
      </c>
      <c r="F960" s="32" t="s">
        <v>109</v>
      </c>
    </row>
    <row r="961" spans="1:6">
      <c r="A961" s="29">
        <v>68370</v>
      </c>
      <c r="B961" s="31" t="s">
        <v>1492</v>
      </c>
      <c r="C961" s="31" t="s">
        <v>145</v>
      </c>
      <c r="D961" s="31" t="s">
        <v>142</v>
      </c>
      <c r="E961" s="31" t="s">
        <v>680</v>
      </c>
      <c r="F961" s="32" t="s">
        <v>181</v>
      </c>
    </row>
    <row r="962" spans="1:6">
      <c r="A962" s="29">
        <v>68377</v>
      </c>
      <c r="B962" s="31" t="s">
        <v>1493</v>
      </c>
      <c r="C962" s="31" t="s">
        <v>145</v>
      </c>
      <c r="D962" s="31" t="s">
        <v>182</v>
      </c>
      <c r="E962" s="31" t="s">
        <v>680</v>
      </c>
      <c r="F962" s="32" t="s">
        <v>109</v>
      </c>
    </row>
    <row r="963" spans="1:6">
      <c r="A963" s="29">
        <v>68385</v>
      </c>
      <c r="B963" s="31" t="s">
        <v>1494</v>
      </c>
      <c r="C963" s="31" t="s">
        <v>145</v>
      </c>
      <c r="D963" s="31" t="s">
        <v>182</v>
      </c>
      <c r="E963" s="31" t="s">
        <v>680</v>
      </c>
      <c r="F963" s="32" t="s">
        <v>181</v>
      </c>
    </row>
    <row r="964" spans="1:6">
      <c r="A964" s="29">
        <v>68406</v>
      </c>
      <c r="B964" s="31" t="s">
        <v>1495</v>
      </c>
      <c r="C964" s="31" t="s">
        <v>145</v>
      </c>
      <c r="D964" s="31" t="s">
        <v>142</v>
      </c>
      <c r="E964" s="31" t="s">
        <v>680</v>
      </c>
      <c r="F964" s="32" t="s">
        <v>92</v>
      </c>
    </row>
    <row r="965" spans="1:6">
      <c r="A965" s="29">
        <v>68418</v>
      </c>
      <c r="B965" s="31" t="s">
        <v>1496</v>
      </c>
      <c r="C965" s="31" t="s">
        <v>145</v>
      </c>
      <c r="D965" s="31" t="s">
        <v>142</v>
      </c>
      <c r="E965" s="31" t="s">
        <v>680</v>
      </c>
      <c r="F965" s="32" t="s">
        <v>92</v>
      </c>
    </row>
    <row r="966" spans="1:6">
      <c r="A966" s="29">
        <v>68425</v>
      </c>
      <c r="B966" s="31" t="s">
        <v>1497</v>
      </c>
      <c r="C966" s="31" t="s">
        <v>145</v>
      </c>
      <c r="D966" s="31" t="s">
        <v>142</v>
      </c>
      <c r="E966" s="31" t="s">
        <v>680</v>
      </c>
      <c r="F966" s="32" t="s">
        <v>109</v>
      </c>
    </row>
    <row r="967" spans="1:6">
      <c r="A967" s="29">
        <v>68432</v>
      </c>
      <c r="B967" s="31" t="s">
        <v>1498</v>
      </c>
      <c r="C967" s="31" t="s">
        <v>145</v>
      </c>
      <c r="D967" s="31" t="s">
        <v>142</v>
      </c>
      <c r="E967" s="31" t="s">
        <v>680</v>
      </c>
      <c r="F967" s="32" t="s">
        <v>109</v>
      </c>
    </row>
    <row r="968" spans="1:6">
      <c r="A968" s="29">
        <v>68444</v>
      </c>
      <c r="B968" s="31" t="s">
        <v>1499</v>
      </c>
      <c r="C968" s="31" t="s">
        <v>145</v>
      </c>
      <c r="D968" s="31" t="s">
        <v>142</v>
      </c>
      <c r="E968" s="31" t="s">
        <v>680</v>
      </c>
      <c r="F968" s="32" t="s">
        <v>181</v>
      </c>
    </row>
    <row r="969" spans="1:6">
      <c r="A969" s="29">
        <v>68464</v>
      </c>
      <c r="B969" s="31" t="s">
        <v>1500</v>
      </c>
      <c r="C969" s="31" t="s">
        <v>145</v>
      </c>
      <c r="D969" s="31" t="s">
        <v>142</v>
      </c>
      <c r="E969" s="31" t="s">
        <v>680</v>
      </c>
      <c r="F969" s="32" t="s">
        <v>181</v>
      </c>
    </row>
    <row r="970" spans="1:6">
      <c r="A970" s="29">
        <v>68468</v>
      </c>
      <c r="B970" s="31" t="s">
        <v>1501</v>
      </c>
      <c r="C970" s="31" t="s">
        <v>145</v>
      </c>
      <c r="D970" s="31" t="s">
        <v>142</v>
      </c>
      <c r="E970" s="31" t="s">
        <v>680</v>
      </c>
      <c r="F970" s="32" t="s">
        <v>109</v>
      </c>
    </row>
    <row r="971" spans="1:6">
      <c r="A971" s="29">
        <v>68498</v>
      </c>
      <c r="B971" s="31" t="s">
        <v>1502</v>
      </c>
      <c r="C971" s="31" t="s">
        <v>145</v>
      </c>
      <c r="D971" s="31" t="s">
        <v>142</v>
      </c>
      <c r="E971" s="31" t="s">
        <v>680</v>
      </c>
      <c r="F971" s="32" t="s">
        <v>109</v>
      </c>
    </row>
    <row r="972" spans="1:6">
      <c r="A972" s="29">
        <v>68500</v>
      </c>
      <c r="B972" s="31" t="s">
        <v>1503</v>
      </c>
      <c r="C972" s="31" t="s">
        <v>145</v>
      </c>
      <c r="D972" s="31" t="s">
        <v>142</v>
      </c>
      <c r="E972" s="31" t="s">
        <v>680</v>
      </c>
      <c r="F972" s="32" t="s">
        <v>181</v>
      </c>
    </row>
    <row r="973" spans="1:6">
      <c r="A973" s="29">
        <v>68502</v>
      </c>
      <c r="B973" s="31" t="s">
        <v>1504</v>
      </c>
      <c r="C973" s="31" t="s">
        <v>145</v>
      </c>
      <c r="D973" s="31" t="s">
        <v>142</v>
      </c>
      <c r="E973" s="31" t="s">
        <v>680</v>
      </c>
      <c r="F973" s="32" t="s">
        <v>109</v>
      </c>
    </row>
    <row r="974" spans="1:6">
      <c r="A974" s="29">
        <v>68522</v>
      </c>
      <c r="B974" s="31" t="s">
        <v>1505</v>
      </c>
      <c r="C974" s="31" t="s">
        <v>145</v>
      </c>
      <c r="D974" s="31" t="s">
        <v>142</v>
      </c>
      <c r="E974" s="31" t="s">
        <v>680</v>
      </c>
      <c r="F974" s="32" t="s">
        <v>181</v>
      </c>
    </row>
    <row r="975" spans="1:6">
      <c r="A975" s="29">
        <v>68524</v>
      </c>
      <c r="B975" s="31" t="s">
        <v>1506</v>
      </c>
      <c r="C975" s="31" t="s">
        <v>145</v>
      </c>
      <c r="D975" s="31" t="s">
        <v>142</v>
      </c>
      <c r="E975" s="31" t="s">
        <v>680</v>
      </c>
      <c r="F975" s="32" t="s">
        <v>181</v>
      </c>
    </row>
    <row r="976" spans="1:6">
      <c r="A976" s="29">
        <v>68533</v>
      </c>
      <c r="B976" s="31" t="s">
        <v>1507</v>
      </c>
      <c r="C976" s="31" t="s">
        <v>145</v>
      </c>
      <c r="D976" s="31" t="s">
        <v>142</v>
      </c>
      <c r="E976" s="31" t="s">
        <v>680</v>
      </c>
      <c r="F976" s="32" t="s">
        <v>181</v>
      </c>
    </row>
    <row r="977" spans="1:6">
      <c r="A977" s="29">
        <v>68547</v>
      </c>
      <c r="B977" s="31" t="s">
        <v>1508</v>
      </c>
      <c r="C977" s="31" t="s">
        <v>145</v>
      </c>
      <c r="D977" s="31" t="s">
        <v>142</v>
      </c>
      <c r="E977" s="31" t="s">
        <v>680</v>
      </c>
      <c r="F977" s="32" t="s">
        <v>92</v>
      </c>
    </row>
    <row r="978" spans="1:6">
      <c r="A978" s="29">
        <v>68549</v>
      </c>
      <c r="B978" s="31" t="s">
        <v>1509</v>
      </c>
      <c r="C978" s="31" t="s">
        <v>145</v>
      </c>
      <c r="D978" s="31" t="s">
        <v>142</v>
      </c>
      <c r="E978" s="31" t="s">
        <v>680</v>
      </c>
      <c r="F978" s="32" t="s">
        <v>181</v>
      </c>
    </row>
    <row r="979" spans="1:6">
      <c r="A979" s="29">
        <v>68572</v>
      </c>
      <c r="B979" s="31" t="s">
        <v>1510</v>
      </c>
      <c r="C979" s="31" t="s">
        <v>145</v>
      </c>
      <c r="D979" s="31" t="s">
        <v>182</v>
      </c>
      <c r="E979" s="31" t="s">
        <v>680</v>
      </c>
      <c r="F979" s="32" t="s">
        <v>92</v>
      </c>
    </row>
    <row r="980" spans="1:6">
      <c r="A980" s="29">
        <v>68573</v>
      </c>
      <c r="B980" s="31" t="s">
        <v>1511</v>
      </c>
      <c r="C980" s="31" t="s">
        <v>145</v>
      </c>
      <c r="D980" s="31" t="s">
        <v>142</v>
      </c>
      <c r="E980" s="31" t="s">
        <v>680</v>
      </c>
      <c r="F980" s="32" t="s">
        <v>181</v>
      </c>
    </row>
    <row r="981" spans="1:6">
      <c r="A981" s="29">
        <v>68575</v>
      </c>
      <c r="B981" s="31" t="s">
        <v>1512</v>
      </c>
      <c r="C981" s="31" t="s">
        <v>145</v>
      </c>
      <c r="D981" s="31" t="s">
        <v>142</v>
      </c>
      <c r="E981" s="31" t="s">
        <v>680</v>
      </c>
      <c r="F981" s="32" t="s">
        <v>109</v>
      </c>
    </row>
    <row r="982" spans="1:6">
      <c r="A982" s="29">
        <v>68655</v>
      </c>
      <c r="B982" s="31" t="s">
        <v>1513</v>
      </c>
      <c r="C982" s="31" t="s">
        <v>145</v>
      </c>
      <c r="D982" s="31" t="s">
        <v>142</v>
      </c>
      <c r="E982" s="31" t="s">
        <v>680</v>
      </c>
      <c r="F982" s="32" t="s">
        <v>181</v>
      </c>
    </row>
    <row r="983" spans="1:6">
      <c r="A983" s="29">
        <v>68673</v>
      </c>
      <c r="B983" s="31" t="s">
        <v>1514</v>
      </c>
      <c r="C983" s="31" t="s">
        <v>145</v>
      </c>
      <c r="D983" s="31" t="s">
        <v>142</v>
      </c>
      <c r="E983" s="31" t="s">
        <v>680</v>
      </c>
      <c r="F983" s="32" t="s">
        <v>109</v>
      </c>
    </row>
    <row r="984" spans="1:6">
      <c r="A984" s="29">
        <v>68679</v>
      </c>
      <c r="B984" s="31" t="s">
        <v>1515</v>
      </c>
      <c r="C984" s="31" t="s">
        <v>145</v>
      </c>
      <c r="D984" s="31" t="s">
        <v>142</v>
      </c>
      <c r="E984" s="31" t="s">
        <v>680</v>
      </c>
      <c r="F984" s="32" t="s">
        <v>92</v>
      </c>
    </row>
    <row r="985" spans="1:6">
      <c r="A985" s="29">
        <v>68682</v>
      </c>
      <c r="B985" s="31" t="s">
        <v>1516</v>
      </c>
      <c r="C985" s="31" t="s">
        <v>145</v>
      </c>
      <c r="D985" s="31" t="s">
        <v>142</v>
      </c>
      <c r="E985" s="31" t="s">
        <v>680</v>
      </c>
      <c r="F985" s="32" t="s">
        <v>109</v>
      </c>
    </row>
    <row r="986" spans="1:6">
      <c r="A986" s="29">
        <v>68684</v>
      </c>
      <c r="B986" s="31" t="s">
        <v>1517</v>
      </c>
      <c r="C986" s="31" t="s">
        <v>145</v>
      </c>
      <c r="D986" s="31" t="s">
        <v>142</v>
      </c>
      <c r="E986" s="31" t="s">
        <v>680</v>
      </c>
      <c r="F986" s="32" t="s">
        <v>109</v>
      </c>
    </row>
    <row r="987" spans="1:6">
      <c r="A987" s="29">
        <v>68689</v>
      </c>
      <c r="B987" s="31" t="s">
        <v>1518</v>
      </c>
      <c r="C987" s="31" t="s">
        <v>145</v>
      </c>
      <c r="D987" s="31" t="s">
        <v>142</v>
      </c>
      <c r="E987" s="31" t="s">
        <v>680</v>
      </c>
      <c r="F987" s="32" t="s">
        <v>181</v>
      </c>
    </row>
    <row r="988" spans="1:6">
      <c r="A988" s="29">
        <v>68720</v>
      </c>
      <c r="B988" s="31" t="s">
        <v>1519</v>
      </c>
      <c r="C988" s="31" t="s">
        <v>145</v>
      </c>
      <c r="D988" s="31" t="s">
        <v>142</v>
      </c>
      <c r="E988" s="31" t="s">
        <v>680</v>
      </c>
      <c r="F988" s="32" t="s">
        <v>109</v>
      </c>
    </row>
    <row r="989" spans="1:6">
      <c r="A989" s="29">
        <v>68745</v>
      </c>
      <c r="B989" s="31" t="s">
        <v>1520</v>
      </c>
      <c r="C989" s="31" t="s">
        <v>145</v>
      </c>
      <c r="D989" s="31" t="s">
        <v>142</v>
      </c>
      <c r="E989" s="31" t="s">
        <v>680</v>
      </c>
      <c r="F989" s="32" t="s">
        <v>181</v>
      </c>
    </row>
    <row r="990" spans="1:6">
      <c r="A990" s="29">
        <v>68755</v>
      </c>
      <c r="B990" s="31" t="s">
        <v>1521</v>
      </c>
      <c r="C990" s="31" t="s">
        <v>145</v>
      </c>
      <c r="D990" s="31" t="s">
        <v>142</v>
      </c>
      <c r="E990" s="31" t="s">
        <v>680</v>
      </c>
      <c r="F990" s="32" t="s">
        <v>181</v>
      </c>
    </row>
    <row r="991" spans="1:6">
      <c r="A991" s="29">
        <v>68770</v>
      </c>
      <c r="B991" s="31" t="s">
        <v>1522</v>
      </c>
      <c r="C991" s="31" t="s">
        <v>145</v>
      </c>
      <c r="D991" s="31" t="s">
        <v>142</v>
      </c>
      <c r="E991" s="31" t="s">
        <v>680</v>
      </c>
      <c r="F991" s="32" t="s">
        <v>181</v>
      </c>
    </row>
    <row r="992" spans="1:6">
      <c r="A992" s="29">
        <v>68780</v>
      </c>
      <c r="B992" s="31" t="s">
        <v>1523</v>
      </c>
      <c r="C992" s="31" t="s">
        <v>145</v>
      </c>
      <c r="D992" s="31" t="s">
        <v>142</v>
      </c>
      <c r="E992" s="31" t="s">
        <v>680</v>
      </c>
      <c r="F992" s="32" t="s">
        <v>181</v>
      </c>
    </row>
    <row r="993" spans="1:6">
      <c r="A993" s="29">
        <v>68820</v>
      </c>
      <c r="B993" s="31" t="s">
        <v>1524</v>
      </c>
      <c r="C993" s="31" t="s">
        <v>145</v>
      </c>
      <c r="D993" s="31" t="s">
        <v>142</v>
      </c>
      <c r="E993" s="31" t="s">
        <v>680</v>
      </c>
      <c r="F993" s="32" t="s">
        <v>92</v>
      </c>
    </row>
    <row r="994" spans="1:6">
      <c r="A994" s="29">
        <v>68855</v>
      </c>
      <c r="B994" s="31" t="s">
        <v>1525</v>
      </c>
      <c r="C994" s="31" t="s">
        <v>145</v>
      </c>
      <c r="D994" s="31" t="s">
        <v>142</v>
      </c>
      <c r="E994" s="31" t="s">
        <v>680</v>
      </c>
      <c r="F994" s="32" t="s">
        <v>181</v>
      </c>
    </row>
    <row r="995" spans="1:6">
      <c r="A995" s="29">
        <v>68861</v>
      </c>
      <c r="B995" s="31" t="s">
        <v>1526</v>
      </c>
      <c r="C995" s="31" t="s">
        <v>145</v>
      </c>
      <c r="D995" s="31" t="s">
        <v>182</v>
      </c>
      <c r="E995" s="31" t="s">
        <v>680</v>
      </c>
      <c r="F995" s="32" t="s">
        <v>92</v>
      </c>
    </row>
    <row r="996" spans="1:6">
      <c r="A996" s="29">
        <v>68867</v>
      </c>
      <c r="B996" s="31" t="s">
        <v>1527</v>
      </c>
      <c r="C996" s="31" t="s">
        <v>145</v>
      </c>
      <c r="D996" s="31" t="s">
        <v>258</v>
      </c>
      <c r="E996" s="31" t="s">
        <v>680</v>
      </c>
      <c r="F996" s="32" t="s">
        <v>109</v>
      </c>
    </row>
    <row r="997" spans="1:6">
      <c r="A997" s="29">
        <v>68895</v>
      </c>
      <c r="B997" s="31" t="s">
        <v>1528</v>
      </c>
      <c r="C997" s="31" t="s">
        <v>145</v>
      </c>
      <c r="D997" s="31" t="s">
        <v>142</v>
      </c>
      <c r="E997" s="31" t="s">
        <v>680</v>
      </c>
      <c r="F997" s="32" t="s">
        <v>181</v>
      </c>
    </row>
    <row r="998" spans="1:6">
      <c r="A998" s="29">
        <v>70110</v>
      </c>
      <c r="B998" s="30" t="s">
        <v>864</v>
      </c>
      <c r="C998" s="31" t="s">
        <v>1036</v>
      </c>
      <c r="D998" s="31" t="s">
        <v>1529</v>
      </c>
      <c r="E998" s="31" t="s">
        <v>680</v>
      </c>
      <c r="F998" s="32" t="s">
        <v>92</v>
      </c>
    </row>
    <row r="999" spans="1:6">
      <c r="A999" s="29">
        <v>70400</v>
      </c>
      <c r="B999" s="30" t="s">
        <v>687</v>
      </c>
      <c r="C999" s="31" t="s">
        <v>1036</v>
      </c>
      <c r="D999" s="31" t="s">
        <v>1529</v>
      </c>
      <c r="E999" s="31" t="s">
        <v>680</v>
      </c>
      <c r="F999" s="32" t="s">
        <v>92</v>
      </c>
    </row>
    <row r="1000" spans="1:6">
      <c r="A1000" s="29">
        <v>70717</v>
      </c>
      <c r="B1000" s="30" t="s">
        <v>1530</v>
      </c>
      <c r="C1000" s="31" t="s">
        <v>1036</v>
      </c>
      <c r="D1000" s="31" t="s">
        <v>1529</v>
      </c>
      <c r="E1000" s="31" t="s">
        <v>680</v>
      </c>
      <c r="F1000" s="32" t="s">
        <v>92</v>
      </c>
    </row>
    <row r="1001" spans="1:6">
      <c r="A1001" s="29">
        <v>70771</v>
      </c>
      <c r="B1001" s="30" t="s">
        <v>1036</v>
      </c>
      <c r="C1001" s="31" t="s">
        <v>1036</v>
      </c>
      <c r="D1001" s="31" t="s">
        <v>1529</v>
      </c>
      <c r="E1001" s="31" t="s">
        <v>680</v>
      </c>
      <c r="F1001" s="32" t="s">
        <v>126</v>
      </c>
    </row>
    <row r="1002" spans="1:6">
      <c r="A1002" s="29">
        <v>70124</v>
      </c>
      <c r="B1002" s="31" t="s">
        <v>1531</v>
      </c>
      <c r="C1002" s="31" t="s">
        <v>1036</v>
      </c>
      <c r="D1002" s="31" t="s">
        <v>1529</v>
      </c>
      <c r="E1002" s="31" t="s">
        <v>680</v>
      </c>
      <c r="F1002" s="32" t="s">
        <v>109</v>
      </c>
    </row>
    <row r="1003" spans="1:6">
      <c r="A1003" s="29">
        <v>70230</v>
      </c>
      <c r="B1003" s="31" t="s">
        <v>1532</v>
      </c>
      <c r="C1003" s="31" t="s">
        <v>1036</v>
      </c>
      <c r="D1003" s="31" t="s">
        <v>1529</v>
      </c>
      <c r="E1003" s="31" t="s">
        <v>680</v>
      </c>
      <c r="F1003" s="32" t="s">
        <v>181</v>
      </c>
    </row>
    <row r="1004" spans="1:6">
      <c r="A1004" s="29">
        <v>70204</v>
      </c>
      <c r="B1004" s="31" t="s">
        <v>1533</v>
      </c>
      <c r="C1004" s="31" t="s">
        <v>1036</v>
      </c>
      <c r="D1004" s="31" t="s">
        <v>1529</v>
      </c>
      <c r="E1004" s="31" t="s">
        <v>680</v>
      </c>
      <c r="F1004" s="32" t="s">
        <v>181</v>
      </c>
    </row>
    <row r="1005" spans="1:6">
      <c r="A1005" s="29">
        <v>70215</v>
      </c>
      <c r="B1005" s="31" t="s">
        <v>1534</v>
      </c>
      <c r="C1005" s="31" t="s">
        <v>1036</v>
      </c>
      <c r="D1005" s="31" t="s">
        <v>1529</v>
      </c>
      <c r="E1005" s="31" t="s">
        <v>680</v>
      </c>
      <c r="F1005" s="32" t="s">
        <v>92</v>
      </c>
    </row>
    <row r="1006" spans="1:6">
      <c r="A1006" s="29">
        <v>70221</v>
      </c>
      <c r="B1006" s="31" t="s">
        <v>1535</v>
      </c>
      <c r="C1006" s="31" t="s">
        <v>1036</v>
      </c>
      <c r="D1006" s="31" t="s">
        <v>1529</v>
      </c>
      <c r="E1006" s="31" t="s">
        <v>680</v>
      </c>
      <c r="F1006" s="32" t="s">
        <v>92</v>
      </c>
    </row>
    <row r="1007" spans="1:6">
      <c r="A1007" s="29">
        <v>70233</v>
      </c>
      <c r="B1007" s="31" t="s">
        <v>1536</v>
      </c>
      <c r="C1007" s="31" t="s">
        <v>1036</v>
      </c>
      <c r="D1007" s="31" t="s">
        <v>1529</v>
      </c>
      <c r="E1007" s="31" t="s">
        <v>680</v>
      </c>
      <c r="F1007" s="32" t="s">
        <v>92</v>
      </c>
    </row>
    <row r="1008" spans="1:6">
      <c r="A1008" s="29">
        <v>70235</v>
      </c>
      <c r="B1008" s="31" t="s">
        <v>1537</v>
      </c>
      <c r="C1008" s="31" t="s">
        <v>1036</v>
      </c>
      <c r="D1008" s="31" t="s">
        <v>1529</v>
      </c>
      <c r="E1008" s="31" t="s">
        <v>680</v>
      </c>
      <c r="F1008" s="32" t="s">
        <v>92</v>
      </c>
    </row>
    <row r="1009" spans="1:6">
      <c r="A1009" s="29">
        <v>70265</v>
      </c>
      <c r="B1009" s="31" t="s">
        <v>1538</v>
      </c>
      <c r="C1009" s="31" t="s">
        <v>1036</v>
      </c>
      <c r="D1009" s="31" t="s">
        <v>1529</v>
      </c>
      <c r="E1009" s="31" t="s">
        <v>680</v>
      </c>
      <c r="F1009" s="32" t="s">
        <v>109</v>
      </c>
    </row>
    <row r="1010" spans="1:6">
      <c r="A1010" s="29">
        <v>70418</v>
      </c>
      <c r="B1010" s="31" t="s">
        <v>1539</v>
      </c>
      <c r="C1010" s="31" t="s">
        <v>1036</v>
      </c>
      <c r="D1010" s="31" t="s">
        <v>1529</v>
      </c>
      <c r="E1010" s="31" t="s">
        <v>680</v>
      </c>
      <c r="F1010" s="32" t="s">
        <v>92</v>
      </c>
    </row>
    <row r="1011" spans="1:6">
      <c r="A1011" s="29">
        <v>70429</v>
      </c>
      <c r="B1011" s="31" t="s">
        <v>1540</v>
      </c>
      <c r="C1011" s="31" t="s">
        <v>1036</v>
      </c>
      <c r="D1011" s="31" t="s">
        <v>1529</v>
      </c>
      <c r="E1011" s="31" t="s">
        <v>752</v>
      </c>
      <c r="F1011" s="32" t="s">
        <v>109</v>
      </c>
    </row>
    <row r="1012" spans="1:6">
      <c r="A1012" s="29">
        <v>70473</v>
      </c>
      <c r="B1012" s="31" t="s">
        <v>1541</v>
      </c>
      <c r="C1012" s="31" t="s">
        <v>1036</v>
      </c>
      <c r="D1012" s="31" t="s">
        <v>1529</v>
      </c>
      <c r="E1012" s="31" t="s">
        <v>680</v>
      </c>
      <c r="F1012" s="32" t="s">
        <v>92</v>
      </c>
    </row>
    <row r="1013" spans="1:6">
      <c r="A1013" s="29">
        <v>70508</v>
      </c>
      <c r="B1013" s="31" t="s">
        <v>1542</v>
      </c>
      <c r="C1013" s="31" t="s">
        <v>1036</v>
      </c>
      <c r="D1013" s="31" t="s">
        <v>1529</v>
      </c>
      <c r="E1013" s="31" t="s">
        <v>680</v>
      </c>
      <c r="F1013" s="32" t="s">
        <v>92</v>
      </c>
    </row>
    <row r="1014" spans="1:6">
      <c r="A1014" s="29">
        <v>70523</v>
      </c>
      <c r="B1014" s="31" t="s">
        <v>1543</v>
      </c>
      <c r="C1014" s="31" t="s">
        <v>1036</v>
      </c>
      <c r="D1014" s="31" t="s">
        <v>1529</v>
      </c>
      <c r="E1014" s="31" t="s">
        <v>680</v>
      </c>
      <c r="F1014" s="32" t="s">
        <v>92</v>
      </c>
    </row>
    <row r="1015" spans="1:6">
      <c r="A1015" s="29">
        <v>70670</v>
      </c>
      <c r="B1015" s="31" t="s">
        <v>1544</v>
      </c>
      <c r="C1015" s="31" t="s">
        <v>1036</v>
      </c>
      <c r="D1015" s="31" t="s">
        <v>1529</v>
      </c>
      <c r="E1015" s="31" t="s">
        <v>680</v>
      </c>
      <c r="F1015" s="32" t="s">
        <v>92</v>
      </c>
    </row>
    <row r="1016" spans="1:6">
      <c r="A1016" s="29">
        <v>70678</v>
      </c>
      <c r="B1016" s="31" t="s">
        <v>1545</v>
      </c>
      <c r="C1016" s="31" t="s">
        <v>1036</v>
      </c>
      <c r="D1016" s="31" t="s">
        <v>1529</v>
      </c>
      <c r="E1016" s="31" t="s">
        <v>680</v>
      </c>
      <c r="F1016" s="32" t="s">
        <v>92</v>
      </c>
    </row>
    <row r="1017" spans="1:6">
      <c r="A1017" s="29">
        <v>70702</v>
      </c>
      <c r="B1017" s="31" t="s">
        <v>1546</v>
      </c>
      <c r="C1017" s="31" t="s">
        <v>1036</v>
      </c>
      <c r="D1017" s="31" t="s">
        <v>1529</v>
      </c>
      <c r="E1017" s="31" t="s">
        <v>680</v>
      </c>
      <c r="F1017" s="32" t="s">
        <v>92</v>
      </c>
    </row>
    <row r="1018" spans="1:6">
      <c r="A1018" s="29">
        <v>70742</v>
      </c>
      <c r="B1018" s="31" t="s">
        <v>1547</v>
      </c>
      <c r="C1018" s="31" t="s">
        <v>1036</v>
      </c>
      <c r="D1018" s="31" t="s">
        <v>1529</v>
      </c>
      <c r="E1018" s="31" t="s">
        <v>680</v>
      </c>
      <c r="F1018" s="32" t="s">
        <v>92</v>
      </c>
    </row>
    <row r="1019" spans="1:6">
      <c r="A1019" s="29">
        <v>70708</v>
      </c>
      <c r="B1019" s="31" t="s">
        <v>1548</v>
      </c>
      <c r="C1019" s="31" t="s">
        <v>1036</v>
      </c>
      <c r="D1019" s="31" t="s">
        <v>1529</v>
      </c>
      <c r="E1019" s="31" t="s">
        <v>680</v>
      </c>
      <c r="F1019" s="32" t="s">
        <v>181</v>
      </c>
    </row>
    <row r="1020" spans="1:6">
      <c r="A1020" s="29">
        <v>70713</v>
      </c>
      <c r="B1020" s="31" t="s">
        <v>1549</v>
      </c>
      <c r="C1020" s="31" t="s">
        <v>1036</v>
      </c>
      <c r="D1020" s="31" t="s">
        <v>1529</v>
      </c>
      <c r="E1020" s="31" t="s">
        <v>680</v>
      </c>
      <c r="F1020" s="32" t="s">
        <v>92</v>
      </c>
    </row>
    <row r="1021" spans="1:6">
      <c r="A1021" s="29">
        <v>70820</v>
      </c>
      <c r="B1021" s="31" t="s">
        <v>1550</v>
      </c>
      <c r="C1021" s="31" t="s">
        <v>1036</v>
      </c>
      <c r="D1021" s="31" t="s">
        <v>1529</v>
      </c>
      <c r="E1021" s="31" t="s">
        <v>680</v>
      </c>
      <c r="F1021" s="32" t="s">
        <v>92</v>
      </c>
    </row>
    <row r="1022" spans="1:6">
      <c r="A1022" s="29">
        <v>70001</v>
      </c>
      <c r="B1022" s="31" t="s">
        <v>1529</v>
      </c>
      <c r="C1022" s="31" t="s">
        <v>1036</v>
      </c>
      <c r="D1022" s="31" t="s">
        <v>1529</v>
      </c>
      <c r="E1022" s="31" t="s">
        <v>680</v>
      </c>
      <c r="F1022" s="32" t="s">
        <v>119</v>
      </c>
    </row>
    <row r="1023" spans="1:6">
      <c r="A1023" s="29">
        <v>70823</v>
      </c>
      <c r="B1023" s="31" t="s">
        <v>1551</v>
      </c>
      <c r="C1023" s="31" t="s">
        <v>1036</v>
      </c>
      <c r="D1023" s="31" t="s">
        <v>1529</v>
      </c>
      <c r="E1023" s="31" t="s">
        <v>680</v>
      </c>
      <c r="F1023" s="32" t="s">
        <v>92</v>
      </c>
    </row>
    <row r="1024" spans="1:6">
      <c r="A1024" s="29">
        <v>73678</v>
      </c>
      <c r="B1024" s="30" t="s">
        <v>692</v>
      </c>
      <c r="C1024" s="31" t="s">
        <v>380</v>
      </c>
      <c r="D1024" s="31" t="s">
        <v>377</v>
      </c>
      <c r="E1024" s="31" t="s">
        <v>680</v>
      </c>
      <c r="F1024" s="32" t="s">
        <v>92</v>
      </c>
    </row>
    <row r="1025" spans="1:6">
      <c r="A1025" s="29">
        <v>73770</v>
      </c>
      <c r="B1025" s="30" t="s">
        <v>1035</v>
      </c>
      <c r="C1025" s="31" t="s">
        <v>380</v>
      </c>
      <c r="D1025" s="31" t="s">
        <v>377</v>
      </c>
      <c r="E1025" s="31" t="s">
        <v>680</v>
      </c>
      <c r="F1025" s="32" t="s">
        <v>92</v>
      </c>
    </row>
    <row r="1026" spans="1:6">
      <c r="A1026" s="29">
        <v>73024</v>
      </c>
      <c r="B1026" s="31" t="s">
        <v>1552</v>
      </c>
      <c r="C1026" s="31" t="s">
        <v>380</v>
      </c>
      <c r="D1026" s="31" t="s">
        <v>377</v>
      </c>
      <c r="E1026" s="31" t="s">
        <v>680</v>
      </c>
      <c r="F1026" s="32" t="s">
        <v>109</v>
      </c>
    </row>
    <row r="1027" spans="1:6">
      <c r="A1027" s="29">
        <v>73026</v>
      </c>
      <c r="B1027" s="31" t="s">
        <v>1553</v>
      </c>
      <c r="C1027" s="31" t="s">
        <v>380</v>
      </c>
      <c r="D1027" s="31" t="s">
        <v>377</v>
      </c>
      <c r="E1027" s="31" t="s">
        <v>680</v>
      </c>
      <c r="F1027" s="32" t="s">
        <v>92</v>
      </c>
    </row>
    <row r="1028" spans="1:6">
      <c r="A1028" s="29">
        <v>73030</v>
      </c>
      <c r="B1028" s="31" t="s">
        <v>1554</v>
      </c>
      <c r="C1028" s="31" t="s">
        <v>380</v>
      </c>
      <c r="D1028" s="31" t="s">
        <v>377</v>
      </c>
      <c r="E1028" s="31" t="s">
        <v>680</v>
      </c>
      <c r="F1028" s="32" t="s">
        <v>92</v>
      </c>
    </row>
    <row r="1029" spans="1:6">
      <c r="A1029" s="29">
        <v>73043</v>
      </c>
      <c r="B1029" s="31" t="s">
        <v>1555</v>
      </c>
      <c r="C1029" s="31" t="s">
        <v>380</v>
      </c>
      <c r="D1029" s="31" t="s">
        <v>377</v>
      </c>
      <c r="E1029" s="31" t="s">
        <v>680</v>
      </c>
      <c r="F1029" s="32" t="s">
        <v>92</v>
      </c>
    </row>
    <row r="1030" spans="1:6">
      <c r="A1030" s="29">
        <v>73055</v>
      </c>
      <c r="B1030" s="31" t="s">
        <v>1556</v>
      </c>
      <c r="C1030" s="31" t="s">
        <v>380</v>
      </c>
      <c r="D1030" s="31" t="s">
        <v>377</v>
      </c>
      <c r="E1030" s="31" t="s">
        <v>680</v>
      </c>
      <c r="F1030" s="32" t="s">
        <v>92</v>
      </c>
    </row>
    <row r="1031" spans="1:6">
      <c r="A1031" s="29">
        <v>73067</v>
      </c>
      <c r="B1031" s="31" t="s">
        <v>1557</v>
      </c>
      <c r="C1031" s="31" t="s">
        <v>380</v>
      </c>
      <c r="D1031" s="31" t="s">
        <v>377</v>
      </c>
      <c r="E1031" s="31" t="s">
        <v>680</v>
      </c>
      <c r="F1031" s="32" t="s">
        <v>181</v>
      </c>
    </row>
    <row r="1032" spans="1:6">
      <c r="A1032" s="29">
        <v>73124</v>
      </c>
      <c r="B1032" s="31" t="s">
        <v>1558</v>
      </c>
      <c r="C1032" s="31" t="s">
        <v>380</v>
      </c>
      <c r="D1032" s="31" t="s">
        <v>377</v>
      </c>
      <c r="E1032" s="31" t="s">
        <v>680</v>
      </c>
      <c r="F1032" s="32" t="s">
        <v>92</v>
      </c>
    </row>
    <row r="1033" spans="1:6">
      <c r="A1033" s="29">
        <v>73148</v>
      </c>
      <c r="B1033" s="31" t="s">
        <v>1559</v>
      </c>
      <c r="C1033" s="31" t="s">
        <v>380</v>
      </c>
      <c r="D1033" s="31" t="s">
        <v>111</v>
      </c>
      <c r="E1033" s="31" t="s">
        <v>680</v>
      </c>
      <c r="F1033" s="32" t="s">
        <v>92</v>
      </c>
    </row>
    <row r="1034" spans="1:6">
      <c r="A1034" s="29">
        <v>73152</v>
      </c>
      <c r="B1034" s="31" t="s">
        <v>1560</v>
      </c>
      <c r="C1034" s="31" t="s">
        <v>380</v>
      </c>
      <c r="D1034" s="31" t="s">
        <v>377</v>
      </c>
      <c r="E1034" s="31" t="s">
        <v>680</v>
      </c>
      <c r="F1034" s="32" t="s">
        <v>181</v>
      </c>
    </row>
    <row r="1035" spans="1:6">
      <c r="A1035" s="29">
        <v>73168</v>
      </c>
      <c r="B1035" s="31" t="s">
        <v>1561</v>
      </c>
      <c r="C1035" s="31" t="s">
        <v>380</v>
      </c>
      <c r="D1035" s="31" t="s">
        <v>377</v>
      </c>
      <c r="E1035" s="31" t="s">
        <v>680</v>
      </c>
      <c r="F1035" s="32" t="s">
        <v>181</v>
      </c>
    </row>
    <row r="1036" spans="1:6">
      <c r="A1036" s="29">
        <v>73200</v>
      </c>
      <c r="B1036" s="31" t="s">
        <v>1562</v>
      </c>
      <c r="C1036" s="31" t="s">
        <v>380</v>
      </c>
      <c r="D1036" s="31" t="s">
        <v>377</v>
      </c>
      <c r="E1036" s="31" t="s">
        <v>680</v>
      </c>
      <c r="F1036" s="32" t="s">
        <v>92</v>
      </c>
    </row>
    <row r="1037" spans="1:6">
      <c r="A1037" s="29">
        <v>73217</v>
      </c>
      <c r="B1037" s="31" t="s">
        <v>1563</v>
      </c>
      <c r="C1037" s="31" t="s">
        <v>380</v>
      </c>
      <c r="D1037" s="31" t="s">
        <v>377</v>
      </c>
      <c r="E1037" s="31" t="s">
        <v>680</v>
      </c>
      <c r="F1037" s="32" t="s">
        <v>181</v>
      </c>
    </row>
    <row r="1038" spans="1:6">
      <c r="A1038" s="29">
        <v>73226</v>
      </c>
      <c r="B1038" s="31" t="s">
        <v>1564</v>
      </c>
      <c r="C1038" s="31" t="s">
        <v>380</v>
      </c>
      <c r="D1038" s="31" t="s">
        <v>377</v>
      </c>
      <c r="E1038" s="31" t="s">
        <v>680</v>
      </c>
      <c r="F1038" s="32" t="s">
        <v>92</v>
      </c>
    </row>
    <row r="1039" spans="1:6">
      <c r="A1039" s="29">
        <v>73236</v>
      </c>
      <c r="B1039" s="31" t="s">
        <v>1565</v>
      </c>
      <c r="C1039" s="31" t="s">
        <v>380</v>
      </c>
      <c r="D1039" s="31" t="s">
        <v>377</v>
      </c>
      <c r="E1039" s="31" t="s">
        <v>680</v>
      </c>
      <c r="F1039" s="32" t="s">
        <v>109</v>
      </c>
    </row>
    <row r="1040" spans="1:6">
      <c r="A1040" s="29">
        <v>73268</v>
      </c>
      <c r="B1040" s="31" t="s">
        <v>1566</v>
      </c>
      <c r="C1040" s="31" t="s">
        <v>380</v>
      </c>
      <c r="D1040" s="31" t="s">
        <v>377</v>
      </c>
      <c r="E1040" s="31" t="s">
        <v>680</v>
      </c>
      <c r="F1040" s="32" t="s">
        <v>92</v>
      </c>
    </row>
    <row r="1041" spans="1:6">
      <c r="A1041" s="29">
        <v>73270</v>
      </c>
      <c r="B1041" s="31" t="s">
        <v>1567</v>
      </c>
      <c r="C1041" s="31" t="s">
        <v>380</v>
      </c>
      <c r="D1041" s="31" t="s">
        <v>377</v>
      </c>
      <c r="E1041" s="31" t="s">
        <v>680</v>
      </c>
      <c r="F1041" s="32" t="s">
        <v>181</v>
      </c>
    </row>
    <row r="1042" spans="1:6">
      <c r="A1042" s="29">
        <v>73275</v>
      </c>
      <c r="B1042" s="31" t="s">
        <v>1568</v>
      </c>
      <c r="C1042" s="31" t="s">
        <v>380</v>
      </c>
      <c r="D1042" s="31" t="s">
        <v>377</v>
      </c>
      <c r="E1042" s="31" t="s">
        <v>680</v>
      </c>
      <c r="F1042" s="32" t="s">
        <v>92</v>
      </c>
    </row>
    <row r="1043" spans="1:6">
      <c r="A1043" s="29">
        <v>73283</v>
      </c>
      <c r="B1043" s="31" t="s">
        <v>1569</v>
      </c>
      <c r="C1043" s="31" t="s">
        <v>380</v>
      </c>
      <c r="D1043" s="31" t="s">
        <v>377</v>
      </c>
      <c r="E1043" s="31" t="s">
        <v>680</v>
      </c>
      <c r="F1043" s="32" t="s">
        <v>181</v>
      </c>
    </row>
    <row r="1044" spans="1:6">
      <c r="A1044" s="29">
        <v>73319</v>
      </c>
      <c r="B1044" s="31" t="s">
        <v>1570</v>
      </c>
      <c r="C1044" s="31" t="s">
        <v>380</v>
      </c>
      <c r="D1044" s="31" t="s">
        <v>377</v>
      </c>
      <c r="E1044" s="31" t="s">
        <v>680</v>
      </c>
      <c r="F1044" s="32" t="s">
        <v>92</v>
      </c>
    </row>
    <row r="1045" spans="1:6">
      <c r="A1045" s="29">
        <v>73347</v>
      </c>
      <c r="B1045" s="31" t="s">
        <v>1571</v>
      </c>
      <c r="C1045" s="31" t="s">
        <v>380</v>
      </c>
      <c r="D1045" s="31" t="s">
        <v>234</v>
      </c>
      <c r="E1045" s="31" t="s">
        <v>680</v>
      </c>
      <c r="F1045" s="32" t="s">
        <v>181</v>
      </c>
    </row>
    <row r="1046" spans="1:6">
      <c r="A1046" s="29">
        <v>73349</v>
      </c>
      <c r="B1046" s="31" t="s">
        <v>1572</v>
      </c>
      <c r="C1046" s="31" t="s">
        <v>380</v>
      </c>
      <c r="D1046" s="31" t="s">
        <v>377</v>
      </c>
      <c r="E1046" s="31" t="s">
        <v>680</v>
      </c>
      <c r="F1046" s="32" t="s">
        <v>181</v>
      </c>
    </row>
    <row r="1047" spans="1:6">
      <c r="A1047" s="29">
        <v>73001</v>
      </c>
      <c r="B1047" s="31" t="s">
        <v>377</v>
      </c>
      <c r="C1047" s="31" t="s">
        <v>380</v>
      </c>
      <c r="D1047" s="31" t="s">
        <v>377</v>
      </c>
      <c r="E1047" s="31" t="s">
        <v>680</v>
      </c>
      <c r="F1047" s="32" t="s">
        <v>119</v>
      </c>
    </row>
    <row r="1048" spans="1:6">
      <c r="A1048" s="29">
        <v>73352</v>
      </c>
      <c r="B1048" s="31" t="s">
        <v>1573</v>
      </c>
      <c r="C1048" s="31" t="s">
        <v>380</v>
      </c>
      <c r="D1048" s="31" t="s">
        <v>377</v>
      </c>
      <c r="E1048" s="31" t="s">
        <v>680</v>
      </c>
      <c r="F1048" s="32" t="s">
        <v>181</v>
      </c>
    </row>
    <row r="1049" spans="1:6">
      <c r="A1049" s="29">
        <v>73408</v>
      </c>
      <c r="B1049" s="31" t="s">
        <v>1574</v>
      </c>
      <c r="C1049" s="31" t="s">
        <v>380</v>
      </c>
      <c r="D1049" s="31" t="s">
        <v>377</v>
      </c>
      <c r="E1049" s="31" t="s">
        <v>680</v>
      </c>
      <c r="F1049" s="32" t="s">
        <v>92</v>
      </c>
    </row>
    <row r="1050" spans="1:6">
      <c r="A1050" s="29">
        <v>73411</v>
      </c>
      <c r="B1050" s="31" t="s">
        <v>1575</v>
      </c>
      <c r="C1050" s="31" t="s">
        <v>380</v>
      </c>
      <c r="D1050" s="31" t="s">
        <v>377</v>
      </c>
      <c r="E1050" s="31" t="s">
        <v>680</v>
      </c>
      <c r="F1050" s="32" t="s">
        <v>181</v>
      </c>
    </row>
    <row r="1051" spans="1:6">
      <c r="A1051" s="29">
        <v>73443</v>
      </c>
      <c r="B1051" s="31" t="s">
        <v>1576</v>
      </c>
      <c r="C1051" s="31" t="s">
        <v>380</v>
      </c>
      <c r="D1051" s="31" t="s">
        <v>377</v>
      </c>
      <c r="E1051" s="31" t="s">
        <v>680</v>
      </c>
      <c r="F1051" s="32" t="s">
        <v>181</v>
      </c>
    </row>
    <row r="1052" spans="1:6">
      <c r="A1052" s="29">
        <v>73449</v>
      </c>
      <c r="B1052" s="31" t="s">
        <v>1577</v>
      </c>
      <c r="C1052" s="31" t="s">
        <v>380</v>
      </c>
      <c r="D1052" s="31" t="s">
        <v>111</v>
      </c>
      <c r="E1052" s="31" t="s">
        <v>680</v>
      </c>
      <c r="F1052" s="32" t="s">
        <v>92</v>
      </c>
    </row>
    <row r="1053" spans="1:6">
      <c r="A1053" s="29">
        <v>73461</v>
      </c>
      <c r="B1053" s="31" t="s">
        <v>1578</v>
      </c>
      <c r="C1053" s="31" t="s">
        <v>380</v>
      </c>
      <c r="D1053" s="31" t="s">
        <v>377</v>
      </c>
      <c r="E1053" s="31" t="s">
        <v>680</v>
      </c>
      <c r="F1053" s="32" t="s">
        <v>109</v>
      </c>
    </row>
    <row r="1054" spans="1:6">
      <c r="A1054" s="29">
        <v>73483</v>
      </c>
      <c r="B1054" s="31" t="s">
        <v>1579</v>
      </c>
      <c r="C1054" s="31" t="s">
        <v>380</v>
      </c>
      <c r="D1054" s="31" t="s">
        <v>100</v>
      </c>
      <c r="E1054" s="31" t="s">
        <v>680</v>
      </c>
      <c r="F1054" s="32" t="s">
        <v>92</v>
      </c>
    </row>
    <row r="1055" spans="1:6">
      <c r="A1055" s="29">
        <v>73504</v>
      </c>
      <c r="B1055" s="31" t="s">
        <v>1580</v>
      </c>
      <c r="C1055" s="31" t="s">
        <v>380</v>
      </c>
      <c r="D1055" s="31" t="s">
        <v>377</v>
      </c>
      <c r="E1055" s="31" t="s">
        <v>680</v>
      </c>
      <c r="F1055" s="32" t="s">
        <v>181</v>
      </c>
    </row>
    <row r="1056" spans="1:6">
      <c r="A1056" s="29">
        <v>73520</v>
      </c>
      <c r="B1056" s="31" t="s">
        <v>1581</v>
      </c>
      <c r="C1056" s="31" t="s">
        <v>380</v>
      </c>
      <c r="D1056" s="31" t="s">
        <v>377</v>
      </c>
      <c r="E1056" s="31" t="s">
        <v>680</v>
      </c>
      <c r="F1056" s="32" t="s">
        <v>181</v>
      </c>
    </row>
    <row r="1057" spans="1:6">
      <c r="A1057" s="29">
        <v>73547</v>
      </c>
      <c r="B1057" s="31" t="s">
        <v>1582</v>
      </c>
      <c r="C1057" s="31" t="s">
        <v>380</v>
      </c>
      <c r="D1057" s="31" t="s">
        <v>377</v>
      </c>
      <c r="E1057" s="31" t="s">
        <v>680</v>
      </c>
      <c r="F1057" s="32" t="s">
        <v>92</v>
      </c>
    </row>
    <row r="1058" spans="1:6">
      <c r="A1058" s="29">
        <v>73555</v>
      </c>
      <c r="B1058" s="31" t="s">
        <v>1583</v>
      </c>
      <c r="C1058" s="31" t="s">
        <v>380</v>
      </c>
      <c r="D1058" s="31" t="s">
        <v>377</v>
      </c>
      <c r="E1058" s="31" t="s">
        <v>680</v>
      </c>
      <c r="F1058" s="32" t="s">
        <v>109</v>
      </c>
    </row>
    <row r="1059" spans="1:6">
      <c r="A1059" s="29">
        <v>73563</v>
      </c>
      <c r="B1059" s="31" t="s">
        <v>1584</v>
      </c>
      <c r="C1059" s="31" t="s">
        <v>380</v>
      </c>
      <c r="D1059" s="31" t="s">
        <v>377</v>
      </c>
      <c r="E1059" s="31" t="s">
        <v>680</v>
      </c>
      <c r="F1059" s="32" t="s">
        <v>181</v>
      </c>
    </row>
    <row r="1060" spans="1:6">
      <c r="A1060" s="29">
        <v>73585</v>
      </c>
      <c r="B1060" s="31" t="s">
        <v>1585</v>
      </c>
      <c r="C1060" s="31" t="s">
        <v>380</v>
      </c>
      <c r="D1060" s="31" t="s">
        <v>377</v>
      </c>
      <c r="E1060" s="31" t="s">
        <v>680</v>
      </c>
      <c r="F1060" s="32" t="s">
        <v>92</v>
      </c>
    </row>
    <row r="1061" spans="1:6">
      <c r="A1061" s="29">
        <v>73616</v>
      </c>
      <c r="B1061" s="31" t="s">
        <v>1586</v>
      </c>
      <c r="C1061" s="31" t="s">
        <v>380</v>
      </c>
      <c r="D1061" s="31" t="s">
        <v>377</v>
      </c>
      <c r="E1061" s="31" t="s">
        <v>680</v>
      </c>
      <c r="F1061" s="32" t="s">
        <v>109</v>
      </c>
    </row>
    <row r="1062" spans="1:6">
      <c r="A1062" s="29">
        <v>73622</v>
      </c>
      <c r="B1062" s="31" t="s">
        <v>1587</v>
      </c>
      <c r="C1062" s="31" t="s">
        <v>380</v>
      </c>
      <c r="D1062" s="31" t="s">
        <v>377</v>
      </c>
      <c r="E1062" s="31" t="s">
        <v>680</v>
      </c>
      <c r="F1062" s="32" t="s">
        <v>109</v>
      </c>
    </row>
    <row r="1063" spans="1:6">
      <c r="A1063" s="29">
        <v>73624</v>
      </c>
      <c r="B1063" s="31" t="s">
        <v>1588</v>
      </c>
      <c r="C1063" s="31" t="s">
        <v>380</v>
      </c>
      <c r="D1063" s="31" t="s">
        <v>377</v>
      </c>
      <c r="E1063" s="31" t="s">
        <v>680</v>
      </c>
      <c r="F1063" s="32" t="s">
        <v>181</v>
      </c>
    </row>
    <row r="1064" spans="1:6">
      <c r="A1064" s="29">
        <v>73671</v>
      </c>
      <c r="B1064" s="31" t="s">
        <v>1589</v>
      </c>
      <c r="C1064" s="31" t="s">
        <v>380</v>
      </c>
      <c r="D1064" s="31" t="s">
        <v>377</v>
      </c>
      <c r="E1064" s="31" t="s">
        <v>680</v>
      </c>
      <c r="F1064" s="32" t="s">
        <v>92</v>
      </c>
    </row>
    <row r="1065" spans="1:6">
      <c r="A1065" s="29">
        <v>73675</v>
      </c>
      <c r="B1065" s="31" t="s">
        <v>1590</v>
      </c>
      <c r="C1065" s="31" t="s">
        <v>380</v>
      </c>
      <c r="D1065" s="31" t="s">
        <v>377</v>
      </c>
      <c r="E1065" s="31" t="s">
        <v>680</v>
      </c>
      <c r="F1065" s="32" t="s">
        <v>109</v>
      </c>
    </row>
    <row r="1066" spans="1:6">
      <c r="A1066" s="29">
        <v>73686</v>
      </c>
      <c r="B1066" s="31" t="s">
        <v>1591</v>
      </c>
      <c r="C1066" s="31" t="s">
        <v>380</v>
      </c>
      <c r="D1066" s="31" t="s">
        <v>377</v>
      </c>
      <c r="E1066" s="31" t="s">
        <v>680</v>
      </c>
      <c r="F1066" s="32" t="s">
        <v>181</v>
      </c>
    </row>
    <row r="1067" spans="1:6">
      <c r="A1067" s="29">
        <v>73854</v>
      </c>
      <c r="B1067" s="31" t="s">
        <v>1592</v>
      </c>
      <c r="C1067" s="31" t="s">
        <v>380</v>
      </c>
      <c r="D1067" s="31" t="s">
        <v>377</v>
      </c>
      <c r="E1067" s="31" t="s">
        <v>680</v>
      </c>
      <c r="F1067" s="32" t="s">
        <v>92</v>
      </c>
    </row>
    <row r="1068" spans="1:6">
      <c r="A1068" s="29">
        <v>73861</v>
      </c>
      <c r="B1068" s="31" t="s">
        <v>1593</v>
      </c>
      <c r="C1068" s="31" t="s">
        <v>380</v>
      </c>
      <c r="D1068" s="31" t="s">
        <v>377</v>
      </c>
      <c r="E1068" s="31" t="s">
        <v>680</v>
      </c>
      <c r="F1068" s="32" t="s">
        <v>92</v>
      </c>
    </row>
    <row r="1069" spans="1:6">
      <c r="A1069" s="29">
        <v>73870</v>
      </c>
      <c r="B1069" s="31" t="s">
        <v>1594</v>
      </c>
      <c r="C1069" s="31" t="s">
        <v>380</v>
      </c>
      <c r="D1069" s="31" t="s">
        <v>377</v>
      </c>
      <c r="E1069" s="31" t="s">
        <v>680</v>
      </c>
      <c r="F1069" s="32" t="s">
        <v>181</v>
      </c>
    </row>
    <row r="1070" spans="1:6">
      <c r="A1070" s="29">
        <v>73873</v>
      </c>
      <c r="B1070" s="31" t="s">
        <v>1595</v>
      </c>
      <c r="C1070" s="31" t="s">
        <v>380</v>
      </c>
      <c r="D1070" s="31" t="s">
        <v>377</v>
      </c>
      <c r="E1070" s="31" t="s">
        <v>680</v>
      </c>
      <c r="F1070" s="32" t="s">
        <v>181</v>
      </c>
    </row>
    <row r="1071" spans="1:6">
      <c r="A1071" s="29">
        <v>76054</v>
      </c>
      <c r="B1071" s="30" t="s">
        <v>679</v>
      </c>
      <c r="C1071" s="31" t="s">
        <v>282</v>
      </c>
      <c r="D1071" s="31" t="s">
        <v>149</v>
      </c>
      <c r="E1071" s="31" t="s">
        <v>680</v>
      </c>
      <c r="F1071" s="32" t="s">
        <v>181</v>
      </c>
    </row>
    <row r="1072" spans="1:6">
      <c r="A1072" s="29">
        <v>76100</v>
      </c>
      <c r="B1072" s="30" t="s">
        <v>469</v>
      </c>
      <c r="C1072" s="31" t="s">
        <v>282</v>
      </c>
      <c r="D1072" s="31" t="s">
        <v>149</v>
      </c>
      <c r="E1072" s="31" t="s">
        <v>680</v>
      </c>
      <c r="F1072" s="32" t="s">
        <v>92</v>
      </c>
    </row>
    <row r="1073" spans="1:6">
      <c r="A1073" s="29">
        <v>76130</v>
      </c>
      <c r="B1073" s="30" t="s">
        <v>800</v>
      </c>
      <c r="C1073" s="31" t="s">
        <v>282</v>
      </c>
      <c r="D1073" s="31" t="s">
        <v>172</v>
      </c>
      <c r="E1073" s="31" t="s">
        <v>680</v>
      </c>
      <c r="F1073" s="32" t="s">
        <v>92</v>
      </c>
    </row>
    <row r="1074" spans="1:6">
      <c r="A1074" s="29">
        <v>76400</v>
      </c>
      <c r="B1074" s="30" t="s">
        <v>687</v>
      </c>
      <c r="C1074" s="31" t="s">
        <v>282</v>
      </c>
      <c r="D1074" s="31" t="s">
        <v>149</v>
      </c>
      <c r="E1074" s="31" t="s">
        <v>680</v>
      </c>
      <c r="F1074" s="32" t="s">
        <v>92</v>
      </c>
    </row>
    <row r="1075" spans="1:6">
      <c r="A1075" s="29">
        <v>76403</v>
      </c>
      <c r="B1075" s="30" t="s">
        <v>666</v>
      </c>
      <c r="C1075" s="31" t="s">
        <v>282</v>
      </c>
      <c r="D1075" s="31" t="s">
        <v>149</v>
      </c>
      <c r="E1075" s="31" t="s">
        <v>680</v>
      </c>
      <c r="F1075" s="32" t="s">
        <v>92</v>
      </c>
    </row>
    <row r="1076" spans="1:6">
      <c r="A1076" s="29">
        <v>76606</v>
      </c>
      <c r="B1076" s="30" t="s">
        <v>1326</v>
      </c>
      <c r="C1076" s="31" t="s">
        <v>282</v>
      </c>
      <c r="D1076" s="31" t="s">
        <v>172</v>
      </c>
      <c r="E1076" s="31" t="s">
        <v>680</v>
      </c>
      <c r="F1076" s="32" t="s">
        <v>92</v>
      </c>
    </row>
    <row r="1077" spans="1:6">
      <c r="A1077" s="29">
        <v>76670</v>
      </c>
      <c r="B1077" s="30" t="s">
        <v>1530</v>
      </c>
      <c r="C1077" s="31" t="s">
        <v>282</v>
      </c>
      <c r="D1077" s="31" t="s">
        <v>172</v>
      </c>
      <c r="E1077" s="31" t="s">
        <v>680</v>
      </c>
      <c r="F1077" s="32" t="s">
        <v>92</v>
      </c>
    </row>
    <row r="1078" spans="1:6">
      <c r="A1078" s="29">
        <v>76020</v>
      </c>
      <c r="B1078" s="31" t="s">
        <v>1596</v>
      </c>
      <c r="C1078" s="31" t="s">
        <v>282</v>
      </c>
      <c r="D1078" s="31" t="s">
        <v>149</v>
      </c>
      <c r="E1078" s="31" t="s">
        <v>680</v>
      </c>
      <c r="F1078" s="32" t="s">
        <v>92</v>
      </c>
    </row>
    <row r="1079" spans="1:6">
      <c r="A1079" s="29">
        <v>76036</v>
      </c>
      <c r="B1079" s="31" t="s">
        <v>1597</v>
      </c>
      <c r="C1079" s="31" t="s">
        <v>282</v>
      </c>
      <c r="D1079" s="31" t="s">
        <v>172</v>
      </c>
      <c r="E1079" s="31" t="s">
        <v>680</v>
      </c>
      <c r="F1079" s="32" t="s">
        <v>92</v>
      </c>
    </row>
    <row r="1080" spans="1:6">
      <c r="A1080" s="29">
        <v>76041</v>
      </c>
      <c r="B1080" s="31" t="s">
        <v>1598</v>
      </c>
      <c r="C1080" s="31" t="s">
        <v>282</v>
      </c>
      <c r="D1080" s="31" t="s">
        <v>149</v>
      </c>
      <c r="E1080" s="31" t="s">
        <v>680</v>
      </c>
      <c r="F1080" s="32" t="s">
        <v>92</v>
      </c>
    </row>
    <row r="1081" spans="1:6">
      <c r="A1081" s="29">
        <v>76109</v>
      </c>
      <c r="B1081" s="31" t="s">
        <v>1599</v>
      </c>
      <c r="C1081" s="31" t="s">
        <v>282</v>
      </c>
      <c r="D1081" s="31" t="s">
        <v>172</v>
      </c>
      <c r="E1081" s="31" t="s">
        <v>680</v>
      </c>
      <c r="F1081" s="32" t="s">
        <v>181</v>
      </c>
    </row>
    <row r="1082" spans="1:6">
      <c r="A1082" s="29">
        <v>76113</v>
      </c>
      <c r="B1082" s="31" t="s">
        <v>1600</v>
      </c>
      <c r="C1082" s="31" t="s">
        <v>282</v>
      </c>
      <c r="D1082" s="31" t="s">
        <v>172</v>
      </c>
      <c r="E1082" s="31" t="s">
        <v>680</v>
      </c>
      <c r="F1082" s="32" t="s">
        <v>92</v>
      </c>
    </row>
    <row r="1083" spans="1:6">
      <c r="A1083" s="29">
        <v>76122</v>
      </c>
      <c r="B1083" s="31" t="s">
        <v>1601</v>
      </c>
      <c r="C1083" s="31" t="s">
        <v>282</v>
      </c>
      <c r="D1083" s="31" t="s">
        <v>149</v>
      </c>
      <c r="E1083" s="31" t="s">
        <v>680</v>
      </c>
      <c r="F1083" s="32" t="s">
        <v>92</v>
      </c>
    </row>
    <row r="1084" spans="1:6">
      <c r="A1084" s="29">
        <v>76001</v>
      </c>
      <c r="B1084" s="31" t="s">
        <v>172</v>
      </c>
      <c r="C1084" s="31" t="s">
        <v>282</v>
      </c>
      <c r="D1084" s="31" t="s">
        <v>172</v>
      </c>
      <c r="E1084" s="31" t="s">
        <v>680</v>
      </c>
      <c r="F1084" s="32" t="s">
        <v>119</v>
      </c>
    </row>
    <row r="1085" spans="1:6">
      <c r="A1085" s="29">
        <v>76126</v>
      </c>
      <c r="B1085" s="31" t="s">
        <v>1602</v>
      </c>
      <c r="C1085" s="31" t="s">
        <v>282</v>
      </c>
      <c r="D1085" s="31" t="s">
        <v>172</v>
      </c>
      <c r="E1085" s="31" t="s">
        <v>680</v>
      </c>
      <c r="F1085" s="32" t="s">
        <v>92</v>
      </c>
    </row>
    <row r="1086" spans="1:6">
      <c r="A1086" s="29">
        <v>76147</v>
      </c>
      <c r="B1086" s="31" t="s">
        <v>1603</v>
      </c>
      <c r="C1086" s="31" t="s">
        <v>282</v>
      </c>
      <c r="D1086" s="31" t="s">
        <v>149</v>
      </c>
      <c r="E1086" s="31" t="s">
        <v>680</v>
      </c>
      <c r="F1086" s="32" t="s">
        <v>119</v>
      </c>
    </row>
    <row r="1087" spans="1:6">
      <c r="A1087" s="29">
        <v>76233</v>
      </c>
      <c r="B1087" s="31" t="s">
        <v>1604</v>
      </c>
      <c r="C1087" s="31" t="s">
        <v>282</v>
      </c>
      <c r="D1087" s="31" t="s">
        <v>172</v>
      </c>
      <c r="E1087" s="31" t="s">
        <v>680</v>
      </c>
      <c r="F1087" s="32" t="s">
        <v>92</v>
      </c>
    </row>
    <row r="1088" spans="1:6">
      <c r="A1088" s="29">
        <v>76243</v>
      </c>
      <c r="B1088" s="31" t="s">
        <v>1605</v>
      </c>
      <c r="C1088" s="31" t="s">
        <v>282</v>
      </c>
      <c r="D1088" s="31" t="s">
        <v>149</v>
      </c>
      <c r="E1088" s="31" t="s">
        <v>680</v>
      </c>
      <c r="F1088" s="32" t="s">
        <v>181</v>
      </c>
    </row>
    <row r="1089" spans="1:6">
      <c r="A1089" s="29">
        <v>76246</v>
      </c>
      <c r="B1089" s="31" t="s">
        <v>1606</v>
      </c>
      <c r="C1089" s="31" t="s">
        <v>282</v>
      </c>
      <c r="D1089" s="31" t="s">
        <v>149</v>
      </c>
      <c r="E1089" s="31" t="s">
        <v>680</v>
      </c>
      <c r="F1089" s="32" t="s">
        <v>181</v>
      </c>
    </row>
    <row r="1090" spans="1:6">
      <c r="A1090" s="29">
        <v>76248</v>
      </c>
      <c r="B1090" s="31" t="s">
        <v>1607</v>
      </c>
      <c r="C1090" s="31" t="s">
        <v>282</v>
      </c>
      <c r="D1090" s="31" t="s">
        <v>172</v>
      </c>
      <c r="E1090" s="31" t="s">
        <v>680</v>
      </c>
      <c r="F1090" s="32" t="s">
        <v>92</v>
      </c>
    </row>
    <row r="1091" spans="1:6">
      <c r="A1091" s="29">
        <v>76250</v>
      </c>
      <c r="B1091" s="31" t="s">
        <v>1608</v>
      </c>
      <c r="C1091" s="31" t="s">
        <v>282</v>
      </c>
      <c r="D1091" s="31" t="s">
        <v>149</v>
      </c>
      <c r="E1091" s="31" t="s">
        <v>680</v>
      </c>
      <c r="F1091" s="32" t="s">
        <v>92</v>
      </c>
    </row>
    <row r="1092" spans="1:6">
      <c r="A1092" s="29">
        <v>76275</v>
      </c>
      <c r="B1092" s="31" t="s">
        <v>1609</v>
      </c>
      <c r="C1092" s="31" t="s">
        <v>282</v>
      </c>
      <c r="D1092" s="31" t="s">
        <v>172</v>
      </c>
      <c r="E1092" s="31" t="s">
        <v>680</v>
      </c>
      <c r="F1092" s="32" t="s">
        <v>92</v>
      </c>
    </row>
    <row r="1093" spans="1:6">
      <c r="A1093" s="29">
        <v>76306</v>
      </c>
      <c r="B1093" s="31" t="s">
        <v>1610</v>
      </c>
      <c r="C1093" s="31" t="s">
        <v>282</v>
      </c>
      <c r="D1093" s="31" t="s">
        <v>172</v>
      </c>
      <c r="E1093" s="31" t="s">
        <v>680</v>
      </c>
      <c r="F1093" s="32" t="s">
        <v>92</v>
      </c>
    </row>
    <row r="1094" spans="1:6">
      <c r="A1094" s="29">
        <v>76318</v>
      </c>
      <c r="B1094" s="31" t="s">
        <v>1611</v>
      </c>
      <c r="C1094" s="31" t="s">
        <v>282</v>
      </c>
      <c r="D1094" s="31" t="s">
        <v>172</v>
      </c>
      <c r="E1094" s="31" t="s">
        <v>680</v>
      </c>
      <c r="F1094" s="32" t="s">
        <v>92</v>
      </c>
    </row>
    <row r="1095" spans="1:6">
      <c r="A1095" s="29">
        <v>76111</v>
      </c>
      <c r="B1095" s="31" t="s">
        <v>452</v>
      </c>
      <c r="C1095" s="31" t="s">
        <v>282</v>
      </c>
      <c r="D1095" s="31" t="s">
        <v>172</v>
      </c>
      <c r="E1095" s="31" t="s">
        <v>680</v>
      </c>
      <c r="F1095" s="32" t="s">
        <v>92</v>
      </c>
    </row>
    <row r="1096" spans="1:6">
      <c r="A1096" s="29">
        <v>76364</v>
      </c>
      <c r="B1096" s="31" t="s">
        <v>1612</v>
      </c>
      <c r="C1096" s="31" t="s">
        <v>282</v>
      </c>
      <c r="D1096" s="31" t="s">
        <v>172</v>
      </c>
      <c r="E1096" s="31" t="s">
        <v>680</v>
      </c>
      <c r="F1096" s="32" t="s">
        <v>92</v>
      </c>
    </row>
    <row r="1097" spans="1:6">
      <c r="A1097" s="29">
        <v>76377</v>
      </c>
      <c r="B1097" s="31" t="s">
        <v>1613</v>
      </c>
      <c r="C1097" s="31" t="s">
        <v>282</v>
      </c>
      <c r="D1097" s="31" t="s">
        <v>172</v>
      </c>
      <c r="E1097" s="31" t="s">
        <v>680</v>
      </c>
      <c r="F1097" s="32" t="s">
        <v>92</v>
      </c>
    </row>
    <row r="1098" spans="1:6">
      <c r="A1098" s="29">
        <v>76497</v>
      </c>
      <c r="B1098" s="31" t="s">
        <v>1614</v>
      </c>
      <c r="C1098" s="31" t="s">
        <v>282</v>
      </c>
      <c r="D1098" s="31" t="s">
        <v>149</v>
      </c>
      <c r="E1098" s="31" t="s">
        <v>680</v>
      </c>
      <c r="F1098" s="32" t="s">
        <v>92</v>
      </c>
    </row>
    <row r="1099" spans="1:6">
      <c r="A1099" s="29">
        <v>76520</v>
      </c>
      <c r="B1099" s="31" t="s">
        <v>1615</v>
      </c>
      <c r="C1099" s="31" t="s">
        <v>282</v>
      </c>
      <c r="D1099" s="31" t="s">
        <v>172</v>
      </c>
      <c r="E1099" s="31" t="s">
        <v>680</v>
      </c>
      <c r="F1099" s="32" t="s">
        <v>119</v>
      </c>
    </row>
    <row r="1100" spans="1:6">
      <c r="A1100" s="29">
        <v>76563</v>
      </c>
      <c r="B1100" s="31" t="s">
        <v>1616</v>
      </c>
      <c r="C1100" s="31" t="s">
        <v>282</v>
      </c>
      <c r="D1100" s="31" t="s">
        <v>172</v>
      </c>
      <c r="E1100" s="31" t="s">
        <v>680</v>
      </c>
      <c r="F1100" s="32" t="s">
        <v>92</v>
      </c>
    </row>
    <row r="1101" spans="1:6">
      <c r="A1101" s="29">
        <v>76616</v>
      </c>
      <c r="B1101" s="31" t="s">
        <v>1617</v>
      </c>
      <c r="C1101" s="31" t="s">
        <v>282</v>
      </c>
      <c r="D1101" s="31" t="s">
        <v>172</v>
      </c>
      <c r="E1101" s="31" t="s">
        <v>680</v>
      </c>
      <c r="F1101" s="32" t="s">
        <v>92</v>
      </c>
    </row>
    <row r="1102" spans="1:6">
      <c r="A1102" s="29">
        <v>76622</v>
      </c>
      <c r="B1102" s="31" t="s">
        <v>1618</v>
      </c>
      <c r="C1102" s="31" t="s">
        <v>282</v>
      </c>
      <c r="D1102" s="31" t="s">
        <v>149</v>
      </c>
      <c r="E1102" s="31" t="s">
        <v>680</v>
      </c>
      <c r="F1102" s="32" t="s">
        <v>181</v>
      </c>
    </row>
    <row r="1103" spans="1:6">
      <c r="A1103" s="29">
        <v>76736</v>
      </c>
      <c r="B1103" s="31" t="s">
        <v>1619</v>
      </c>
      <c r="C1103" s="31" t="s">
        <v>282</v>
      </c>
      <c r="D1103" s="31" t="s">
        <v>149</v>
      </c>
      <c r="E1103" s="31" t="s">
        <v>680</v>
      </c>
      <c r="F1103" s="32" t="s">
        <v>92</v>
      </c>
    </row>
    <row r="1104" spans="1:6">
      <c r="A1104" s="29">
        <v>76823</v>
      </c>
      <c r="B1104" s="31" t="s">
        <v>1620</v>
      </c>
      <c r="C1104" s="31" t="s">
        <v>282</v>
      </c>
      <c r="D1104" s="31" t="s">
        <v>149</v>
      </c>
      <c r="E1104" s="31" t="s">
        <v>680</v>
      </c>
      <c r="F1104" s="32" t="s">
        <v>92</v>
      </c>
    </row>
    <row r="1105" spans="1:6">
      <c r="A1105" s="29">
        <v>76828</v>
      </c>
      <c r="B1105" s="31" t="s">
        <v>1621</v>
      </c>
      <c r="C1105" s="31" t="s">
        <v>282</v>
      </c>
      <c r="D1105" s="31" t="s">
        <v>149</v>
      </c>
      <c r="E1105" s="31" t="s">
        <v>680</v>
      </c>
      <c r="F1105" s="32" t="s">
        <v>92</v>
      </c>
    </row>
    <row r="1106" spans="1:6">
      <c r="A1106" s="29">
        <v>76834</v>
      </c>
      <c r="B1106" s="31" t="s">
        <v>1622</v>
      </c>
      <c r="C1106" s="31" t="s">
        <v>282</v>
      </c>
      <c r="D1106" s="31" t="s">
        <v>172</v>
      </c>
      <c r="E1106" s="31" t="s">
        <v>680</v>
      </c>
      <c r="F1106" s="32" t="s">
        <v>92</v>
      </c>
    </row>
    <row r="1107" spans="1:6">
      <c r="A1107" s="29">
        <v>76845</v>
      </c>
      <c r="B1107" s="31" t="s">
        <v>1623</v>
      </c>
      <c r="C1107" s="31" t="s">
        <v>282</v>
      </c>
      <c r="D1107" s="31" t="s">
        <v>149</v>
      </c>
      <c r="E1107" s="31" t="s">
        <v>680</v>
      </c>
      <c r="F1107" s="32" t="s">
        <v>92</v>
      </c>
    </row>
    <row r="1108" spans="1:6">
      <c r="A1108" s="29">
        <v>76863</v>
      </c>
      <c r="B1108" s="31" t="s">
        <v>1624</v>
      </c>
      <c r="C1108" s="31" t="s">
        <v>282</v>
      </c>
      <c r="D1108" s="31" t="s">
        <v>149</v>
      </c>
      <c r="E1108" s="31" t="s">
        <v>680</v>
      </c>
      <c r="F1108" s="32" t="s">
        <v>181</v>
      </c>
    </row>
    <row r="1109" spans="1:6">
      <c r="A1109" s="29">
        <v>76869</v>
      </c>
      <c r="B1109" s="31" t="s">
        <v>1625</v>
      </c>
      <c r="C1109" s="31" t="s">
        <v>282</v>
      </c>
      <c r="D1109" s="31" t="s">
        <v>172</v>
      </c>
      <c r="E1109" s="31" t="s">
        <v>680</v>
      </c>
      <c r="F1109" s="32" t="s">
        <v>92</v>
      </c>
    </row>
    <row r="1110" spans="1:6">
      <c r="A1110" s="29">
        <v>76890</v>
      </c>
      <c r="B1110" s="31" t="s">
        <v>1626</v>
      </c>
      <c r="C1110" s="31" t="s">
        <v>282</v>
      </c>
      <c r="D1110" s="31" t="s">
        <v>172</v>
      </c>
      <c r="E1110" s="31" t="s">
        <v>680</v>
      </c>
      <c r="F1110" s="32" t="s">
        <v>92</v>
      </c>
    </row>
    <row r="1111" spans="1:6">
      <c r="A1111" s="29">
        <v>76892</v>
      </c>
      <c r="B1111" s="31" t="s">
        <v>1627</v>
      </c>
      <c r="C1111" s="31" t="s">
        <v>282</v>
      </c>
      <c r="D1111" s="31" t="s">
        <v>172</v>
      </c>
      <c r="E1111" s="31" t="s">
        <v>680</v>
      </c>
      <c r="F1111" s="32" t="s">
        <v>119</v>
      </c>
    </row>
    <row r="1112" spans="1:6">
      <c r="A1112" s="29">
        <v>76895</v>
      </c>
      <c r="B1112" s="31" t="s">
        <v>1628</v>
      </c>
      <c r="C1112" s="31" t="s">
        <v>282</v>
      </c>
      <c r="D1112" s="31" t="s">
        <v>149</v>
      </c>
      <c r="E1112" s="31" t="s">
        <v>680</v>
      </c>
      <c r="F1112" s="32" t="s">
        <v>181</v>
      </c>
    </row>
    <row r="1113" spans="1:6">
      <c r="A1113" s="29">
        <v>97161</v>
      </c>
      <c r="B1113" s="31" t="s">
        <v>1629</v>
      </c>
      <c r="C1113" s="31" t="s">
        <v>1630</v>
      </c>
      <c r="D1113" s="31" t="s">
        <v>158</v>
      </c>
      <c r="E1113" s="31" t="s">
        <v>668</v>
      </c>
      <c r="F1113" s="32" t="s">
        <v>126</v>
      </c>
    </row>
    <row r="1114" spans="1:6">
      <c r="A1114" s="29">
        <v>97001</v>
      </c>
      <c r="B1114" s="31" t="s">
        <v>1631</v>
      </c>
      <c r="C1114" s="31" t="s">
        <v>1630</v>
      </c>
      <c r="D1114" s="31" t="s">
        <v>111</v>
      </c>
      <c r="E1114" s="31" t="s">
        <v>668</v>
      </c>
      <c r="F1114" s="32" t="s">
        <v>126</v>
      </c>
    </row>
    <row r="1115" spans="1:6">
      <c r="A1115" s="29">
        <v>97511</v>
      </c>
      <c r="B1115" s="31" t="s">
        <v>1632</v>
      </c>
      <c r="C1115" s="31" t="s">
        <v>1630</v>
      </c>
      <c r="D1115" s="31" t="s">
        <v>158</v>
      </c>
      <c r="E1115" s="31" t="s">
        <v>668</v>
      </c>
      <c r="F1115" s="32" t="s">
        <v>126</v>
      </c>
    </row>
    <row r="1116" spans="1:6">
      <c r="A1116" s="29">
        <v>97777</v>
      </c>
      <c r="B1116" s="31" t="s">
        <v>1633</v>
      </c>
      <c r="C1116" s="31" t="s">
        <v>1630</v>
      </c>
      <c r="D1116" s="31" t="s">
        <v>158</v>
      </c>
      <c r="E1116" s="31" t="s">
        <v>668</v>
      </c>
      <c r="F1116" s="32" t="s">
        <v>126</v>
      </c>
    </row>
    <row r="1117" spans="1:6">
      <c r="A1117" s="29">
        <v>97666</v>
      </c>
      <c r="B1117" s="31" t="s">
        <v>1634</v>
      </c>
      <c r="C1117" s="31" t="s">
        <v>1630</v>
      </c>
      <c r="D1117" s="31" t="s">
        <v>158</v>
      </c>
      <c r="E1117" s="31" t="s">
        <v>668</v>
      </c>
      <c r="F1117" s="32" t="s">
        <v>126</v>
      </c>
    </row>
    <row r="1118" spans="1:6">
      <c r="A1118" s="29">
        <v>97889</v>
      </c>
      <c r="B1118" s="31" t="s">
        <v>1635</v>
      </c>
      <c r="C1118" s="31" t="s">
        <v>1630</v>
      </c>
      <c r="D1118" s="31" t="s">
        <v>158</v>
      </c>
      <c r="E1118" s="31" t="s">
        <v>668</v>
      </c>
      <c r="F1118" s="32" t="s">
        <v>126</v>
      </c>
    </row>
    <row r="1119" spans="1:6">
      <c r="A1119" s="29">
        <v>99773</v>
      </c>
      <c r="B1119" s="31" t="s">
        <v>1636</v>
      </c>
      <c r="C1119" s="31" t="s">
        <v>1637</v>
      </c>
      <c r="D1119" s="31" t="s">
        <v>158</v>
      </c>
      <c r="E1119" s="31" t="s">
        <v>668</v>
      </c>
      <c r="F1119" s="32" t="s">
        <v>126</v>
      </c>
    </row>
    <row r="1120" spans="1:6">
      <c r="A1120" s="29">
        <v>99524</v>
      </c>
      <c r="B1120" s="31" t="s">
        <v>1638</v>
      </c>
      <c r="C1120" s="31" t="s">
        <v>1637</v>
      </c>
      <c r="D1120" s="31" t="s">
        <v>158</v>
      </c>
      <c r="E1120" s="31" t="s">
        <v>668</v>
      </c>
      <c r="F1120" s="32" t="s">
        <v>126</v>
      </c>
    </row>
    <row r="1121" spans="1:6">
      <c r="A1121" s="29">
        <v>99001</v>
      </c>
      <c r="B1121" s="31" t="s">
        <v>1639</v>
      </c>
      <c r="C1121" s="31" t="s">
        <v>1637</v>
      </c>
      <c r="D1121" s="31" t="s">
        <v>111</v>
      </c>
      <c r="E1121" s="31" t="s">
        <v>668</v>
      </c>
      <c r="F1121" s="32" t="s">
        <v>126</v>
      </c>
    </row>
    <row r="1122" spans="1:6">
      <c r="A1122" s="29">
        <v>99624</v>
      </c>
      <c r="B1122" s="31" t="s">
        <v>1640</v>
      </c>
      <c r="C1122" s="31" t="s">
        <v>1637</v>
      </c>
      <c r="D1122" s="31" t="s">
        <v>158</v>
      </c>
      <c r="E1122" s="31" t="s">
        <v>668</v>
      </c>
      <c r="F1122" s="32" t="s">
        <v>126</v>
      </c>
    </row>
    <row r="1123" spans="1:6">
      <c r="A1123" s="29">
        <v>23815</v>
      </c>
      <c r="B1123" s="31" t="s">
        <v>1641</v>
      </c>
      <c r="C1123" s="31" t="s">
        <v>168</v>
      </c>
      <c r="D1123" s="31" t="s">
        <v>165</v>
      </c>
      <c r="E1123" s="31" t="s">
        <v>680</v>
      </c>
      <c r="F1123" s="32" t="s">
        <v>181</v>
      </c>
    </row>
    <row r="1124" spans="1:6">
      <c r="A1124" s="29">
        <v>23682</v>
      </c>
      <c r="B1124" s="31" t="s">
        <v>1642</v>
      </c>
      <c r="C1124" s="31" t="s">
        <v>168</v>
      </c>
      <c r="D1124" s="31" t="s">
        <v>165</v>
      </c>
      <c r="E1124" s="31" t="s">
        <v>680</v>
      </c>
      <c r="F1124" s="32" t="s">
        <v>181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972C-EFDE-4E2F-A236-33A355414275}">
  <dimension ref="A1:D23"/>
  <sheetViews>
    <sheetView topLeftCell="A7" workbookViewId="0">
      <selection activeCell="E17" sqref="E17"/>
    </sheetView>
  </sheetViews>
  <sheetFormatPr defaultColWidth="11.42578125" defaultRowHeight="14.45"/>
  <cols>
    <col min="1" max="1" width="15.28515625" bestFit="1" customWidth="1"/>
    <col min="2" max="2" width="18.28515625" bestFit="1" customWidth="1"/>
    <col min="3" max="3" width="30.28515625" bestFit="1" customWidth="1"/>
    <col min="4" max="4" width="34.140625" bestFit="1" customWidth="1"/>
  </cols>
  <sheetData>
    <row r="1" spans="1:4">
      <c r="A1" s="17" t="s">
        <v>661</v>
      </c>
      <c r="B1" s="17" t="s">
        <v>1643</v>
      </c>
      <c r="C1" s="17" t="s">
        <v>1644</v>
      </c>
      <c r="D1" s="22" t="s">
        <v>29</v>
      </c>
    </row>
    <row r="2" spans="1:4">
      <c r="A2" s="34" t="s">
        <v>272</v>
      </c>
      <c r="B2" s="35" t="s">
        <v>40</v>
      </c>
      <c r="C2" s="35" t="s">
        <v>1645</v>
      </c>
      <c r="D2" s="35" t="s">
        <v>39</v>
      </c>
    </row>
    <row r="3" spans="1:4">
      <c r="A3" s="36" t="s">
        <v>133</v>
      </c>
      <c r="B3" s="37" t="s">
        <v>38</v>
      </c>
      <c r="C3" s="37" t="s">
        <v>1646</v>
      </c>
      <c r="D3" s="37" t="s">
        <v>37</v>
      </c>
    </row>
    <row r="4" spans="1:4">
      <c r="A4" s="36" t="s">
        <v>111</v>
      </c>
      <c r="B4" s="37" t="s">
        <v>46</v>
      </c>
      <c r="C4" s="37" t="s">
        <v>1647</v>
      </c>
      <c r="D4" s="37" t="s">
        <v>45</v>
      </c>
    </row>
    <row r="5" spans="1:4">
      <c r="A5" s="36" t="s">
        <v>142</v>
      </c>
      <c r="B5" s="37" t="s">
        <v>44</v>
      </c>
      <c r="C5" s="37" t="s">
        <v>1648</v>
      </c>
      <c r="D5" s="37" t="s">
        <v>43</v>
      </c>
    </row>
    <row r="6" spans="1:4">
      <c r="A6" s="36" t="s">
        <v>172</v>
      </c>
      <c r="B6" s="37" t="s">
        <v>36</v>
      </c>
      <c r="C6" s="37" t="s">
        <v>1649</v>
      </c>
      <c r="D6" s="37" t="s">
        <v>34</v>
      </c>
    </row>
    <row r="7" spans="1:4">
      <c r="A7" s="36" t="s">
        <v>466</v>
      </c>
      <c r="B7" s="37" t="s">
        <v>38</v>
      </c>
      <c r="C7" s="37" t="s">
        <v>1646</v>
      </c>
      <c r="D7" s="37" t="s">
        <v>37</v>
      </c>
    </row>
    <row r="8" spans="1:4">
      <c r="A8" s="36" t="s">
        <v>258</v>
      </c>
      <c r="B8" s="37" t="s">
        <v>44</v>
      </c>
      <c r="C8" s="37" t="s">
        <v>1648</v>
      </c>
      <c r="D8" s="37" t="s">
        <v>43</v>
      </c>
    </row>
    <row r="9" spans="1:4">
      <c r="A9" s="36" t="s">
        <v>590</v>
      </c>
      <c r="B9" s="37" t="s">
        <v>42</v>
      </c>
      <c r="C9" s="37" t="s">
        <v>1650</v>
      </c>
      <c r="D9" s="37" t="s">
        <v>41</v>
      </c>
    </row>
    <row r="10" spans="1:4">
      <c r="A10" s="36" t="s">
        <v>377</v>
      </c>
      <c r="B10" s="37" t="s">
        <v>42</v>
      </c>
      <c r="C10" s="37" t="s">
        <v>1650</v>
      </c>
      <c r="D10" s="37" t="s">
        <v>41</v>
      </c>
    </row>
    <row r="11" spans="1:4">
      <c r="A11" s="36" t="s">
        <v>234</v>
      </c>
      <c r="B11" s="37" t="s">
        <v>35</v>
      </c>
      <c r="C11" s="37" t="s">
        <v>1651</v>
      </c>
      <c r="D11" s="37" t="s">
        <v>34</v>
      </c>
    </row>
    <row r="12" spans="1:4">
      <c r="A12" s="36" t="s">
        <v>285</v>
      </c>
      <c r="B12" s="37" t="s">
        <v>40</v>
      </c>
      <c r="C12" s="37" t="s">
        <v>1645</v>
      </c>
      <c r="D12" s="37" t="s">
        <v>39</v>
      </c>
    </row>
    <row r="13" spans="1:4">
      <c r="A13" s="36" t="s">
        <v>165</v>
      </c>
      <c r="B13" s="37" t="s">
        <v>38</v>
      </c>
      <c r="C13" s="37" t="s">
        <v>1646</v>
      </c>
      <c r="D13" s="37" t="s">
        <v>37</v>
      </c>
    </row>
    <row r="14" spans="1:4">
      <c r="A14" s="36" t="s">
        <v>100</v>
      </c>
      <c r="B14" s="37" t="s">
        <v>42</v>
      </c>
      <c r="C14" s="37" t="s">
        <v>1650</v>
      </c>
      <c r="D14" s="37" t="s">
        <v>41</v>
      </c>
    </row>
    <row r="15" spans="1:4">
      <c r="A15" s="36" t="s">
        <v>77</v>
      </c>
      <c r="B15" s="37" t="s">
        <v>36</v>
      </c>
      <c r="C15" s="37" t="s">
        <v>1649</v>
      </c>
      <c r="D15" s="37" t="s">
        <v>34</v>
      </c>
    </row>
    <row r="16" spans="1:4">
      <c r="A16" s="36" t="s">
        <v>149</v>
      </c>
      <c r="B16" s="37" t="s">
        <v>35</v>
      </c>
      <c r="C16" s="37" t="s">
        <v>1651</v>
      </c>
      <c r="D16" s="37" t="s">
        <v>34</v>
      </c>
    </row>
    <row r="17" spans="1:4">
      <c r="A17" s="36" t="s">
        <v>176</v>
      </c>
      <c r="B17" s="37" t="s">
        <v>36</v>
      </c>
      <c r="C17" s="37" t="s">
        <v>1649</v>
      </c>
      <c r="D17" s="37" t="s">
        <v>34</v>
      </c>
    </row>
    <row r="18" spans="1:4">
      <c r="A18" s="36" t="s">
        <v>338</v>
      </c>
      <c r="B18" s="37" t="s">
        <v>38</v>
      </c>
      <c r="C18" s="37" t="s">
        <v>1646</v>
      </c>
      <c r="D18" s="37" t="s">
        <v>37</v>
      </c>
    </row>
    <row r="19" spans="1:4">
      <c r="A19" s="36" t="s">
        <v>1529</v>
      </c>
      <c r="B19" s="37" t="s">
        <v>38</v>
      </c>
      <c r="C19" s="37" t="s">
        <v>1646</v>
      </c>
      <c r="D19" s="37" t="s">
        <v>37</v>
      </c>
    </row>
    <row r="20" spans="1:4">
      <c r="A20" s="36" t="s">
        <v>182</v>
      </c>
      <c r="B20" s="37" t="s">
        <v>44</v>
      </c>
      <c r="C20" s="37" t="s">
        <v>1648</v>
      </c>
      <c r="D20" s="37" t="s">
        <v>43</v>
      </c>
    </row>
    <row r="21" spans="1:4">
      <c r="A21" s="36" t="s">
        <v>475</v>
      </c>
      <c r="B21" s="37" t="s">
        <v>38</v>
      </c>
      <c r="C21" s="37" t="s">
        <v>1646</v>
      </c>
      <c r="D21" s="37" t="s">
        <v>37</v>
      </c>
    </row>
    <row r="22" spans="1:4">
      <c r="A22" s="36" t="s">
        <v>158</v>
      </c>
      <c r="B22" s="37" t="s">
        <v>42</v>
      </c>
      <c r="C22" s="37" t="s">
        <v>1650</v>
      </c>
      <c r="D22" s="37" t="s">
        <v>41</v>
      </c>
    </row>
    <row r="23" spans="1:4">
      <c r="A23" s="36" t="s">
        <v>923</v>
      </c>
      <c r="B23" s="37" t="s">
        <v>42</v>
      </c>
      <c r="C23" s="37" t="s">
        <v>1650</v>
      </c>
      <c r="D23" s="37" t="s">
        <v>41</v>
      </c>
    </row>
  </sheetData>
  <autoFilter ref="A1:D23" xr:uid="{72E9972C-EFDE-4E2F-A236-33A35541427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5" ma:contentTypeDescription="Create a new document." ma:contentTypeScope="" ma:versionID="9c415005ac701ba40f88f17467c19ffb">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fe9d323ac4ec1ab99dea5e1d9546ef94"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66F74B-519F-4C27-B544-8E91289FDD73}"/>
</file>

<file path=customXml/itemProps2.xml><?xml version="1.0" encoding="utf-8"?>
<ds:datastoreItem xmlns:ds="http://schemas.openxmlformats.org/officeDocument/2006/customXml" ds:itemID="{6BA20B7F-C24B-4915-B0C4-34E6851E0764}"/>
</file>

<file path=customXml/itemProps3.xml><?xml version="1.0" encoding="utf-8"?>
<ds:datastoreItem xmlns:ds="http://schemas.openxmlformats.org/officeDocument/2006/customXml" ds:itemID="{690AF1CE-8F39-4AE7-8649-5969BF5C95C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dc:creator>
  <cp:keywords/>
  <dc:description/>
  <cp:lastModifiedBy>Tatiana Edelmira Garcia Chavarria</cp:lastModifiedBy>
  <cp:revision/>
  <dcterms:created xsi:type="dcterms:W3CDTF">2015-11-09T13:46:27Z</dcterms:created>
  <dcterms:modified xsi:type="dcterms:W3CDTF">2025-07-11T17:19:54Z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