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OCTUBRE/LIQUIDACIONES REDEBAN/"/>
    </mc:Choice>
  </mc:AlternateContent>
  <xr:revisionPtr revIDLastSave="1" documentId="13_ncr:1_{44C3962C-D14E-4DF1-9A5D-7FE2CA23A74C}" xr6:coauthVersionLast="47" xr6:coauthVersionMax="47" xr10:uidLastSave="{4F9A7967-0F80-47DC-8081-BDEECD14F72E}"/>
  <bookViews>
    <workbookView xWindow="-120" yWindow="-120" windowWidth="29040" windowHeight="15840" tabRatio="866" activeTab="2" xr2:uid="{00000000-000D-0000-FFFF-FFFF00000000}"/>
  </bookViews>
  <sheets>
    <sheet name="BASE DE LIQUIDACION 2025" sheetId="1" r:id="rId1"/>
    <sheet name="CENTRO DE COSTOS" sheetId="2" state="hidden" r:id="rId2"/>
    <sheet name="RESUMEN LIQUIDACIÓN" sheetId="4" r:id="rId3"/>
    <sheet name="CIERRES" sheetId="3" r:id="rId4"/>
  </sheets>
  <externalReferences>
    <externalReference r:id="rId5"/>
    <externalReference r:id="rId6"/>
    <externalReference r:id="rId7"/>
    <externalReference r:id="rId8"/>
    <externalReference r:id="rId9"/>
  </externalReferences>
  <definedNames>
    <definedName name="_xlnm._FilterDatabase" localSheetId="1" hidden="1">'CENTRO DE COSTOS'!$A$1:$D$23</definedName>
    <definedName name="_xlnm._FilterDatabase" localSheetId="3" hidden="1">CIERRES!$A$1:$AD$83</definedName>
    <definedName name="ACTIVIDAD">[1]Hoja2!$P$2:$P$30</definedName>
    <definedName name="Clientes">[2]Clientes!$A$2:$A$100</definedName>
    <definedName name="COORDINADOR">[1]Hoja2!$D$2:$D$30</definedName>
    <definedName name="Coordinadores">[3]Coordinadores!$A$2:$A$1000</definedName>
    <definedName name="DOCUMENTADOR">[1]Hoja2!$A$2:$A$30</definedName>
    <definedName name="ES">[1]Hoja2!$K$2:$K$30</definedName>
    <definedName name="ESS">[1]Hoja2!$K$2:$K$30</definedName>
    <definedName name="Estado">[2]Formulas!$K$2:$K$5000</definedName>
    <definedName name="ESTADOACTIVIDAD">[1]Hoja2!$M$2:$M$30</definedName>
    <definedName name="ESTADOSCIERRES">'[4]lista desplegable'!$CX$1:$DA$1</definedName>
    <definedName name="Facturacion">'[5]Listas desplegables'!$AO$1:$AR$1</definedName>
    <definedName name="solicitudes">'[5]Listas desplegables'!$U$1:$AF$1</definedName>
    <definedName name="Tecnicos">[2]Tecnicos!$A$2:$A$1000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4" l="1"/>
  <c r="H10" i="4" s="1"/>
  <c r="B6" i="4"/>
  <c r="F2" i="4"/>
  <c r="AD83" i="3"/>
  <c r="D6" i="4" s="1"/>
  <c r="B9" i="1"/>
  <c r="C6" i="1"/>
  <c r="C5" i="1"/>
  <c r="C4" i="1"/>
  <c r="C3" i="1"/>
  <c r="I5" i="4" l="1"/>
  <c r="I10" i="4" l="1"/>
  <c r="J5" i="4"/>
  <c r="J10" i="4" s="1"/>
  <c r="D7" i="4" s="1"/>
  <c r="D8" i="4" s="1"/>
  <c r="D9" i="4" l="1"/>
  <c r="D10"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Natacha Gutierrez Tamayo</author>
  </authors>
  <commentList>
    <comment ref="C7" authorId="0" shapeId="0" xr:uid="{00000000-0006-0000-0000-000001000000}">
      <text>
        <r>
          <rPr>
            <sz val="11"/>
            <color theme="1"/>
            <rFont val="Calibri"/>
            <family val="2"/>
            <scheme val="minor"/>
          </rPr>
          <t>Zoom</t>
        </r>
      </text>
    </comment>
  </commentList>
</comments>
</file>

<file path=xl/sharedStrings.xml><?xml version="1.0" encoding="utf-8"?>
<sst xmlns="http://schemas.openxmlformats.org/spreadsheetml/2006/main" count="2062" uniqueCount="723">
  <si>
    <t>CIERRE CB - VISITAS FALLIDAS O CIERRES NO EXITOSOS TARIFAS 2024</t>
  </si>
  <si>
    <t>Incremento 2025</t>
  </si>
  <si>
    <t xml:space="preserve">Tipificación </t>
  </si>
  <si>
    <t>Descripción</t>
  </si>
  <si>
    <t xml:space="preserve">Tarifa </t>
  </si>
  <si>
    <t>Tipo I</t>
  </si>
  <si>
    <t>Metropolitano</t>
  </si>
  <si>
    <t>Tipo II</t>
  </si>
  <si>
    <t>Hasta 3 horas</t>
  </si>
  <si>
    <t>Tipo III</t>
  </si>
  <si>
    <t>De 3 a 5 horas</t>
  </si>
  <si>
    <t>Tipo IV</t>
  </si>
  <si>
    <t>Más de 5 horas</t>
  </si>
  <si>
    <t>Trayecto Especial</t>
  </si>
  <si>
    <t>No incluye valor del Tiquete</t>
  </si>
  <si>
    <t>Valor de actividad Tipo IV + Valor tiquete aéreo (o fluvial) + 12% administración)</t>
  </si>
  <si>
    <t>Gestión telefonica</t>
  </si>
  <si>
    <t>CIUDAD</t>
  </si>
  <si>
    <t>CENTRO_COSTO</t>
  </si>
  <si>
    <t>DESCRIPCION</t>
  </si>
  <si>
    <t>COORDINADOR</t>
  </si>
  <si>
    <t>APARTADO</t>
  </si>
  <si>
    <t>0004-0005</t>
  </si>
  <si>
    <t>Redeban Noroccidente (Medellín)</t>
  </si>
  <si>
    <t>JUAN SEBASTIÁN RÍOS CASTRILLÓN</t>
  </si>
  <si>
    <t>BARRANQUILLA</t>
  </si>
  <si>
    <t>0004-0001</t>
  </si>
  <si>
    <t>Redeban Costa (Barranqullla)</t>
  </si>
  <si>
    <t>JOSE MAURICIO HERNANDEZ ROJAS</t>
  </si>
  <si>
    <t>BOGOTA</t>
  </si>
  <si>
    <t>0004-0004</t>
  </si>
  <si>
    <t>Redeban Centro ( Bogotá)</t>
  </si>
  <si>
    <t>WILLIAM ASDRUBAL ROZO ROZO</t>
  </si>
  <si>
    <t>BUCARAMANGA</t>
  </si>
  <si>
    <t>0004-0008</t>
  </si>
  <si>
    <t>Redeban Santander</t>
  </si>
  <si>
    <t>MIGUEL JULIÁN HERNÁNDEZ GUARÍN</t>
  </si>
  <si>
    <t>CALI</t>
  </si>
  <si>
    <t>0004-0003</t>
  </si>
  <si>
    <t>Redeban Suroccidente (Cali)</t>
  </si>
  <si>
    <t>DIEGO FERNANDO HENAO CARDONA</t>
  </si>
  <si>
    <t>CARTAGENA</t>
  </si>
  <si>
    <t>CUCUTA</t>
  </si>
  <si>
    <t>FLORENCIA</t>
  </si>
  <si>
    <t>0004-0007</t>
  </si>
  <si>
    <t>Redeban Oriente (Otros)</t>
  </si>
  <si>
    <t>KEVIN ALEXIS CORZO BUSTOS</t>
  </si>
  <si>
    <t>IBAGUE</t>
  </si>
  <si>
    <t>MANIZALES</t>
  </si>
  <si>
    <t>0004-0002</t>
  </si>
  <si>
    <t>Redeban Eje Cafetero (Pereira)</t>
  </si>
  <si>
    <t>MEDELLIN</t>
  </si>
  <si>
    <t>MONTERIA</t>
  </si>
  <si>
    <t>NEIVA</t>
  </si>
  <si>
    <t>PASTO</t>
  </si>
  <si>
    <t>PEREIRA</t>
  </si>
  <si>
    <t>POPAYAN</t>
  </si>
  <si>
    <t>SANTA MARTA</t>
  </si>
  <si>
    <t>SINCELEJO</t>
  </si>
  <si>
    <t>TUNJA</t>
  </si>
  <si>
    <t>VALLEDUPAR</t>
  </si>
  <si>
    <t>VILLAVICENCIO</t>
  </si>
  <si>
    <t>YOPAL</t>
  </si>
  <si>
    <t>CIUDAD SEDE</t>
  </si>
  <si>
    <t>ZONA</t>
  </si>
  <si>
    <t>CENTRO DE COSTOS LINEACOM</t>
  </si>
  <si>
    <t>CODIGO DANE</t>
  </si>
  <si>
    <t>TA/CODIGO ACTIVIDAD</t>
  </si>
  <si>
    <t>CODIGO CB</t>
  </si>
  <si>
    <t>ACTIVIDAD</t>
  </si>
  <si>
    <t>DEPARTAMENTO</t>
  </si>
  <si>
    <t xml:space="preserve">NOMBRE  DEL CB </t>
  </si>
  <si>
    <t>RED</t>
  </si>
  <si>
    <t>FO</t>
  </si>
  <si>
    <t>FECHA ASIGNACION A LINEA COMUNICACIONES</t>
  </si>
  <si>
    <t>FECHA CIERRE DEL TICKET (DD/MM/AAAA HH:MM)</t>
  </si>
  <si>
    <t>ACOMETIDA</t>
  </si>
  <si>
    <t>SOLICITUD</t>
  </si>
  <si>
    <t>FORMATO</t>
  </si>
  <si>
    <t>CADENA</t>
  </si>
  <si>
    <t>ESTADO</t>
  </si>
  <si>
    <t>CAUSAL ESTADO</t>
  </si>
  <si>
    <t>OBSERVACION</t>
  </si>
  <si>
    <t>FORMA DE ATENCION</t>
  </si>
  <si>
    <t>TERMINAL(ES)</t>
  </si>
  <si>
    <t>TIPIFICACION</t>
  </si>
  <si>
    <t>TIPO DE TRAYECTO</t>
  </si>
  <si>
    <t xml:space="preserve">NOMBRE DEL TECNICO </t>
  </si>
  <si>
    <t>DIAS DE VISITA</t>
  </si>
  <si>
    <t>VALOR ACTIVIDAD</t>
  </si>
  <si>
    <t>VALOR TOTAL</t>
  </si>
  <si>
    <t>REMOTAS</t>
  </si>
  <si>
    <t>50001</t>
  </si>
  <si>
    <t>LC-CS-25-000595</t>
  </si>
  <si>
    <t>3007078305</t>
  </si>
  <si>
    <t>OC CIERRE</t>
  </si>
  <si>
    <t>META</t>
  </si>
  <si>
    <t>BARRIO VILLA DEL RIO VILLAVICENCIO 1</t>
  </si>
  <si>
    <t>REDEBAN</t>
  </si>
  <si>
    <t>FO-25-1581657</t>
  </si>
  <si>
    <t>CIERRE</t>
  </si>
  <si>
    <t>RECUPERACION DE EQUIPOS</t>
  </si>
  <si>
    <t>UNO A UNO</t>
  </si>
  <si>
    <t>MEDIA</t>
  </si>
  <si>
    <t>EJECUTADO / CANCELADO</t>
  </si>
  <si>
    <t>CB CERRADO - DESOCUPADO</t>
  </si>
  <si>
    <t>26/09/2025 SE INTENTA COMUNICACIÓN A LOS  NÚMEROS 3124822757-3208412337 SUENA PERO NO HAY CONTACTO, SE INTENTARÁ NUEVAMENTE | 26/09/2025 EN COMUNICACIÓN CON LA SRA KATHERINE HERNANDEZ AL NÚMERO 3124822757 NOS CONFIRMA LA SOLICITUD, DATOS CORRECTOS. SE ESCALA PARA VISITA, POR FAVOR LLAMAR ANTES DE DESPLAZARSE | 27/09/2025 CLIENTE INFORMA QUE EL LUNES ENTREGA LOS EQUIPOS | 01/10/2025 SE REALIZA VISITA A CB COMERCIO CERRADO  SE REALIZAN MÚLTIPLES INTENTOS DE COMUNICACIÓN VÍA TELEFÓNICA Y VÍA WHATSAPP NO ES POSIBLE COMUNICACIÓN CON NÚMEROS REGISTRADOS 3124822757-3208412337 CB ILOCALIZABLE</t>
  </si>
  <si>
    <t>VISITA TECNICA</t>
  </si>
  <si>
    <t>TIPO I</t>
  </si>
  <si>
    <t>TERRESTRE</t>
  </si>
  <si>
    <t>CASTRILLON URREA LONDIER LEANDRO</t>
  </si>
  <si>
    <t>NOROCCIDENTE</t>
  </si>
  <si>
    <t>5266</t>
  </si>
  <si>
    <t>LC-CS-25-000605</t>
  </si>
  <si>
    <t>3007038534</t>
  </si>
  <si>
    <t>ANTIOQUIA</t>
  </si>
  <si>
    <t>ENVIGADO</t>
  </si>
  <si>
    <t>PTM ENVIGADO LYC</t>
  </si>
  <si>
    <t>FO-25-1600207</t>
  </si>
  <si>
    <t>AGREGADOR</t>
  </si>
  <si>
    <t>COMCARD - PTM</t>
  </si>
  <si>
    <t>01/10/2025 SE VISITA COMERCIO Y SE ENCUENTRA CERRADO ESPERO POR MÁS DE MEDIA HORA Y NO ABREN, ME INTENTO COMUNICAR AL NÚMERO INDICADO PERO NO CONTESTAN, PREGUNTO A PERSONAS ALEDAÑAS Y NADIE ME DA INFORMACIÓN DEL COMERCIO A QUE HORAS ABREN</t>
  </si>
  <si>
    <t>9A01Z521</t>
  </si>
  <si>
    <t>SUROCCIDENTE Y EJE CAFETERO</t>
  </si>
  <si>
    <t>76364</t>
  </si>
  <si>
    <t>LC-CS-25-000616</t>
  </si>
  <si>
    <t>3007070330</t>
  </si>
  <si>
    <t>VALLE DEL CAUCA</t>
  </si>
  <si>
    <t>JAMUNDI</t>
  </si>
  <si>
    <t>BARRIO URBANIZACION MARBELLA J</t>
  </si>
  <si>
    <t>FO-25-1600125</t>
  </si>
  <si>
    <t>CB UNO A UNO</t>
  </si>
  <si>
    <t>CB NO ENTREGA EQUIPO</t>
  </si>
  <si>
    <t>01/10/2025 SE LLEGA NUEVAMENTE A SITIO Y ME ES INFORMADO POR LA ESPOSA DEL SEÑOR ANTONIO (DAYANNA) QUE POR MOTIVO DE TIEMPO NO ME PUEDE ATENDER, POR QUE VA DE SALIDA.
INDICA QUE POR FAVOR LE AVISEN UN DIA Y HORA PARA ELLOS PODER ESTAR AL PENDIETE.</t>
  </si>
  <si>
    <t>NN005086</t>
  </si>
  <si>
    <t>TIPO II</t>
  </si>
  <si>
    <t>TORRES GARCIA JENDRY JOSE</t>
  </si>
  <si>
    <t>SANTANDERES</t>
  </si>
  <si>
    <t>15001</t>
  </si>
  <si>
    <t>LC-CS-25-000618</t>
  </si>
  <si>
    <t>3007017665</t>
  </si>
  <si>
    <t>BOYACA</t>
  </si>
  <si>
    <t>NORTE TUNJA BOYACA</t>
  </si>
  <si>
    <t>FO-25-1600108</t>
  </si>
  <si>
    <t>EJECUTADO</t>
  </si>
  <si>
    <t>30/09/2025 SE VISITA COMERCIO PERO NO EXISTE EN DIRECCIÓN, NO HAY LETRERO NI INDICADOR DE NEGOCIO, SE LLAMA A NÚMEROS DE CONTACTO 3123056853 PERO NO HAY RESPUESTA, SE CONSULTA ESTABLECIMIENTO CERCANOS PERO NO SABEN QUE PASÓ CON EL NEGOCIO</t>
  </si>
  <si>
    <t>HERRERA GARZON JEYSON STEVENT</t>
  </si>
  <si>
    <t>CUNDINAMARCA</t>
  </si>
  <si>
    <t>25290</t>
  </si>
  <si>
    <t>LC-CS-25-000619</t>
  </si>
  <si>
    <t>3007079557</t>
  </si>
  <si>
    <t>FUSAGASUGA</t>
  </si>
  <si>
    <t>BARRIO BALMORAL FUSAGASUGA 8</t>
  </si>
  <si>
    <t>FO-25-1600163</t>
  </si>
  <si>
    <t>01/10/2025 SE REALIZA VISITA A LA DIRECCIÓN COMERCIO NO EXISTE  EN LA DIRECCIÓN TEL DE CONTACTO NO RESPONDEN 3115939550 3026166908</t>
  </si>
  <si>
    <t>NA</t>
  </si>
  <si>
    <t>HERNANDEZ NARANJO OSCAR EDUARDO</t>
  </si>
  <si>
    <t>5001</t>
  </si>
  <si>
    <t>LC-CS-25-000646</t>
  </si>
  <si>
    <t>3007031131</t>
  </si>
  <si>
    <t>COMCARD PAPELERIA HYV</t>
  </si>
  <si>
    <t>FO-25-1607633</t>
  </si>
  <si>
    <t>02/10/2025 SE VISITA PUNTO Y SE ENCUENTRA LOCAL CERRADO, EN COMUNICACIÓN CON EL USUARIO NOS CONTESTA LAS SEÑORA MARÍA, ESPOSA DEL SEÑOR DIEGO. QUIEN NOS MANIFIESTA NO ES POSIBLE ATERDERNOS YA QUE SU ESPOSO SE ENCUENTRA EN CUIDADOS INTENSIVO Y DEBE ESTAR EN LA CLÍNICA. ELLA MANIFISTA QUÉ SI SE PUEDE REPROGRAMAR LA VISITA Y QUE SE LE LLAME ANTES DE VISITAR AL NÚMERO 3005070751</t>
  </si>
  <si>
    <t>DIAZ ZABALA FRANCIS DUBAN</t>
  </si>
  <si>
    <t>COSTA</t>
  </si>
  <si>
    <t>13001</t>
  </si>
  <si>
    <t>LC-CS-25-000648</t>
  </si>
  <si>
    <t>3007070121</t>
  </si>
  <si>
    <t>BOLIVAR</t>
  </si>
  <si>
    <t>PTM CARTAGENA INVERSIONES URIE</t>
  </si>
  <si>
    <t>FO-25-1669048 | FO-25-1637233</t>
  </si>
  <si>
    <t>EJECUTADO | EJECUTADO / CANCELADO</t>
  </si>
  <si>
    <t>CIERRE EXITOSO</t>
  </si>
  <si>
    <t>11/10/2025 SE LLAMA AL CLIENTE INFORMA QUE ENTREGA LOS EQUIPOS EN SU CASA | 11/10/2025 SE REALIZA CIERRE DEL CB CLIENTE ENTREGA EQUIPO LECTORA BASE FUENTE FLSNGGER DISPLAY HORARIO NO TIENE MA NADA</t>
  </si>
  <si>
    <t>A30EZ517</t>
  </si>
  <si>
    <t>CANEDO HERRERA ALEXANDER</t>
  </si>
  <si>
    <t>5615</t>
  </si>
  <si>
    <t>LC-CS-25-000651</t>
  </si>
  <si>
    <t>3007069101</t>
  </si>
  <si>
    <t>RIONEGRO</t>
  </si>
  <si>
    <t>PTM RIONEGRO PAPER STATION</t>
  </si>
  <si>
    <t>FO-25-1637217</t>
  </si>
  <si>
    <t>07/10/2025 EN COMUNICACION CON EL SEÑOR SALOMON ROJAS BETANCUR AL NUMERO 3243444117, CONFIRMA DATOS OK PARA LA RECOLECCION DE EQUIPOS. SE ESCALA PARA VISITA | 07/10/2025 SE VISITA COMERCIO Y YA NO OPERA EN DIRECCIÓN NO SE LOGRA COMUNICACIÓN CON EL USUARIO</t>
  </si>
  <si>
    <t>76001</t>
  </si>
  <si>
    <t>LC-CS-25-000657</t>
  </si>
  <si>
    <t>3007044824</t>
  </si>
  <si>
    <t>DISTRICOL D Y M INTERCOMUNICAC</t>
  </si>
  <si>
    <t>FO-25-1637207</t>
  </si>
  <si>
    <t>DISTRICOL</t>
  </si>
  <si>
    <t>07/10/2025 SE INTENTA COMUNICACION CON LA SEÑORA MARIA PAULA ALBORNOZ MUNOZ A LOS NUMEROS 3157714780 - 3176157356, PERO NO CONTESTA LA LLAMADA. SE INTENTARA COMUNICACION MAS TARDE | 08/10/2025 SE VISITA EL COMERCIO ESTA CERRADO, SE LLAMA AL CLIENTE AL NÚMERO 3176157356 HABLO CON LA HIJA DE DOÑA CLAUDIA SE VÁLIDA EL CIERRE DEL CB INDICA QUE HOY CERRÓ TEMPRANO EL LOCAL, SOLICITA REPROGRAMAR VISITA PARA OTRO DIA</t>
  </si>
  <si>
    <t>NONE</t>
  </si>
  <si>
    <t>HERRERA MONAR GEOVANNY</t>
  </si>
  <si>
    <t>11001</t>
  </si>
  <si>
    <t>LC-CS-25-000659</t>
  </si>
  <si>
    <t>3007042082</t>
  </si>
  <si>
    <t>PTM BOGOTA COUNTRYFARMA</t>
  </si>
  <si>
    <t>FO-25-1637199</t>
  </si>
  <si>
    <t>07/10/2025 SE INTENTA COMUNICACION CON EL SEÑOR DAVID GRISALES A LOS NUMEROS 6050962 - 3005538665, PERO NO CONTESTA LA LLAMADA. SE INTENTARA COMUNICACION MAS TARDE | 10/10/2025 SE REPROGRAMA VISITA, YA QUE NO SE ENCUENTRA LA PERSONA ENCARGADA QUIEN ENTREGA Y QUIÉN AUTORIZA. SE INTENTÓ LLAMAR A LOS NÚMEROS DE CONTACTOS INDICADOS, SIN COMUNICACIÓN CON LA PERSONA.</t>
  </si>
  <si>
    <t>AB0XZ204</t>
  </si>
  <si>
    <t>ORTIZ YARA FRANKLYN ISRAEL</t>
  </si>
  <si>
    <t>LC-CS-25-000680</t>
  </si>
  <si>
    <t>3007039460</t>
  </si>
  <si>
    <t>BARRIO EL SALVADOR MEDELLIN 2</t>
  </si>
  <si>
    <t>FO-25-1646406</t>
  </si>
  <si>
    <t>08/10/2025 SE ESCALA PARA VISITA. CONFIRMAR DATOS PARA LA RECOLECCION DE EQUIPOS | 09/10/2025 SE VISITA PUNTO PERO SE ENCUENTRA CERRADO, NO CONTESTAN NÚMEROS BRINDADOS, LOCAL VECINO DICE QUE NO TIENE INFORMACIÓN</t>
  </si>
  <si>
    <t>GZ08Z275 - 4A00C903</t>
  </si>
  <si>
    <t>QUINTERO SANCHEZ JUAN SEBASTIAN</t>
  </si>
  <si>
    <t>LC-CS-25-000681</t>
  </si>
  <si>
    <t>3007079442</t>
  </si>
  <si>
    <t>BARRIO DOCE DE OCTUBRE MEDELLIN 6</t>
  </si>
  <si>
    <t>FO-25-1680847 | FO-25-1646437</t>
  </si>
  <si>
    <t>15/10/2025 AL CLIENTE NO LE ENTRAN LAS LLAMADAS | 15/10/2025 SE INTENTA CONTACTAR CON EL CLIETE Y NO LE ENTRAN LAS LLAMADAS, SE VISITA NUEVAMENTE EL PUNTO Y ESTÁ CERRADO</t>
  </si>
  <si>
    <t>CARDONA MOLINA BROLIN STIVEN</t>
  </si>
  <si>
    <t>5376</t>
  </si>
  <si>
    <t>LC-CS-25-000682</t>
  </si>
  <si>
    <t>3007051510</t>
  </si>
  <si>
    <t>LA CEJA</t>
  </si>
  <si>
    <t>BARRIO CENTRO LA CEJA 1</t>
  </si>
  <si>
    <t>FO-25-1646281</t>
  </si>
  <si>
    <t>08/10/2025 SE ESCALA PARA VISITA. CONFIRMAR DATOS PARA LA RECOLECCION DE EQUIPOS | 10/10/2025 SE LLEGA A LA DIRECCIÓN INDICADA, SE ENCUENTRA LOCAL VACÍO, SE PREGUNTA A VECINOS E INFORMAN QUE HACE TIEMPO CERRARON LOCAL. SE TRATA DE LLAMAR AL CLIENTE, PERO NO CONTESTA. SE CIERRA ACTIVIDAD</t>
  </si>
  <si>
    <t>ALVAREZ ARENAS VICTOR HUGO</t>
  </si>
  <si>
    <t>15224</t>
  </si>
  <si>
    <t>LC-CS-25-000688</t>
  </si>
  <si>
    <t>3007047104</t>
  </si>
  <si>
    <t>CUCAITA</t>
  </si>
  <si>
    <t>BARRIO VEREDA CHAPACATA CUCAIT</t>
  </si>
  <si>
    <t>FO-25-1658906 | FO-25-1646426</t>
  </si>
  <si>
    <t xml:space="preserve"> | EJECUTADO / CANCELADO</t>
  </si>
  <si>
    <t>08/10/2025 SE ESCALA PARA VISITA. CONFIRMAR DATOS PARA LA RECOLECCION DE EQUIPOS | 08/10/2025 SE LLEGA A SITIO SE ENCUENTRA CERRADO.... CLIENTE MANIFIESTA ATENCIÓN EL DIA DE MAÑANA DESPUÉS DE LAS 11:40 AM | 09/10/2025 SE VISITA CB PARA REALIZAR RETIRO....CB SE ENCUENTRA CERRADO CLIENTE MANIFIESTA ATENCIÓN EL DIA DE MAÑANA, DESPUES DE LAS 11:40 AM</t>
  </si>
  <si>
    <t>GONZALEZ GONZALEZ MARIO ALBERTO</t>
  </si>
  <si>
    <t>19212</t>
  </si>
  <si>
    <t>LC-CS-25-000690</t>
  </si>
  <si>
    <t>3007080363</t>
  </si>
  <si>
    <t>CAUCA</t>
  </si>
  <si>
    <t>CORINTO</t>
  </si>
  <si>
    <t>BARRIO EL FRIJOL CORINTO 1</t>
  </si>
  <si>
    <t>FO-25-1646441</t>
  </si>
  <si>
    <t>08/10/2025 SE ESCALA PARA VISITA. CONFIRMAR DATOS PARA LA RECOLECCION DE EQUIPOS | 15/10/2025 SE VALIDA CON EL CLIENTE DADO A QUE LA ZONA PRESENTA PROBLEMAS DE ORDEN PUBLICO. SE ESTA EN VALIDACION CON EL CLIENTE PARA PODER DESPLAZARNOS AL SITIO | 17/10/2025 SE INTENTÓ ESTABLECER COMUNICACIÓN TELEFÓNICA CON EL CLIENTE PERO NO HUBO RESPUESTA,SE VISITÓ EL SITIO Y SE ENCONTRÓ CERRADO, LOS VECINOS ME INFORMAN QUE ESTA CERRADO HACE DÍAS Y NO SABEN NADA DEL CLIENTE</t>
  </si>
  <si>
    <t>LA TERMINAL NO FUE INTERVENIDA</t>
  </si>
  <si>
    <t>TIPO III</t>
  </si>
  <si>
    <t>SANCHEZ URREGO ROBINSON DAVID</t>
  </si>
  <si>
    <t>25843</t>
  </si>
  <si>
    <t>LC-CS-25-000693</t>
  </si>
  <si>
    <t>3007068816</t>
  </si>
  <si>
    <t>VILLA DE SAN DIEGO DE UBATE</t>
  </si>
  <si>
    <t>BARRIO JUAN JOSE NEIRA VILLA D</t>
  </si>
  <si>
    <t>FO-25-1646357</t>
  </si>
  <si>
    <t>08/10/2025 SE ESCALA PARA VISITA. CONFIRMAR DATOS PARA LA RECOLECCION DE EQUIPOS | 15/10/2025 SE VISITA COMERCIO POR CIERRE DE PUNTO AL LLEGAR A LA DIRECCIÓN REGISTRADA EL COMERCIO SE ENCUENTRA CERRADO. SE PROCEDE A REALIZAR GESTIÓN TELEFÓNICA A LA LÍNEA 3002329015 PERO CLIENTE NO CONTESTA. SE PROCEDE A CERRAR ORDEN SIN MÁS NOVEDAD</t>
  </si>
  <si>
    <t>NO APLICA</t>
  </si>
  <si>
    <t>ROMERO ROJAS BREIDY JHOHAN</t>
  </si>
  <si>
    <t>LC-CS-25-000699</t>
  </si>
  <si>
    <t>3007078303</t>
  </si>
  <si>
    <t>BARRIO VILLA VALERIA VILLAVICENCIO 2</t>
  </si>
  <si>
    <t>FO-25-1652622 | FO-25-1646307</t>
  </si>
  <si>
    <t>15/10/2025 NA | 15/10/2025 SE REALIZA VISITA A COMERCIO LOCAL CERRADO NO EXISTE NO ES POSIBLE COMUNICACIÓN CON TITULAR LUZ MARY 3108187940</t>
  </si>
  <si>
    <t>54001</t>
  </si>
  <si>
    <t>LC-CS-25-000700</t>
  </si>
  <si>
    <t>3007018446</t>
  </si>
  <si>
    <t>NORTE DE SANTANDER</t>
  </si>
  <si>
    <t>BARRIO LA PLAYA V CUCUTA</t>
  </si>
  <si>
    <t>FO-25-1646242</t>
  </si>
  <si>
    <t>08/10/2025 SE ESCALA PARA VISITA. CONFIRMAR DATOS PARA LA RECOLECCION DE EQUIPOS | 08/10/2025 SE REALIZÓ VISITA AL COMERCIO Y SE ENCUENTRA QUE YA NO EXISTE CB NI COMERCIO, SE REALIZA LLAMADA TELEFÓNICA AL NÚMERO 3208353650 NO SE OBTIENE COMUNICACIÓN</t>
  </si>
  <si>
    <t>MORA VEGA JEAMPIER</t>
  </si>
  <si>
    <t>76834</t>
  </si>
  <si>
    <t>LC-CS-25-000703</t>
  </si>
  <si>
    <t>3007057623</t>
  </si>
  <si>
    <t>TULUA</t>
  </si>
  <si>
    <t>BARRIO VILLA COLOMBIA TULUA</t>
  </si>
  <si>
    <t>FO-25-1646380</t>
  </si>
  <si>
    <t>08/10/2025 SE ESCALA PARA VISITA. CONFIRMAR DATOS PARA LA RECOLECCION DE EQUIPOS | 15/10/2025 SE INTENTÓ ESTABLECER COMUNICACIÓN TELEFÓNICA PERO NO HUBO RESPUESTA SE REALIZÓ VISITA TÉCNICA AL SITIO PERO ÉL CB YA NO EXISTE ALLÍ Y NADIE TIENE INFORMACIÓN EN EL SECTOR.</t>
  </si>
  <si>
    <t>LC-CS-25-000708</t>
  </si>
  <si>
    <t>3007065001</t>
  </si>
  <si>
    <t>BARRIO LA ALDEA VILLA JULIANA</t>
  </si>
  <si>
    <t>FO-25-1646336</t>
  </si>
  <si>
    <t>08/10/2025 SE ESCALA PARA VISITA. CONFIRMAR DATOS PARA LA RECOLECCION DE EQUIPOS | 09/10/2025 SE REALIZA VISITA AL CB POR SOLICITUD DE CIERRE RBM, SE LLEGA AL PUNTO DONDE ME INFORMAN QUE LA USUARIA NO SE ENCUENTRA SE LLAMA Y NO CONTESTA NO SE PROCEDE A RECOGER LOS EQUIPOS PORQUE LA PERSONA QUE SE ENCUENTRA NO ESTÁ AUTORIZADA A ENTREGARLOS</t>
  </si>
  <si>
    <t>NO ES POSIBLE OBTENER LA INFORMACIÓN PORQUE NO HAY NINGUNA PERSONA AUTORIZADA A ENTREGARLOS</t>
  </si>
  <si>
    <t>MOLINA CASTRO JAVIER ALBERTO</t>
  </si>
  <si>
    <t>LC-CS-25-000710</t>
  </si>
  <si>
    <t>3007058590</t>
  </si>
  <si>
    <t>BARRIO FONTIBON BOGOTA13</t>
  </si>
  <si>
    <t>FO-25-1646312</t>
  </si>
  <si>
    <t>15/10/2025 DURANTE LA VISITA TECNICA PARA REALIZAR CIERRE DE CORRESPONSAL AL LLEGAR SE EVIDENCIA QUE LA DIRECCIÓN NO EXISTE SE LLEGAR A DIRECCIÓN CERCANA Y PREGUNTA EN COMERCIOS CERCANOS SIN INFORMACIÓN SE LLAMA A NÚMEROS DE CONTACTO LOS CUALES SE ENCUENTRAN APAGADOS SE PROCEDE AL CIERRE DE ACTIVIDAD</t>
  </si>
  <si>
    <t>GALEANO SORIANO JUAN DAVID</t>
  </si>
  <si>
    <t>LC-CS-25-000711</t>
  </si>
  <si>
    <t>3007064726</t>
  </si>
  <si>
    <t>BARRIO PICHINDE CALI 1</t>
  </si>
  <si>
    <t>FO-25-1646450</t>
  </si>
  <si>
    <t>PARCIAL EXITOSO PTE. DATAFONO</t>
  </si>
  <si>
    <t>08/10/2025 SE ESCALA PARA VISITA. CONFIRMAR DATOS PARA LA RECOLECCION DE EQUIPOS | 09/10/2025 EN LA LLAMADA TELEFÓNICA REALIZADA AL CLIENTE, EL CLIENTE INFORMA QUE LOS EQUIPOS QUE TENÍAN EN CALI YA SE LOS HAN LLEVADO Y SOLO QUEDA EN SU PODER LA LECTORA. EL CLIENTE DA UNA DIRECCIÓN PARA IR POR LA LECTORA SE LLEGA AL SITIO NO SE ENCUENTRA EL EQUIPO EN EL SITIO EL CLEINTE ENTREGA LA LECTORA CON PLACAS 884998 Y SE RETIRA LECTORA 884998, DADA DE BAJA  CON AUTORIZACION DE REDEBAN</t>
  </si>
  <si>
    <t>3A003103</t>
  </si>
  <si>
    <t>BENAVIDES ARANGO RAFAEL JOSE</t>
  </si>
  <si>
    <t>LC-CS-25-003860</t>
  </si>
  <si>
    <t>3007067087</t>
  </si>
  <si>
    <t>DISTRICOL MIRADOR TUBER</t>
  </si>
  <si>
    <t>FO-25-1663832</t>
  </si>
  <si>
    <t>10/10/2025 NA | 10/10/2025 EN COMUNICACIÓN CON EL SEÑOR ALEXANDER MANIFISTA QUÉ EQUIPO FUERON ENTREGADO AL ASESOR DE DISTRICOL</t>
  </si>
  <si>
    <t>SOPORTE TELEFONICO</t>
  </si>
  <si>
    <t>LC-CS-25-003863</t>
  </si>
  <si>
    <t>3007081037</t>
  </si>
  <si>
    <t>DISTRICOL LA VIÑA JCI</t>
  </si>
  <si>
    <t>FO-25-1663760</t>
  </si>
  <si>
    <t>10/10/2025 SE LLAMA AL CLIENTE Y NO CONTESTA | 10/10/2025 SE LLAMA AL CLIENTE Y NO CONTESTA, SE LLEGA AL PUNTO Y NOS COMENTAN QUE LA SEÑORA VENDIÓ Y SE LLEVÓ TODOS LOS EQUIPOS HACE 15 DÍAS</t>
  </si>
  <si>
    <t>LC-CS-25-003864</t>
  </si>
  <si>
    <t>3007081361</t>
  </si>
  <si>
    <t>DISTRICOL ALUMIACEROS</t>
  </si>
  <si>
    <t>FO-25-1663794</t>
  </si>
  <si>
    <t>11/10/2025 SE HABLA HABLA CON LA SRA ERLEDIS E INFORMA QUE YA DEVOLVIÓ LOS EQUIPOS A DISTRICOL ME INTENTO COMUNICAR EN DISTRICOL Y NO ES POSIBLE AL PARECER LABORAN DE LUNES A VIERNES | 14/10/2025 SE LLEGA A DISTRICOL PERO NOS INDICAN QUE EL CIERRE DE ESE CB NO HA LLEGADO Y NO LO TIENEN EN SU PODER. QUE APENAS LLEGUE, SE ESTARÍAN COMUNICANDO PARA REALIZAR LA PROGRAMACIÓN DEL CIERRE</t>
  </si>
  <si>
    <t>N/A</t>
  </si>
  <si>
    <t>MONTOYA VELEZ ANDRES FELIPE</t>
  </si>
  <si>
    <t>68001</t>
  </si>
  <si>
    <t>LC-CS-25-003869</t>
  </si>
  <si>
    <t>3007056728</t>
  </si>
  <si>
    <t>SANTANDER</t>
  </si>
  <si>
    <t>DISTRICOL PAPELERIA LA 28</t>
  </si>
  <si>
    <t>FO-25-1663846</t>
  </si>
  <si>
    <t>20/10/2025 SE INTENTA LA COMUNICACIÓN NO ES POSIBLE | 20/10/2025 SE INTENTA LA COMUNICACIÓN CON EL CLIENTE AL NÚMERO DE TELÉFONO 3147709723 NO FUE POSIBLE, SE VISITA COMERCIO, SE ENCUENTRA CERRADO SE DEJA EVIDENCIA FOTOGRÁFICAS</t>
  </si>
  <si>
    <t>XPNZZ699</t>
  </si>
  <si>
    <t>HERRERA LUQUE SAUL JAVIER</t>
  </si>
  <si>
    <t>86001</t>
  </si>
  <si>
    <t>LC-CS-25-003870</t>
  </si>
  <si>
    <t>3007070540</t>
  </si>
  <si>
    <t>PUTUMAYO</t>
  </si>
  <si>
    <t>MOCOA</t>
  </si>
  <si>
    <t>DISTRICOL SRA EMPANADA</t>
  </si>
  <si>
    <t>FO-25-1663827</t>
  </si>
  <si>
    <t>21/10/2025 SE REALIZÓ COMUNICACIÓN CON EL USUARIO E INFORMA QUE EL YA DEVOLVIÓ LOS EQUIPOS | 20/10/2025 SE ESTÁ PENDIENTE DE RESTABLECIMIENTO DE VÍA PASTO - PUTUMAYO PARA PODER PROCEDER CON LA VISITA EN SITIO | 21/10/2025 SE REALIZÓ COMUNICACIÓN TELEFÓNICA CON USUARIO ANTES DE DESPLAZARSE Y NOS INFORMA QUE EL REALIZÓ YA EL ENVÍO DE LOS EQUIPOS A MEDELLÍN POR SOLICITUD DE DISTRICOL, POR LO QUE NO SE REALIZA VISITA AL COMERCIO.</t>
  </si>
  <si>
    <t>TIPO IV</t>
  </si>
  <si>
    <t>GUERRERO RAMIREZ OSCAR DARIO</t>
  </si>
  <si>
    <t>LC-CS-25-003871</t>
  </si>
  <si>
    <t>3007057829</t>
  </si>
  <si>
    <t>DISTRICOL INVICTA TECNOLOGIA Y</t>
  </si>
  <si>
    <t>FO-25-1663753</t>
  </si>
  <si>
    <t>20/10/2025 N/A | 20/10/2025 SE REALIZA VISITA A CB AL LLEGAR A DIRECCIÓN INDICADA CB SE ENCUENTRA CERRADO SE ESCALA CON COORDINADOR DANDO APROBACIÓN DE CIERRE SE DEJA REGISTRO FOTOGRÁFICO</t>
  </si>
  <si>
    <t>9GZZZ449</t>
  </si>
  <si>
    <t>JAIMES VALERO NELSON RICARDO</t>
  </si>
  <si>
    <t>LC-CS-25-003872</t>
  </si>
  <si>
    <t>3007075449</t>
  </si>
  <si>
    <t>BARRIO FONTANA BUCARAMANGA</t>
  </si>
  <si>
    <t>FO-25-1663855</t>
  </si>
  <si>
    <t>21/10/2025 SE INTENTA COMUNICAR CON CLIENTE AL NUMERO REGISTRADO Y NO CONTESTA, NOS PROCEDEMOS A DESPLAZAR A SITIO | 21/10/2025 PROGRAMADO PARA EL 21-10 | 21/10/2025 SE VISITA COMERCIO SE ENCUENTRA CERRADO, SE INTENTA COMUNICAR A NUMERO REGISTRADO 3004725991 Y NO HAY RESPUESTA, SE PROCEDE A CERRAR ORDEN</t>
  </si>
  <si>
    <t>GELVEZ MOGOLLON JOSE ELISEO</t>
  </si>
  <si>
    <t>52001</t>
  </si>
  <si>
    <t>LC-CS-25-003888</t>
  </si>
  <si>
    <t>3007079946</t>
  </si>
  <si>
    <t>NARIÑO</t>
  </si>
  <si>
    <t>BARRIO LA FLORESTA PASTO 2</t>
  </si>
  <si>
    <t>FO-25-1663722</t>
  </si>
  <si>
    <t>20/10/2025 NO FUE POSIBLE COMUNICACIÓN CON CLIENTE SE INICIA DESPLAZAMIENTO AL SITIO | 20/10/2025 SE LLEGA A CORRESPONSAL A REALIZAR CIERRE DE CORRESPONSAL BANCARIO CLIENTE INFORMA QUE NO VA REALIZAR ENTREGA DE EQUIPO NI PUBLICIDAD PORQUE SE ENCUENTRA EN PROCESO DE SOLICITUD DE NO CIERRE Y ESTA A LA ESPERA DE RESPUESTA POR PARTE DE LA ENTIDAD NO CUENTA CON CORREO ELECTRÓNICO</t>
  </si>
  <si>
    <t>SAVZZ106</t>
  </si>
  <si>
    <t>BRAVO MADROÑERO OSCAR ESTEBAN</t>
  </si>
  <si>
    <t>LC-CS-25-003889</t>
  </si>
  <si>
    <t>3007036002</t>
  </si>
  <si>
    <t>BARRIO PRADOS DEL NORTE CUCUTA</t>
  </si>
  <si>
    <t>FO-25-1663744</t>
  </si>
  <si>
    <t>21/10/2025 SE ESCALA PARA VISITA. CONFIRMAR DATOS PARA LA RECOLECCION DE EQUIPOS | 21/10/2025 ACTIVIDAD PROGRAMADDA PARA EL 21-10 | 21/10/2025 SE REALIZA VISITA EL ENCARGADO DEL SALÓN DE BELLEZA ME INFORMA QUE LA PERSONA ENCARGADA DE LAS LLAVES DEL CORRESPONSAL NO SE ENCUENTRA EN LA CIUDAD, ME INFORMA QUE DE PRONTO LLEGUE EL DÍA DE MAÑANA YA QUE SE ENCUENTRA POR LA FRONTERA. SE PROGRAMA VISITA A LA ESPERA DE RESPUESTA POR PARTE DEL CLIENTE PARA LA VISITA Y RETIRO DE EQUIPOS</t>
  </si>
  <si>
    <t>9A007850 | 9B08Z094</t>
  </si>
  <si>
    <t>DURAN ACOSTA FRANK YONNY</t>
  </si>
  <si>
    <t>LC-CS-25-003892</t>
  </si>
  <si>
    <t>3007080440</t>
  </si>
  <si>
    <t>BARRIO MODELO CALI</t>
  </si>
  <si>
    <t>FO-25-1663791</t>
  </si>
  <si>
    <t>17/10/2025 SE COMUNICA CON EL SEÑOR WASHINGTON INFORMA ESTA ESPERANDO LA RESPUESTA DEL BANCO POR UNAS TRANSACCIONES | 17/10/2025 SE LLEGA AL COMERCIO HABLO CON EL SEÑOR WASHINGTON ZÚÑIGA INFORMA QUE ESTÁ ESPERANDO RESPUESTA DEL BANCO, ESTÁ EN UN PROCESO DE UN DERECHO DE PETICIÓN POR UNAS TRANSACCIONES Y POR EL MOMENTO NO VA A ENTREGAR LOS EQUIPOS, LA VISITA ES FALLIDA CIERRE NO EXITOSO</t>
  </si>
  <si>
    <t>LC-CS-25-003895</t>
  </si>
  <si>
    <t>3007069347</t>
  </si>
  <si>
    <t>BARRIO BELLA FLOR BOGOTA 1</t>
  </si>
  <si>
    <t>FO-25-1663797</t>
  </si>
  <si>
    <t>20/10/2025 N/A | 18/10/2025 EN CONTACTO CON LA SRA MICHELL BRILLITH MORALES RINCON / TEL FIJO CELULAR: 0 | 3124679638, MANIFIESTA NO ENTREGA EQUIPOS PORQUE LA MICHEL NO ESTA, CONTESTA LA MAMÁ DE NOMBRE CLAUDIA. | 20/10/2025 SE VISITA COMERCIO, LA SEÑORA QUE ESTA ENCARGADA CLAUDIA MORALES INFORMA NO ENTREGA EQUIPOS YA QUE NO ESTA LA PROPIETARIA MICHAEL MORALES , INFORMA DEBE ESTAR PRESENTE LA REPRESENTANTE LEGAL Y NO REALIZA LA ENTREGA. NO FIRMA NO SUMINISTRA MAS DATOS PERSONA ENCARGADA.</t>
  </si>
  <si>
    <t>9T5ZZ283</t>
  </si>
  <si>
    <t>ARIAS QUILINDO JULIAN</t>
  </si>
  <si>
    <t>LC-CS-25-003905</t>
  </si>
  <si>
    <t>3007013005</t>
  </si>
  <si>
    <t>TERMINAL COORDINADORA MEDELLIN</t>
  </si>
  <si>
    <t>FO-25-1670137</t>
  </si>
  <si>
    <t>14/10/2025 SE HABLA CON MARINA Y INFORMA QUE PODEMOS PASAR | 14/10/2025 SE LLEGA AL PUNTO PERO CLIENTE LO QUE QUERÍA ERA QUE SE RECUPERARARN LOS EQUIPOS DE CCO MÁS NO REDEBAN YA QUE TODAVÍA ESTÁN OPERATIVOS Y NO LES HAN ECHO MIGRACIÓN WOMPI</t>
  </si>
  <si>
    <t>NO</t>
  </si>
  <si>
    <t>LC-CS-25-003906</t>
  </si>
  <si>
    <t>3007057288</t>
  </si>
  <si>
    <t>BARRIO CABECERA BUCARAMANGA 14</t>
  </si>
  <si>
    <t>FO-25-1670206</t>
  </si>
  <si>
    <t>21/10/2025 SE DESPLAZA A SITIO CLIENTE NO CONTESTA | 21/10/2025 SE VISITA COMERCIO , NO ENTREGAN EQUIPOS DEBIDO A Q NO ESTA LA PERSONA ENCARGADA, INDICAN Q SE DEBE PASAR DESPUES DEL DIA 22 DE OCTUBRE</t>
  </si>
  <si>
    <t>68081</t>
  </si>
  <si>
    <t>LC-CS-25-003917</t>
  </si>
  <si>
    <t>3007034117</t>
  </si>
  <si>
    <t>BARRANCABERMEJA</t>
  </si>
  <si>
    <t>COMCARD BARRANCA ARCOIRIS</t>
  </si>
  <si>
    <t>FO-25-1685375</t>
  </si>
  <si>
    <t>15/10/2025 SE ESCALA PARA VISITA. CONFIRMAR DATOS PARA LA RECOLECCION DE EQUIPOS | 21/10/2025 CONTACTO: ADRIANA BADILLO
CELULAR: 321 511 6269
DIRECCIÓN: CALLE 5A NO. 39 – 194, BARRIO EL POBLADO, MEDELLÍN
OBSERVACIÓN: SE ESTABLECE COMUNICACIÓN CON LA SEÑORA ADRIANA, QUIEN INFORMA QUE LOS EQUIPOS YA SE ENCUENTRAN EN LA CIUDAD DE MEDELLÍN.</t>
  </si>
  <si>
    <t>PEÑA DIAZ IVAN YESID</t>
  </si>
  <si>
    <t>LC-CS-25-003918</t>
  </si>
  <si>
    <t>3007064871</t>
  </si>
  <si>
    <t>PTM BOGOTA DISTRIBUIDORA DE VI</t>
  </si>
  <si>
    <t>FO-25-1685351</t>
  </si>
  <si>
    <t>15/10/2025 SE ESCALA PARA VISITA. CONFIRMAR DATOS PARA LA RECOLECCION DE EQUIPOS | 18/10/2025 SE PROCEDE A BUSCAR DIRECCIÓN DE LA SEÑORA NUBIA CLAVIJO, SE LLAMA AL CELULAR EN 5 OCACIONES SE DESVÍAN LAS LLAMADAS, NO HAY CONTESTACIÓN POR WHATSAPP ADEMÁS SE LE PREGUNTA A LOS VECINOS Y ELLOS INDICAN QUE CERRÓ EL NEGOCIO HACE BASTANTE TIEMPO</t>
  </si>
  <si>
    <t>ALARCON AREVALO JOHAN STIVEN</t>
  </si>
  <si>
    <t>LC-CS-25-003924</t>
  </si>
  <si>
    <t>3007046631</t>
  </si>
  <si>
    <t>PTM  BOGOTA  PUNTOSERVIS BOGOT</t>
  </si>
  <si>
    <t>FO-25-1698836 | FO-25-1685377</t>
  </si>
  <si>
    <t>18/10/2025 VISITA PRESENCIAL | 18/10/2025 SE LLEGA AL COMERCIO SE VALÍA CERRADO SE MARCA EL NÚMERO DE CONTACTO 3204558313 EL CUAL NADIE RESPONDE SE PREGUNTA EN EL COMERCIO ALEDAÑO INDICAN QUE NO ABREN HACE VARIOS DÍAS SE PROCEDE A HACER CIERRE LA VISITA YA QUE SE HA VISITADO EN MÚLTIPLES OCASIONES</t>
  </si>
  <si>
    <t>0</t>
  </si>
  <si>
    <t>GOMEZ VEGA DAVID SNEYDER</t>
  </si>
  <si>
    <t>73001</t>
  </si>
  <si>
    <t>LC-CS-25-003927</t>
  </si>
  <si>
    <t>3007063213</t>
  </si>
  <si>
    <t>TOLIMA</t>
  </si>
  <si>
    <t>PTM IBAGUE DISTRIBUIDORA AYV</t>
  </si>
  <si>
    <t>FO-25-1685380</t>
  </si>
  <si>
    <t>15/10/2025 SE ESCALA PARA VISITA. CONFIRMAR DATOS PARA LA RECOLECCION DE EQUIPOS | 21/10/2025 SE LLEGA A LA DIRECCIÓN DEL CB Y ESTÁ CERRADO. SE BUSCA HACER CONTACTO CON EL SEÑOR VÍCTOR PANTOJA, POR LLAMADA DE TELÉFONO Y MENSAJES POR WHATSAPP AL NÚMERO 3026622583 Y NO CONTESTA. SE BUSCA LA TERMINAL DEL DATÁFONO 1062162 Y NO APARECE.</t>
  </si>
  <si>
    <t>VARGAS HERRERA JHON JAIRO</t>
  </si>
  <si>
    <t>LC-CS-25-003928</t>
  </si>
  <si>
    <t>3007033556</t>
  </si>
  <si>
    <t>COMCARD BOGOTA ALTAVISTA</t>
  </si>
  <si>
    <t>FO-25-1685369</t>
  </si>
  <si>
    <t>15/10/2025 SE ESCALA PARA VISITA. CONFIRMAR DATOS PARA LA RECOLECCION DE EQUIPOS | 16/10/2025 SE REALIZA VISITA DE CAMPO ENCONTRADO QUE COMERCIO NO EXISTE EN DIRECCIÓN INDICADA EN RUTA, CABE RESALTAR QUE LA DIRECCIÓN QUEDA EN UN CONJUNTO RESIDENCIAL SE INDAGA POR EL NOMBRE DE CONTACTO EN ORDEN DE SERVICIO NO LO CONOCEN, LOCAL TAMPOCO CONOCEN, SE LLAMA A LA LÍNEA 3508309021 NO HAY RESPUESTA, SE INFORMA A SUPERVISOR QUIEN AUTORIZA CIERRE DE SOLICITUD.</t>
  </si>
  <si>
    <t>LOZADA ROJAS CHRISTIAN ANDRES</t>
  </si>
  <si>
    <t>18001</t>
  </si>
  <si>
    <t>LC-CS-25-003932</t>
  </si>
  <si>
    <t>3007076453</t>
  </si>
  <si>
    <t>CAQUETA</t>
  </si>
  <si>
    <t>BARRIO CONSOLATA FLORENCIA 5</t>
  </si>
  <si>
    <t>FO-25-1689062</t>
  </si>
  <si>
    <t>15/10/2025 SE ESCALA PARA VISITA. CONFIRMAR DATOS PARA LA RECOLECCION DE EQUIPOS | 17/10/2025 SE LLEGA A LA DIRECCIÓN INDICADA PERO COMERCIO SE ENCUENTRA CERRADO, SE LLAMA VARIAS VECES AL NÚMERO DE LA TA PERO SUENA APAGADO</t>
  </si>
  <si>
    <t>LM0WZ670</t>
  </si>
  <si>
    <t>BERMUDEZ SANCHEZ JOSE NEYBER</t>
  </si>
  <si>
    <t>47001</t>
  </si>
  <si>
    <t>LC-CS-25-003938</t>
  </si>
  <si>
    <t>3007042111</t>
  </si>
  <si>
    <t>MAGDALENA</t>
  </si>
  <si>
    <t>BARRIO RODADERO SANTA MARTA 1</t>
  </si>
  <si>
    <t>FO-25-1694791</t>
  </si>
  <si>
    <t>16/10/2025 EN COMUNICACION CON EL SEÑOR JABIER ANTONIO TEJEDA SILVA AL NUMERO 3106480441, CONFIRMA DATOS OK PARA LA RECOLECCION DE EQUIPOS. SE ESCALA PARA VISITA | 17/10/2025 CANCELADO POR SOLICITUD DE LA ENTIDAD</t>
  </si>
  <si>
    <t>THOMAS  CAMPO SIGIFREDO SEGUNDO</t>
  </si>
  <si>
    <t>LC-CS-25-003939</t>
  </si>
  <si>
    <t>3007071323</t>
  </si>
  <si>
    <t>BARRIO LA MADRID VILLAVICENCIO</t>
  </si>
  <si>
    <t>FO-25-1694811</t>
  </si>
  <si>
    <t>16/10/2025 EN COMUNICACION CON EL SEÑOR MAURICIO JAVIER SALGADO CIFUENTES AL NUMERO 3142830711, CONFIRMA DATOS OK PARA LA RECOLECCION DE EQUIPOS. SE ESCALA PARA VISITA | 17/10/2025 CANCELADO POR SOLICITUD DE LA ENTIDAD</t>
  </si>
  <si>
    <t>CORZO BUSTO KEVIN ALEXIS</t>
  </si>
  <si>
    <t>LC-CS-25-003940</t>
  </si>
  <si>
    <t>3007077984</t>
  </si>
  <si>
    <t>BARRIO SAN ANTONIO VILLAVICENC</t>
  </si>
  <si>
    <t>FO-25-1694797</t>
  </si>
  <si>
    <t>16/10/2025 SE INTENTA COMUNICACION CON EL SEÑOR EYLER PARRA RODRÍGUEZ AL NUMERO 3132654668, PERO NO CONTESTA LA LLAMADA. SE ESCALA PARA VISITA | 20/10/2025 SE REALIZA VISITA A COMERCIO LOCAL NO EXISTE POS ILOCALIZABLE SE REALIZA INTENTO DE COMUNICACIÓN CLIENTE NO CONTESTA 3132654668</t>
  </si>
  <si>
    <t>LC-CS-25-003942</t>
  </si>
  <si>
    <t>3007069400</t>
  </si>
  <si>
    <t>BARRIO CENTRO IBAGUE 44</t>
  </si>
  <si>
    <t>FO-25-1694802</t>
  </si>
  <si>
    <t>16/10/2025 SE INTENTA COMUNICACION CON EL SEÑOR DAVID SANTIAGO GOMEZ ARCILA AL NUMERO 3155192219, PERO NO CONTESTA LA LLAMADA. SE ESCALA PARA VISITA | 21/10/2025 SE VALIDA CONTACTO TELEFÓICO PREVIO A LA ACTIVIDAD SIN NINGÚN RESULTADO, SE VISITA EL SITIO PERO COMERCIO NO EXISTE</t>
  </si>
  <si>
    <t>BARRAGAN TAFUR EDWIN ESTEBAN</t>
  </si>
  <si>
    <t>73268</t>
  </si>
  <si>
    <t>LC-CS-25-003943</t>
  </si>
  <si>
    <t>3007057872</t>
  </si>
  <si>
    <t>ESPINAL</t>
  </si>
  <si>
    <t>BARRIO ISAIAS OLIVAR ESPINAL 3</t>
  </si>
  <si>
    <t>FO-25-1694768</t>
  </si>
  <si>
    <t>16/10/2025 EN COMUNICACION CON LA SEÑORA INGRID LISSETTE TORRES RINCON AL NUMERO 3158598230, CONFIRMA DATOS OK PARA LA RECOLECCION DE EQUIPOS. SE ESCALA PARA VISITA | 17/10/2025 CANCELADO POR SOLICITUD DE LA ENTIDAD</t>
  </si>
  <si>
    <t>76520</t>
  </si>
  <si>
    <t>LC-CS-25-003944</t>
  </si>
  <si>
    <t>3007064022</t>
  </si>
  <si>
    <t>PALMIRA</t>
  </si>
  <si>
    <t>BARRIO PARQUES DE LA ITALIA PA</t>
  </si>
  <si>
    <t>FO-25-1694778</t>
  </si>
  <si>
    <t>16/10/2025 EN COMUNICACION CON LA SEÑORA BIBIANA MARÍA VASQUEZ AL NUMERO 3183831095, CONFIRMA DATOS OK PARA LA RECOLECCION DE EQUIPOS. SE ESCALA PARA VISITA | 22/10/2025 SE REALIZÓ GESTIÓN TELEFÓNICA PERO NO HUBO RESPUESTA, SE VISITÓ EL SITIO Y SE ENCUENTRA QUE ÉL CB YA NO EXISTE, LA VECINA INFORMA QUE ELLOS SE FUERON HACE DOS MESES.</t>
  </si>
  <si>
    <t>86749</t>
  </si>
  <si>
    <t>LC-CS-25-003956</t>
  </si>
  <si>
    <t>3007041154</t>
  </si>
  <si>
    <t>SIBUNDOY</t>
  </si>
  <si>
    <t>BARRIO SIBUNDOY SIBUNDOY</t>
  </si>
  <si>
    <t>FO-25-1700298</t>
  </si>
  <si>
    <t>17/10/2025 SE ESCALA PARA VISITA. CONFIRMAR DATOS PARA LA RECOLECCION DE EQUIPOS | 23/10/2025 SE ESTÁ EN ESPERA DE PODER DESPLAZARNOS AL MUNICIPIO DE PUTUMAYO YA QUE SE ENCUENTRAN PROBLEMAS EN LA VÍA QUE COMUNICA A PASTO CON MOCOA | 28/10/2025 YA QUE NO ES POSIBLE VALIDAR DIRECCIÓN DEL CB, SE REALIZÓ CONTACTO TELEFÓNICO CON USUARIO E INFORMA QUE POR EL MOMENTO NO SE ENCUENTRA EN EL MUNICIPIO Y NO HAY NADIE QUIEN PUEDA ENTREGAR LOS EQUIPOS</t>
  </si>
  <si>
    <t>LC-CS-25-003964</t>
  </si>
  <si>
    <t>3007037369</t>
  </si>
  <si>
    <t>PTM CALI ALEX Y DINA</t>
  </si>
  <si>
    <t>FO-25-1710149</t>
  </si>
  <si>
    <t>21/10/2025 SE ESCALA PARA VISITA. CONFIRMAR DATOS PARA LA RECOLECCION DE EQUIPOS | 25/10/2025 CLIENTE NO ESTABA EN EL COMERCIO Y SOLO HABÍA UN MENOR DE EDAD Y NO DA INFORMACIÓN</t>
  </si>
  <si>
    <t>AB00N083</t>
  </si>
  <si>
    <t>CUERO RUIZ JHONNY</t>
  </si>
  <si>
    <t>76892</t>
  </si>
  <si>
    <t>LC-CS-25-003971</t>
  </si>
  <si>
    <t>3007029881</t>
  </si>
  <si>
    <t>YUMBO</t>
  </si>
  <si>
    <t>BARRIO MENGA YUMBO</t>
  </si>
  <si>
    <t>FO-25-1710122</t>
  </si>
  <si>
    <t>21/10/2025 SE ESCALA PARA VISITA. CONFIRMAR DATOS PARA LA RECOLECCION DE EQUIPOS | 22/10/2025 CLIENTE INDICA QUE NO PUEDE ENTREGAR LOS EQUIPOS YA QUE ESTA ESPERANDO RESPUESTA DEL BANCO PARA DESBLOQUEO</t>
  </si>
  <si>
    <t>BBBPZ276</t>
  </si>
  <si>
    <t>LC-CS-25-003974</t>
  </si>
  <si>
    <t>3007051344</t>
  </si>
  <si>
    <t>PTM AQUI ES JUANCHIS</t>
  </si>
  <si>
    <t>FO-25-1711321</t>
  </si>
  <si>
    <t>21/10/2025 SE ESCALA PARA VISITA. CONFIRMAR DATOS PARA LA RECOLECCION DE EQUIPOS | 22/10/2025 SE VISITA COMERCIO Y SE REALIZA CIERRE DE CORRESPONSAL BANCOLOMBIA. SE RETIRA EQUIPOS EN BUEN ESTADO Y SE DESTRUYE PUBLICIDAD. CB, NO ENTREGA MÁS EQUIPOS</t>
  </si>
  <si>
    <t>BA07Z498</t>
  </si>
  <si>
    <t>BOLAÑOS TABORDA JORGE ENRIQUE</t>
  </si>
  <si>
    <t>25407</t>
  </si>
  <si>
    <t>LC-CS-25-003977</t>
  </si>
  <si>
    <t>3007059506</t>
  </si>
  <si>
    <t>LENGUAZAQUE</t>
  </si>
  <si>
    <t>BARRIO CENTRO LENGUAZAQUE 4</t>
  </si>
  <si>
    <t>FO-25-1714012</t>
  </si>
  <si>
    <t>21/10/2025 SE ESCALA PARA VISITA. CONFIRMAR DATOS PARA LA RECOLECCION DE EQUIPOS | 24/10/2025 DURANTE LA VISITA TECNICA PARA REALIZAR CIERRE DE CORRESPONSAL, SE EVIDENCIA QUE COMERCIO SE ENCUENTRA CERRADO, SE PROCEDE A LLAMAR AL COMERCIO EL CUAL INDICA QUE NO ES POSIBLE ACERCACE AL CB. SE INFOMA QUE DEBE SOLICITAR UNA NUEVA VISITA PARA REALIZAR EL CIERRE. SE INFORMA A SUPERVISOR Y SE PROCEDE AL CIERRE DE LA ACTIVIDAD</t>
  </si>
  <si>
    <t>JA007432</t>
  </si>
  <si>
    <t>27787</t>
  </si>
  <si>
    <t>LC-CS-25-003978</t>
  </si>
  <si>
    <t>3007071742</t>
  </si>
  <si>
    <t>CHOCO</t>
  </si>
  <si>
    <t>TADO</t>
  </si>
  <si>
    <t>TADO REYES</t>
  </si>
  <si>
    <t>FO-25-1717272 | FO-25-1714000</t>
  </si>
  <si>
    <t>25/10/2025 SE ESCRIBE POR WHATSAPP PARA VALIDAR DISPONIBILIDAD Y EL CLIENTE TE NO RESPONDE | 27/10/2025 SE REALIZA DESINSTALACION DE CB</t>
  </si>
  <si>
    <t>SV00J145</t>
  </si>
  <si>
    <t>TIPO V</t>
  </si>
  <si>
    <t>AEREO</t>
  </si>
  <si>
    <t>ROBLEDO DIAZ ANDRES FELIPE</t>
  </si>
  <si>
    <t>68307</t>
  </si>
  <si>
    <t>LC-CS-25-003981</t>
  </si>
  <si>
    <t>3007079389</t>
  </si>
  <si>
    <t>GIRON</t>
  </si>
  <si>
    <t>BARRIO CASALINDA GIRON</t>
  </si>
  <si>
    <t>FO-25-1717817 | FO-25-1714038</t>
  </si>
  <si>
    <t>22/10/2025 NO HUBO COMUNICACIÓN | 22/10/2025 SE REALIZA VISITA AL COMERCIO, SE HACE RETIRO DE DATÁFONO, LECTOR, DE BARRAS, BASE, PINPAD, MÁGIC BOX CON SUS RESPECTIVOS CABLES</t>
  </si>
  <si>
    <t>10XZZ927</t>
  </si>
  <si>
    <t>GONZALEZ ESTUPIÑAN YEISON WALTER ANTONIO</t>
  </si>
  <si>
    <t>LC-CS-25-003986</t>
  </si>
  <si>
    <t>FO-25-1714045</t>
  </si>
  <si>
    <t>21/10/2025 SE ESCALA PARA VISITA. CONFIRMAR DATOS PARA LA RECOLECCION DE EQUIPOS | 23/10/2025 SE LLAMA A CLIENTE Y NO LE ENTRA LA LLAMADA, SE VISITA PUNTO Y SE ENCUENTRA CERRADO, NUEVAMENTE SE INTENTA CONTACTAR SIN ÉXITO</t>
  </si>
  <si>
    <t>5360</t>
  </si>
  <si>
    <t>LC-CS-25-003987</t>
  </si>
  <si>
    <t>3007027931</t>
  </si>
  <si>
    <t>ITAGUI</t>
  </si>
  <si>
    <t>BARRIO TABLAZO   ITAGUI</t>
  </si>
  <si>
    <t>FO-25-1714294</t>
  </si>
  <si>
    <t>21/10/2025 SE ESCALA PARA VISITA. CONFIRMAR DATOS PARA LA RECOLECCION DE EQUIPOS | 22/10/2025 SE RETIRA DATÁFONO Y LECTORA CON 940 ROLLOS, OK. USUARIO NO ENTREGA EL OTRO COMBO CON PLACAS 1255121 - 861551 NO DA INFORMACIÓN</t>
  </si>
  <si>
    <t>9DZZZ819</t>
  </si>
  <si>
    <t>HENAO JARAMILLO JUAN JOSE</t>
  </si>
  <si>
    <t>8001</t>
  </si>
  <si>
    <t>LC-CS-25-003991</t>
  </si>
  <si>
    <t>3007040601</t>
  </si>
  <si>
    <t>ATLANTICO</t>
  </si>
  <si>
    <t>BARRIO CHIQUINQUIRA BARRANQUIL</t>
  </si>
  <si>
    <t>FO-25-1720498</t>
  </si>
  <si>
    <t>22/10/2025 SE ESCALA PARA VISITA. CONFIRMAR DATOS PARA LA RECOLECCION DE EQUIPOS | 24/10/2025 ESPERANDO EN SITIO A LA PERSONA ENCARGADA DE LO REFERENTE AL CORRESPONSAL, YA QUE OPERADOR NO ESTÁ AUTORIZADO | 24/10/2025 SE REALIZA VISITA, PERO CLIENTE NO PERMITE LA RECOGIDA DE EQUIPOS, YA QUE NO TIENE UNA NOTIFICACIÓN Y NO SABE EL PORQUÉ DEL CIERRE DEL CORRESPONSAL. DICE NO ENTREGAR Y QUE SE VA A COMUNICAR CON EL BANCO O CON EL GESTOR DE SU ZONA, PARA DICHA CONSULTA. POR TAL MOTIVO, NO ENTREGA EQUIPOS E INDICA QUE DESEA CONTINUAR CON EL SERVICIO</t>
  </si>
  <si>
    <t>9A0NZ904</t>
  </si>
  <si>
    <t>PORRAS CASTRO DARLON NASCK</t>
  </si>
  <si>
    <t>5837</t>
  </si>
  <si>
    <t>LC-CS-25-003994</t>
  </si>
  <si>
    <t>3007072449</t>
  </si>
  <si>
    <t>TURBO</t>
  </si>
  <si>
    <t>BUENOS AIRES TURBO 3</t>
  </si>
  <si>
    <t>FO-25-1720534</t>
  </si>
  <si>
    <t>22/10/2025 SE ESCALA PARA VISITA. CONFIRMAR DATOS PARA LA RECOLECCION DE EQUIPOS | 27/10/2025 SE LLEGA A SITIO, ENCARGADO NO SE ENCUENTRA Y PERSONA QUE ATIENDE INDICA QUE NO ESTA AUTORIZADA PARA ENTREGAR EQUIPOS.</t>
  </si>
  <si>
    <t>TV00L264</t>
  </si>
  <si>
    <t>CASTRO HENAO DANIEL ESTEBAN</t>
  </si>
  <si>
    <t>LC-CS-25-003998</t>
  </si>
  <si>
    <t>3007045805</t>
  </si>
  <si>
    <t>DISTRICOL VARIEDADES SANTA MAR</t>
  </si>
  <si>
    <t>FO-25-1720503</t>
  </si>
  <si>
    <t>22/10/2025 SE ESCALA PARA VISITA. CONFIRMAR DATOS PARA LA RECOLECCION DE EQUIPOS | 24/10/2025 SE VALIDA PUNTO Y ESTÁ CERRADO ADEMÁS DE QUE HAY UN NEGOCIO AL LADO EL CUAL INFORMA QUE EN EL PUNTO YA NO HAY NADIE Y QUE SE FUERON Y YA QUEDÓ CERRADO EL PUNTO DONDE DEBÍA DE ESTAR EL CB.</t>
  </si>
  <si>
    <t>MARIN PIEDRAHITA JIMMY ALEXIS</t>
  </si>
  <si>
    <t>5088</t>
  </si>
  <si>
    <t>LC-CS-25-003999</t>
  </si>
  <si>
    <t>3007071176</t>
  </si>
  <si>
    <t>BELLO</t>
  </si>
  <si>
    <t>DISTRICOL PLATINUM</t>
  </si>
  <si>
    <t>FO-25-1720456</t>
  </si>
  <si>
    <t>22/10/2025 SE ESCALA PARA VISITA. CONFIRMAR DATOS PARA LA RECOLECCION DE EQUIPOS | 24/10/2025 USUARIO INDICA QUE QUIERE SEGUIR CON EL CORRESPONSAL, LE TOCÓ AUSENTARSE UNA SEMANA POR MOTIVOS DE FUERZA MAYOR, POR TAL MOTIVO NO SE PUDO REALIZAR LA RECOGIDA DE LOS EQUIPOS.</t>
  </si>
  <si>
    <t>NN00E629</t>
  </si>
  <si>
    <t>RAMIREZ TABARES JUAN DIEGO</t>
  </si>
  <si>
    <t>LC-CS-25-004010</t>
  </si>
  <si>
    <t>3007073086</t>
  </si>
  <si>
    <t>DISTRICOL BARBAS Y BIGOTES</t>
  </si>
  <si>
    <t>FO-25-1725168 | FO-25-1720540</t>
  </si>
  <si>
    <t>25/10/2025 NA | 25/10/2025 SE REALIZA RETIRO DE PUBLICIDAD EN EL PUNTO, LA SEÑORA MARTHA GALLARDO INDICA QUE LOS EQUIPOS SE ENVIARON POR INTERRAPIDISIMO A HACIA MEDELLÍN (VÍA MENSAJE DE TEXTO)</t>
  </si>
  <si>
    <t>MN00R040</t>
  </si>
  <si>
    <t>No encontrado</t>
  </si>
  <si>
    <t>LC-CS-25-004016</t>
  </si>
  <si>
    <t>3007040055</t>
  </si>
  <si>
    <t>DISTRICOL MINIMARKET 2 VENTE#O</t>
  </si>
  <si>
    <t>FO-25-1726805</t>
  </si>
  <si>
    <t>23/10/2025 SE ESCALA PARA VISITA. CONFIRMAR DATOS PARA LA RECOLECCION DE EQUIPOS | 28/10/2025 VISITA TÉCNICA | 28/10/2025 SE REALIZA CIERRE EXITOSO EN DISTRICOL</t>
  </si>
  <si>
    <t>ON0IZ812</t>
  </si>
  <si>
    <t>DIAZ NAVARRO NEIDER AMED</t>
  </si>
  <si>
    <t>LC-CS-25-004021</t>
  </si>
  <si>
    <t>3007051983</t>
  </si>
  <si>
    <t>BARRIO SECTOR EL RECREO MEDELL</t>
  </si>
  <si>
    <t>FO-25-1726843</t>
  </si>
  <si>
    <t>23/10/2025 SE ESCALA PARA VISITA. CONFIRMAR DATOS PARA LA RECOLECCION DE EQUIPOS | 27/10/2025 SE LLAMA AL CLIENTE Y NO CONTESTA, SE VISITA PUNTO Y SE ENCUENTRA CERRADO, SE INTENTA CONTACTAR MÚLTIPLES VECES CON CLIENTE Y NO RESPONDE, SE CONTACTA VÍA WHATSSAP Y NOS COMENTA QUE ESTÁ VIAJANDO Y VUELVE LA PRÓXIMA SEMANA</t>
  </si>
  <si>
    <t>LC-CS-25-004025</t>
  </si>
  <si>
    <t>3007060044</t>
  </si>
  <si>
    <t>BARRIO DITAIRES ITAGUI 4</t>
  </si>
  <si>
    <t>FO-25-1726857</t>
  </si>
  <si>
    <t>23/10/2025 SE ESCALA PARA VISITA. CONFIRMAR DATOS PARA LA RECOLECCION DE EQUIPOS | 27/10/2025 SE REALIZA VISITA AL PUNTO EL CUAL SE ENCUENTRA CERRADO SIN PUBLICIDAD, SE HACE CONTACTO CON USUARIO ESTEBAN JIMÉNEZ 3017009438 MEDIANTE LLAMADA Y WHATSAPP NO SE RECIBE RESPUESTA SE CANCELA CIERRE</t>
  </si>
  <si>
    <t>HERNANDEZ CHAVARRIA JUAN CAMILO</t>
  </si>
  <si>
    <t>LC-CS-25-004027</t>
  </si>
  <si>
    <t>3007078500</t>
  </si>
  <si>
    <t>BARRIO CENTRO BARRANQUILLA  54</t>
  </si>
  <si>
    <t>FO-25-1726836</t>
  </si>
  <si>
    <t>23/10/2025 SE ESCALA PARA VISITA. CONFIRMAR DATOS PARA LA RECOLECCION DE EQUIPOS | 24/10/2025 SE REALIZA LLAMADA AL CLIENTE JHONNY CAÑETE, NÚMERO DE CELULAR 3002190097, PERO NO SE OBTIENE COMUNICACIÓN. SE PROCEDE A REALIZAR VISITA, PERO SE ENCUENTRA LOCAL CERRADO. SE PREGUNTA A VECINOS Y DICE QUE HACE RATO NO ABRE. SE PROCEDE A LLAMAR AL CLIENTE NUEVAMENTE Y NO SE OBTIENE RESPUESTA, POR TAL MOTIVO ES CIERRE FALLIDO, DATÁFONO ILOCALIZABLE</t>
  </si>
  <si>
    <t>F1LZZ908</t>
  </si>
  <si>
    <t>23001</t>
  </si>
  <si>
    <t>LC-CS-25-004030</t>
  </si>
  <si>
    <t>3007070246</t>
  </si>
  <si>
    <t>CORDOBA</t>
  </si>
  <si>
    <t>BARRIO NUEVA ESPERANZA MONTERI</t>
  </si>
  <si>
    <t>FO-25-1726881</t>
  </si>
  <si>
    <t>23/10/2025 SE ESCALA PARA VISITA. CONFIRMAR DATOS PARA LA RECOLECCION DE EQUIPOS | 24/10/2025 SE LLAMA AL CB SR HAROLD BENÍTEZ QUIEN INDICA QUE NO PUEDE HACER LA ENTREGA DE EQUIPOS EL DÍA DE HOY, SOLICITA QUE PASEN POR ELLOS EL DÍA DE MAÑANA. | 25/10/2025 SE VISITA SITIO, NO SE ENCUENTRA CB EN DIRECCIÓN, INDICAN QUE FUE TRASLADO A OTRO BARRIO, SE LLAMA AL SR. HAROLD BENÍTEZ, PERO NO DA DIRECCIÓN DE ENTREGA. SE CIERRA VISITA FALLIDA</t>
  </si>
  <si>
    <t>NO SE INTERVIENE</t>
  </si>
  <si>
    <t>COGOLLO VERTEL EDER LUIS</t>
  </si>
  <si>
    <t>LC-CS-25-004035</t>
  </si>
  <si>
    <t>3007078002</t>
  </si>
  <si>
    <t>BARRIO CHAPINERO CUCUTA 13</t>
  </si>
  <si>
    <t>FO-25-1726839</t>
  </si>
  <si>
    <t>23/10/2025 SE ESCALA PARA VISITA. CONFIRMAR DATOS PARA LA RECOLECCION DE EQUIPOS | 25/10/2025 SE VISITA COMERCIO NO SE ENCUENTRA CB EN DIRECCION, SE INTENTA COMUNICACION CON EL CLIENTE SIN RESPUESTA, CB ILOCALIZABLE.</t>
  </si>
  <si>
    <t>NARANJO AFANADOR RUBEN JESUS</t>
  </si>
  <si>
    <t>54250</t>
  </si>
  <si>
    <t>LC-CS-25-004036</t>
  </si>
  <si>
    <t>3007065386</t>
  </si>
  <si>
    <t>EL TARRA</t>
  </si>
  <si>
    <t>BARRIO EL TARRA EL TARRA 1</t>
  </si>
  <si>
    <t>FO-25-1726830</t>
  </si>
  <si>
    <t>23/10/2025 SE ESCALA PARA VISITA. CONFIRMAR DATOS PARA LA RECOLECCION DE EQUIPOS | 27/10/2025 SE LLAMA AL 3114133631 Y NO SE OBTIENE RESPUESTA, SE DEJA MENSAJE POR WHATSAPP PARA VALIDAR CIERRE Y NO TENEMOS RESPUESTA. | 27/10/2025 SE LLAMA AL 3114133631 Y SE HABLA CON LA SEÑORA YASMIN PINEDA A LA CUAL SE LE INFORMA QUE POR TEMAS DE ORDEN PÚBLICO EN LA ZONA POR GRUPO ARMADOS AL MARGEN DE LA LEY NO SE ESTÁ INGRESANDO, ELLA NOS MANIFIESTA QUE SE ENCUENTRA CON UN HIJO HOSPITALIZADO Y NO PUEDO REALIZAR EL ENVÍO DE EQUIPOS Y OTROS TRÁMITES PENDIENTES CON EL BANCO, SE LE INDICA QUE DEBE DE COMUNICARSE CON LA LÍNEA DEL BANCO PARA REALIZAR EL CIERRE DEL CB.</t>
  </si>
  <si>
    <t>TORRES MANTILLA JOSE DANIEL</t>
  </si>
  <si>
    <t>68418</t>
  </si>
  <si>
    <t>LC-CS-25-004038</t>
  </si>
  <si>
    <t>3007030395</t>
  </si>
  <si>
    <t>LOS SANTOS</t>
  </si>
  <si>
    <t>BARRIO LOS SANTOS SANTANDER</t>
  </si>
  <si>
    <t>FO-25-1726895</t>
  </si>
  <si>
    <t>23/10/2025 SE ESCALA PARA VISITA. CONFIRMAR DATOS PARA LA RECOLECCION DE EQUIPOS | 24/10/2025 SE REALIZA LLAMADA TELEFÓNICA DEBIDO A QUE SE ENCUENTRA UBICADO EN UNA ZONA VEREDAL Y ES MUY IMPORTANTE LA.COMUNICACION PARA PODERLLEGAR AL PUNTO PARA CONFIRMAR LA DIRECCIÓN DE RECOGIDA DE LOS EQUIPOS, SE HABLA CON LA SEÑORA ANGELA QUIEN NOS INDICA QUE EN EL MOMENTO NO LOS DESEA ENTREGAR, YA QUE ELLA NO SE ENCUENTRA EN EL COMERCIO Y DESEA CONTINUAR OPERANDO COMO CORRESPONSAL BANCARIO Y SE VA A COMUNICAR CON EL BANCO. POR LO TANTO, SE CANCELA LA VISITA Y SE ESPERA NUEVA INDICACIÓN DE LA ENTIDAD | 27/10/2025 SE VISITA COMERCIO Y SE ENCUENTRA CERRADO Y NADIE RESPONDIÓ AL LLAMADO TELEFÓNICO AL NÚMERO 3183061939</t>
  </si>
  <si>
    <t>NINGUNA</t>
  </si>
  <si>
    <t>25473</t>
  </si>
  <si>
    <t>LC-CS-25-004044</t>
  </si>
  <si>
    <t>3007069890</t>
  </si>
  <si>
    <t>MOSQUERA</t>
  </si>
  <si>
    <t>BARRIO CENTRO MOSQUERA  3</t>
  </si>
  <si>
    <t>FO-25-1729712 | FO-25-1726849</t>
  </si>
  <si>
    <t>PARCIAL EXITOSO ACCESORIOS</t>
  </si>
  <si>
    <t>29/10/2025 VISITA TÉCNICA | 29/10/2025 SE REALIZA VISITA PARA RECOGER LOS EQUIPOS POR CIERRE DE CORRESPONSAL CLIENTE SOLO CUENTA CON DATAFONO NO TIENEN LECTORA DE BARRAS INDICAN QUE TAL VES ESTÁ EN EL OTRO COMERCIO POR TAL MOTIVO NO LA ENTREGAN SE ESCALA SE RECOGE DATAFONO SE LE INDICA CLIENTE APENAS LA TENGAN COMUNICARSE CON BANCOLOMBIA PARA REALIZAR LA RECOGIDA DE LA LECTORA</t>
  </si>
  <si>
    <t>TV000651</t>
  </si>
  <si>
    <t>52378</t>
  </si>
  <si>
    <t>LC-CS-25-004045</t>
  </si>
  <si>
    <t>3007077898</t>
  </si>
  <si>
    <t>LA CRUZ</t>
  </si>
  <si>
    <t>BARRIO CENTRO LA CRUZ 3</t>
  </si>
  <si>
    <t>FO-25-1726846</t>
  </si>
  <si>
    <t>23/10/2025 SE ESCALA PARA VISITA. CONFIRMAR DATOS PARA LA RECOLECCION DE EQUIPOS | 30/10/2025 NO ES POSIBLE EL DESPLAZAMIENTO EL DIA DE HOY AL MUNICIPIO DADO QUE NO SE CONSIGUE TRANSPORTE , SE INTENTARA DESPLAZAMIENTO EL DIA DE MAÑANA | 30/10/2025 SE REALIZA COMUNICACIÓN TELEFÓNICA CON EL SEÑOR ARTURO PARA CONFIRMAR VISITA PARA RECOGER EQUIPOS E INFORMA QUE EL DÍA VIERNES NO PUEDEN ATENDER LA VISITA POR QUÉ SALEN DE VIAJE Y NO TIENEN NINGÚN ENCARGADO QUE PUEDA ENTREGAR LOS EQUIPOS.</t>
  </si>
  <si>
    <t>CASTILLO HERRERA ALEX RICARDO</t>
  </si>
  <si>
    <t>50573</t>
  </si>
  <si>
    <t>LC-CS-25-004063</t>
  </si>
  <si>
    <t>3007057269</t>
  </si>
  <si>
    <t>PUERTO LOPEZ</t>
  </si>
  <si>
    <t>BARRIO GAITAN PUERTO LOPEZ 4</t>
  </si>
  <si>
    <t>FO-25-1742525</t>
  </si>
  <si>
    <t>27/10/2025 SE ESCALA PARA VISITA. CONFIRMAR DATOS PARA LA RECOLECCION DE EQUIPOS | 29/10/2025 SE REALIZA VISITA E INFORMA EL SEÑOR ANDRES LESMES QUÉ LA PERSONA ENCARGADA NO SE ENCUENTRA Y NO HAY MANERA DE ENTREGAR EL DÍA DE HOY LOS EQUIPOS SE LE INFORMA AL JEFE DE ZONA LO SUCEDIDO</t>
  </si>
  <si>
    <t>ROZO JIMENEZ EDGAR ARMANDO</t>
  </si>
  <si>
    <t>LC-CS-25-004066</t>
  </si>
  <si>
    <t>3007069602</t>
  </si>
  <si>
    <t>BARRIO SAN ISIDRO VILLAVICENCI</t>
  </si>
  <si>
    <t>FO-25-1742561</t>
  </si>
  <si>
    <t>27/10/2025 SE ESCALA PARA VISITA. CONFIRMAR DATOS PARA LA RECOLECCION DE EQUIPOS | 30/10/2025 SE VISITA DIRECCIÓN DE COMERCIO PERO AL LLEGAR AL SITIO EL COMERCIO SE ENCUENTRA CERRADO. VECINOS INFORMAN QUE EL SUPERMERCADO SE RETIRÓ HACE MAS DE UN AÑO DEL LUGAR. SE LLAMA AL NÚMERO DEL CLIENTE PERO NO CONTESTA LA LLAMADA</t>
  </si>
  <si>
    <t>GARZON RUIZ LUIS MIGUEL</t>
  </si>
  <si>
    <t>5854</t>
  </si>
  <si>
    <t>LC-CS-25-004067</t>
  </si>
  <si>
    <t>3007077936</t>
  </si>
  <si>
    <t>VALDIVIA</t>
  </si>
  <si>
    <t>BARRIO CGT EL ALTO VALDIVIA</t>
  </si>
  <si>
    <t>FO-25-1742546</t>
  </si>
  <si>
    <t>27/10/2025 SE ESCALA PARA VISITA. CONFIRMAR DATOS PARA LA RECOLECCION DE EQUIPOS | 31/10/2025 DURANTE LA LLAMADA TELEFÓNICA REALIZADA PARA CONFIRMAR EL CIERRE DEL PUNTO Y LA RECOLECCIÓN DE LOS EQUIPOS ASIGNADOS, EL USUARIO INFORMÓ QUE RECIENTEMENTE SE COMUNICÓ CON BANCOLOMBIA PARA SOLICITAR LA REACTIVACIÓN DEL SERVICIO. POR TAL MOTIVO, INDICÓ QUE NO PROCEDERÁ CON LA ENTREGA DE LOS EQUIPOS, YA QUE ESPERA QUE EL SERVICIO SEA RESTABLECIDO EN BREVE.</t>
  </si>
  <si>
    <t>MARTINEZ TOVAR OSCAR DAVID</t>
  </si>
  <si>
    <t>LC-CS-25-004076</t>
  </si>
  <si>
    <t>3007038824</t>
  </si>
  <si>
    <t>PTM B MANGA SAN LORENZO</t>
  </si>
  <si>
    <t>FO-25-1742568</t>
  </si>
  <si>
    <t>27/10/2025 SE ESCALA PARA VISITA. CONFIRMAR DATOS PARA LA RECOLECCION DE EQUIPOS | 28/10/2025 SE REALIZA VISITA AL COMERCIO, LOCAL SE ENCUENTRA CERRADO. SE HABLA CON EL VIGILANTE INDICA QUE EL NEGOCIO YA NO FUNCIONA, SE ENCUENTRA CERRADO HACE TIEMPO. SE ESTABLECE COMUNICACIÓN AL NUMERO 3227757229 NO SE OBTIENE RESPUESTA</t>
  </si>
  <si>
    <t>MARIÑO PABON JORGE ENRIQUE</t>
  </si>
  <si>
    <t>54874</t>
  </si>
  <si>
    <t>LC-CS-25-004080</t>
  </si>
  <si>
    <t>3007071930</t>
  </si>
  <si>
    <t>VILLA DEL ROSARIO</t>
  </si>
  <si>
    <t>PTM LA PALMITA VILLA DEL ROSAR</t>
  </si>
  <si>
    <t>FO-25-1742581</t>
  </si>
  <si>
    <t>27/10/2025 SE ESCALA PARA VISITA. CONFIRMAR DATOS PARA LA RECOLECCION DE EQUIPOS | 28/10/2025 SE VISITA DIRECCIÓN Y NO SE ENCUENTRA CB, SE LLAMA AL CLIENTE Y NO SE OBTIENE RESPUESTA.</t>
  </si>
  <si>
    <t>LC-CS-25-004081</t>
  </si>
  <si>
    <t>3007076528</t>
  </si>
  <si>
    <t>PTM BOGOTA DON PAGO TIERRA BUE</t>
  </si>
  <si>
    <t>FO-25-1742563</t>
  </si>
  <si>
    <t>27/10/2025 SE ESCALA PARA VISITA. CONFIRMAR DATOS PARA LA RECOLECCION DE EQUIPOS | 31/10/2025 SE REALIZA VISITA DE CAMPO ENCONTRADO QUE COMERCIO NO EXISTE EN DIRECCIÓN INDICADA EN RUTA,SE INTENTA COMUNICACIÓN A LA LÍNEA 3133558850, 3212088785 NO HAY RESPUESTA SE INFORMA A SUPERVISOR Y SE DA CIERRE A LA VISITA</t>
  </si>
  <si>
    <t>25307</t>
  </si>
  <si>
    <t>LC-CS-25-004086</t>
  </si>
  <si>
    <t>3007058514</t>
  </si>
  <si>
    <t>GIRARDOT</t>
  </si>
  <si>
    <t>BARRIO SAN JORGE GIRARDOT</t>
  </si>
  <si>
    <t>FO-25-1747732</t>
  </si>
  <si>
    <t>28/10/2025 SE ESCALA PARA VISITA. CONFIRMAR DATOS PARA LA RECOLECCION DE EQUIPOS | 30/10/2025 SE REALIZA VISITA DE CAMPO CON EL OBJETIVO DE RETIRAR EQUIPOS DE CB, SIN EMBARGO CLIENTE INFORMA QUE NO ENTREGA EQUIPOS YA QUE EL.ASESOR NO LE HA CONFIRMADO PARA DICHA ENTREGA SE INFORMA A SUPERVISOR QUIEN AUTORIZA CIERRE DE SOLICITUD, CLIENTE NO FIRMA.</t>
  </si>
  <si>
    <t>LC-CS-25-004112</t>
  </si>
  <si>
    <t>3007037272</t>
  </si>
  <si>
    <t>DISTRICOL INVERSIONES VR TECNO</t>
  </si>
  <si>
    <t>FO-25-1754305</t>
  </si>
  <si>
    <t>29/10/2025 SE ESCALA PARA VISITA. CONFIRMAR DATOS PARA LA RECOLECCION DE EQUIPOS | 31/10/2025 SE VISITA PUNTO, EMPLEADO INFORMA QUE USUARIO ENCARGADO NO ESTÁ DISPONIBLE PARA EL DIA DE HOY PARA ENTREGAR EQUIPOS, EXPLICA QUE NO ES UN CIERRE SI NO UN CAMBIO DE LOCAL</t>
  </si>
  <si>
    <t>LC-CS-25-004114</t>
  </si>
  <si>
    <t>3007063498</t>
  </si>
  <si>
    <t>DISTRICOL AUTOSERVICIO JARDINE</t>
  </si>
  <si>
    <t>FO-25-1754320</t>
  </si>
  <si>
    <t>29/10/2025 SE ESCALA PARA VISITA. CONFIRMAR DATOS PARA LA RECOLECCION DE EQUIPOS | 31/10/2025 SE VISITA PUNTO EL CUAL SE ENCUENTRA VACÍO. SE INTENTA CONTACTAR USUARIO Y NO SE RECIBE RESPUESTA</t>
  </si>
  <si>
    <t>TA-25-1190417</t>
  </si>
  <si>
    <t>3007076778</t>
  </si>
  <si>
    <t>BARRIO BOSQUES DE ABAJAM VILLA</t>
  </si>
  <si>
    <t>FO-25-1648638</t>
  </si>
  <si>
    <t>RETIRO VOLUNTARIO</t>
  </si>
  <si>
    <t>08/10/2025 ENTREGA VOLUNTARIA | 08/10/2025 ENTREGA VOLUNTARIA | 08/10/2025 ENTREGA VOLUNTARIA | 08/10/2025 EL CLIENTE REALIZA LA ENTREGA DE LA LECTORA VOLUNTARIAMENTE SE LE INFORMA AL JEFE DE ZONA</t>
  </si>
  <si>
    <t>LÍNEA COMUNICACIONES S.A.S</t>
  </si>
  <si>
    <t>FACTURACIÓN CORRESPONSALES BANCARIOS TIQUIETES AÉREOS</t>
  </si>
  <si>
    <t>FACTURACIÓN VISITAS FALLIDAS CORRESPONSALES BANCARIOS</t>
  </si>
  <si>
    <t>CONCEPTOS</t>
  </si>
  <si>
    <t>TRAYECTOS</t>
  </si>
  <si>
    <t>TOTAL</t>
  </si>
  <si>
    <t>% ADMINISTRACIÓN</t>
  </si>
  <si>
    <t>CANT</t>
  </si>
  <si>
    <t xml:space="preserve">$ -   </t>
  </si>
  <si>
    <t xml:space="preserve"> $ -   </t>
  </si>
  <si>
    <t>TIQUETES</t>
  </si>
  <si>
    <t>SUBTOTAL</t>
  </si>
  <si>
    <t>IVA</t>
  </si>
  <si>
    <t>MEDELLIN-TADO-MEDELLIN</t>
  </si>
  <si>
    <t>CIERRES NO EXITOSOS OCTUBRE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</si>
</sst>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44" formatCode="_-&quot;$&quot;\ * #,##0.00_-;\-&quot;$&quot;\ * #,##0.00_-;_-&quot;$&quot;\ * &quot;-&quot;??_-;_-@_-"/>
    <numFmt numFmtId="164" formatCode="_(&quot;$&quot;\ * #,##0.00_);_(&quot;$&quot;\ * \(#,##0.00\);_(&quot;$&quot;\ * &quot;-&quot;??_);_(@_)"/>
    <numFmt numFmtId="165" formatCode="_(&quot;$&quot;\ * #,##0_);_(&quot;$&quot;\ * \(#,##0\);_(&quot;$&quot;\ * &quot;-&quot;??_);_(@_)"/>
    <numFmt numFmtId="166" formatCode="dd/mm/yyyy"/>
    <numFmt numFmtId="167" formatCode="_-&quot;$&quot;\ * #,##0_-;\-&quot;$&quot;\ * #,##0_-;_-&quot;$&quot;\ * &quot;-&quot;??_-;_-@_-"/>
  </numFmts>
  <fonts count="19">
    <font>
      <sz val="11"/>
      <color theme="1"/>
      <name val="Calibri"/>
      <family val="2"/>
      <scheme val="minor"/>
    </font>
    <font>
      <sz val="11"/>
      <color theme="1"/>
      <name val="Calibri"/>
      <family val="2"/>
      <scheme val="minor"/>
    </font>
    <font>
      <sz val="10"/>
      <color theme="1"/>
      <name val="Apex"/>
      <family val="2"/>
    </font>
    <font>
      <sz val="10"/>
      <name val="Arial"/>
      <family val="2"/>
    </font>
    <font>
      <sz val="8"/>
      <color theme="1"/>
      <name val="Gelion Thin"/>
    </font>
    <font>
      <b/>
      <sz val="10"/>
      <name val="Gelion Thin"/>
    </font>
    <font>
      <sz val="10"/>
      <color rgb="FF000000"/>
      <name val="Gelion Thin"/>
    </font>
    <font>
      <sz val="10"/>
      <color theme="1"/>
      <name val="Gelion Thin"/>
    </font>
    <font>
      <sz val="8"/>
      <color rgb="FF000000"/>
      <name val="Gelion Thin"/>
    </font>
    <font>
      <b/>
      <sz val="11"/>
      <color theme="1"/>
      <name val="Gelion Thin"/>
    </font>
    <font>
      <sz val="11"/>
      <color rgb="FF000000"/>
      <name val="Gelion Thin"/>
    </font>
    <font>
      <b/>
      <sz val="11"/>
      <color rgb="FFFFFFFF"/>
      <name val="Calibri"/>
      <family val="2"/>
    </font>
    <font>
      <sz val="11"/>
      <color rgb="FF000000"/>
      <name val="Calibri"/>
      <family val="2"/>
      <scheme val="minor"/>
    </font>
    <font>
      <b/>
      <sz val="8"/>
      <name val="Gelion Thin"/>
    </font>
    <font>
      <sz val="8"/>
      <name val="Gelion Light"/>
    </font>
    <font>
      <sz val="10"/>
      <name val="Gelion Thin"/>
    </font>
    <font>
      <sz val="8"/>
      <name val="Gelion Thin"/>
    </font>
    <font>
      <b/>
      <sz val="11"/>
      <color rgb="FF00B050"/>
      <name val="Calibri"/>
      <family val="2"/>
      <scheme val="minor"/>
    </font>
    <font>
      <sz val="7"/>
      <color theme="1"/>
      <name val="Gelion Light"/>
    </font>
  </fonts>
  <fills count="8">
    <fill>
      <patternFill patternType="none"/>
    </fill>
    <fill>
      <patternFill patternType="gray125"/>
    </fill>
    <fill>
      <patternFill patternType="solid">
        <fgColor theme="0" tint="-0.34998626667073579"/>
        <bgColor indexed="64"/>
      </patternFill>
    </fill>
    <fill>
      <patternFill patternType="solid">
        <fgColor rgb="FF92D050"/>
        <bgColor indexed="64"/>
      </patternFill>
    </fill>
    <fill>
      <patternFill patternType="solid">
        <fgColor theme="6" tint="0.79998168889431442"/>
        <bgColor indexed="64"/>
      </patternFill>
    </fill>
    <fill>
      <patternFill patternType="solid">
        <fgColor rgb="FF001D62"/>
        <bgColor rgb="FF001D62"/>
      </patternFill>
    </fill>
    <fill>
      <patternFill patternType="solid">
        <fgColor rgb="FF9B9B9A"/>
        <bgColor rgb="FF000000"/>
      </patternFill>
    </fill>
    <fill>
      <patternFill patternType="solid">
        <fgColor theme="2" tint="-9.9978637043366805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s>
  <cellStyleXfs count="7">
    <xf numFmtId="0" fontId="0" fillId="0" borderId="0"/>
    <xf numFmtId="0" fontId="1" fillId="0" borderId="0"/>
    <xf numFmtId="0" fontId="2" fillId="0" borderId="0"/>
    <xf numFmtId="164" fontId="3" fillId="0" borderId="0"/>
    <xf numFmtId="0" fontId="3" fillId="0" borderId="0"/>
    <xf numFmtId="0" fontId="1" fillId="0" borderId="0"/>
    <xf numFmtId="44" fontId="1" fillId="0" borderId="0" applyFont="0" applyFill="0" applyBorder="0" applyAlignment="0" applyProtection="0"/>
  </cellStyleXfs>
  <cellXfs count="66">
    <xf numFmtId="0" fontId="0" fillId="0" borderId="0" xfId="0"/>
    <xf numFmtId="164" fontId="5" fillId="2" borderId="1" xfId="3" applyFont="1" applyFill="1" applyBorder="1" applyAlignment="1">
      <alignment horizontal="center" vertical="center"/>
    </xf>
    <xf numFmtId="0" fontId="6" fillId="0" borderId="1" xfId="0" applyFont="1" applyBorder="1" applyAlignment="1">
      <alignment vertical="center"/>
    </xf>
    <xf numFmtId="6" fontId="7" fillId="0" borderId="1" xfId="0" applyNumberFormat="1" applyFont="1" applyBorder="1" applyAlignment="1">
      <alignment vertical="center" wrapText="1"/>
    </xf>
    <xf numFmtId="0" fontId="8" fillId="0" borderId="2" xfId="0" applyFont="1" applyBorder="1" applyAlignment="1">
      <alignment vertical="center"/>
    </xf>
    <xf numFmtId="0" fontId="8" fillId="0" borderId="0" xfId="0" applyFont="1" applyAlignment="1">
      <alignment vertical="center"/>
    </xf>
    <xf numFmtId="165" fontId="4" fillId="0" borderId="0" xfId="3" applyNumberFormat="1" applyFont="1" applyAlignment="1">
      <alignment horizontal="center" vertical="center"/>
    </xf>
    <xf numFmtId="0" fontId="8" fillId="0" borderId="1" xfId="0" applyFont="1" applyBorder="1" applyAlignment="1">
      <alignment vertical="center"/>
    </xf>
    <xf numFmtId="0" fontId="4" fillId="0" borderId="0" xfId="0" applyFont="1"/>
    <xf numFmtId="0" fontId="9" fillId="0" borderId="1" xfId="0" applyFont="1" applyBorder="1"/>
    <xf numFmtId="0" fontId="9" fillId="0" borderId="1" xfId="5" applyFont="1" applyBorder="1"/>
    <xf numFmtId="0" fontId="10" fillId="0" borderId="1" xfId="0" applyFont="1" applyBorder="1"/>
    <xf numFmtId="0" fontId="10" fillId="0" borderId="4" xfId="0" applyFont="1" applyBorder="1"/>
    <xf numFmtId="0" fontId="10" fillId="0" borderId="5" xfId="0" applyFont="1" applyBorder="1"/>
    <xf numFmtId="0" fontId="10" fillId="0" borderId="8" xfId="0" applyFont="1" applyBorder="1"/>
    <xf numFmtId="6" fontId="0" fillId="0" borderId="0" xfId="0" applyNumberFormat="1"/>
    <xf numFmtId="10" fontId="0" fillId="3" borderId="6" xfId="0" applyNumberFormat="1" applyFill="1" applyBorder="1" applyAlignment="1">
      <alignment horizontal="center"/>
    </xf>
    <xf numFmtId="164" fontId="5" fillId="2" borderId="3" xfId="3" applyFont="1" applyFill="1" applyBorder="1" applyAlignment="1">
      <alignment horizontal="center" vertical="center"/>
    </xf>
    <xf numFmtId="164" fontId="5" fillId="2" borderId="7" xfId="3" applyFont="1" applyFill="1" applyBorder="1" applyAlignment="1">
      <alignment horizontal="center" vertical="center"/>
    </xf>
    <xf numFmtId="6" fontId="7" fillId="4" borderId="1" xfId="0" applyNumberFormat="1" applyFont="1" applyFill="1" applyBorder="1" applyAlignment="1">
      <alignment horizontal="center"/>
    </xf>
    <xf numFmtId="165" fontId="4" fillId="4" borderId="1" xfId="3" applyNumberFormat="1" applyFont="1" applyFill="1" applyBorder="1" applyAlignment="1">
      <alignment horizontal="center" vertical="center"/>
    </xf>
    <xf numFmtId="0" fontId="11" fillId="5" borderId="0" xfId="0" applyFont="1" applyFill="1" applyAlignment="1">
      <alignment horizontal="center" vertical="center" wrapText="1"/>
    </xf>
    <xf numFmtId="166" fontId="0" fillId="0" borderId="0" xfId="0" applyNumberFormat="1"/>
    <xf numFmtId="1" fontId="0" fillId="0" borderId="0" xfId="0" applyNumberFormat="1"/>
    <xf numFmtId="167" fontId="11" fillId="5" borderId="0" xfId="6" applyNumberFormat="1" applyFont="1" applyFill="1" applyAlignment="1">
      <alignment horizontal="center" vertical="center" wrapText="1"/>
    </xf>
    <xf numFmtId="167" fontId="0" fillId="0" borderId="0" xfId="6" applyNumberFormat="1" applyFont="1"/>
    <xf numFmtId="0" fontId="12" fillId="0" borderId="0" xfId="0" applyFont="1"/>
    <xf numFmtId="0" fontId="8" fillId="0" borderId="1" xfId="0" applyFont="1" applyBorder="1"/>
    <xf numFmtId="0" fontId="5" fillId="0" borderId="1" xfId="0" applyFont="1" applyBorder="1" applyAlignment="1">
      <alignment horizontal="center"/>
    </xf>
    <xf numFmtId="0" fontId="13" fillId="6" borderId="7" xfId="0" applyFont="1" applyFill="1" applyBorder="1" applyAlignment="1">
      <alignment horizontal="center"/>
    </xf>
    <xf numFmtId="0" fontId="13" fillId="6" borderId="1" xfId="0" applyFont="1" applyFill="1" applyBorder="1" applyAlignment="1">
      <alignment horizontal="center"/>
    </xf>
    <xf numFmtId="0" fontId="13" fillId="6" borderId="1" xfId="0" applyFont="1" applyFill="1" applyBorder="1" applyAlignment="1">
      <alignment horizontal="center" vertical="center"/>
    </xf>
    <xf numFmtId="0" fontId="5" fillId="6" borderId="1" xfId="0" applyFont="1" applyFill="1" applyBorder="1"/>
    <xf numFmtId="0" fontId="14" fillId="0" borderId="6" xfId="0" applyFont="1" applyBorder="1" applyAlignment="1">
      <alignment horizontal="center"/>
    </xf>
    <xf numFmtId="0" fontId="15" fillId="0" borderId="7" xfId="0" applyFont="1" applyBorder="1"/>
    <xf numFmtId="6" fontId="15" fillId="0" borderId="7" xfId="0" applyNumberFormat="1" applyFont="1" applyBorder="1"/>
    <xf numFmtId="0" fontId="14" fillId="0" borderId="10" xfId="0" applyFont="1" applyBorder="1" applyAlignment="1">
      <alignment horizontal="center"/>
    </xf>
    <xf numFmtId="0" fontId="15" fillId="0" borderId="1" xfId="0" applyFont="1" applyBorder="1"/>
    <xf numFmtId="6" fontId="15" fillId="0" borderId="1" xfId="0" applyNumberFormat="1" applyFont="1" applyBorder="1"/>
    <xf numFmtId="0" fontId="16" fillId="0" borderId="6" xfId="0" applyFont="1" applyBorder="1"/>
    <xf numFmtId="6" fontId="15" fillId="0" borderId="5" xfId="0" applyNumberFormat="1" applyFont="1" applyBorder="1"/>
    <xf numFmtId="0" fontId="8" fillId="0" borderId="6" xfId="0" applyFont="1" applyBorder="1" applyAlignment="1">
      <alignment horizontal="center" vertical="center"/>
    </xf>
    <xf numFmtId="6" fontId="5" fillId="0" borderId="1" xfId="0" applyNumberFormat="1" applyFont="1" applyBorder="1"/>
    <xf numFmtId="6" fontId="5" fillId="6" borderId="1" xfId="0" applyNumberFormat="1" applyFont="1" applyFill="1" applyBorder="1"/>
    <xf numFmtId="0" fontId="13" fillId="6" borderId="11" xfId="0" applyFont="1" applyFill="1" applyBorder="1" applyAlignment="1">
      <alignment horizontal="center" vertical="center"/>
    </xf>
    <xf numFmtId="0" fontId="13" fillId="6" borderId="8" xfId="0" applyFont="1" applyFill="1" applyBorder="1" applyAlignment="1">
      <alignment horizontal="center" vertical="center"/>
    </xf>
    <xf numFmtId="167" fontId="17" fillId="0" borderId="0" xfId="6" applyNumberFormat="1" applyFont="1"/>
    <xf numFmtId="0" fontId="18" fillId="0" borderId="0" xfId="0" applyFont="1" applyAlignment="1">
      <alignment horizontal="center"/>
    </xf>
    <xf numFmtId="0" fontId="18" fillId="7" borderId="0" xfId="0" applyFont="1" applyFill="1" applyAlignment="1">
      <alignment horizontal="center"/>
    </xf>
    <xf numFmtId="167" fontId="8" fillId="0" borderId="1" xfId="6" applyNumberFormat="1" applyFont="1" applyBorder="1" applyAlignment="1">
      <alignment vertical="center"/>
    </xf>
    <xf numFmtId="167" fontId="8" fillId="0" borderId="7" xfId="6" applyNumberFormat="1" applyFont="1" applyBorder="1" applyAlignment="1">
      <alignment vertical="center"/>
    </xf>
    <xf numFmtId="167" fontId="8" fillId="0" borderId="6" xfId="6" applyNumberFormat="1" applyFont="1" applyBorder="1" applyAlignment="1">
      <alignment vertical="center"/>
    </xf>
    <xf numFmtId="167" fontId="13" fillId="6" borderId="5" xfId="6" applyNumberFormat="1" applyFont="1" applyFill="1" applyBorder="1" applyAlignment="1">
      <alignment horizontal="center" vertical="center"/>
    </xf>
    <xf numFmtId="0" fontId="5" fillId="2" borderId="0" xfId="0" applyFont="1" applyFill="1" applyAlignment="1">
      <alignment horizontal="center"/>
    </xf>
    <xf numFmtId="0" fontId="0" fillId="0" borderId="0" xfId="0"/>
    <xf numFmtId="0" fontId="5" fillId="6" borderId="3" xfId="0" applyFont="1" applyFill="1" applyBorder="1" applyAlignment="1">
      <alignment horizontal="center"/>
    </xf>
    <xf numFmtId="0" fontId="5" fillId="6" borderId="9" xfId="0" applyFont="1" applyFill="1" applyBorder="1" applyAlignment="1">
      <alignment horizontal="center"/>
    </xf>
    <xf numFmtId="0" fontId="5" fillId="6" borderId="4" xfId="0" applyFont="1" applyFill="1" applyBorder="1" applyAlignment="1">
      <alignment horizontal="center"/>
    </xf>
    <xf numFmtId="17" fontId="5" fillId="6" borderId="3" xfId="0" applyNumberFormat="1" applyFont="1" applyFill="1" applyBorder="1" applyAlignment="1">
      <alignment horizontal="center"/>
    </xf>
    <xf numFmtId="17" fontId="5" fillId="6" borderId="9" xfId="0" applyNumberFormat="1" applyFont="1" applyFill="1" applyBorder="1" applyAlignment="1">
      <alignment horizontal="center"/>
    </xf>
    <xf numFmtId="17" fontId="5" fillId="6" borderId="4" xfId="0" applyNumberFormat="1" applyFont="1" applyFill="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15" fillId="0" borderId="3" xfId="0" applyFont="1" applyBorder="1" applyAlignment="1">
      <alignment horizontal="center"/>
    </xf>
    <xf numFmtId="0" fontId="15" fillId="0" borderId="4" xfId="0" applyFont="1" applyBorder="1" applyAlignment="1">
      <alignment horizontal="center"/>
    </xf>
    <xf numFmtId="0" fontId="5" fillId="0" borderId="9" xfId="0" applyFont="1" applyBorder="1" applyAlignment="1">
      <alignment horizontal="center"/>
    </xf>
  </cellXfs>
  <cellStyles count="7">
    <cellStyle name="Moneda" xfId="6" builtinId="4"/>
    <cellStyle name="Moneda 2 10" xfId="3" xr:uid="{00000000-0005-0000-0000-000003000000}"/>
    <cellStyle name="Normal" xfId="0" builtinId="0"/>
    <cellStyle name="Normal 172" xfId="2" xr:uid="{00000000-0005-0000-0000-000002000000}"/>
    <cellStyle name="Normal 177" xfId="5" xr:uid="{00000000-0005-0000-0000-000005000000}"/>
    <cellStyle name="Normal 2 10 2" xfId="4" xr:uid="{00000000-0005-0000-0000-000004000000}"/>
    <cellStyle name="Normal 2 2 2 2 6 2" xfId="1" xr:uid="{00000000-0005-0000-0000-000001000000}"/>
  </cellStyles>
  <dxfs count="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lineacomunicacionesco.sharepoint.com/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lineacomunicacionesco.sharepoint.com/ENTREGA%20GERENCIA%20PROYECTO%20BANCO/FACTURACION/AGOSTO/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ineacomunicacionesco.sharepoint.com/BANCA/COORDINACION%20ZONA%20NOROCCIDENTE/ESTADO%20DIARIO/Estado%20Diario%20Diciembre/Copia%20de%20Matriz%20Formato%20Estado%20Diario%20DICIEMBRE.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FACTURACI&#211;N%202022/OCTUBRE/DATA%20V2/Informe%20Gestion%20CB%20BANCOLOMBIA%202022%20-%20ORDENES%20DE%20CAMBIO%20(1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row r="1">
          <cell r="U1" t="str">
            <v>Capacitación</v>
          </cell>
          <cell r="AO1" t="str">
            <v>Bancolombia</v>
          </cell>
          <cell r="AP1" t="str">
            <v>Red</v>
          </cell>
          <cell r="AQ1" t="str">
            <v>LíneaComunicaciones</v>
          </cell>
          <cell r="AR1" t="str">
            <v>NoAplica</v>
          </cell>
        </row>
      </sheetData>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selection activeCell="G27" sqref="G27"/>
    </sheetView>
  </sheetViews>
  <sheetFormatPr baseColWidth="10" defaultColWidth="11.42578125" defaultRowHeight="15"/>
  <cols>
    <col min="1" max="1" width="15" bestFit="1" customWidth="1"/>
    <col min="2" max="2" width="22.7109375" bestFit="1" customWidth="1"/>
    <col min="3" max="3" width="42" customWidth="1"/>
    <col min="4" max="4" width="14.42578125" customWidth="1"/>
  </cols>
  <sheetData>
    <row r="1" spans="1:4">
      <c r="A1" s="53" t="s">
        <v>0</v>
      </c>
      <c r="B1" s="54"/>
      <c r="C1" s="54"/>
      <c r="D1" s="18" t="s">
        <v>1</v>
      </c>
    </row>
    <row r="2" spans="1:4">
      <c r="A2" s="1" t="s">
        <v>2</v>
      </c>
      <c r="B2" s="1" t="s">
        <v>3</v>
      </c>
      <c r="C2" s="17" t="s">
        <v>4</v>
      </c>
      <c r="D2" s="16">
        <v>5.1999999999999998E-2</v>
      </c>
    </row>
    <row r="3" spans="1:4">
      <c r="A3" s="2" t="s">
        <v>5</v>
      </c>
      <c r="B3" s="2" t="s">
        <v>6</v>
      </c>
      <c r="C3" s="19">
        <f>42357*(1+$D$2)</f>
        <v>44559.563999999998</v>
      </c>
      <c r="D3" s="15"/>
    </row>
    <row r="4" spans="1:4">
      <c r="A4" s="2" t="s">
        <v>7</v>
      </c>
      <c r="B4" s="2" t="s">
        <v>8</v>
      </c>
      <c r="C4" s="19">
        <f>127767*(1+$D$2)</f>
        <v>134410.88400000002</v>
      </c>
      <c r="D4" s="15"/>
    </row>
    <row r="5" spans="1:4">
      <c r="A5" s="2" t="s">
        <v>9</v>
      </c>
      <c r="B5" s="2" t="s">
        <v>10</v>
      </c>
      <c r="C5" s="19">
        <f>211886*(1+$D$2)</f>
        <v>222904.07200000001</v>
      </c>
      <c r="D5" s="15"/>
    </row>
    <row r="6" spans="1:4">
      <c r="A6" s="2" t="s">
        <v>11</v>
      </c>
      <c r="B6" s="2" t="s">
        <v>12</v>
      </c>
      <c r="C6" s="19">
        <f>441834*(1+$D$2)</f>
        <v>464809.36800000002</v>
      </c>
      <c r="D6" s="15"/>
    </row>
    <row r="7" spans="1:4" ht="24.75" customHeight="1">
      <c r="A7" s="2" t="s">
        <v>13</v>
      </c>
      <c r="B7" s="2" t="s">
        <v>14</v>
      </c>
      <c r="C7" s="3" t="s">
        <v>15</v>
      </c>
      <c r="D7" s="15"/>
    </row>
    <row r="8" spans="1:4">
      <c r="A8" s="4"/>
      <c r="B8" s="5"/>
      <c r="C8" s="6"/>
    </row>
    <row r="9" spans="1:4">
      <c r="A9" s="7" t="s">
        <v>16</v>
      </c>
      <c r="B9" s="20">
        <f>36031*(1+$D$2)</f>
        <v>37904.612000000001</v>
      </c>
      <c r="C9" s="8"/>
    </row>
  </sheetData>
  <mergeCells count="1">
    <mergeCell ref="A1:C1"/>
  </mergeCells>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topLeftCell="A7" workbookViewId="0">
      <selection activeCell="E17" sqref="E17"/>
    </sheetView>
  </sheetViews>
  <sheetFormatPr baseColWidth="10" defaultColWidth="11.42578125" defaultRowHeight="15"/>
  <cols>
    <col min="1" max="1" width="15.28515625" bestFit="1" customWidth="1"/>
    <col min="2" max="2" width="18.28515625" bestFit="1" customWidth="1"/>
    <col min="3" max="3" width="30.28515625" bestFit="1" customWidth="1"/>
    <col min="4" max="4" width="34.140625" bestFit="1" customWidth="1"/>
  </cols>
  <sheetData>
    <row r="1" spans="1:4">
      <c r="A1" s="9" t="s">
        <v>17</v>
      </c>
      <c r="B1" s="9" t="s">
        <v>18</v>
      </c>
      <c r="C1" s="9" t="s">
        <v>19</v>
      </c>
      <c r="D1" s="10" t="s">
        <v>20</v>
      </c>
    </row>
    <row r="2" spans="1:4">
      <c r="A2" s="11" t="s">
        <v>21</v>
      </c>
      <c r="B2" s="12" t="s">
        <v>22</v>
      </c>
      <c r="C2" s="12" t="s">
        <v>23</v>
      </c>
      <c r="D2" s="12" t="s">
        <v>24</v>
      </c>
    </row>
    <row r="3" spans="1:4">
      <c r="A3" s="13" t="s">
        <v>25</v>
      </c>
      <c r="B3" s="14" t="s">
        <v>26</v>
      </c>
      <c r="C3" s="14" t="s">
        <v>27</v>
      </c>
      <c r="D3" s="14" t="s">
        <v>28</v>
      </c>
    </row>
    <row r="4" spans="1:4">
      <c r="A4" s="13" t="s">
        <v>29</v>
      </c>
      <c r="B4" s="14" t="s">
        <v>30</v>
      </c>
      <c r="C4" s="14" t="s">
        <v>31</v>
      </c>
      <c r="D4" s="14" t="s">
        <v>32</v>
      </c>
    </row>
    <row r="5" spans="1:4">
      <c r="A5" s="13" t="s">
        <v>33</v>
      </c>
      <c r="B5" s="14" t="s">
        <v>34</v>
      </c>
      <c r="C5" s="14" t="s">
        <v>35</v>
      </c>
      <c r="D5" s="14" t="s">
        <v>36</v>
      </c>
    </row>
    <row r="6" spans="1:4">
      <c r="A6" s="13" t="s">
        <v>37</v>
      </c>
      <c r="B6" s="14" t="s">
        <v>38</v>
      </c>
      <c r="C6" s="14" t="s">
        <v>39</v>
      </c>
      <c r="D6" s="14" t="s">
        <v>40</v>
      </c>
    </row>
    <row r="7" spans="1:4">
      <c r="A7" s="13" t="s">
        <v>41</v>
      </c>
      <c r="B7" s="14" t="s">
        <v>26</v>
      </c>
      <c r="C7" s="14" t="s">
        <v>27</v>
      </c>
      <c r="D7" s="14" t="s">
        <v>28</v>
      </c>
    </row>
    <row r="8" spans="1:4">
      <c r="A8" s="13" t="s">
        <v>42</v>
      </c>
      <c r="B8" s="14" t="s">
        <v>34</v>
      </c>
      <c r="C8" s="14" t="s">
        <v>35</v>
      </c>
      <c r="D8" s="14" t="s">
        <v>36</v>
      </c>
    </row>
    <row r="9" spans="1:4">
      <c r="A9" s="13" t="s">
        <v>43</v>
      </c>
      <c r="B9" s="14" t="s">
        <v>44</v>
      </c>
      <c r="C9" s="14" t="s">
        <v>45</v>
      </c>
      <c r="D9" s="14" t="s">
        <v>46</v>
      </c>
    </row>
    <row r="10" spans="1:4">
      <c r="A10" s="13" t="s">
        <v>47</v>
      </c>
      <c r="B10" s="14" t="s">
        <v>44</v>
      </c>
      <c r="C10" s="14" t="s">
        <v>45</v>
      </c>
      <c r="D10" s="14" t="s">
        <v>46</v>
      </c>
    </row>
    <row r="11" spans="1:4">
      <c r="A11" s="13" t="s">
        <v>48</v>
      </c>
      <c r="B11" s="14" t="s">
        <v>49</v>
      </c>
      <c r="C11" s="14" t="s">
        <v>50</v>
      </c>
      <c r="D11" s="14" t="s">
        <v>40</v>
      </c>
    </row>
    <row r="12" spans="1:4">
      <c r="A12" s="13" t="s">
        <v>51</v>
      </c>
      <c r="B12" s="14" t="s">
        <v>22</v>
      </c>
      <c r="C12" s="14" t="s">
        <v>23</v>
      </c>
      <c r="D12" s="14" t="s">
        <v>24</v>
      </c>
    </row>
    <row r="13" spans="1:4">
      <c r="A13" s="13" t="s">
        <v>52</v>
      </c>
      <c r="B13" s="14" t="s">
        <v>26</v>
      </c>
      <c r="C13" s="14" t="s">
        <v>27</v>
      </c>
      <c r="D13" s="14" t="s">
        <v>28</v>
      </c>
    </row>
    <row r="14" spans="1:4">
      <c r="A14" s="13" t="s">
        <v>53</v>
      </c>
      <c r="B14" s="14" t="s">
        <v>44</v>
      </c>
      <c r="C14" s="14" t="s">
        <v>45</v>
      </c>
      <c r="D14" s="14" t="s">
        <v>46</v>
      </c>
    </row>
    <row r="15" spans="1:4">
      <c r="A15" s="13" t="s">
        <v>54</v>
      </c>
      <c r="B15" s="14" t="s">
        <v>38</v>
      </c>
      <c r="C15" s="14" t="s">
        <v>39</v>
      </c>
      <c r="D15" s="14" t="s">
        <v>40</v>
      </c>
    </row>
    <row r="16" spans="1:4">
      <c r="A16" s="13" t="s">
        <v>55</v>
      </c>
      <c r="B16" s="14" t="s">
        <v>49</v>
      </c>
      <c r="C16" s="14" t="s">
        <v>50</v>
      </c>
      <c r="D16" s="14" t="s">
        <v>40</v>
      </c>
    </row>
    <row r="17" spans="1:4">
      <c r="A17" s="13" t="s">
        <v>56</v>
      </c>
      <c r="B17" s="14" t="s">
        <v>38</v>
      </c>
      <c r="C17" s="14" t="s">
        <v>39</v>
      </c>
      <c r="D17" s="14" t="s">
        <v>40</v>
      </c>
    </row>
    <row r="18" spans="1:4">
      <c r="A18" s="13" t="s">
        <v>57</v>
      </c>
      <c r="B18" s="14" t="s">
        <v>26</v>
      </c>
      <c r="C18" s="14" t="s">
        <v>27</v>
      </c>
      <c r="D18" s="14" t="s">
        <v>28</v>
      </c>
    </row>
    <row r="19" spans="1:4">
      <c r="A19" s="13" t="s">
        <v>58</v>
      </c>
      <c r="B19" s="14" t="s">
        <v>26</v>
      </c>
      <c r="C19" s="14" t="s">
        <v>27</v>
      </c>
      <c r="D19" s="14" t="s">
        <v>28</v>
      </c>
    </row>
    <row r="20" spans="1:4">
      <c r="A20" s="13" t="s">
        <v>59</v>
      </c>
      <c r="B20" s="14" t="s">
        <v>34</v>
      </c>
      <c r="C20" s="14" t="s">
        <v>35</v>
      </c>
      <c r="D20" s="14" t="s">
        <v>36</v>
      </c>
    </row>
    <row r="21" spans="1:4">
      <c r="A21" s="13" t="s">
        <v>60</v>
      </c>
      <c r="B21" s="14" t="s">
        <v>26</v>
      </c>
      <c r="C21" s="14" t="s">
        <v>27</v>
      </c>
      <c r="D21" s="14" t="s">
        <v>28</v>
      </c>
    </row>
    <row r="22" spans="1:4">
      <c r="A22" s="13" t="s">
        <v>61</v>
      </c>
      <c r="B22" s="14" t="s">
        <v>44</v>
      </c>
      <c r="C22" s="14" t="s">
        <v>45</v>
      </c>
      <c r="D22" s="14" t="s">
        <v>46</v>
      </c>
    </row>
    <row r="23" spans="1:4">
      <c r="A23" s="13" t="s">
        <v>62</v>
      </c>
      <c r="B23" s="14" t="s">
        <v>44</v>
      </c>
      <c r="C23" s="14" t="s">
        <v>45</v>
      </c>
      <c r="D23" s="14" t="s">
        <v>46</v>
      </c>
    </row>
  </sheetData>
  <autoFilter ref="A1:D23"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A8CC7-4FFC-4036-819A-10413459A041}">
  <dimension ref="A1:J10"/>
  <sheetViews>
    <sheetView tabSelected="1" workbookViewId="0">
      <selection activeCell="G14" sqref="G14"/>
    </sheetView>
  </sheetViews>
  <sheetFormatPr baseColWidth="10" defaultRowHeight="15"/>
  <cols>
    <col min="1" max="1" width="18.85546875" customWidth="1"/>
    <col min="6" max="6" width="14.7109375" customWidth="1"/>
    <col min="7" max="7" width="19.28515625" customWidth="1"/>
  </cols>
  <sheetData>
    <row r="1" spans="1:10">
      <c r="A1" s="55" t="s">
        <v>708</v>
      </c>
      <c r="B1" s="56"/>
      <c r="C1" s="56"/>
      <c r="D1" s="57"/>
      <c r="E1" s="26"/>
      <c r="F1" s="55" t="s">
        <v>709</v>
      </c>
      <c r="G1" s="56"/>
      <c r="H1" s="56"/>
      <c r="I1" s="56"/>
      <c r="J1" s="56"/>
    </row>
    <row r="2" spans="1:10">
      <c r="A2" s="55" t="s">
        <v>710</v>
      </c>
      <c r="B2" s="56"/>
      <c r="C2" s="56"/>
      <c r="D2" s="57"/>
      <c r="E2" s="26"/>
      <c r="F2" s="58">
        <f>A3</f>
        <v>45931</v>
      </c>
      <c r="G2" s="59"/>
      <c r="H2" s="59"/>
      <c r="I2" s="59"/>
      <c r="J2" s="59"/>
    </row>
    <row r="3" spans="1:10">
      <c r="A3" s="58">
        <v>45931</v>
      </c>
      <c r="B3" s="59"/>
      <c r="C3" s="59"/>
      <c r="D3" s="60"/>
      <c r="E3" s="26"/>
      <c r="F3" s="27"/>
      <c r="G3" s="27"/>
      <c r="H3" s="27"/>
      <c r="I3" s="27"/>
      <c r="J3" s="27"/>
    </row>
    <row r="4" spans="1:10">
      <c r="A4" s="28"/>
      <c r="B4" s="61"/>
      <c r="C4" s="62"/>
      <c r="D4" s="28"/>
      <c r="E4" s="26"/>
      <c r="F4" s="29" t="s">
        <v>711</v>
      </c>
      <c r="G4" s="30" t="s">
        <v>712</v>
      </c>
      <c r="H4" s="30" t="s">
        <v>713</v>
      </c>
      <c r="I4" s="30" t="s">
        <v>714</v>
      </c>
      <c r="J4" s="31" t="s">
        <v>713</v>
      </c>
    </row>
    <row r="5" spans="1:10">
      <c r="A5" s="32" t="s">
        <v>711</v>
      </c>
      <c r="B5" s="55" t="s">
        <v>715</v>
      </c>
      <c r="C5" s="57"/>
      <c r="D5" s="32" t="s">
        <v>713</v>
      </c>
      <c r="E5" s="26"/>
      <c r="F5" s="33" t="s">
        <v>501</v>
      </c>
      <c r="G5" s="33" t="s">
        <v>721</v>
      </c>
      <c r="H5" s="49">
        <f>451500+253800</f>
        <v>705300</v>
      </c>
      <c r="I5" s="49">
        <f>H5*0.12</f>
        <v>84636</v>
      </c>
      <c r="J5" s="49">
        <f>H5+I5</f>
        <v>789936</v>
      </c>
    </row>
    <row r="6" spans="1:10">
      <c r="A6" s="34" t="s">
        <v>722</v>
      </c>
      <c r="B6" s="63">
        <f>COUNTA(CIERRES!A:A)-1</f>
        <v>81</v>
      </c>
      <c r="C6" s="64"/>
      <c r="D6" s="35">
        <f>CIERRES!AD83</f>
        <v>6788297</v>
      </c>
      <c r="E6" s="26"/>
      <c r="F6" s="36"/>
      <c r="G6" s="36"/>
      <c r="H6" s="50"/>
      <c r="I6" s="50" t="s">
        <v>716</v>
      </c>
      <c r="J6" s="50" t="s">
        <v>717</v>
      </c>
    </row>
    <row r="7" spans="1:10">
      <c r="A7" s="37" t="s">
        <v>718</v>
      </c>
      <c r="B7" s="63">
        <v>1</v>
      </c>
      <c r="C7" s="64"/>
      <c r="D7" s="38">
        <f>J10</f>
        <v>789936</v>
      </c>
      <c r="E7" s="26"/>
      <c r="F7" s="39"/>
      <c r="G7" s="39"/>
      <c r="H7" s="51"/>
      <c r="I7" s="51" t="s">
        <v>716</v>
      </c>
      <c r="J7" s="51" t="s">
        <v>717</v>
      </c>
    </row>
    <row r="8" spans="1:10">
      <c r="A8" s="61" t="s">
        <v>719</v>
      </c>
      <c r="B8" s="65"/>
      <c r="C8" s="62"/>
      <c r="D8" s="40">
        <f>SUM(D6:D7)</f>
        <v>7578233</v>
      </c>
      <c r="E8" s="26"/>
      <c r="F8" s="39"/>
      <c r="G8" s="41"/>
      <c r="H8" s="51"/>
      <c r="I8" s="51"/>
      <c r="J8" s="51"/>
    </row>
    <row r="9" spans="1:10">
      <c r="A9" s="61" t="s">
        <v>720</v>
      </c>
      <c r="B9" s="65"/>
      <c r="C9" s="62"/>
      <c r="D9" s="42">
        <f>D8*0.19</f>
        <v>1439864.27</v>
      </c>
      <c r="E9" s="26"/>
      <c r="F9" s="39"/>
      <c r="G9" s="41"/>
      <c r="H9" s="51"/>
      <c r="I9" s="51"/>
      <c r="J9" s="51"/>
    </row>
    <row r="10" spans="1:10">
      <c r="A10" s="55" t="s">
        <v>713</v>
      </c>
      <c r="B10" s="56"/>
      <c r="C10" s="57"/>
      <c r="D10" s="43">
        <f>D8+D9</f>
        <v>9018097.2699999996</v>
      </c>
      <c r="E10" s="26"/>
      <c r="F10" s="44" t="s">
        <v>713</v>
      </c>
      <c r="G10" s="45"/>
      <c r="H10" s="52">
        <f>SUM(H5:H9)</f>
        <v>705300</v>
      </c>
      <c r="I10" s="52">
        <f t="shared" ref="I10:J10" si="0">SUM(I5:I9)</f>
        <v>84636</v>
      </c>
      <c r="J10" s="52">
        <f t="shared" si="0"/>
        <v>789936</v>
      </c>
    </row>
  </sheetData>
  <mergeCells count="12">
    <mergeCell ref="A10:C10"/>
    <mergeCell ref="A1:D1"/>
    <mergeCell ref="F1:J1"/>
    <mergeCell ref="A2:D2"/>
    <mergeCell ref="F2:J2"/>
    <mergeCell ref="A3:D3"/>
    <mergeCell ref="B4:C4"/>
    <mergeCell ref="B5:C5"/>
    <mergeCell ref="B6:C6"/>
    <mergeCell ref="B7:C7"/>
    <mergeCell ref="A8:C8"/>
    <mergeCell ref="A9:C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82"/>
  <sheetViews>
    <sheetView topLeftCell="W60" workbookViewId="0">
      <selection activeCell="AD83" sqref="AD83"/>
    </sheetView>
  </sheetViews>
  <sheetFormatPr baseColWidth="10" defaultColWidth="9.140625" defaultRowHeight="15"/>
  <cols>
    <col min="1" max="1" width="15" customWidth="1"/>
    <col min="2" max="2" width="29" customWidth="1"/>
    <col min="3" max="3" width="27" customWidth="1"/>
    <col min="4" max="4" width="13" customWidth="1"/>
    <col min="5" max="5" width="21" customWidth="1"/>
    <col min="6" max="6" width="12" customWidth="1"/>
    <col min="7" max="7" width="11" customWidth="1"/>
    <col min="8" max="8" width="20" customWidth="1"/>
    <col min="9" max="9" width="29" customWidth="1"/>
    <col min="10" max="10" width="38" customWidth="1"/>
    <col min="11" max="11" width="10" customWidth="1"/>
    <col min="12" max="12" width="31" customWidth="1"/>
    <col min="13" max="13" width="41" customWidth="1"/>
    <col min="14" max="14" width="44" customWidth="1"/>
    <col min="15" max="16" width="11" customWidth="1"/>
    <col min="17" max="17" width="25" customWidth="1"/>
    <col min="18" max="18" width="14" customWidth="1"/>
    <col min="19" max="19" width="15" customWidth="1"/>
    <col min="20" max="20" width="35" customWidth="1"/>
    <col min="21" max="21" width="31" customWidth="1"/>
    <col min="22" max="22" width="50" customWidth="1"/>
    <col min="23" max="23" width="20" customWidth="1"/>
    <col min="24" max="24" width="50" customWidth="1"/>
    <col min="25" max="25" width="14" customWidth="1"/>
    <col min="26" max="26" width="18" customWidth="1"/>
    <col min="27" max="27" width="42" customWidth="1"/>
    <col min="28" max="28" width="16" customWidth="1"/>
    <col min="29" max="29" width="17" style="25" customWidth="1"/>
    <col min="30" max="30" width="13" style="25" customWidth="1"/>
  </cols>
  <sheetData>
    <row r="1" spans="1:30" ht="30">
      <c r="A1" s="21" t="s">
        <v>63</v>
      </c>
      <c r="B1" s="21" t="s">
        <v>64</v>
      </c>
      <c r="C1" s="21" t="s">
        <v>65</v>
      </c>
      <c r="D1" s="21" t="s">
        <v>66</v>
      </c>
      <c r="E1" s="21" t="s">
        <v>67</v>
      </c>
      <c r="F1" s="21" t="s">
        <v>68</v>
      </c>
      <c r="G1" s="21" t="s">
        <v>69</v>
      </c>
      <c r="H1" s="21" t="s">
        <v>70</v>
      </c>
      <c r="I1" s="21" t="s">
        <v>17</v>
      </c>
      <c r="J1" s="21" t="s">
        <v>71</v>
      </c>
      <c r="K1" s="21" t="s">
        <v>72</v>
      </c>
      <c r="L1" s="21" t="s">
        <v>73</v>
      </c>
      <c r="M1" s="21" t="s">
        <v>74</v>
      </c>
      <c r="N1" s="21" t="s">
        <v>75</v>
      </c>
      <c r="O1" s="21" t="s">
        <v>76</v>
      </c>
      <c r="P1" s="21" t="s">
        <v>77</v>
      </c>
      <c r="Q1" s="21" t="s">
        <v>19</v>
      </c>
      <c r="R1" s="21" t="s">
        <v>78</v>
      </c>
      <c r="S1" s="21" t="s">
        <v>79</v>
      </c>
      <c r="T1" s="21" t="s">
        <v>80</v>
      </c>
      <c r="U1" s="21" t="s">
        <v>81</v>
      </c>
      <c r="V1" s="21" t="s">
        <v>82</v>
      </c>
      <c r="W1" s="21" t="s">
        <v>83</v>
      </c>
      <c r="X1" s="21" t="s">
        <v>84</v>
      </c>
      <c r="Y1" s="21" t="s">
        <v>85</v>
      </c>
      <c r="Z1" s="21" t="s">
        <v>86</v>
      </c>
      <c r="AA1" s="21" t="s">
        <v>87</v>
      </c>
      <c r="AB1" s="21" t="s">
        <v>88</v>
      </c>
      <c r="AC1" s="24" t="s">
        <v>89</v>
      </c>
      <c r="AD1" s="24" t="s">
        <v>90</v>
      </c>
    </row>
    <row r="2" spans="1:30">
      <c r="A2" t="s">
        <v>61</v>
      </c>
      <c r="B2" t="s">
        <v>91</v>
      </c>
      <c r="C2" t="s">
        <v>44</v>
      </c>
      <c r="D2" t="s">
        <v>92</v>
      </c>
      <c r="E2" t="s">
        <v>93</v>
      </c>
      <c r="F2" t="s">
        <v>94</v>
      </c>
      <c r="G2" t="s">
        <v>95</v>
      </c>
      <c r="H2" t="s">
        <v>96</v>
      </c>
      <c r="I2" t="s">
        <v>61</v>
      </c>
      <c r="J2" t="s">
        <v>97</v>
      </c>
      <c r="K2" t="s">
        <v>98</v>
      </c>
      <c r="L2" t="s">
        <v>99</v>
      </c>
      <c r="M2" s="22">
        <v>45925.333333333343</v>
      </c>
      <c r="N2" s="22">
        <v>45931.71597222222</v>
      </c>
      <c r="P2" t="s">
        <v>100</v>
      </c>
      <c r="Q2" t="s">
        <v>101</v>
      </c>
      <c r="R2" t="s">
        <v>102</v>
      </c>
      <c r="S2" t="s">
        <v>103</v>
      </c>
      <c r="T2" t="s">
        <v>104</v>
      </c>
      <c r="U2" t="s">
        <v>105</v>
      </c>
      <c r="V2" t="s">
        <v>106</v>
      </c>
      <c r="W2" t="s">
        <v>107</v>
      </c>
      <c r="Y2" t="s">
        <v>108</v>
      </c>
      <c r="Z2" t="s">
        <v>109</v>
      </c>
      <c r="AA2" t="s">
        <v>110</v>
      </c>
      <c r="AB2" s="23">
        <v>1</v>
      </c>
      <c r="AC2" s="25">
        <v>44560</v>
      </c>
      <c r="AD2" s="25">
        <v>44560</v>
      </c>
    </row>
    <row r="3" spans="1:30">
      <c r="A3" t="s">
        <v>51</v>
      </c>
      <c r="B3" t="s">
        <v>111</v>
      </c>
      <c r="C3" t="s">
        <v>22</v>
      </c>
      <c r="D3" t="s">
        <v>112</v>
      </c>
      <c r="E3" t="s">
        <v>113</v>
      </c>
      <c r="F3" t="s">
        <v>114</v>
      </c>
      <c r="G3" t="s">
        <v>95</v>
      </c>
      <c r="H3" t="s">
        <v>115</v>
      </c>
      <c r="I3" t="s">
        <v>116</v>
      </c>
      <c r="J3" t="s">
        <v>117</v>
      </c>
      <c r="K3" t="s">
        <v>98</v>
      </c>
      <c r="L3" t="s">
        <v>118</v>
      </c>
      <c r="M3" s="22">
        <v>45926.333333333343</v>
      </c>
      <c r="N3" s="22">
        <v>45931.59375</v>
      </c>
      <c r="P3" t="s">
        <v>100</v>
      </c>
      <c r="Q3" t="s">
        <v>100</v>
      </c>
      <c r="R3" t="s">
        <v>119</v>
      </c>
      <c r="S3" t="s">
        <v>120</v>
      </c>
      <c r="T3" t="s">
        <v>104</v>
      </c>
      <c r="U3" t="s">
        <v>105</v>
      </c>
      <c r="V3" t="s">
        <v>121</v>
      </c>
      <c r="W3" t="s">
        <v>107</v>
      </c>
      <c r="X3" t="s">
        <v>122</v>
      </c>
      <c r="Y3" t="s">
        <v>108</v>
      </c>
      <c r="Z3" t="s">
        <v>109</v>
      </c>
      <c r="AB3" s="23">
        <v>1</v>
      </c>
      <c r="AC3" s="25">
        <v>44560</v>
      </c>
      <c r="AD3" s="25">
        <v>44560</v>
      </c>
    </row>
    <row r="4" spans="1:30">
      <c r="A4" t="s">
        <v>37</v>
      </c>
      <c r="B4" t="s">
        <v>123</v>
      </c>
      <c r="C4" t="s">
        <v>38</v>
      </c>
      <c r="D4" t="s">
        <v>124</v>
      </c>
      <c r="E4" t="s">
        <v>125</v>
      </c>
      <c r="F4" t="s">
        <v>126</v>
      </c>
      <c r="G4" t="s">
        <v>95</v>
      </c>
      <c r="H4" t="s">
        <v>127</v>
      </c>
      <c r="I4" t="s">
        <v>128</v>
      </c>
      <c r="J4" t="s">
        <v>129</v>
      </c>
      <c r="K4" t="s">
        <v>98</v>
      </c>
      <c r="L4" t="s">
        <v>130</v>
      </c>
      <c r="M4" s="22">
        <v>45929.63958333333</v>
      </c>
      <c r="N4" s="22">
        <v>45931.69027777778</v>
      </c>
      <c r="P4" t="s">
        <v>100</v>
      </c>
      <c r="Q4" t="s">
        <v>100</v>
      </c>
      <c r="R4" t="s">
        <v>102</v>
      </c>
      <c r="S4" t="s">
        <v>131</v>
      </c>
      <c r="T4" t="s">
        <v>104</v>
      </c>
      <c r="U4" t="s">
        <v>132</v>
      </c>
      <c r="V4" t="s">
        <v>133</v>
      </c>
      <c r="W4" t="s">
        <v>107</v>
      </c>
      <c r="X4" t="s">
        <v>134</v>
      </c>
      <c r="Y4" t="s">
        <v>135</v>
      </c>
      <c r="Z4" t="s">
        <v>109</v>
      </c>
      <c r="AA4" t="s">
        <v>136</v>
      </c>
      <c r="AB4" s="23">
        <v>1</v>
      </c>
      <c r="AC4" s="25">
        <v>134411</v>
      </c>
      <c r="AD4" s="25">
        <v>134411</v>
      </c>
    </row>
    <row r="5" spans="1:30">
      <c r="A5" t="s">
        <v>59</v>
      </c>
      <c r="B5" t="s">
        <v>137</v>
      </c>
      <c r="C5" t="s">
        <v>34</v>
      </c>
      <c r="D5" t="s">
        <v>138</v>
      </c>
      <c r="E5" t="s">
        <v>139</v>
      </c>
      <c r="F5" t="s">
        <v>140</v>
      </c>
      <c r="G5" t="s">
        <v>95</v>
      </c>
      <c r="H5" t="s">
        <v>141</v>
      </c>
      <c r="I5" t="s">
        <v>59</v>
      </c>
      <c r="J5" t="s">
        <v>142</v>
      </c>
      <c r="K5" t="s">
        <v>98</v>
      </c>
      <c r="L5" t="s">
        <v>143</v>
      </c>
      <c r="M5" s="22">
        <v>45929.63958333333</v>
      </c>
      <c r="N5" s="22">
        <v>45931.445833333331</v>
      </c>
      <c r="P5" t="s">
        <v>100</v>
      </c>
      <c r="Q5" t="s">
        <v>100</v>
      </c>
      <c r="R5" t="s">
        <v>131</v>
      </c>
      <c r="S5" t="s">
        <v>131</v>
      </c>
      <c r="T5" t="s">
        <v>144</v>
      </c>
      <c r="U5" t="s">
        <v>105</v>
      </c>
      <c r="V5" t="s">
        <v>145</v>
      </c>
      <c r="W5" t="s">
        <v>107</v>
      </c>
      <c r="Y5" t="s">
        <v>108</v>
      </c>
      <c r="Z5" t="s">
        <v>109</v>
      </c>
      <c r="AA5" t="s">
        <v>146</v>
      </c>
      <c r="AB5" s="23">
        <v>1</v>
      </c>
      <c r="AC5" s="25">
        <v>44560</v>
      </c>
      <c r="AD5" s="25">
        <v>44560</v>
      </c>
    </row>
    <row r="6" spans="1:30">
      <c r="A6" t="s">
        <v>29</v>
      </c>
      <c r="B6" t="s">
        <v>147</v>
      </c>
      <c r="C6" t="s">
        <v>30</v>
      </c>
      <c r="D6" t="s">
        <v>148</v>
      </c>
      <c r="E6" t="s">
        <v>149</v>
      </c>
      <c r="F6" t="s">
        <v>150</v>
      </c>
      <c r="G6" t="s">
        <v>95</v>
      </c>
      <c r="H6" t="s">
        <v>147</v>
      </c>
      <c r="I6" t="s">
        <v>151</v>
      </c>
      <c r="J6" t="s">
        <v>152</v>
      </c>
      <c r="K6" t="s">
        <v>98</v>
      </c>
      <c r="L6" t="s">
        <v>153</v>
      </c>
      <c r="M6" s="22">
        <v>45929.63958333333</v>
      </c>
      <c r="N6" s="22">
        <v>45931.587500000001</v>
      </c>
      <c r="P6" t="s">
        <v>100</v>
      </c>
      <c r="Q6" t="s">
        <v>100</v>
      </c>
      <c r="R6" t="s">
        <v>131</v>
      </c>
      <c r="S6" t="s">
        <v>131</v>
      </c>
      <c r="T6" t="s">
        <v>104</v>
      </c>
      <c r="U6" t="s">
        <v>105</v>
      </c>
      <c r="V6" t="s">
        <v>154</v>
      </c>
      <c r="W6" t="s">
        <v>107</v>
      </c>
      <c r="X6" t="s">
        <v>155</v>
      </c>
      <c r="Y6" t="s">
        <v>135</v>
      </c>
      <c r="Z6" t="s">
        <v>109</v>
      </c>
      <c r="AA6" t="s">
        <v>156</v>
      </c>
      <c r="AB6" s="23">
        <v>1</v>
      </c>
      <c r="AC6" s="25">
        <v>134411</v>
      </c>
      <c r="AD6" s="25">
        <v>134411</v>
      </c>
    </row>
    <row r="7" spans="1:30">
      <c r="A7" t="s">
        <v>51</v>
      </c>
      <c r="B7" t="s">
        <v>111</v>
      </c>
      <c r="C7" t="s">
        <v>22</v>
      </c>
      <c r="D7" t="s">
        <v>157</v>
      </c>
      <c r="E7" t="s">
        <v>158</v>
      </c>
      <c r="F7" t="s">
        <v>159</v>
      </c>
      <c r="G7" t="s">
        <v>95</v>
      </c>
      <c r="H7" t="s">
        <v>115</v>
      </c>
      <c r="I7" t="s">
        <v>51</v>
      </c>
      <c r="J7" t="s">
        <v>160</v>
      </c>
      <c r="K7" t="s">
        <v>98</v>
      </c>
      <c r="L7" t="s">
        <v>161</v>
      </c>
      <c r="M7" s="22">
        <v>45931.333333333343</v>
      </c>
      <c r="N7" s="22">
        <v>45932.436805555553</v>
      </c>
      <c r="P7" t="s">
        <v>100</v>
      </c>
      <c r="Q7" t="s">
        <v>100</v>
      </c>
      <c r="R7" t="s">
        <v>119</v>
      </c>
      <c r="S7" t="s">
        <v>120</v>
      </c>
      <c r="T7" t="s">
        <v>104</v>
      </c>
      <c r="U7" t="s">
        <v>132</v>
      </c>
      <c r="V7" t="s">
        <v>162</v>
      </c>
      <c r="W7" t="s">
        <v>107</v>
      </c>
      <c r="X7" t="s">
        <v>155</v>
      </c>
      <c r="Y7" t="s">
        <v>108</v>
      </c>
      <c r="Z7" t="s">
        <v>109</v>
      </c>
      <c r="AA7" t="s">
        <v>163</v>
      </c>
      <c r="AB7" s="23">
        <v>1</v>
      </c>
      <c r="AC7" s="25">
        <v>44560</v>
      </c>
      <c r="AD7" s="25">
        <v>44560</v>
      </c>
    </row>
    <row r="8" spans="1:30">
      <c r="A8" t="s">
        <v>41</v>
      </c>
      <c r="B8" t="s">
        <v>164</v>
      </c>
      <c r="C8" t="s">
        <v>26</v>
      </c>
      <c r="D8" t="s">
        <v>165</v>
      </c>
      <c r="E8" t="s">
        <v>166</v>
      </c>
      <c r="F8" t="s">
        <v>167</v>
      </c>
      <c r="G8" t="s">
        <v>95</v>
      </c>
      <c r="H8" t="s">
        <v>168</v>
      </c>
      <c r="I8" t="s">
        <v>41</v>
      </c>
      <c r="J8" t="s">
        <v>169</v>
      </c>
      <c r="K8" t="s">
        <v>98</v>
      </c>
      <c r="L8" t="s">
        <v>170</v>
      </c>
      <c r="M8" s="22">
        <v>45936.6875</v>
      </c>
      <c r="N8" s="22">
        <v>45944.392361111109</v>
      </c>
      <c r="P8" t="s">
        <v>100</v>
      </c>
      <c r="Q8" t="s">
        <v>100</v>
      </c>
      <c r="R8" t="s">
        <v>119</v>
      </c>
      <c r="S8" t="s">
        <v>120</v>
      </c>
      <c r="T8" t="s">
        <v>171</v>
      </c>
      <c r="U8" t="s">
        <v>172</v>
      </c>
      <c r="V8" t="s">
        <v>173</v>
      </c>
      <c r="W8" t="s">
        <v>107</v>
      </c>
      <c r="X8" t="s">
        <v>174</v>
      </c>
      <c r="Y8" t="s">
        <v>108</v>
      </c>
      <c r="Z8" t="s">
        <v>109</v>
      </c>
      <c r="AA8" t="s">
        <v>175</v>
      </c>
      <c r="AB8" s="23">
        <v>1</v>
      </c>
      <c r="AC8" s="25">
        <v>44560</v>
      </c>
      <c r="AD8" s="25">
        <v>44560</v>
      </c>
    </row>
    <row r="9" spans="1:30">
      <c r="A9" t="s">
        <v>51</v>
      </c>
      <c r="B9" t="s">
        <v>111</v>
      </c>
      <c r="C9" t="s">
        <v>22</v>
      </c>
      <c r="D9" t="s">
        <v>176</v>
      </c>
      <c r="E9" t="s">
        <v>177</v>
      </c>
      <c r="F9" t="s">
        <v>178</v>
      </c>
      <c r="G9" t="s">
        <v>95</v>
      </c>
      <c r="H9" t="s">
        <v>115</v>
      </c>
      <c r="I9" t="s">
        <v>179</v>
      </c>
      <c r="J9" t="s">
        <v>180</v>
      </c>
      <c r="K9" t="s">
        <v>98</v>
      </c>
      <c r="L9" t="s">
        <v>181</v>
      </c>
      <c r="M9" s="22">
        <v>45936.6875</v>
      </c>
      <c r="N9" s="22">
        <v>45937.617361111108</v>
      </c>
      <c r="P9" t="s">
        <v>100</v>
      </c>
      <c r="Q9" t="s">
        <v>100</v>
      </c>
      <c r="R9" t="s">
        <v>119</v>
      </c>
      <c r="S9" t="s">
        <v>120</v>
      </c>
      <c r="T9" t="s">
        <v>104</v>
      </c>
      <c r="U9" t="s">
        <v>105</v>
      </c>
      <c r="V9" t="s">
        <v>182</v>
      </c>
      <c r="W9" t="s">
        <v>107</v>
      </c>
      <c r="Y9" t="s">
        <v>135</v>
      </c>
      <c r="Z9" t="s">
        <v>109</v>
      </c>
      <c r="AA9" t="s">
        <v>163</v>
      </c>
      <c r="AB9" s="23">
        <v>1</v>
      </c>
      <c r="AC9" s="25">
        <v>134411</v>
      </c>
      <c r="AD9" s="25">
        <v>134411</v>
      </c>
    </row>
    <row r="10" spans="1:30">
      <c r="A10" t="s">
        <v>37</v>
      </c>
      <c r="B10" t="s">
        <v>123</v>
      </c>
      <c r="C10" t="s">
        <v>38</v>
      </c>
      <c r="D10" t="s">
        <v>183</v>
      </c>
      <c r="E10" t="s">
        <v>184</v>
      </c>
      <c r="F10" t="s">
        <v>185</v>
      </c>
      <c r="G10" t="s">
        <v>95</v>
      </c>
      <c r="H10" t="s">
        <v>127</v>
      </c>
      <c r="I10" t="s">
        <v>37</v>
      </c>
      <c r="J10" t="s">
        <v>186</v>
      </c>
      <c r="K10" t="s">
        <v>98</v>
      </c>
      <c r="L10" t="s">
        <v>187</v>
      </c>
      <c r="M10" s="22">
        <v>45936.6875</v>
      </c>
      <c r="N10" s="22">
        <v>45940.361805555563</v>
      </c>
      <c r="P10" t="s">
        <v>100</v>
      </c>
      <c r="Q10" t="s">
        <v>100</v>
      </c>
      <c r="R10" t="s">
        <v>119</v>
      </c>
      <c r="S10" t="s">
        <v>188</v>
      </c>
      <c r="T10" t="s">
        <v>104</v>
      </c>
      <c r="U10" t="s">
        <v>132</v>
      </c>
      <c r="V10" t="s">
        <v>189</v>
      </c>
      <c r="W10" t="s">
        <v>107</v>
      </c>
      <c r="X10" t="s">
        <v>190</v>
      </c>
      <c r="Y10" t="s">
        <v>108</v>
      </c>
      <c r="Z10" t="s">
        <v>109</v>
      </c>
      <c r="AA10" t="s">
        <v>191</v>
      </c>
      <c r="AB10" s="23">
        <v>1</v>
      </c>
      <c r="AC10" s="25">
        <v>44560</v>
      </c>
      <c r="AD10" s="25">
        <v>44560</v>
      </c>
    </row>
    <row r="11" spans="1:30">
      <c r="A11" t="s">
        <v>29</v>
      </c>
      <c r="B11" t="s">
        <v>147</v>
      </c>
      <c r="C11" t="s">
        <v>30</v>
      </c>
      <c r="D11" t="s">
        <v>192</v>
      </c>
      <c r="E11" t="s">
        <v>193</v>
      </c>
      <c r="F11" t="s">
        <v>194</v>
      </c>
      <c r="G11" t="s">
        <v>95</v>
      </c>
      <c r="H11" t="s">
        <v>147</v>
      </c>
      <c r="I11" t="s">
        <v>29</v>
      </c>
      <c r="J11" t="s">
        <v>195</v>
      </c>
      <c r="K11" t="s">
        <v>98</v>
      </c>
      <c r="L11" t="s">
        <v>196</v>
      </c>
      <c r="M11" s="22">
        <v>45936.6875</v>
      </c>
      <c r="N11" s="22">
        <v>45944.470138888893</v>
      </c>
      <c r="P11" t="s">
        <v>100</v>
      </c>
      <c r="Q11" t="s">
        <v>100</v>
      </c>
      <c r="R11" t="s">
        <v>119</v>
      </c>
      <c r="S11" t="s">
        <v>120</v>
      </c>
      <c r="T11" t="s">
        <v>104</v>
      </c>
      <c r="U11" t="s">
        <v>132</v>
      </c>
      <c r="V11" t="s">
        <v>197</v>
      </c>
      <c r="W11" t="s">
        <v>107</v>
      </c>
      <c r="X11" t="s">
        <v>198</v>
      </c>
      <c r="Y11" t="s">
        <v>108</v>
      </c>
      <c r="Z11" t="s">
        <v>109</v>
      </c>
      <c r="AA11" t="s">
        <v>199</v>
      </c>
      <c r="AB11" s="23">
        <v>1</v>
      </c>
      <c r="AC11" s="25">
        <v>44560</v>
      </c>
      <c r="AD11" s="25">
        <v>44560</v>
      </c>
    </row>
    <row r="12" spans="1:30">
      <c r="A12" t="s">
        <v>51</v>
      </c>
      <c r="B12" t="s">
        <v>111</v>
      </c>
      <c r="C12" t="s">
        <v>22</v>
      </c>
      <c r="D12" t="s">
        <v>157</v>
      </c>
      <c r="E12" t="s">
        <v>200</v>
      </c>
      <c r="F12" t="s">
        <v>201</v>
      </c>
      <c r="G12" t="s">
        <v>95</v>
      </c>
      <c r="H12" t="s">
        <v>115</v>
      </c>
      <c r="I12" t="s">
        <v>51</v>
      </c>
      <c r="J12" t="s">
        <v>202</v>
      </c>
      <c r="K12" t="s">
        <v>98</v>
      </c>
      <c r="L12" t="s">
        <v>203</v>
      </c>
      <c r="M12" s="22">
        <v>45937.481249999997</v>
      </c>
      <c r="N12" s="22">
        <v>45939.527777777781</v>
      </c>
      <c r="P12" t="s">
        <v>100</v>
      </c>
      <c r="Q12" t="s">
        <v>100</v>
      </c>
      <c r="R12" t="s">
        <v>131</v>
      </c>
      <c r="S12" t="s">
        <v>131</v>
      </c>
      <c r="T12" t="s">
        <v>104</v>
      </c>
      <c r="U12" t="s">
        <v>105</v>
      </c>
      <c r="V12" t="s">
        <v>204</v>
      </c>
      <c r="W12" t="s">
        <v>107</v>
      </c>
      <c r="X12" t="s">
        <v>205</v>
      </c>
      <c r="Y12" t="s">
        <v>108</v>
      </c>
      <c r="Z12" t="s">
        <v>109</v>
      </c>
      <c r="AA12" t="s">
        <v>206</v>
      </c>
      <c r="AB12" s="23">
        <v>1</v>
      </c>
      <c r="AC12" s="25">
        <v>44560</v>
      </c>
      <c r="AD12" s="25">
        <v>44560</v>
      </c>
    </row>
    <row r="13" spans="1:30">
      <c r="A13" t="s">
        <v>51</v>
      </c>
      <c r="B13" t="s">
        <v>111</v>
      </c>
      <c r="C13" t="s">
        <v>22</v>
      </c>
      <c r="D13" t="s">
        <v>157</v>
      </c>
      <c r="E13" t="s">
        <v>207</v>
      </c>
      <c r="F13" t="s">
        <v>208</v>
      </c>
      <c r="G13" t="s">
        <v>95</v>
      </c>
      <c r="H13" t="s">
        <v>115</v>
      </c>
      <c r="I13" t="s">
        <v>51</v>
      </c>
      <c r="J13" t="s">
        <v>209</v>
      </c>
      <c r="K13" t="s">
        <v>98</v>
      </c>
      <c r="L13" t="s">
        <v>210</v>
      </c>
      <c r="M13" s="22">
        <v>45937.481249999997</v>
      </c>
      <c r="N13" s="22">
        <v>45945.461111111108</v>
      </c>
      <c r="P13" t="s">
        <v>100</v>
      </c>
      <c r="Q13" t="s">
        <v>100</v>
      </c>
      <c r="R13" t="s">
        <v>102</v>
      </c>
      <c r="S13" t="s">
        <v>102</v>
      </c>
      <c r="T13" t="s">
        <v>104</v>
      </c>
      <c r="U13" t="s">
        <v>105</v>
      </c>
      <c r="V13" t="s">
        <v>211</v>
      </c>
      <c r="W13" t="s">
        <v>107</v>
      </c>
      <c r="X13" t="s">
        <v>190</v>
      </c>
      <c r="Y13" t="s">
        <v>108</v>
      </c>
      <c r="Z13" t="s">
        <v>109</v>
      </c>
      <c r="AA13" t="s">
        <v>212</v>
      </c>
      <c r="AB13" s="23">
        <v>2</v>
      </c>
      <c r="AC13" s="25">
        <v>44560</v>
      </c>
      <c r="AD13" s="25">
        <v>89120</v>
      </c>
    </row>
    <row r="14" spans="1:30">
      <c r="A14" t="s">
        <v>51</v>
      </c>
      <c r="B14" t="s">
        <v>111</v>
      </c>
      <c r="C14" t="s">
        <v>22</v>
      </c>
      <c r="D14" t="s">
        <v>213</v>
      </c>
      <c r="E14" t="s">
        <v>214</v>
      </c>
      <c r="F14" t="s">
        <v>215</v>
      </c>
      <c r="G14" t="s">
        <v>95</v>
      </c>
      <c r="H14" t="s">
        <v>115</v>
      </c>
      <c r="I14" t="s">
        <v>216</v>
      </c>
      <c r="J14" t="s">
        <v>217</v>
      </c>
      <c r="K14" t="s">
        <v>98</v>
      </c>
      <c r="L14" t="s">
        <v>218</v>
      </c>
      <c r="M14" s="22">
        <v>45937.481249999997</v>
      </c>
      <c r="N14" s="22">
        <v>45944.508333333331</v>
      </c>
      <c r="P14" t="s">
        <v>100</v>
      </c>
      <c r="Q14" t="s">
        <v>100</v>
      </c>
      <c r="R14" t="s">
        <v>131</v>
      </c>
      <c r="S14" t="s">
        <v>131</v>
      </c>
      <c r="T14" t="s">
        <v>104</v>
      </c>
      <c r="U14" t="s">
        <v>105</v>
      </c>
      <c r="V14" t="s">
        <v>219</v>
      </c>
      <c r="W14" t="s">
        <v>107</v>
      </c>
      <c r="Y14" t="s">
        <v>135</v>
      </c>
      <c r="Z14" t="s">
        <v>109</v>
      </c>
      <c r="AA14" t="s">
        <v>220</v>
      </c>
      <c r="AB14" s="23">
        <v>1</v>
      </c>
      <c r="AC14" s="25">
        <v>134411</v>
      </c>
      <c r="AD14" s="25">
        <v>134411</v>
      </c>
    </row>
    <row r="15" spans="1:30">
      <c r="A15" t="s">
        <v>59</v>
      </c>
      <c r="B15" t="s">
        <v>137</v>
      </c>
      <c r="C15" t="s">
        <v>34</v>
      </c>
      <c r="D15" t="s">
        <v>221</v>
      </c>
      <c r="E15" t="s">
        <v>222</v>
      </c>
      <c r="F15" t="s">
        <v>223</v>
      </c>
      <c r="G15" t="s">
        <v>95</v>
      </c>
      <c r="H15" t="s">
        <v>141</v>
      </c>
      <c r="I15" t="s">
        <v>224</v>
      </c>
      <c r="J15" t="s">
        <v>225</v>
      </c>
      <c r="K15" t="s">
        <v>98</v>
      </c>
      <c r="L15" t="s">
        <v>226</v>
      </c>
      <c r="M15" s="22">
        <v>45937.481249999997</v>
      </c>
      <c r="N15" s="22">
        <v>45945.460416666669</v>
      </c>
      <c r="P15" t="s">
        <v>100</v>
      </c>
      <c r="Q15" t="s">
        <v>100</v>
      </c>
      <c r="R15" t="s">
        <v>102</v>
      </c>
      <c r="S15" t="s">
        <v>131</v>
      </c>
      <c r="T15" t="s">
        <v>227</v>
      </c>
      <c r="U15" t="s">
        <v>132</v>
      </c>
      <c r="V15" t="s">
        <v>228</v>
      </c>
      <c r="W15" t="s">
        <v>107</v>
      </c>
      <c r="X15" t="s">
        <v>190</v>
      </c>
      <c r="Y15" t="s">
        <v>135</v>
      </c>
      <c r="Z15" t="s">
        <v>109</v>
      </c>
      <c r="AA15" t="s">
        <v>229</v>
      </c>
      <c r="AB15" s="23">
        <v>1</v>
      </c>
      <c r="AC15" s="25">
        <v>134411</v>
      </c>
      <c r="AD15" s="25">
        <v>134411</v>
      </c>
    </row>
    <row r="16" spans="1:30">
      <c r="A16" t="s">
        <v>37</v>
      </c>
      <c r="B16" t="s">
        <v>123</v>
      </c>
      <c r="C16" t="s">
        <v>38</v>
      </c>
      <c r="D16" t="s">
        <v>230</v>
      </c>
      <c r="E16" t="s">
        <v>231</v>
      </c>
      <c r="F16" t="s">
        <v>232</v>
      </c>
      <c r="G16" t="s">
        <v>95</v>
      </c>
      <c r="H16" t="s">
        <v>233</v>
      </c>
      <c r="I16" t="s">
        <v>234</v>
      </c>
      <c r="J16" t="s">
        <v>235</v>
      </c>
      <c r="K16" t="s">
        <v>98</v>
      </c>
      <c r="L16" t="s">
        <v>236</v>
      </c>
      <c r="M16" s="22">
        <v>45937.481249999997</v>
      </c>
      <c r="N16" s="22">
        <v>45947.654166666667</v>
      </c>
      <c r="P16" t="s">
        <v>100</v>
      </c>
      <c r="Q16" t="s">
        <v>100</v>
      </c>
      <c r="R16" t="s">
        <v>102</v>
      </c>
      <c r="S16" t="s">
        <v>102</v>
      </c>
      <c r="T16" t="s">
        <v>104</v>
      </c>
      <c r="U16" t="s">
        <v>105</v>
      </c>
      <c r="V16" t="s">
        <v>237</v>
      </c>
      <c r="W16" t="s">
        <v>107</v>
      </c>
      <c r="X16" t="s">
        <v>238</v>
      </c>
      <c r="Y16" t="s">
        <v>239</v>
      </c>
      <c r="Z16" t="s">
        <v>109</v>
      </c>
      <c r="AA16" t="s">
        <v>240</v>
      </c>
      <c r="AB16" s="23">
        <v>1</v>
      </c>
      <c r="AC16" s="25">
        <v>222904</v>
      </c>
      <c r="AD16" s="25">
        <v>222904</v>
      </c>
    </row>
    <row r="17" spans="1:30">
      <c r="A17" t="s">
        <v>29</v>
      </c>
      <c r="B17" t="s">
        <v>147</v>
      </c>
      <c r="C17" t="s">
        <v>30</v>
      </c>
      <c r="D17" t="s">
        <v>241</v>
      </c>
      <c r="E17" t="s">
        <v>242</v>
      </c>
      <c r="F17" t="s">
        <v>243</v>
      </c>
      <c r="G17" t="s">
        <v>95</v>
      </c>
      <c r="H17" t="s">
        <v>147</v>
      </c>
      <c r="I17" t="s">
        <v>244</v>
      </c>
      <c r="J17" t="s">
        <v>245</v>
      </c>
      <c r="K17" t="s">
        <v>98</v>
      </c>
      <c r="L17" t="s">
        <v>246</v>
      </c>
      <c r="M17" s="22">
        <v>45937.481249999997</v>
      </c>
      <c r="N17" s="22">
        <v>45945.395138888889</v>
      </c>
      <c r="P17" t="s">
        <v>100</v>
      </c>
      <c r="Q17" t="s">
        <v>100</v>
      </c>
      <c r="R17" t="s">
        <v>102</v>
      </c>
      <c r="S17" t="s">
        <v>131</v>
      </c>
      <c r="T17" t="s">
        <v>104</v>
      </c>
      <c r="U17" t="s">
        <v>105</v>
      </c>
      <c r="V17" t="s">
        <v>247</v>
      </c>
      <c r="W17" t="s">
        <v>107</v>
      </c>
      <c r="X17" t="s">
        <v>248</v>
      </c>
      <c r="Y17" t="s">
        <v>135</v>
      </c>
      <c r="Z17" t="s">
        <v>109</v>
      </c>
      <c r="AA17" t="s">
        <v>249</v>
      </c>
      <c r="AB17" s="23">
        <v>1</v>
      </c>
      <c r="AC17" s="25">
        <v>134411</v>
      </c>
      <c r="AD17" s="25">
        <v>134411</v>
      </c>
    </row>
    <row r="18" spans="1:30">
      <c r="A18" t="s">
        <v>61</v>
      </c>
      <c r="B18" t="s">
        <v>91</v>
      </c>
      <c r="C18" t="s">
        <v>44</v>
      </c>
      <c r="D18" t="s">
        <v>92</v>
      </c>
      <c r="E18" t="s">
        <v>250</v>
      </c>
      <c r="F18" t="s">
        <v>251</v>
      </c>
      <c r="G18" t="s">
        <v>95</v>
      </c>
      <c r="H18" t="s">
        <v>96</v>
      </c>
      <c r="I18" t="s">
        <v>61</v>
      </c>
      <c r="J18" t="s">
        <v>252</v>
      </c>
      <c r="K18" t="s">
        <v>98</v>
      </c>
      <c r="L18" t="s">
        <v>253</v>
      </c>
      <c r="M18" s="22">
        <v>45937.481249999997</v>
      </c>
      <c r="N18" s="22">
        <v>45945.462500000001</v>
      </c>
      <c r="P18" t="s">
        <v>100</v>
      </c>
      <c r="Q18" t="s">
        <v>100</v>
      </c>
      <c r="R18" t="s">
        <v>102</v>
      </c>
      <c r="S18" t="s">
        <v>103</v>
      </c>
      <c r="T18" t="s">
        <v>104</v>
      </c>
      <c r="U18" t="s">
        <v>105</v>
      </c>
      <c r="V18" t="s">
        <v>254</v>
      </c>
      <c r="W18" t="s">
        <v>107</v>
      </c>
      <c r="Y18" t="s">
        <v>108</v>
      </c>
      <c r="Z18" t="s">
        <v>109</v>
      </c>
      <c r="AA18" t="s">
        <v>110</v>
      </c>
      <c r="AB18" s="23">
        <v>2</v>
      </c>
      <c r="AC18" s="25">
        <v>44560</v>
      </c>
      <c r="AD18" s="25">
        <v>89120</v>
      </c>
    </row>
    <row r="19" spans="1:30">
      <c r="A19" t="s">
        <v>42</v>
      </c>
      <c r="B19" t="s">
        <v>137</v>
      </c>
      <c r="C19" t="s">
        <v>34</v>
      </c>
      <c r="D19" t="s">
        <v>255</v>
      </c>
      <c r="E19" t="s">
        <v>256</v>
      </c>
      <c r="F19" t="s">
        <v>257</v>
      </c>
      <c r="G19" t="s">
        <v>95</v>
      </c>
      <c r="H19" t="s">
        <v>258</v>
      </c>
      <c r="I19" t="s">
        <v>42</v>
      </c>
      <c r="J19" t="s">
        <v>259</v>
      </c>
      <c r="K19" t="s">
        <v>98</v>
      </c>
      <c r="L19" t="s">
        <v>260</v>
      </c>
      <c r="M19" s="22">
        <v>45937.481249999997</v>
      </c>
      <c r="N19" s="22">
        <v>45938.70208333333</v>
      </c>
      <c r="P19" t="s">
        <v>100</v>
      </c>
      <c r="Q19" t="s">
        <v>100</v>
      </c>
      <c r="R19" t="s">
        <v>102</v>
      </c>
      <c r="S19" t="s">
        <v>131</v>
      </c>
      <c r="T19" t="s">
        <v>104</v>
      </c>
      <c r="U19" t="s">
        <v>105</v>
      </c>
      <c r="V19" t="s">
        <v>261</v>
      </c>
      <c r="W19" t="s">
        <v>107</v>
      </c>
      <c r="Y19" t="s">
        <v>108</v>
      </c>
      <c r="Z19" t="s">
        <v>109</v>
      </c>
      <c r="AA19" t="s">
        <v>262</v>
      </c>
      <c r="AB19" s="23">
        <v>1</v>
      </c>
      <c r="AC19" s="25">
        <v>44560</v>
      </c>
      <c r="AD19" s="25">
        <v>44560</v>
      </c>
    </row>
    <row r="20" spans="1:30">
      <c r="A20" t="s">
        <v>37</v>
      </c>
      <c r="B20" t="s">
        <v>123</v>
      </c>
      <c r="C20" t="s">
        <v>38</v>
      </c>
      <c r="D20" t="s">
        <v>263</v>
      </c>
      <c r="E20" t="s">
        <v>264</v>
      </c>
      <c r="F20" t="s">
        <v>265</v>
      </c>
      <c r="G20" t="s">
        <v>95</v>
      </c>
      <c r="H20" t="s">
        <v>127</v>
      </c>
      <c r="I20" t="s">
        <v>266</v>
      </c>
      <c r="J20" t="s">
        <v>267</v>
      </c>
      <c r="K20" t="s">
        <v>98</v>
      </c>
      <c r="L20" t="s">
        <v>268</v>
      </c>
      <c r="M20" s="22">
        <v>45937.481249999997</v>
      </c>
      <c r="N20" s="22">
        <v>45946.419444444437</v>
      </c>
      <c r="P20" t="s">
        <v>100</v>
      </c>
      <c r="Q20" t="s">
        <v>100</v>
      </c>
      <c r="R20" t="s">
        <v>131</v>
      </c>
      <c r="S20" t="s">
        <v>131</v>
      </c>
      <c r="T20" t="s">
        <v>104</v>
      </c>
      <c r="U20" t="s">
        <v>105</v>
      </c>
      <c r="V20" t="s">
        <v>269</v>
      </c>
      <c r="W20" t="s">
        <v>107</v>
      </c>
      <c r="Y20" t="s">
        <v>135</v>
      </c>
      <c r="Z20" t="s">
        <v>109</v>
      </c>
      <c r="AA20" t="s">
        <v>240</v>
      </c>
      <c r="AB20" s="23">
        <v>1</v>
      </c>
      <c r="AC20" s="25">
        <v>134411</v>
      </c>
      <c r="AD20" s="25">
        <v>134411</v>
      </c>
    </row>
    <row r="21" spans="1:30">
      <c r="A21" t="s">
        <v>61</v>
      </c>
      <c r="B21" t="s">
        <v>91</v>
      </c>
      <c r="C21" t="s">
        <v>44</v>
      </c>
      <c r="D21" t="s">
        <v>92</v>
      </c>
      <c r="E21" t="s">
        <v>270</v>
      </c>
      <c r="F21" t="s">
        <v>271</v>
      </c>
      <c r="G21" t="s">
        <v>95</v>
      </c>
      <c r="H21" t="s">
        <v>96</v>
      </c>
      <c r="I21" t="s">
        <v>61</v>
      </c>
      <c r="J21" t="s">
        <v>272</v>
      </c>
      <c r="K21" t="s">
        <v>98</v>
      </c>
      <c r="L21" t="s">
        <v>273</v>
      </c>
      <c r="M21" s="22">
        <v>45937.481249999997</v>
      </c>
      <c r="N21" s="22">
        <v>45940.444444444453</v>
      </c>
      <c r="P21" t="s">
        <v>100</v>
      </c>
      <c r="Q21" t="s">
        <v>100</v>
      </c>
      <c r="R21" t="s">
        <v>131</v>
      </c>
      <c r="S21" t="s">
        <v>131</v>
      </c>
      <c r="T21" t="s">
        <v>104</v>
      </c>
      <c r="U21" t="s">
        <v>132</v>
      </c>
      <c r="V21" t="s">
        <v>274</v>
      </c>
      <c r="W21" t="s">
        <v>107</v>
      </c>
      <c r="X21" t="s">
        <v>275</v>
      </c>
      <c r="Y21" t="s">
        <v>108</v>
      </c>
      <c r="Z21" t="s">
        <v>109</v>
      </c>
      <c r="AA21" t="s">
        <v>276</v>
      </c>
      <c r="AB21" s="23">
        <v>1</v>
      </c>
      <c r="AC21" s="25">
        <v>44560</v>
      </c>
      <c r="AD21" s="25">
        <v>44560</v>
      </c>
    </row>
    <row r="22" spans="1:30">
      <c r="A22" t="s">
        <v>29</v>
      </c>
      <c r="B22" t="s">
        <v>147</v>
      </c>
      <c r="C22" t="s">
        <v>30</v>
      </c>
      <c r="D22" t="s">
        <v>192</v>
      </c>
      <c r="E22" t="s">
        <v>277</v>
      </c>
      <c r="F22" t="s">
        <v>278</v>
      </c>
      <c r="G22" t="s">
        <v>95</v>
      </c>
      <c r="H22" t="s">
        <v>147</v>
      </c>
      <c r="I22" t="s">
        <v>29</v>
      </c>
      <c r="J22" t="s">
        <v>279</v>
      </c>
      <c r="K22" t="s">
        <v>98</v>
      </c>
      <c r="L22" t="s">
        <v>280</v>
      </c>
      <c r="M22" s="22">
        <v>45937.481249999997</v>
      </c>
      <c r="N22" s="22">
        <v>45946.442361111112</v>
      </c>
      <c r="P22" t="s">
        <v>100</v>
      </c>
      <c r="Q22" t="s">
        <v>101</v>
      </c>
      <c r="R22" t="s">
        <v>131</v>
      </c>
      <c r="S22" t="s">
        <v>131</v>
      </c>
      <c r="T22" t="s">
        <v>104</v>
      </c>
      <c r="U22" t="s">
        <v>105</v>
      </c>
      <c r="V22" t="s">
        <v>281</v>
      </c>
      <c r="W22" t="s">
        <v>107</v>
      </c>
      <c r="Y22" t="s">
        <v>108</v>
      </c>
      <c r="Z22" t="s">
        <v>109</v>
      </c>
      <c r="AA22" t="s">
        <v>282</v>
      </c>
      <c r="AB22" s="23">
        <v>1</v>
      </c>
      <c r="AC22" s="25">
        <v>44560</v>
      </c>
      <c r="AD22" s="25">
        <v>44560</v>
      </c>
    </row>
    <row r="23" spans="1:30">
      <c r="A23" t="s">
        <v>37</v>
      </c>
      <c r="B23" t="s">
        <v>123</v>
      </c>
      <c r="C23" t="s">
        <v>38</v>
      </c>
      <c r="D23" t="s">
        <v>183</v>
      </c>
      <c r="E23" t="s">
        <v>283</v>
      </c>
      <c r="F23" t="s">
        <v>284</v>
      </c>
      <c r="G23" t="s">
        <v>95</v>
      </c>
      <c r="H23" t="s">
        <v>127</v>
      </c>
      <c r="I23" t="s">
        <v>37</v>
      </c>
      <c r="J23" t="s">
        <v>285</v>
      </c>
      <c r="K23" t="s">
        <v>98</v>
      </c>
      <c r="L23" t="s">
        <v>286</v>
      </c>
      <c r="M23" s="22">
        <v>45937.481249999997</v>
      </c>
      <c r="N23" s="22">
        <v>45944.501388888893</v>
      </c>
      <c r="P23" t="s">
        <v>100</v>
      </c>
      <c r="Q23" t="s">
        <v>101</v>
      </c>
      <c r="R23" t="s">
        <v>131</v>
      </c>
      <c r="S23" t="s">
        <v>131</v>
      </c>
      <c r="T23" t="s">
        <v>144</v>
      </c>
      <c r="U23" t="s">
        <v>287</v>
      </c>
      <c r="V23" t="s">
        <v>288</v>
      </c>
      <c r="W23" t="s">
        <v>107</v>
      </c>
      <c r="X23" t="s">
        <v>289</v>
      </c>
      <c r="Y23" t="s">
        <v>108</v>
      </c>
      <c r="Z23" t="s">
        <v>109</v>
      </c>
      <c r="AA23" t="s">
        <v>290</v>
      </c>
      <c r="AB23" s="23">
        <v>1</v>
      </c>
      <c r="AC23" s="25">
        <v>44560</v>
      </c>
      <c r="AD23" s="25">
        <v>44560</v>
      </c>
    </row>
    <row r="24" spans="1:30">
      <c r="A24" t="s">
        <v>51</v>
      </c>
      <c r="B24" t="s">
        <v>111</v>
      </c>
      <c r="C24" t="s">
        <v>22</v>
      </c>
      <c r="D24" t="s">
        <v>157</v>
      </c>
      <c r="E24" t="s">
        <v>291</v>
      </c>
      <c r="F24" t="s">
        <v>292</v>
      </c>
      <c r="G24" t="s">
        <v>95</v>
      </c>
      <c r="H24" t="s">
        <v>115</v>
      </c>
      <c r="I24" t="s">
        <v>51</v>
      </c>
      <c r="J24" t="s">
        <v>293</v>
      </c>
      <c r="K24" t="s">
        <v>98</v>
      </c>
      <c r="L24" t="s">
        <v>294</v>
      </c>
      <c r="M24" s="22">
        <v>45940.333333333343</v>
      </c>
      <c r="N24" s="22">
        <v>45944.420138888891</v>
      </c>
      <c r="P24" t="s">
        <v>100</v>
      </c>
      <c r="Q24" t="s">
        <v>100</v>
      </c>
      <c r="R24" t="s">
        <v>119</v>
      </c>
      <c r="S24" t="s">
        <v>188</v>
      </c>
      <c r="U24" t="s">
        <v>132</v>
      </c>
      <c r="V24" t="s">
        <v>295</v>
      </c>
      <c r="W24" t="s">
        <v>296</v>
      </c>
      <c r="Y24" t="s">
        <v>108</v>
      </c>
      <c r="Z24" t="s">
        <v>109</v>
      </c>
      <c r="AA24" t="s">
        <v>163</v>
      </c>
      <c r="AB24" s="23">
        <v>0</v>
      </c>
      <c r="AC24" s="25">
        <v>37905</v>
      </c>
      <c r="AD24" s="25">
        <v>37905</v>
      </c>
    </row>
    <row r="25" spans="1:30">
      <c r="A25" t="s">
        <v>51</v>
      </c>
      <c r="B25" t="s">
        <v>111</v>
      </c>
      <c r="C25" t="s">
        <v>22</v>
      </c>
      <c r="D25" t="s">
        <v>157</v>
      </c>
      <c r="E25" t="s">
        <v>297</v>
      </c>
      <c r="F25" t="s">
        <v>298</v>
      </c>
      <c r="G25" t="s">
        <v>95</v>
      </c>
      <c r="H25" t="s">
        <v>115</v>
      </c>
      <c r="I25" t="s">
        <v>51</v>
      </c>
      <c r="J25" t="s">
        <v>299</v>
      </c>
      <c r="K25" t="s">
        <v>98</v>
      </c>
      <c r="L25" t="s">
        <v>300</v>
      </c>
      <c r="M25" s="22">
        <v>45940.333333333343</v>
      </c>
      <c r="N25" s="22">
        <v>45944.418749999997</v>
      </c>
      <c r="P25" t="s">
        <v>100</v>
      </c>
      <c r="Q25" t="s">
        <v>100</v>
      </c>
      <c r="R25" t="s">
        <v>119</v>
      </c>
      <c r="S25" t="s">
        <v>188</v>
      </c>
      <c r="T25" t="s">
        <v>104</v>
      </c>
      <c r="U25" t="s">
        <v>132</v>
      </c>
      <c r="V25" t="s">
        <v>301</v>
      </c>
      <c r="W25" t="s">
        <v>107</v>
      </c>
      <c r="X25" t="s">
        <v>190</v>
      </c>
      <c r="Y25" t="s">
        <v>108</v>
      </c>
      <c r="Z25" t="s">
        <v>109</v>
      </c>
      <c r="AA25" t="s">
        <v>212</v>
      </c>
      <c r="AB25" s="23">
        <v>1</v>
      </c>
      <c r="AC25" s="25">
        <v>44560</v>
      </c>
      <c r="AD25" s="25">
        <v>44560</v>
      </c>
    </row>
    <row r="26" spans="1:30">
      <c r="A26" t="s">
        <v>51</v>
      </c>
      <c r="B26" t="s">
        <v>111</v>
      </c>
      <c r="C26" t="s">
        <v>22</v>
      </c>
      <c r="D26" t="s">
        <v>157</v>
      </c>
      <c r="E26" t="s">
        <v>302</v>
      </c>
      <c r="F26" t="s">
        <v>303</v>
      </c>
      <c r="G26" t="s">
        <v>95</v>
      </c>
      <c r="H26" t="s">
        <v>115</v>
      </c>
      <c r="I26" t="s">
        <v>51</v>
      </c>
      <c r="J26" t="s">
        <v>304</v>
      </c>
      <c r="K26" t="s">
        <v>98</v>
      </c>
      <c r="L26" t="s">
        <v>305</v>
      </c>
      <c r="M26" s="22">
        <v>45940.333333333343</v>
      </c>
      <c r="N26" s="22">
        <v>45944.730555555558</v>
      </c>
      <c r="P26" t="s">
        <v>100</v>
      </c>
      <c r="Q26" t="s">
        <v>100</v>
      </c>
      <c r="R26" t="s">
        <v>119</v>
      </c>
      <c r="S26" t="s">
        <v>188</v>
      </c>
      <c r="T26" t="s">
        <v>104</v>
      </c>
      <c r="U26" t="s">
        <v>132</v>
      </c>
      <c r="V26" t="s">
        <v>306</v>
      </c>
      <c r="W26" t="s">
        <v>107</v>
      </c>
      <c r="X26" t="s">
        <v>307</v>
      </c>
      <c r="Y26" t="s">
        <v>108</v>
      </c>
      <c r="Z26" t="s">
        <v>109</v>
      </c>
      <c r="AA26" t="s">
        <v>308</v>
      </c>
      <c r="AB26" s="23">
        <v>1</v>
      </c>
      <c r="AC26" s="25">
        <v>44560</v>
      </c>
      <c r="AD26" s="25">
        <v>44560</v>
      </c>
    </row>
    <row r="27" spans="1:30">
      <c r="A27" t="s">
        <v>33</v>
      </c>
      <c r="B27" t="s">
        <v>137</v>
      </c>
      <c r="C27" t="s">
        <v>34</v>
      </c>
      <c r="D27" t="s">
        <v>309</v>
      </c>
      <c r="E27" t="s">
        <v>310</v>
      </c>
      <c r="F27" t="s">
        <v>311</v>
      </c>
      <c r="G27" t="s">
        <v>95</v>
      </c>
      <c r="H27" t="s">
        <v>312</v>
      </c>
      <c r="I27" t="s">
        <v>33</v>
      </c>
      <c r="J27" t="s">
        <v>313</v>
      </c>
      <c r="K27" t="s">
        <v>98</v>
      </c>
      <c r="L27" t="s">
        <v>314</v>
      </c>
      <c r="M27" s="22">
        <v>45940.333333333343</v>
      </c>
      <c r="N27" s="22">
        <v>45951.338194444441</v>
      </c>
      <c r="P27" t="s">
        <v>100</v>
      </c>
      <c r="Q27" t="s">
        <v>100</v>
      </c>
      <c r="R27" t="s">
        <v>119</v>
      </c>
      <c r="S27" t="s">
        <v>188</v>
      </c>
      <c r="T27" t="s">
        <v>104</v>
      </c>
      <c r="U27" t="s">
        <v>105</v>
      </c>
      <c r="V27" t="s">
        <v>315</v>
      </c>
      <c r="W27" t="s">
        <v>107</v>
      </c>
      <c r="X27" t="s">
        <v>316</v>
      </c>
      <c r="Y27" t="s">
        <v>108</v>
      </c>
      <c r="Z27" t="s">
        <v>109</v>
      </c>
      <c r="AA27" t="s">
        <v>317</v>
      </c>
      <c r="AB27" s="23">
        <v>1</v>
      </c>
      <c r="AC27" s="25">
        <v>44560</v>
      </c>
      <c r="AD27" s="25">
        <v>44560</v>
      </c>
    </row>
    <row r="28" spans="1:30">
      <c r="A28" t="s">
        <v>54</v>
      </c>
      <c r="B28" t="s">
        <v>123</v>
      </c>
      <c r="C28" t="s">
        <v>38</v>
      </c>
      <c r="D28" t="s">
        <v>318</v>
      </c>
      <c r="E28" t="s">
        <v>319</v>
      </c>
      <c r="F28" t="s">
        <v>320</v>
      </c>
      <c r="G28" t="s">
        <v>95</v>
      </c>
      <c r="H28" t="s">
        <v>321</v>
      </c>
      <c r="I28" t="s">
        <v>322</v>
      </c>
      <c r="J28" t="s">
        <v>323</v>
      </c>
      <c r="K28" t="s">
        <v>98</v>
      </c>
      <c r="L28" t="s">
        <v>324</v>
      </c>
      <c r="M28" s="22">
        <v>45940.333333333343</v>
      </c>
      <c r="N28" s="22">
        <v>45951.551388888889</v>
      </c>
      <c r="P28" t="s">
        <v>100</v>
      </c>
      <c r="Q28" t="s">
        <v>100</v>
      </c>
      <c r="R28" t="s">
        <v>119</v>
      </c>
      <c r="S28" t="s">
        <v>188</v>
      </c>
      <c r="U28" t="s">
        <v>132</v>
      </c>
      <c r="V28" t="s">
        <v>325</v>
      </c>
      <c r="W28" t="s">
        <v>296</v>
      </c>
      <c r="Y28" t="s">
        <v>326</v>
      </c>
      <c r="Z28" t="s">
        <v>109</v>
      </c>
      <c r="AA28" t="s">
        <v>327</v>
      </c>
      <c r="AB28" s="23">
        <v>0</v>
      </c>
      <c r="AC28" s="25">
        <v>37905</v>
      </c>
      <c r="AD28" s="25">
        <v>37905</v>
      </c>
    </row>
    <row r="29" spans="1:30">
      <c r="A29" t="s">
        <v>29</v>
      </c>
      <c r="B29" t="s">
        <v>147</v>
      </c>
      <c r="C29" t="s">
        <v>30</v>
      </c>
      <c r="D29" t="s">
        <v>192</v>
      </c>
      <c r="E29" t="s">
        <v>328</v>
      </c>
      <c r="F29" t="s">
        <v>329</v>
      </c>
      <c r="G29" t="s">
        <v>95</v>
      </c>
      <c r="H29" t="s">
        <v>147</v>
      </c>
      <c r="I29" t="s">
        <v>29</v>
      </c>
      <c r="J29" t="s">
        <v>330</v>
      </c>
      <c r="K29" t="s">
        <v>98</v>
      </c>
      <c r="L29" t="s">
        <v>331</v>
      </c>
      <c r="M29" s="22">
        <v>45940.333333333343</v>
      </c>
      <c r="N29" s="22">
        <v>45950.65</v>
      </c>
      <c r="P29" t="s">
        <v>100</v>
      </c>
      <c r="Q29" t="s">
        <v>100</v>
      </c>
      <c r="R29" t="s">
        <v>119</v>
      </c>
      <c r="S29" t="s">
        <v>188</v>
      </c>
      <c r="T29" t="s">
        <v>104</v>
      </c>
      <c r="U29" t="s">
        <v>105</v>
      </c>
      <c r="V29" t="s">
        <v>332</v>
      </c>
      <c r="W29" t="s">
        <v>107</v>
      </c>
      <c r="X29" t="s">
        <v>333</v>
      </c>
      <c r="Y29" t="s">
        <v>108</v>
      </c>
      <c r="Z29" t="s">
        <v>109</v>
      </c>
      <c r="AA29" t="s">
        <v>334</v>
      </c>
      <c r="AB29" s="23">
        <v>1</v>
      </c>
      <c r="AC29" s="25">
        <v>44560</v>
      </c>
      <c r="AD29" s="25">
        <v>44560</v>
      </c>
    </row>
    <row r="30" spans="1:30">
      <c r="A30" t="s">
        <v>33</v>
      </c>
      <c r="B30" t="s">
        <v>137</v>
      </c>
      <c r="C30" t="s">
        <v>34</v>
      </c>
      <c r="D30" t="s">
        <v>309</v>
      </c>
      <c r="E30" t="s">
        <v>335</v>
      </c>
      <c r="F30" t="s">
        <v>336</v>
      </c>
      <c r="G30" t="s">
        <v>95</v>
      </c>
      <c r="H30" t="s">
        <v>312</v>
      </c>
      <c r="I30" t="s">
        <v>33</v>
      </c>
      <c r="J30" t="s">
        <v>337</v>
      </c>
      <c r="K30" t="s">
        <v>98</v>
      </c>
      <c r="L30" t="s">
        <v>338</v>
      </c>
      <c r="M30" s="22">
        <v>45940.333333333343</v>
      </c>
      <c r="N30" s="22">
        <v>45951.679861111108</v>
      </c>
      <c r="P30" t="s">
        <v>100</v>
      </c>
      <c r="Q30" t="s">
        <v>100</v>
      </c>
      <c r="R30" t="s">
        <v>102</v>
      </c>
      <c r="S30" t="s">
        <v>102</v>
      </c>
      <c r="T30" t="s">
        <v>104</v>
      </c>
      <c r="U30" t="s">
        <v>105</v>
      </c>
      <c r="V30" t="s">
        <v>339</v>
      </c>
      <c r="W30" t="s">
        <v>107</v>
      </c>
      <c r="X30" t="s">
        <v>307</v>
      </c>
      <c r="Y30" t="s">
        <v>108</v>
      </c>
      <c r="Z30" t="s">
        <v>109</v>
      </c>
      <c r="AA30" t="s">
        <v>340</v>
      </c>
      <c r="AB30" s="23">
        <v>1</v>
      </c>
      <c r="AC30" s="25">
        <v>44560</v>
      </c>
      <c r="AD30" s="25">
        <v>44560</v>
      </c>
    </row>
    <row r="31" spans="1:30">
      <c r="A31" t="s">
        <v>54</v>
      </c>
      <c r="B31" t="s">
        <v>123</v>
      </c>
      <c r="C31" t="s">
        <v>38</v>
      </c>
      <c r="D31" t="s">
        <v>341</v>
      </c>
      <c r="E31" t="s">
        <v>342</v>
      </c>
      <c r="F31" t="s">
        <v>343</v>
      </c>
      <c r="G31" t="s">
        <v>95</v>
      </c>
      <c r="H31" t="s">
        <v>344</v>
      </c>
      <c r="I31" t="s">
        <v>54</v>
      </c>
      <c r="J31" t="s">
        <v>345</v>
      </c>
      <c r="K31" t="s">
        <v>98</v>
      </c>
      <c r="L31" t="s">
        <v>346</v>
      </c>
      <c r="M31" s="22">
        <v>45940.333333333343</v>
      </c>
      <c r="N31" s="22">
        <v>45951.332638888889</v>
      </c>
      <c r="P31" t="s">
        <v>100</v>
      </c>
      <c r="Q31" t="s">
        <v>100</v>
      </c>
      <c r="R31" t="s">
        <v>102</v>
      </c>
      <c r="S31" t="s">
        <v>102</v>
      </c>
      <c r="T31" t="s">
        <v>144</v>
      </c>
      <c r="U31" t="s">
        <v>132</v>
      </c>
      <c r="V31" t="s">
        <v>347</v>
      </c>
      <c r="W31" t="s">
        <v>107</v>
      </c>
      <c r="X31" t="s">
        <v>348</v>
      </c>
      <c r="Y31" t="s">
        <v>108</v>
      </c>
      <c r="Z31" t="s">
        <v>109</v>
      </c>
      <c r="AA31" t="s">
        <v>349</v>
      </c>
      <c r="AB31" s="23">
        <v>1</v>
      </c>
      <c r="AC31" s="25">
        <v>44560</v>
      </c>
      <c r="AD31" s="25">
        <v>44560</v>
      </c>
    </row>
    <row r="32" spans="1:30">
      <c r="A32" t="s">
        <v>42</v>
      </c>
      <c r="B32" t="s">
        <v>137</v>
      </c>
      <c r="C32" t="s">
        <v>34</v>
      </c>
      <c r="D32" t="s">
        <v>255</v>
      </c>
      <c r="E32" t="s">
        <v>350</v>
      </c>
      <c r="F32" t="s">
        <v>351</v>
      </c>
      <c r="G32" t="s">
        <v>95</v>
      </c>
      <c r="H32" t="s">
        <v>258</v>
      </c>
      <c r="I32" t="s">
        <v>42</v>
      </c>
      <c r="J32" t="s">
        <v>352</v>
      </c>
      <c r="K32" t="s">
        <v>98</v>
      </c>
      <c r="L32" t="s">
        <v>353</v>
      </c>
      <c r="M32" s="22">
        <v>45940.333333333343</v>
      </c>
      <c r="N32" s="22">
        <v>45951.484722222223</v>
      </c>
      <c r="P32" t="s">
        <v>100</v>
      </c>
      <c r="Q32" t="s">
        <v>100</v>
      </c>
      <c r="R32" t="s">
        <v>131</v>
      </c>
      <c r="S32" t="s">
        <v>131</v>
      </c>
      <c r="T32" t="s">
        <v>104</v>
      </c>
      <c r="U32" t="s">
        <v>132</v>
      </c>
      <c r="V32" t="s">
        <v>354</v>
      </c>
      <c r="W32" t="s">
        <v>107</v>
      </c>
      <c r="X32" t="s">
        <v>355</v>
      </c>
      <c r="Y32" t="s">
        <v>108</v>
      </c>
      <c r="Z32" t="s">
        <v>109</v>
      </c>
      <c r="AA32" t="s">
        <v>356</v>
      </c>
      <c r="AB32" s="23">
        <v>1</v>
      </c>
      <c r="AC32" s="25">
        <v>44560</v>
      </c>
      <c r="AD32" s="25">
        <v>44560</v>
      </c>
    </row>
    <row r="33" spans="1:30">
      <c r="A33" t="s">
        <v>37</v>
      </c>
      <c r="B33" t="s">
        <v>123</v>
      </c>
      <c r="C33" t="s">
        <v>38</v>
      </c>
      <c r="D33" t="s">
        <v>183</v>
      </c>
      <c r="E33" t="s">
        <v>357</v>
      </c>
      <c r="F33" t="s">
        <v>358</v>
      </c>
      <c r="G33" t="s">
        <v>95</v>
      </c>
      <c r="H33" t="s">
        <v>127</v>
      </c>
      <c r="I33" t="s">
        <v>37</v>
      </c>
      <c r="J33" t="s">
        <v>359</v>
      </c>
      <c r="K33" t="s">
        <v>98</v>
      </c>
      <c r="L33" t="s">
        <v>360</v>
      </c>
      <c r="M33" s="22">
        <v>45940.333333333343</v>
      </c>
      <c r="N33" s="22">
        <v>45947.706250000003</v>
      </c>
      <c r="P33" t="s">
        <v>100</v>
      </c>
      <c r="Q33" t="s">
        <v>100</v>
      </c>
      <c r="R33" t="s">
        <v>102</v>
      </c>
      <c r="S33" t="s">
        <v>102</v>
      </c>
      <c r="T33" t="s">
        <v>104</v>
      </c>
      <c r="U33" t="s">
        <v>132</v>
      </c>
      <c r="V33" t="s">
        <v>361</v>
      </c>
      <c r="W33" t="s">
        <v>107</v>
      </c>
      <c r="X33" t="s">
        <v>190</v>
      </c>
      <c r="Y33" t="s">
        <v>108</v>
      </c>
      <c r="Z33" t="s">
        <v>109</v>
      </c>
      <c r="AA33" t="s">
        <v>191</v>
      </c>
      <c r="AB33" s="23">
        <v>1</v>
      </c>
      <c r="AC33" s="25">
        <v>44560</v>
      </c>
      <c r="AD33" s="25">
        <v>44560</v>
      </c>
    </row>
    <row r="34" spans="1:30">
      <c r="A34" t="s">
        <v>29</v>
      </c>
      <c r="B34" t="s">
        <v>147</v>
      </c>
      <c r="C34" t="s">
        <v>30</v>
      </c>
      <c r="D34" t="s">
        <v>192</v>
      </c>
      <c r="E34" t="s">
        <v>362</v>
      </c>
      <c r="F34" t="s">
        <v>363</v>
      </c>
      <c r="G34" t="s">
        <v>95</v>
      </c>
      <c r="H34" t="s">
        <v>147</v>
      </c>
      <c r="I34" t="s">
        <v>29</v>
      </c>
      <c r="J34" t="s">
        <v>364</v>
      </c>
      <c r="K34" t="s">
        <v>98</v>
      </c>
      <c r="L34" t="s">
        <v>365</v>
      </c>
      <c r="M34" s="22">
        <v>45940.333333333343</v>
      </c>
      <c r="N34" s="22">
        <v>45950.656944444447</v>
      </c>
      <c r="P34" t="s">
        <v>100</v>
      </c>
      <c r="Q34" t="s">
        <v>100</v>
      </c>
      <c r="R34" t="s">
        <v>131</v>
      </c>
      <c r="S34" t="s">
        <v>131</v>
      </c>
      <c r="T34" t="s">
        <v>104</v>
      </c>
      <c r="U34" t="s">
        <v>132</v>
      </c>
      <c r="V34" t="s">
        <v>366</v>
      </c>
      <c r="W34" t="s">
        <v>107</v>
      </c>
      <c r="X34" t="s">
        <v>367</v>
      </c>
      <c r="Y34" t="s">
        <v>108</v>
      </c>
      <c r="Z34" t="s">
        <v>109</v>
      </c>
      <c r="AA34" t="s">
        <v>368</v>
      </c>
      <c r="AB34" s="23">
        <v>1</v>
      </c>
      <c r="AC34" s="25">
        <v>44560</v>
      </c>
      <c r="AD34" s="25">
        <v>44560</v>
      </c>
    </row>
    <row r="35" spans="1:30">
      <c r="A35" t="s">
        <v>51</v>
      </c>
      <c r="B35" t="s">
        <v>111</v>
      </c>
      <c r="C35" t="s">
        <v>22</v>
      </c>
      <c r="D35" t="s">
        <v>157</v>
      </c>
      <c r="E35" t="s">
        <v>369</v>
      </c>
      <c r="F35" t="s">
        <v>370</v>
      </c>
      <c r="G35" t="s">
        <v>95</v>
      </c>
      <c r="H35" t="s">
        <v>115</v>
      </c>
      <c r="I35" t="s">
        <v>51</v>
      </c>
      <c r="J35" t="s">
        <v>371</v>
      </c>
      <c r="K35" t="s">
        <v>98</v>
      </c>
      <c r="L35" t="s">
        <v>372</v>
      </c>
      <c r="M35" s="22">
        <v>45941.375</v>
      </c>
      <c r="N35" s="22">
        <v>45944.418055555558</v>
      </c>
      <c r="P35" t="s">
        <v>100</v>
      </c>
      <c r="Q35" t="s">
        <v>101</v>
      </c>
      <c r="R35" t="s">
        <v>102</v>
      </c>
      <c r="S35" t="s">
        <v>131</v>
      </c>
      <c r="T35" t="s">
        <v>104</v>
      </c>
      <c r="U35" t="s">
        <v>132</v>
      </c>
      <c r="V35" t="s">
        <v>373</v>
      </c>
      <c r="W35" t="s">
        <v>107</v>
      </c>
      <c r="X35" t="s">
        <v>374</v>
      </c>
      <c r="Y35" t="s">
        <v>108</v>
      </c>
      <c r="Z35" t="s">
        <v>109</v>
      </c>
      <c r="AA35" t="s">
        <v>220</v>
      </c>
      <c r="AB35" s="23">
        <v>1</v>
      </c>
      <c r="AC35" s="25">
        <v>44560</v>
      </c>
      <c r="AD35" s="25">
        <v>44560</v>
      </c>
    </row>
    <row r="36" spans="1:30">
      <c r="A36" t="s">
        <v>33</v>
      </c>
      <c r="B36" t="s">
        <v>137</v>
      </c>
      <c r="C36" t="s">
        <v>34</v>
      </c>
      <c r="D36" t="s">
        <v>309</v>
      </c>
      <c r="E36" t="s">
        <v>375</v>
      </c>
      <c r="F36" t="s">
        <v>376</v>
      </c>
      <c r="G36" t="s">
        <v>95</v>
      </c>
      <c r="H36" t="s">
        <v>312</v>
      </c>
      <c r="I36" t="s">
        <v>33</v>
      </c>
      <c r="J36" t="s">
        <v>377</v>
      </c>
      <c r="K36" t="s">
        <v>98</v>
      </c>
      <c r="L36" t="s">
        <v>378</v>
      </c>
      <c r="M36" s="22">
        <v>45941.375</v>
      </c>
      <c r="N36" s="22">
        <v>45951.454861111109</v>
      </c>
      <c r="P36" t="s">
        <v>100</v>
      </c>
      <c r="Q36" t="s">
        <v>101</v>
      </c>
      <c r="R36" t="s">
        <v>131</v>
      </c>
      <c r="S36" t="s">
        <v>131</v>
      </c>
      <c r="T36" t="s">
        <v>104</v>
      </c>
      <c r="U36" t="s">
        <v>132</v>
      </c>
      <c r="V36" t="s">
        <v>379</v>
      </c>
      <c r="W36" t="s">
        <v>107</v>
      </c>
      <c r="X36" t="s">
        <v>307</v>
      </c>
      <c r="Y36" t="s">
        <v>108</v>
      </c>
      <c r="Z36" t="s">
        <v>109</v>
      </c>
      <c r="AA36" t="s">
        <v>340</v>
      </c>
      <c r="AB36" s="23">
        <v>1</v>
      </c>
      <c r="AC36" s="25">
        <v>44560</v>
      </c>
      <c r="AD36" s="25">
        <v>44560</v>
      </c>
    </row>
    <row r="37" spans="1:30">
      <c r="A37" t="s">
        <v>33</v>
      </c>
      <c r="B37" t="s">
        <v>137</v>
      </c>
      <c r="C37" t="s">
        <v>34</v>
      </c>
      <c r="D37" t="s">
        <v>380</v>
      </c>
      <c r="E37" t="s">
        <v>381</v>
      </c>
      <c r="F37" t="s">
        <v>382</v>
      </c>
      <c r="G37" t="s">
        <v>95</v>
      </c>
      <c r="H37" t="s">
        <v>312</v>
      </c>
      <c r="I37" t="s">
        <v>383</v>
      </c>
      <c r="J37" t="s">
        <v>384</v>
      </c>
      <c r="K37" t="s">
        <v>98</v>
      </c>
      <c r="L37" t="s">
        <v>385</v>
      </c>
      <c r="M37" s="22">
        <v>45945.397222222222</v>
      </c>
      <c r="N37" s="22">
        <v>45952.311805555553</v>
      </c>
      <c r="P37" t="s">
        <v>100</v>
      </c>
      <c r="Q37" t="s">
        <v>101</v>
      </c>
      <c r="R37" t="s">
        <v>119</v>
      </c>
      <c r="S37" t="s">
        <v>120</v>
      </c>
      <c r="U37" t="s">
        <v>132</v>
      </c>
      <c r="V37" t="s">
        <v>386</v>
      </c>
      <c r="W37" t="s">
        <v>296</v>
      </c>
      <c r="Y37" t="s">
        <v>239</v>
      </c>
      <c r="Z37" t="s">
        <v>109</v>
      </c>
      <c r="AA37" t="s">
        <v>387</v>
      </c>
      <c r="AB37" s="23">
        <v>0</v>
      </c>
      <c r="AC37" s="25">
        <v>37905</v>
      </c>
      <c r="AD37" s="25">
        <v>37905</v>
      </c>
    </row>
    <row r="38" spans="1:30">
      <c r="A38" t="s">
        <v>29</v>
      </c>
      <c r="B38" t="s">
        <v>147</v>
      </c>
      <c r="C38" t="s">
        <v>30</v>
      </c>
      <c r="D38" t="s">
        <v>192</v>
      </c>
      <c r="E38" t="s">
        <v>388</v>
      </c>
      <c r="F38" t="s">
        <v>389</v>
      </c>
      <c r="G38" t="s">
        <v>95</v>
      </c>
      <c r="H38" t="s">
        <v>147</v>
      </c>
      <c r="I38" t="s">
        <v>29</v>
      </c>
      <c r="J38" t="s">
        <v>390</v>
      </c>
      <c r="K38" t="s">
        <v>98</v>
      </c>
      <c r="L38" t="s">
        <v>391</v>
      </c>
      <c r="M38" s="22">
        <v>45945.397222222222</v>
      </c>
      <c r="N38" s="22">
        <v>45950.527777777781</v>
      </c>
      <c r="P38" t="s">
        <v>100</v>
      </c>
      <c r="Q38" t="s">
        <v>101</v>
      </c>
      <c r="R38" t="s">
        <v>119</v>
      </c>
      <c r="S38" t="s">
        <v>120</v>
      </c>
      <c r="T38" t="s">
        <v>104</v>
      </c>
      <c r="U38" t="s">
        <v>105</v>
      </c>
      <c r="V38" t="s">
        <v>392</v>
      </c>
      <c r="W38" t="s">
        <v>107</v>
      </c>
      <c r="Y38" t="s">
        <v>108</v>
      </c>
      <c r="Z38" t="s">
        <v>109</v>
      </c>
      <c r="AA38" t="s">
        <v>393</v>
      </c>
      <c r="AB38" s="23">
        <v>1</v>
      </c>
      <c r="AC38" s="25">
        <v>44560</v>
      </c>
      <c r="AD38" s="25">
        <v>44560</v>
      </c>
    </row>
    <row r="39" spans="1:30">
      <c r="A39" t="s">
        <v>29</v>
      </c>
      <c r="B39" t="s">
        <v>147</v>
      </c>
      <c r="C39" t="s">
        <v>30</v>
      </c>
      <c r="D39" t="s">
        <v>192</v>
      </c>
      <c r="E39" t="s">
        <v>394</v>
      </c>
      <c r="F39" t="s">
        <v>395</v>
      </c>
      <c r="G39" t="s">
        <v>95</v>
      </c>
      <c r="H39" t="s">
        <v>147</v>
      </c>
      <c r="I39" t="s">
        <v>29</v>
      </c>
      <c r="J39" t="s">
        <v>396</v>
      </c>
      <c r="K39" t="s">
        <v>98</v>
      </c>
      <c r="L39" t="s">
        <v>397</v>
      </c>
      <c r="M39" s="22">
        <v>45945.397222222222</v>
      </c>
      <c r="N39" s="22">
        <v>45950.493055555547</v>
      </c>
      <c r="P39" t="s">
        <v>100</v>
      </c>
      <c r="Q39" t="s">
        <v>100</v>
      </c>
      <c r="R39" t="s">
        <v>119</v>
      </c>
      <c r="S39" t="s">
        <v>120</v>
      </c>
      <c r="T39" t="s">
        <v>104</v>
      </c>
      <c r="U39" t="s">
        <v>105</v>
      </c>
      <c r="V39" t="s">
        <v>398</v>
      </c>
      <c r="W39" t="s">
        <v>107</v>
      </c>
      <c r="X39" t="s">
        <v>399</v>
      </c>
      <c r="Y39" t="s">
        <v>108</v>
      </c>
      <c r="Z39" t="s">
        <v>109</v>
      </c>
      <c r="AA39" t="s">
        <v>400</v>
      </c>
      <c r="AB39" s="23">
        <v>2</v>
      </c>
      <c r="AC39" s="25">
        <v>44560</v>
      </c>
      <c r="AD39" s="25">
        <v>89120</v>
      </c>
    </row>
    <row r="40" spans="1:30">
      <c r="A40" t="s">
        <v>47</v>
      </c>
      <c r="B40" t="s">
        <v>91</v>
      </c>
      <c r="C40" t="s">
        <v>44</v>
      </c>
      <c r="D40" t="s">
        <v>401</v>
      </c>
      <c r="E40" t="s">
        <v>402</v>
      </c>
      <c r="F40" t="s">
        <v>403</v>
      </c>
      <c r="G40" t="s">
        <v>95</v>
      </c>
      <c r="H40" t="s">
        <v>404</v>
      </c>
      <c r="I40" t="s">
        <v>47</v>
      </c>
      <c r="J40" t="s">
        <v>405</v>
      </c>
      <c r="K40" t="s">
        <v>98</v>
      </c>
      <c r="L40" t="s">
        <v>406</v>
      </c>
      <c r="M40" s="22">
        <v>45945.397222222222</v>
      </c>
      <c r="N40" s="22">
        <v>45951.727777777778</v>
      </c>
      <c r="P40" t="s">
        <v>100</v>
      </c>
      <c r="Q40" t="s">
        <v>101</v>
      </c>
      <c r="R40" t="s">
        <v>119</v>
      </c>
      <c r="S40" t="s">
        <v>120</v>
      </c>
      <c r="T40" t="s">
        <v>104</v>
      </c>
      <c r="U40" t="s">
        <v>105</v>
      </c>
      <c r="V40" t="s">
        <v>407</v>
      </c>
      <c r="W40" t="s">
        <v>107</v>
      </c>
      <c r="X40" t="s">
        <v>190</v>
      </c>
      <c r="Y40" t="s">
        <v>108</v>
      </c>
      <c r="Z40" t="s">
        <v>109</v>
      </c>
      <c r="AA40" t="s">
        <v>408</v>
      </c>
      <c r="AB40" s="23">
        <v>1</v>
      </c>
      <c r="AC40" s="25">
        <v>44560</v>
      </c>
      <c r="AD40" s="25">
        <v>44560</v>
      </c>
    </row>
    <row r="41" spans="1:30">
      <c r="A41" t="s">
        <v>29</v>
      </c>
      <c r="B41" t="s">
        <v>147</v>
      </c>
      <c r="C41" t="s">
        <v>30</v>
      </c>
      <c r="D41" t="s">
        <v>192</v>
      </c>
      <c r="E41" t="s">
        <v>409</v>
      </c>
      <c r="F41" t="s">
        <v>410</v>
      </c>
      <c r="G41" t="s">
        <v>95</v>
      </c>
      <c r="H41" t="s">
        <v>147</v>
      </c>
      <c r="I41" t="s">
        <v>29</v>
      </c>
      <c r="J41" t="s">
        <v>411</v>
      </c>
      <c r="K41" t="s">
        <v>98</v>
      </c>
      <c r="L41" t="s">
        <v>412</v>
      </c>
      <c r="M41" s="22">
        <v>45945.397222222222</v>
      </c>
      <c r="N41" s="22">
        <v>45946.478472222218</v>
      </c>
      <c r="P41" t="s">
        <v>100</v>
      </c>
      <c r="Q41" t="s">
        <v>101</v>
      </c>
      <c r="R41" t="s">
        <v>119</v>
      </c>
      <c r="S41" t="s">
        <v>120</v>
      </c>
      <c r="T41" t="s">
        <v>104</v>
      </c>
      <c r="U41" t="s">
        <v>105</v>
      </c>
      <c r="V41" t="s">
        <v>413</v>
      </c>
      <c r="W41" t="s">
        <v>107</v>
      </c>
      <c r="Y41" t="s">
        <v>108</v>
      </c>
      <c r="Z41" t="s">
        <v>109</v>
      </c>
      <c r="AA41" t="s">
        <v>414</v>
      </c>
      <c r="AB41" s="23">
        <v>1</v>
      </c>
      <c r="AC41" s="25">
        <v>44560</v>
      </c>
      <c r="AD41" s="25">
        <v>44560</v>
      </c>
    </row>
    <row r="42" spans="1:30">
      <c r="A42" t="s">
        <v>53</v>
      </c>
      <c r="B42" t="s">
        <v>91</v>
      </c>
      <c r="C42" t="s">
        <v>44</v>
      </c>
      <c r="D42" t="s">
        <v>415</v>
      </c>
      <c r="E42" t="s">
        <v>416</v>
      </c>
      <c r="F42" t="s">
        <v>417</v>
      </c>
      <c r="G42" t="s">
        <v>95</v>
      </c>
      <c r="H42" t="s">
        <v>418</v>
      </c>
      <c r="I42" t="s">
        <v>43</v>
      </c>
      <c r="J42" t="s">
        <v>419</v>
      </c>
      <c r="K42" t="s">
        <v>98</v>
      </c>
      <c r="L42" t="s">
        <v>420</v>
      </c>
      <c r="M42" s="22">
        <v>45945.703472222223</v>
      </c>
      <c r="N42" s="22">
        <v>45947.433333333327</v>
      </c>
      <c r="P42" t="s">
        <v>100</v>
      </c>
      <c r="Q42" t="s">
        <v>100</v>
      </c>
      <c r="R42" t="s">
        <v>102</v>
      </c>
      <c r="S42" t="s">
        <v>102</v>
      </c>
      <c r="T42" t="s">
        <v>104</v>
      </c>
      <c r="U42" t="s">
        <v>105</v>
      </c>
      <c r="V42" t="s">
        <v>421</v>
      </c>
      <c r="W42" t="s">
        <v>107</v>
      </c>
      <c r="X42" t="s">
        <v>422</v>
      </c>
      <c r="Y42" t="s">
        <v>326</v>
      </c>
      <c r="Z42" t="s">
        <v>109</v>
      </c>
      <c r="AA42" t="s">
        <v>423</v>
      </c>
      <c r="AB42" s="23">
        <v>1</v>
      </c>
      <c r="AC42" s="25">
        <v>464809</v>
      </c>
      <c r="AD42" s="25">
        <v>464809</v>
      </c>
    </row>
    <row r="43" spans="1:30">
      <c r="A43" t="s">
        <v>57</v>
      </c>
      <c r="B43" t="s">
        <v>164</v>
      </c>
      <c r="C43" t="s">
        <v>26</v>
      </c>
      <c r="D43" t="s">
        <v>424</v>
      </c>
      <c r="E43" t="s">
        <v>425</v>
      </c>
      <c r="F43" t="s">
        <v>426</v>
      </c>
      <c r="G43" t="s">
        <v>95</v>
      </c>
      <c r="H43" t="s">
        <v>427</v>
      </c>
      <c r="I43" t="s">
        <v>57</v>
      </c>
      <c r="J43" t="s">
        <v>428</v>
      </c>
      <c r="K43" t="s">
        <v>98</v>
      </c>
      <c r="L43" t="s">
        <v>429</v>
      </c>
      <c r="M43" s="22">
        <v>45946.654166666667</v>
      </c>
      <c r="N43" s="22">
        <v>45947.701388888891</v>
      </c>
      <c r="P43" t="s">
        <v>100</v>
      </c>
      <c r="Q43" t="s">
        <v>100</v>
      </c>
      <c r="R43" t="s">
        <v>102</v>
      </c>
      <c r="S43" t="s">
        <v>131</v>
      </c>
      <c r="V43" t="s">
        <v>430</v>
      </c>
      <c r="W43" t="s">
        <v>296</v>
      </c>
      <c r="Y43" t="s">
        <v>108</v>
      </c>
      <c r="Z43" t="s">
        <v>109</v>
      </c>
      <c r="AA43" t="s">
        <v>431</v>
      </c>
      <c r="AB43" s="23">
        <v>0</v>
      </c>
      <c r="AC43" s="25">
        <v>37905</v>
      </c>
      <c r="AD43" s="25">
        <v>37905</v>
      </c>
    </row>
    <row r="44" spans="1:30">
      <c r="A44" t="s">
        <v>61</v>
      </c>
      <c r="B44" t="s">
        <v>91</v>
      </c>
      <c r="C44" t="s">
        <v>44</v>
      </c>
      <c r="D44" t="s">
        <v>92</v>
      </c>
      <c r="E44" t="s">
        <v>432</v>
      </c>
      <c r="F44" t="s">
        <v>433</v>
      </c>
      <c r="G44" t="s">
        <v>95</v>
      </c>
      <c r="H44" t="s">
        <v>96</v>
      </c>
      <c r="I44" t="s">
        <v>61</v>
      </c>
      <c r="J44" t="s">
        <v>434</v>
      </c>
      <c r="K44" t="s">
        <v>98</v>
      </c>
      <c r="L44" t="s">
        <v>435</v>
      </c>
      <c r="M44" s="22">
        <v>45946.654166666667</v>
      </c>
      <c r="N44" s="22">
        <v>45947.70208333333</v>
      </c>
      <c r="P44" t="s">
        <v>100</v>
      </c>
      <c r="Q44" t="s">
        <v>100</v>
      </c>
      <c r="R44" t="s">
        <v>102</v>
      </c>
      <c r="S44" t="s">
        <v>102</v>
      </c>
      <c r="V44" t="s">
        <v>436</v>
      </c>
      <c r="W44" t="s">
        <v>296</v>
      </c>
      <c r="Y44" t="s">
        <v>108</v>
      </c>
      <c r="Z44" t="s">
        <v>109</v>
      </c>
      <c r="AA44" t="s">
        <v>437</v>
      </c>
      <c r="AB44" s="23">
        <v>0</v>
      </c>
      <c r="AC44" s="25">
        <v>37905</v>
      </c>
      <c r="AD44" s="25">
        <v>37905</v>
      </c>
    </row>
    <row r="45" spans="1:30">
      <c r="A45" t="s">
        <v>61</v>
      </c>
      <c r="B45" t="s">
        <v>91</v>
      </c>
      <c r="C45" t="s">
        <v>44</v>
      </c>
      <c r="D45" t="s">
        <v>92</v>
      </c>
      <c r="E45" t="s">
        <v>438</v>
      </c>
      <c r="F45" t="s">
        <v>439</v>
      </c>
      <c r="G45" t="s">
        <v>95</v>
      </c>
      <c r="H45" t="s">
        <v>96</v>
      </c>
      <c r="I45" t="s">
        <v>61</v>
      </c>
      <c r="J45" t="s">
        <v>440</v>
      </c>
      <c r="K45" t="s">
        <v>98</v>
      </c>
      <c r="L45" t="s">
        <v>441</v>
      </c>
      <c r="M45" s="22">
        <v>45946.654166666667</v>
      </c>
      <c r="N45" s="22">
        <v>45950.618750000001</v>
      </c>
      <c r="P45" t="s">
        <v>100</v>
      </c>
      <c r="Q45" t="s">
        <v>100</v>
      </c>
      <c r="R45" t="s">
        <v>131</v>
      </c>
      <c r="S45" t="s">
        <v>131</v>
      </c>
      <c r="T45" t="s">
        <v>104</v>
      </c>
      <c r="U45" t="s">
        <v>105</v>
      </c>
      <c r="V45" t="s">
        <v>442</v>
      </c>
      <c r="W45" t="s">
        <v>107</v>
      </c>
      <c r="Y45" t="s">
        <v>108</v>
      </c>
      <c r="Z45" t="s">
        <v>109</v>
      </c>
      <c r="AA45" t="s">
        <v>110</v>
      </c>
      <c r="AB45" s="23">
        <v>1</v>
      </c>
      <c r="AC45" s="25">
        <v>44560</v>
      </c>
      <c r="AD45" s="25">
        <v>44560</v>
      </c>
    </row>
    <row r="46" spans="1:30">
      <c r="A46" t="s">
        <v>47</v>
      </c>
      <c r="B46" t="s">
        <v>91</v>
      </c>
      <c r="C46" t="s">
        <v>44</v>
      </c>
      <c r="D46" t="s">
        <v>401</v>
      </c>
      <c r="E46" t="s">
        <v>443</v>
      </c>
      <c r="F46" t="s">
        <v>444</v>
      </c>
      <c r="G46" t="s">
        <v>95</v>
      </c>
      <c r="H46" t="s">
        <v>404</v>
      </c>
      <c r="I46" t="s">
        <v>47</v>
      </c>
      <c r="J46" t="s">
        <v>445</v>
      </c>
      <c r="K46" t="s">
        <v>98</v>
      </c>
      <c r="L46" t="s">
        <v>446</v>
      </c>
      <c r="M46" s="22">
        <v>45946.654166666667</v>
      </c>
      <c r="N46" s="22">
        <v>45951.723611111112</v>
      </c>
      <c r="P46" t="s">
        <v>100</v>
      </c>
      <c r="Q46" t="s">
        <v>100</v>
      </c>
      <c r="R46" t="s">
        <v>131</v>
      </c>
      <c r="S46" t="s">
        <v>131</v>
      </c>
      <c r="T46" t="s">
        <v>104</v>
      </c>
      <c r="U46" t="s">
        <v>105</v>
      </c>
      <c r="V46" t="s">
        <v>447</v>
      </c>
      <c r="W46" t="s">
        <v>107</v>
      </c>
      <c r="Y46" t="s">
        <v>108</v>
      </c>
      <c r="Z46" t="s">
        <v>109</v>
      </c>
      <c r="AA46" t="s">
        <v>448</v>
      </c>
      <c r="AB46" s="23">
        <v>1</v>
      </c>
      <c r="AC46" s="25">
        <v>44560</v>
      </c>
      <c r="AD46" s="25">
        <v>44560</v>
      </c>
    </row>
    <row r="47" spans="1:30">
      <c r="A47" t="s">
        <v>47</v>
      </c>
      <c r="B47" t="s">
        <v>91</v>
      </c>
      <c r="C47" t="s">
        <v>44</v>
      </c>
      <c r="D47" t="s">
        <v>449</v>
      </c>
      <c r="E47" t="s">
        <v>450</v>
      </c>
      <c r="F47" t="s">
        <v>451</v>
      </c>
      <c r="G47" t="s">
        <v>95</v>
      </c>
      <c r="H47" t="s">
        <v>404</v>
      </c>
      <c r="I47" t="s">
        <v>452</v>
      </c>
      <c r="J47" t="s">
        <v>453</v>
      </c>
      <c r="K47" t="s">
        <v>98</v>
      </c>
      <c r="L47" t="s">
        <v>454</v>
      </c>
      <c r="M47" s="22">
        <v>45946.654166666667</v>
      </c>
      <c r="N47" s="22">
        <v>45947.7</v>
      </c>
      <c r="P47" t="s">
        <v>100</v>
      </c>
      <c r="Q47" t="s">
        <v>100</v>
      </c>
      <c r="R47" t="s">
        <v>131</v>
      </c>
      <c r="S47" t="s">
        <v>131</v>
      </c>
      <c r="V47" t="s">
        <v>455</v>
      </c>
      <c r="W47" t="s">
        <v>296</v>
      </c>
      <c r="Y47" t="s">
        <v>135</v>
      </c>
      <c r="Z47" t="s">
        <v>109</v>
      </c>
      <c r="AA47" t="s">
        <v>437</v>
      </c>
      <c r="AB47" s="23">
        <v>0</v>
      </c>
      <c r="AC47" s="25">
        <v>37905</v>
      </c>
      <c r="AD47" s="25">
        <v>37905</v>
      </c>
    </row>
    <row r="48" spans="1:30">
      <c r="A48" t="s">
        <v>37</v>
      </c>
      <c r="B48" t="s">
        <v>123</v>
      </c>
      <c r="C48" t="s">
        <v>38</v>
      </c>
      <c r="D48" t="s">
        <v>456</v>
      </c>
      <c r="E48" t="s">
        <v>457</v>
      </c>
      <c r="F48" t="s">
        <v>458</v>
      </c>
      <c r="G48" t="s">
        <v>95</v>
      </c>
      <c r="H48" t="s">
        <v>127</v>
      </c>
      <c r="I48" t="s">
        <v>459</v>
      </c>
      <c r="J48" t="s">
        <v>460</v>
      </c>
      <c r="K48" t="s">
        <v>98</v>
      </c>
      <c r="L48" t="s">
        <v>461</v>
      </c>
      <c r="M48" s="22">
        <v>45946.654166666667</v>
      </c>
      <c r="N48" s="22">
        <v>45952.488888888889</v>
      </c>
      <c r="P48" t="s">
        <v>100</v>
      </c>
      <c r="Q48" t="s">
        <v>100</v>
      </c>
      <c r="R48" t="s">
        <v>102</v>
      </c>
      <c r="S48" t="s">
        <v>131</v>
      </c>
      <c r="T48" t="s">
        <v>104</v>
      </c>
      <c r="U48" t="s">
        <v>105</v>
      </c>
      <c r="V48" t="s">
        <v>462</v>
      </c>
      <c r="W48" t="s">
        <v>107</v>
      </c>
      <c r="Y48" t="s">
        <v>108</v>
      </c>
      <c r="Z48" t="s">
        <v>109</v>
      </c>
      <c r="AA48" t="s">
        <v>240</v>
      </c>
      <c r="AB48" s="23">
        <v>1</v>
      </c>
      <c r="AC48" s="25">
        <v>44560</v>
      </c>
      <c r="AD48" s="25">
        <v>44560</v>
      </c>
    </row>
    <row r="49" spans="1:30">
      <c r="A49" t="s">
        <v>54</v>
      </c>
      <c r="B49" t="s">
        <v>123</v>
      </c>
      <c r="C49" t="s">
        <v>38</v>
      </c>
      <c r="D49" t="s">
        <v>463</v>
      </c>
      <c r="E49" t="s">
        <v>464</v>
      </c>
      <c r="F49" t="s">
        <v>465</v>
      </c>
      <c r="G49" t="s">
        <v>95</v>
      </c>
      <c r="H49" t="s">
        <v>321</v>
      </c>
      <c r="I49" t="s">
        <v>466</v>
      </c>
      <c r="J49" t="s">
        <v>467</v>
      </c>
      <c r="K49" t="s">
        <v>98</v>
      </c>
      <c r="L49" t="s">
        <v>468</v>
      </c>
      <c r="M49" s="22">
        <v>45948.375</v>
      </c>
      <c r="N49" s="22">
        <v>45958.649305555547</v>
      </c>
      <c r="P49" t="s">
        <v>100</v>
      </c>
      <c r="Q49" t="s">
        <v>100</v>
      </c>
      <c r="R49" t="s">
        <v>102</v>
      </c>
      <c r="S49" t="s">
        <v>131</v>
      </c>
      <c r="U49" t="s">
        <v>132</v>
      </c>
      <c r="V49" t="s">
        <v>469</v>
      </c>
      <c r="W49" t="s">
        <v>296</v>
      </c>
      <c r="Y49" t="s">
        <v>239</v>
      </c>
      <c r="Z49" t="s">
        <v>109</v>
      </c>
      <c r="AA49" t="s">
        <v>327</v>
      </c>
      <c r="AB49" s="23">
        <v>0</v>
      </c>
      <c r="AC49" s="25">
        <v>37905</v>
      </c>
      <c r="AD49" s="25">
        <v>37905</v>
      </c>
    </row>
    <row r="50" spans="1:30">
      <c r="A50" t="s">
        <v>37</v>
      </c>
      <c r="B50" t="s">
        <v>123</v>
      </c>
      <c r="C50" t="s">
        <v>38</v>
      </c>
      <c r="D50" t="s">
        <v>183</v>
      </c>
      <c r="E50" t="s">
        <v>470</v>
      </c>
      <c r="F50" t="s">
        <v>471</v>
      </c>
      <c r="G50" t="s">
        <v>95</v>
      </c>
      <c r="H50" t="s">
        <v>127</v>
      </c>
      <c r="I50" t="s">
        <v>37</v>
      </c>
      <c r="J50" t="s">
        <v>472</v>
      </c>
      <c r="K50" t="s">
        <v>98</v>
      </c>
      <c r="L50" t="s">
        <v>473</v>
      </c>
      <c r="M50" s="22">
        <v>45951.333333333343</v>
      </c>
      <c r="N50" s="22">
        <v>45955.527777777781</v>
      </c>
      <c r="P50" t="s">
        <v>100</v>
      </c>
      <c r="Q50" t="s">
        <v>100</v>
      </c>
      <c r="R50" t="s">
        <v>119</v>
      </c>
      <c r="S50" t="s">
        <v>120</v>
      </c>
      <c r="T50" t="s">
        <v>104</v>
      </c>
      <c r="U50" t="s">
        <v>132</v>
      </c>
      <c r="V50" t="s">
        <v>474</v>
      </c>
      <c r="W50" t="s">
        <v>107</v>
      </c>
      <c r="X50" t="s">
        <v>475</v>
      </c>
      <c r="Y50" t="s">
        <v>108</v>
      </c>
      <c r="Z50" t="s">
        <v>109</v>
      </c>
      <c r="AA50" t="s">
        <v>476</v>
      </c>
      <c r="AB50" s="23">
        <v>1</v>
      </c>
      <c r="AC50" s="25">
        <v>44560</v>
      </c>
      <c r="AD50" s="25">
        <v>44560</v>
      </c>
    </row>
    <row r="51" spans="1:30">
      <c r="A51" t="s">
        <v>37</v>
      </c>
      <c r="B51" t="s">
        <v>123</v>
      </c>
      <c r="C51" t="s">
        <v>38</v>
      </c>
      <c r="D51" t="s">
        <v>477</v>
      </c>
      <c r="E51" t="s">
        <v>478</v>
      </c>
      <c r="F51" t="s">
        <v>479</v>
      </c>
      <c r="G51" t="s">
        <v>95</v>
      </c>
      <c r="H51" t="s">
        <v>127</v>
      </c>
      <c r="I51" t="s">
        <v>480</v>
      </c>
      <c r="J51" t="s">
        <v>481</v>
      </c>
      <c r="K51" t="s">
        <v>98</v>
      </c>
      <c r="L51" t="s">
        <v>482</v>
      </c>
      <c r="M51" s="22">
        <v>45951.333333333343</v>
      </c>
      <c r="N51" s="22">
        <v>45952.674305555563</v>
      </c>
      <c r="P51" t="s">
        <v>100</v>
      </c>
      <c r="Q51" t="s">
        <v>100</v>
      </c>
      <c r="R51" t="s">
        <v>131</v>
      </c>
      <c r="S51" t="s">
        <v>131</v>
      </c>
      <c r="T51" t="s">
        <v>104</v>
      </c>
      <c r="U51" t="s">
        <v>132</v>
      </c>
      <c r="V51" t="s">
        <v>483</v>
      </c>
      <c r="W51" t="s">
        <v>107</v>
      </c>
      <c r="X51" t="s">
        <v>484</v>
      </c>
      <c r="Y51" t="s">
        <v>108</v>
      </c>
      <c r="Z51" t="s">
        <v>109</v>
      </c>
      <c r="AA51" t="s">
        <v>476</v>
      </c>
      <c r="AB51" s="23">
        <v>1</v>
      </c>
      <c r="AC51" s="25">
        <v>44560</v>
      </c>
      <c r="AD51" s="25">
        <v>44560</v>
      </c>
    </row>
    <row r="52" spans="1:30">
      <c r="A52" t="s">
        <v>37</v>
      </c>
      <c r="B52" t="s">
        <v>123</v>
      </c>
      <c r="C52" t="s">
        <v>38</v>
      </c>
      <c r="D52" t="s">
        <v>124</v>
      </c>
      <c r="E52" t="s">
        <v>485</v>
      </c>
      <c r="F52" t="s">
        <v>486</v>
      </c>
      <c r="G52" t="s">
        <v>95</v>
      </c>
      <c r="H52" t="s">
        <v>127</v>
      </c>
      <c r="I52" t="s">
        <v>128</v>
      </c>
      <c r="J52" t="s">
        <v>487</v>
      </c>
      <c r="K52" t="s">
        <v>98</v>
      </c>
      <c r="L52" t="s">
        <v>488</v>
      </c>
      <c r="M52" s="22">
        <v>45951.451388888891</v>
      </c>
      <c r="N52" s="22">
        <v>45952.686111111107</v>
      </c>
      <c r="P52" t="s">
        <v>100</v>
      </c>
      <c r="Q52" t="s">
        <v>100</v>
      </c>
      <c r="R52" t="s">
        <v>119</v>
      </c>
      <c r="S52" t="s">
        <v>120</v>
      </c>
      <c r="T52" t="s">
        <v>144</v>
      </c>
      <c r="U52" t="s">
        <v>287</v>
      </c>
      <c r="V52" t="s">
        <v>489</v>
      </c>
      <c r="W52" t="s">
        <v>107</v>
      </c>
      <c r="X52" t="s">
        <v>490</v>
      </c>
      <c r="Y52" t="s">
        <v>135</v>
      </c>
      <c r="Z52" t="s">
        <v>109</v>
      </c>
      <c r="AA52" t="s">
        <v>491</v>
      </c>
      <c r="AB52" s="23">
        <v>1</v>
      </c>
      <c r="AC52" s="25">
        <v>134411</v>
      </c>
      <c r="AD52" s="25">
        <v>134411</v>
      </c>
    </row>
    <row r="53" spans="1:30">
      <c r="A53" t="s">
        <v>29</v>
      </c>
      <c r="B53" t="s">
        <v>147</v>
      </c>
      <c r="C53" t="s">
        <v>30</v>
      </c>
      <c r="D53" t="s">
        <v>492</v>
      </c>
      <c r="E53" t="s">
        <v>493</v>
      </c>
      <c r="F53" t="s">
        <v>494</v>
      </c>
      <c r="G53" t="s">
        <v>95</v>
      </c>
      <c r="H53" t="s">
        <v>147</v>
      </c>
      <c r="I53" t="s">
        <v>495</v>
      </c>
      <c r="J53" t="s">
        <v>496</v>
      </c>
      <c r="K53" t="s">
        <v>98</v>
      </c>
      <c r="L53" t="s">
        <v>497</v>
      </c>
      <c r="M53" s="22">
        <v>45951.657638888893</v>
      </c>
      <c r="N53" s="22">
        <v>45954.661805555559</v>
      </c>
      <c r="P53" t="s">
        <v>100</v>
      </c>
      <c r="Q53" t="s">
        <v>100</v>
      </c>
      <c r="R53" t="s">
        <v>131</v>
      </c>
      <c r="S53" t="s">
        <v>131</v>
      </c>
      <c r="T53" t="s">
        <v>104</v>
      </c>
      <c r="U53" t="s">
        <v>132</v>
      </c>
      <c r="V53" t="s">
        <v>498</v>
      </c>
      <c r="W53" t="s">
        <v>107</v>
      </c>
      <c r="X53" t="s">
        <v>499</v>
      </c>
      <c r="Y53" t="s">
        <v>239</v>
      </c>
      <c r="Z53" t="s">
        <v>109</v>
      </c>
      <c r="AA53" t="s">
        <v>282</v>
      </c>
      <c r="AB53" s="23">
        <v>1</v>
      </c>
      <c r="AC53" s="25">
        <v>222904</v>
      </c>
      <c r="AD53" s="25">
        <v>222904</v>
      </c>
    </row>
    <row r="54" spans="1:30">
      <c r="A54" t="s">
        <v>51</v>
      </c>
      <c r="B54" t="s">
        <v>111</v>
      </c>
      <c r="C54" t="s">
        <v>22</v>
      </c>
      <c r="D54" t="s">
        <v>500</v>
      </c>
      <c r="E54" t="s">
        <v>501</v>
      </c>
      <c r="F54" t="s">
        <v>502</v>
      </c>
      <c r="G54" t="s">
        <v>95</v>
      </c>
      <c r="H54" t="s">
        <v>503</v>
      </c>
      <c r="I54" t="s">
        <v>504</v>
      </c>
      <c r="J54" t="s">
        <v>505</v>
      </c>
      <c r="K54" t="s">
        <v>98</v>
      </c>
      <c r="L54" t="s">
        <v>506</v>
      </c>
      <c r="M54" s="22">
        <v>45951.657638888893</v>
      </c>
      <c r="N54" s="22">
        <v>45957.520833333343</v>
      </c>
      <c r="P54" t="s">
        <v>100</v>
      </c>
      <c r="Q54" t="s">
        <v>100</v>
      </c>
      <c r="R54" t="s">
        <v>102</v>
      </c>
      <c r="S54" t="s">
        <v>102</v>
      </c>
      <c r="T54" t="s">
        <v>171</v>
      </c>
      <c r="U54" t="s">
        <v>172</v>
      </c>
      <c r="V54" t="s">
        <v>507</v>
      </c>
      <c r="W54" t="s">
        <v>107</v>
      </c>
      <c r="X54" t="s">
        <v>508</v>
      </c>
      <c r="Y54" t="s">
        <v>509</v>
      </c>
      <c r="Z54" t="s">
        <v>510</v>
      </c>
      <c r="AA54" t="s">
        <v>511</v>
      </c>
      <c r="AB54" s="23">
        <v>1</v>
      </c>
      <c r="AC54" s="25">
        <v>988463</v>
      </c>
      <c r="AD54" s="25">
        <v>988463</v>
      </c>
    </row>
    <row r="55" spans="1:30">
      <c r="A55" t="s">
        <v>33</v>
      </c>
      <c r="B55" t="s">
        <v>137</v>
      </c>
      <c r="C55" t="s">
        <v>34</v>
      </c>
      <c r="D55" t="s">
        <v>512</v>
      </c>
      <c r="E55" t="s">
        <v>513</v>
      </c>
      <c r="F55" t="s">
        <v>514</v>
      </c>
      <c r="G55" t="s">
        <v>95</v>
      </c>
      <c r="H55" t="s">
        <v>312</v>
      </c>
      <c r="I55" t="s">
        <v>515</v>
      </c>
      <c r="J55" t="s">
        <v>516</v>
      </c>
      <c r="K55" t="s">
        <v>98</v>
      </c>
      <c r="L55" t="s">
        <v>517</v>
      </c>
      <c r="M55" s="22">
        <v>45951.657638888893</v>
      </c>
      <c r="N55" s="22">
        <v>45953.313194444447</v>
      </c>
      <c r="P55" t="s">
        <v>100</v>
      </c>
      <c r="Q55" t="s">
        <v>100</v>
      </c>
      <c r="R55" t="s">
        <v>131</v>
      </c>
      <c r="S55" t="s">
        <v>131</v>
      </c>
      <c r="T55" t="s">
        <v>171</v>
      </c>
      <c r="U55" t="s">
        <v>172</v>
      </c>
      <c r="V55" t="s">
        <v>518</v>
      </c>
      <c r="W55" t="s">
        <v>107</v>
      </c>
      <c r="X55" t="s">
        <v>519</v>
      </c>
      <c r="Y55" t="s">
        <v>108</v>
      </c>
      <c r="Z55" t="s">
        <v>109</v>
      </c>
      <c r="AA55" t="s">
        <v>520</v>
      </c>
      <c r="AB55" s="23">
        <v>1</v>
      </c>
      <c r="AC55" s="25">
        <v>44560</v>
      </c>
      <c r="AD55" s="25">
        <v>44560</v>
      </c>
    </row>
    <row r="56" spans="1:30">
      <c r="A56" t="s">
        <v>51</v>
      </c>
      <c r="B56" t="s">
        <v>111</v>
      </c>
      <c r="C56" t="s">
        <v>22</v>
      </c>
      <c r="D56" t="s">
        <v>157</v>
      </c>
      <c r="E56" t="s">
        <v>521</v>
      </c>
      <c r="F56" t="s">
        <v>208</v>
      </c>
      <c r="G56" t="s">
        <v>95</v>
      </c>
      <c r="H56" t="s">
        <v>115</v>
      </c>
      <c r="I56" t="s">
        <v>51</v>
      </c>
      <c r="J56" t="s">
        <v>209</v>
      </c>
      <c r="K56" t="s">
        <v>98</v>
      </c>
      <c r="L56" t="s">
        <v>522</v>
      </c>
      <c r="M56" s="22">
        <v>45951.657638888893</v>
      </c>
      <c r="N56" s="22">
        <v>45953.388888888891</v>
      </c>
      <c r="P56" t="s">
        <v>100</v>
      </c>
      <c r="Q56" t="s">
        <v>101</v>
      </c>
      <c r="R56" t="s">
        <v>102</v>
      </c>
      <c r="S56" t="s">
        <v>102</v>
      </c>
      <c r="T56" t="s">
        <v>104</v>
      </c>
      <c r="U56" t="s">
        <v>105</v>
      </c>
      <c r="V56" t="s">
        <v>523</v>
      </c>
      <c r="W56" t="s">
        <v>107</v>
      </c>
      <c r="X56" t="s">
        <v>190</v>
      </c>
      <c r="Y56" t="s">
        <v>108</v>
      </c>
      <c r="Z56" t="s">
        <v>109</v>
      </c>
      <c r="AA56" t="s">
        <v>212</v>
      </c>
      <c r="AB56" s="23">
        <v>1</v>
      </c>
      <c r="AC56" s="25">
        <v>44560</v>
      </c>
      <c r="AD56" s="25">
        <v>44560</v>
      </c>
    </row>
    <row r="57" spans="1:30">
      <c r="A57" t="s">
        <v>51</v>
      </c>
      <c r="B57" t="s">
        <v>111</v>
      </c>
      <c r="C57" t="s">
        <v>22</v>
      </c>
      <c r="D57" t="s">
        <v>524</v>
      </c>
      <c r="E57" t="s">
        <v>525</v>
      </c>
      <c r="F57" t="s">
        <v>526</v>
      </c>
      <c r="G57" t="s">
        <v>95</v>
      </c>
      <c r="H57" t="s">
        <v>115</v>
      </c>
      <c r="I57" t="s">
        <v>527</v>
      </c>
      <c r="J57" t="s">
        <v>528</v>
      </c>
      <c r="K57" t="s">
        <v>98</v>
      </c>
      <c r="L57" t="s">
        <v>529</v>
      </c>
      <c r="M57" s="22">
        <v>45951.657638888893</v>
      </c>
      <c r="N57" s="22">
        <v>45953.314583333333</v>
      </c>
      <c r="P57" t="s">
        <v>100</v>
      </c>
      <c r="Q57" t="s">
        <v>101</v>
      </c>
      <c r="R57" t="s">
        <v>131</v>
      </c>
      <c r="S57" t="s">
        <v>131</v>
      </c>
      <c r="T57" t="s">
        <v>144</v>
      </c>
      <c r="U57" t="s">
        <v>287</v>
      </c>
      <c r="V57" t="s">
        <v>530</v>
      </c>
      <c r="W57" t="s">
        <v>107</v>
      </c>
      <c r="X57" t="s">
        <v>531</v>
      </c>
      <c r="Y57" t="s">
        <v>108</v>
      </c>
      <c r="Z57" t="s">
        <v>109</v>
      </c>
      <c r="AA57" t="s">
        <v>532</v>
      </c>
      <c r="AB57" s="23">
        <v>1</v>
      </c>
      <c r="AC57" s="25">
        <v>44560</v>
      </c>
      <c r="AD57" s="25">
        <v>44560</v>
      </c>
    </row>
    <row r="58" spans="1:30">
      <c r="A58" t="s">
        <v>25</v>
      </c>
      <c r="B58" t="s">
        <v>164</v>
      </c>
      <c r="C58" t="s">
        <v>26</v>
      </c>
      <c r="D58" t="s">
        <v>533</v>
      </c>
      <c r="E58" t="s">
        <v>534</v>
      </c>
      <c r="F58" t="s">
        <v>535</v>
      </c>
      <c r="G58" t="s">
        <v>95</v>
      </c>
      <c r="H58" t="s">
        <v>536</v>
      </c>
      <c r="I58" t="s">
        <v>25</v>
      </c>
      <c r="J58" t="s">
        <v>537</v>
      </c>
      <c r="K58" t="s">
        <v>98</v>
      </c>
      <c r="L58" t="s">
        <v>538</v>
      </c>
      <c r="M58" s="22">
        <v>45952.675694444442</v>
      </c>
      <c r="N58" s="22">
        <v>45954.65347222222</v>
      </c>
      <c r="P58" t="s">
        <v>100</v>
      </c>
      <c r="Q58" t="s">
        <v>100</v>
      </c>
      <c r="R58" t="s">
        <v>102</v>
      </c>
      <c r="S58" t="s">
        <v>131</v>
      </c>
      <c r="T58" t="s">
        <v>104</v>
      </c>
      <c r="U58" t="s">
        <v>132</v>
      </c>
      <c r="V58" t="s">
        <v>539</v>
      </c>
      <c r="W58" t="s">
        <v>107</v>
      </c>
      <c r="X58" t="s">
        <v>540</v>
      </c>
      <c r="Y58" t="s">
        <v>108</v>
      </c>
      <c r="Z58" t="s">
        <v>109</v>
      </c>
      <c r="AA58" t="s">
        <v>541</v>
      </c>
      <c r="AB58" s="23">
        <v>1</v>
      </c>
      <c r="AC58" s="25">
        <v>44560</v>
      </c>
      <c r="AD58" s="25">
        <v>44560</v>
      </c>
    </row>
    <row r="59" spans="1:30">
      <c r="A59" t="s">
        <v>21</v>
      </c>
      <c r="B59" t="s">
        <v>111</v>
      </c>
      <c r="C59" t="s">
        <v>22</v>
      </c>
      <c r="D59" t="s">
        <v>542</v>
      </c>
      <c r="E59" t="s">
        <v>543</v>
      </c>
      <c r="F59" t="s">
        <v>544</v>
      </c>
      <c r="G59" t="s">
        <v>95</v>
      </c>
      <c r="H59" t="s">
        <v>115</v>
      </c>
      <c r="I59" t="s">
        <v>545</v>
      </c>
      <c r="J59" t="s">
        <v>546</v>
      </c>
      <c r="K59" t="s">
        <v>98</v>
      </c>
      <c r="L59" t="s">
        <v>547</v>
      </c>
      <c r="M59" s="22">
        <v>45952.675694444442</v>
      </c>
      <c r="N59" s="22">
        <v>45957.5625</v>
      </c>
      <c r="P59" t="s">
        <v>100</v>
      </c>
      <c r="Q59" t="s">
        <v>101</v>
      </c>
      <c r="R59" t="s">
        <v>102</v>
      </c>
      <c r="S59" t="s">
        <v>102</v>
      </c>
      <c r="T59" t="s">
        <v>104</v>
      </c>
      <c r="U59" t="s">
        <v>132</v>
      </c>
      <c r="V59" t="s">
        <v>548</v>
      </c>
      <c r="W59" t="s">
        <v>107</v>
      </c>
      <c r="X59" t="s">
        <v>549</v>
      </c>
      <c r="Y59" t="s">
        <v>135</v>
      </c>
      <c r="Z59" t="s">
        <v>109</v>
      </c>
      <c r="AA59" t="s">
        <v>550</v>
      </c>
      <c r="AB59" s="23">
        <v>1</v>
      </c>
      <c r="AC59" s="25">
        <v>134411</v>
      </c>
      <c r="AD59" s="25">
        <v>134411</v>
      </c>
    </row>
    <row r="60" spans="1:30">
      <c r="A60" t="s">
        <v>51</v>
      </c>
      <c r="B60" t="s">
        <v>111</v>
      </c>
      <c r="C60" t="s">
        <v>22</v>
      </c>
      <c r="D60" t="s">
        <v>157</v>
      </c>
      <c r="E60" t="s">
        <v>551</v>
      </c>
      <c r="F60" t="s">
        <v>552</v>
      </c>
      <c r="G60" t="s">
        <v>95</v>
      </c>
      <c r="H60" t="s">
        <v>115</v>
      </c>
      <c r="I60" t="s">
        <v>51</v>
      </c>
      <c r="J60" t="s">
        <v>553</v>
      </c>
      <c r="K60" t="s">
        <v>98</v>
      </c>
      <c r="L60" t="s">
        <v>554</v>
      </c>
      <c r="M60" s="22">
        <v>45952.675694444442</v>
      </c>
      <c r="N60" s="22">
        <v>45954.509722222218</v>
      </c>
      <c r="P60" t="s">
        <v>100</v>
      </c>
      <c r="Q60" t="s">
        <v>100</v>
      </c>
      <c r="R60" t="s">
        <v>119</v>
      </c>
      <c r="S60" t="s">
        <v>188</v>
      </c>
      <c r="T60" t="s">
        <v>104</v>
      </c>
      <c r="U60" t="s">
        <v>105</v>
      </c>
      <c r="V60" t="s">
        <v>555</v>
      </c>
      <c r="W60" t="s">
        <v>107</v>
      </c>
      <c r="Y60" t="s">
        <v>108</v>
      </c>
      <c r="Z60" t="s">
        <v>109</v>
      </c>
      <c r="AA60" t="s">
        <v>556</v>
      </c>
      <c r="AB60" s="23">
        <v>1</v>
      </c>
      <c r="AC60" s="25">
        <v>44560</v>
      </c>
      <c r="AD60" s="25">
        <v>44560</v>
      </c>
    </row>
    <row r="61" spans="1:30">
      <c r="A61" t="s">
        <v>51</v>
      </c>
      <c r="B61" t="s">
        <v>111</v>
      </c>
      <c r="C61" t="s">
        <v>22</v>
      </c>
      <c r="D61" t="s">
        <v>557</v>
      </c>
      <c r="E61" t="s">
        <v>558</v>
      </c>
      <c r="F61" t="s">
        <v>559</v>
      </c>
      <c r="G61" t="s">
        <v>95</v>
      </c>
      <c r="H61" t="s">
        <v>115</v>
      </c>
      <c r="I61" t="s">
        <v>560</v>
      </c>
      <c r="J61" t="s">
        <v>561</v>
      </c>
      <c r="K61" t="s">
        <v>98</v>
      </c>
      <c r="L61" t="s">
        <v>562</v>
      </c>
      <c r="M61" s="22">
        <v>45952.675694444442</v>
      </c>
      <c r="N61" s="22">
        <v>45955.384027777778</v>
      </c>
      <c r="P61" t="s">
        <v>100</v>
      </c>
      <c r="Q61" t="s">
        <v>100</v>
      </c>
      <c r="R61" t="s">
        <v>119</v>
      </c>
      <c r="S61" t="s">
        <v>188</v>
      </c>
      <c r="T61" t="s">
        <v>104</v>
      </c>
      <c r="U61" t="s">
        <v>132</v>
      </c>
      <c r="V61" t="s">
        <v>563</v>
      </c>
      <c r="W61" t="s">
        <v>107</v>
      </c>
      <c r="X61" t="s">
        <v>564</v>
      </c>
      <c r="Y61" t="s">
        <v>108</v>
      </c>
      <c r="Z61" t="s">
        <v>109</v>
      </c>
      <c r="AA61" t="s">
        <v>565</v>
      </c>
      <c r="AB61" s="23">
        <v>1</v>
      </c>
      <c r="AC61" s="25">
        <v>44560</v>
      </c>
      <c r="AD61" s="25">
        <v>44560</v>
      </c>
    </row>
    <row r="62" spans="1:30">
      <c r="A62" t="s">
        <v>29</v>
      </c>
      <c r="B62" t="s">
        <v>147</v>
      </c>
      <c r="C62" t="s">
        <v>30</v>
      </c>
      <c r="D62" t="s">
        <v>192</v>
      </c>
      <c r="E62" t="s">
        <v>566</v>
      </c>
      <c r="F62" t="s">
        <v>567</v>
      </c>
      <c r="G62" t="s">
        <v>95</v>
      </c>
      <c r="H62" t="s">
        <v>147</v>
      </c>
      <c r="I62" t="s">
        <v>29</v>
      </c>
      <c r="J62" t="s">
        <v>568</v>
      </c>
      <c r="K62" t="s">
        <v>98</v>
      </c>
      <c r="L62" t="s">
        <v>569</v>
      </c>
      <c r="M62" s="22">
        <v>45952.675694444442</v>
      </c>
      <c r="N62" s="22">
        <v>45956.589583333327</v>
      </c>
      <c r="P62" t="s">
        <v>100</v>
      </c>
      <c r="Q62" t="s">
        <v>100</v>
      </c>
      <c r="R62" t="s">
        <v>119</v>
      </c>
      <c r="S62" t="s">
        <v>188</v>
      </c>
      <c r="T62" t="s">
        <v>171</v>
      </c>
      <c r="U62" t="s">
        <v>132</v>
      </c>
      <c r="V62" t="s">
        <v>570</v>
      </c>
      <c r="W62" t="s">
        <v>107</v>
      </c>
      <c r="X62" t="s">
        <v>571</v>
      </c>
      <c r="Y62" t="s">
        <v>108</v>
      </c>
      <c r="Z62" t="s">
        <v>109</v>
      </c>
      <c r="AA62" t="s">
        <v>393</v>
      </c>
      <c r="AB62" s="23">
        <v>2</v>
      </c>
      <c r="AC62" s="25">
        <v>44560</v>
      </c>
      <c r="AD62" s="25">
        <v>89120</v>
      </c>
    </row>
    <row r="63" spans="1:30">
      <c r="A63" t="s">
        <v>54</v>
      </c>
      <c r="B63" t="s">
        <v>123</v>
      </c>
      <c r="C63" t="s">
        <v>572</v>
      </c>
      <c r="D63" t="s">
        <v>341</v>
      </c>
      <c r="E63" t="s">
        <v>573</v>
      </c>
      <c r="F63" t="s">
        <v>574</v>
      </c>
      <c r="G63" t="s">
        <v>95</v>
      </c>
      <c r="H63" t="s">
        <v>344</v>
      </c>
      <c r="I63" t="s">
        <v>54</v>
      </c>
      <c r="J63" t="s">
        <v>575</v>
      </c>
      <c r="K63" t="s">
        <v>98</v>
      </c>
      <c r="L63" t="s">
        <v>576</v>
      </c>
      <c r="M63" s="22">
        <v>45954.333333333343</v>
      </c>
      <c r="N63" s="22">
        <v>45958.533333333333</v>
      </c>
      <c r="P63" t="s">
        <v>100</v>
      </c>
      <c r="Q63" t="s">
        <v>101</v>
      </c>
      <c r="R63" t="s">
        <v>119</v>
      </c>
      <c r="S63" t="s">
        <v>188</v>
      </c>
      <c r="T63" t="s">
        <v>144</v>
      </c>
      <c r="U63" t="s">
        <v>287</v>
      </c>
      <c r="V63" t="s">
        <v>577</v>
      </c>
      <c r="W63" t="s">
        <v>107</v>
      </c>
      <c r="X63" t="s">
        <v>578</v>
      </c>
      <c r="Y63" t="s">
        <v>108</v>
      </c>
      <c r="Z63" t="s">
        <v>109</v>
      </c>
      <c r="AA63" t="s">
        <v>579</v>
      </c>
      <c r="AB63" s="23">
        <v>1</v>
      </c>
      <c r="AC63" s="25">
        <v>44560</v>
      </c>
      <c r="AD63" s="25">
        <v>44560</v>
      </c>
    </row>
    <row r="64" spans="1:30">
      <c r="A64" t="s">
        <v>51</v>
      </c>
      <c r="B64" t="s">
        <v>111</v>
      </c>
      <c r="C64" t="s">
        <v>22</v>
      </c>
      <c r="D64" t="s">
        <v>157</v>
      </c>
      <c r="E64" t="s">
        <v>580</v>
      </c>
      <c r="F64" t="s">
        <v>581</v>
      </c>
      <c r="G64" t="s">
        <v>95</v>
      </c>
      <c r="H64" t="s">
        <v>115</v>
      </c>
      <c r="I64" t="s">
        <v>51</v>
      </c>
      <c r="J64" t="s">
        <v>582</v>
      </c>
      <c r="K64" t="s">
        <v>98</v>
      </c>
      <c r="L64" t="s">
        <v>583</v>
      </c>
      <c r="M64" s="22">
        <v>45954.333333333343</v>
      </c>
      <c r="N64" s="22">
        <v>45957.37222222222</v>
      </c>
      <c r="P64" t="s">
        <v>100</v>
      </c>
      <c r="Q64" t="s">
        <v>100</v>
      </c>
      <c r="R64" t="s">
        <v>131</v>
      </c>
      <c r="S64" t="s">
        <v>131</v>
      </c>
      <c r="T64" t="s">
        <v>104</v>
      </c>
      <c r="U64" t="s">
        <v>132</v>
      </c>
      <c r="V64" t="s">
        <v>584</v>
      </c>
      <c r="W64" t="s">
        <v>107</v>
      </c>
      <c r="X64" t="s">
        <v>190</v>
      </c>
      <c r="Y64" t="s">
        <v>108</v>
      </c>
      <c r="Z64" t="s">
        <v>109</v>
      </c>
      <c r="AA64" t="s">
        <v>212</v>
      </c>
      <c r="AB64" s="23">
        <v>1</v>
      </c>
      <c r="AC64" s="25">
        <v>44560</v>
      </c>
      <c r="AD64" s="25">
        <v>44560</v>
      </c>
    </row>
    <row r="65" spans="1:30">
      <c r="A65" t="s">
        <v>51</v>
      </c>
      <c r="B65" t="s">
        <v>111</v>
      </c>
      <c r="C65" t="s">
        <v>22</v>
      </c>
      <c r="D65" t="s">
        <v>524</v>
      </c>
      <c r="E65" t="s">
        <v>585</v>
      </c>
      <c r="F65" t="s">
        <v>586</v>
      </c>
      <c r="G65" t="s">
        <v>95</v>
      </c>
      <c r="H65" t="s">
        <v>115</v>
      </c>
      <c r="I65" t="s">
        <v>527</v>
      </c>
      <c r="J65" t="s">
        <v>587</v>
      </c>
      <c r="K65" t="s">
        <v>98</v>
      </c>
      <c r="L65" t="s">
        <v>588</v>
      </c>
      <c r="M65" s="22">
        <v>45954.333333333343</v>
      </c>
      <c r="N65" s="22">
        <v>45957.649305555547</v>
      </c>
      <c r="P65" t="s">
        <v>100</v>
      </c>
      <c r="Q65" t="s">
        <v>100</v>
      </c>
      <c r="R65" t="s">
        <v>131</v>
      </c>
      <c r="S65" t="s">
        <v>131</v>
      </c>
      <c r="T65" t="s">
        <v>104</v>
      </c>
      <c r="U65" t="s">
        <v>105</v>
      </c>
      <c r="V65" t="s">
        <v>589</v>
      </c>
      <c r="W65" t="s">
        <v>107</v>
      </c>
      <c r="Y65" t="s">
        <v>108</v>
      </c>
      <c r="Z65" t="s">
        <v>109</v>
      </c>
      <c r="AA65" t="s">
        <v>590</v>
      </c>
      <c r="AB65" s="23">
        <v>1</v>
      </c>
      <c r="AC65" s="25">
        <v>44560</v>
      </c>
      <c r="AD65" s="25">
        <v>44560</v>
      </c>
    </row>
    <row r="66" spans="1:30">
      <c r="A66" t="s">
        <v>25</v>
      </c>
      <c r="B66" t="s">
        <v>164</v>
      </c>
      <c r="C66" t="s">
        <v>26</v>
      </c>
      <c r="D66" t="s">
        <v>533</v>
      </c>
      <c r="E66" t="s">
        <v>591</v>
      </c>
      <c r="F66" t="s">
        <v>592</v>
      </c>
      <c r="G66" t="s">
        <v>95</v>
      </c>
      <c r="H66" t="s">
        <v>536</v>
      </c>
      <c r="I66" t="s">
        <v>25</v>
      </c>
      <c r="J66" t="s">
        <v>593</v>
      </c>
      <c r="K66" t="s">
        <v>98</v>
      </c>
      <c r="L66" t="s">
        <v>594</v>
      </c>
      <c r="M66" s="22">
        <v>45954.333333333343</v>
      </c>
      <c r="N66" s="22">
        <v>45955.369444444441</v>
      </c>
      <c r="P66" t="s">
        <v>100</v>
      </c>
      <c r="Q66" t="s">
        <v>100</v>
      </c>
      <c r="R66" t="s">
        <v>102</v>
      </c>
      <c r="S66" t="s">
        <v>102</v>
      </c>
      <c r="T66" t="s">
        <v>104</v>
      </c>
      <c r="U66" t="s">
        <v>105</v>
      </c>
      <c r="V66" t="s">
        <v>595</v>
      </c>
      <c r="W66" t="s">
        <v>107</v>
      </c>
      <c r="X66" t="s">
        <v>596</v>
      </c>
      <c r="Y66" t="s">
        <v>108</v>
      </c>
      <c r="Z66" t="s">
        <v>109</v>
      </c>
      <c r="AA66" t="s">
        <v>541</v>
      </c>
      <c r="AB66" s="23">
        <v>1</v>
      </c>
      <c r="AC66" s="25">
        <v>44560</v>
      </c>
      <c r="AD66" s="25">
        <v>44560</v>
      </c>
    </row>
    <row r="67" spans="1:30">
      <c r="A67" t="s">
        <v>52</v>
      </c>
      <c r="B67" t="s">
        <v>164</v>
      </c>
      <c r="C67" t="s">
        <v>26</v>
      </c>
      <c r="D67" t="s">
        <v>597</v>
      </c>
      <c r="E67" t="s">
        <v>598</v>
      </c>
      <c r="F67" t="s">
        <v>599</v>
      </c>
      <c r="G67" t="s">
        <v>95</v>
      </c>
      <c r="H67" t="s">
        <v>600</v>
      </c>
      <c r="I67" t="s">
        <v>52</v>
      </c>
      <c r="J67" t="s">
        <v>601</v>
      </c>
      <c r="K67" t="s">
        <v>98</v>
      </c>
      <c r="L67" t="s">
        <v>602</v>
      </c>
      <c r="M67" s="22">
        <v>45954.333333333343</v>
      </c>
      <c r="N67" s="22">
        <v>45955.507638888892</v>
      </c>
      <c r="P67" t="s">
        <v>100</v>
      </c>
      <c r="Q67" t="s">
        <v>100</v>
      </c>
      <c r="R67" t="s">
        <v>131</v>
      </c>
      <c r="S67" t="s">
        <v>131</v>
      </c>
      <c r="T67" t="s">
        <v>104</v>
      </c>
      <c r="U67" t="s">
        <v>132</v>
      </c>
      <c r="V67" t="s">
        <v>603</v>
      </c>
      <c r="W67" t="s">
        <v>107</v>
      </c>
      <c r="X67" t="s">
        <v>604</v>
      </c>
      <c r="Y67" t="s">
        <v>108</v>
      </c>
      <c r="Z67" t="s">
        <v>109</v>
      </c>
      <c r="AA67" t="s">
        <v>605</v>
      </c>
      <c r="AB67" s="23">
        <v>1</v>
      </c>
      <c r="AC67" s="25">
        <v>44560</v>
      </c>
      <c r="AD67" s="25">
        <v>44560</v>
      </c>
    </row>
    <row r="68" spans="1:30">
      <c r="A68" t="s">
        <v>42</v>
      </c>
      <c r="B68" t="s">
        <v>137</v>
      </c>
      <c r="C68" t="s">
        <v>34</v>
      </c>
      <c r="D68" t="s">
        <v>255</v>
      </c>
      <c r="E68" t="s">
        <v>606</v>
      </c>
      <c r="F68" t="s">
        <v>607</v>
      </c>
      <c r="G68" t="s">
        <v>95</v>
      </c>
      <c r="H68" t="s">
        <v>258</v>
      </c>
      <c r="I68" t="s">
        <v>42</v>
      </c>
      <c r="J68" t="s">
        <v>608</v>
      </c>
      <c r="K68" t="s">
        <v>98</v>
      </c>
      <c r="L68" t="s">
        <v>609</v>
      </c>
      <c r="M68" s="22">
        <v>45954.333333333343</v>
      </c>
      <c r="N68" s="22">
        <v>45955.535416666673</v>
      </c>
      <c r="P68" t="s">
        <v>100</v>
      </c>
      <c r="Q68" t="s">
        <v>100</v>
      </c>
      <c r="R68" t="s">
        <v>102</v>
      </c>
      <c r="S68" t="s">
        <v>102</v>
      </c>
      <c r="T68" t="s">
        <v>104</v>
      </c>
      <c r="U68" t="s">
        <v>105</v>
      </c>
      <c r="V68" t="s">
        <v>610</v>
      </c>
      <c r="W68" t="s">
        <v>107</v>
      </c>
      <c r="Y68" t="s">
        <v>108</v>
      </c>
      <c r="Z68" t="s">
        <v>109</v>
      </c>
      <c r="AA68" t="s">
        <v>611</v>
      </c>
      <c r="AB68" s="23">
        <v>1</v>
      </c>
      <c r="AC68" s="25">
        <v>44560</v>
      </c>
      <c r="AD68" s="25">
        <v>44560</v>
      </c>
    </row>
    <row r="69" spans="1:30">
      <c r="A69" t="s">
        <v>42</v>
      </c>
      <c r="B69" t="s">
        <v>137</v>
      </c>
      <c r="C69" t="s">
        <v>34</v>
      </c>
      <c r="D69" t="s">
        <v>612</v>
      </c>
      <c r="E69" t="s">
        <v>613</v>
      </c>
      <c r="F69" t="s">
        <v>614</v>
      </c>
      <c r="G69" t="s">
        <v>95</v>
      </c>
      <c r="H69" t="s">
        <v>258</v>
      </c>
      <c r="I69" t="s">
        <v>615</v>
      </c>
      <c r="J69" t="s">
        <v>616</v>
      </c>
      <c r="K69" t="s">
        <v>98</v>
      </c>
      <c r="L69" t="s">
        <v>617</v>
      </c>
      <c r="M69" s="22">
        <v>45954.333333333343</v>
      </c>
      <c r="N69" s="22">
        <v>45957.655555555553</v>
      </c>
      <c r="P69" t="s">
        <v>100</v>
      </c>
      <c r="Q69" t="s">
        <v>100</v>
      </c>
      <c r="R69" t="s">
        <v>102</v>
      </c>
      <c r="S69" t="s">
        <v>131</v>
      </c>
      <c r="U69" t="s">
        <v>132</v>
      </c>
      <c r="V69" t="s">
        <v>618</v>
      </c>
      <c r="W69" t="s">
        <v>296</v>
      </c>
      <c r="Y69" t="s">
        <v>326</v>
      </c>
      <c r="Z69" t="s">
        <v>109</v>
      </c>
      <c r="AA69" t="s">
        <v>619</v>
      </c>
      <c r="AB69" s="23">
        <v>0</v>
      </c>
      <c r="AC69" s="25">
        <v>37905</v>
      </c>
      <c r="AD69" s="25">
        <v>37905</v>
      </c>
    </row>
    <row r="70" spans="1:30">
      <c r="A70" t="s">
        <v>33</v>
      </c>
      <c r="B70" t="s">
        <v>137</v>
      </c>
      <c r="C70" t="s">
        <v>34</v>
      </c>
      <c r="D70" t="s">
        <v>620</v>
      </c>
      <c r="E70" t="s">
        <v>621</v>
      </c>
      <c r="F70" t="s">
        <v>622</v>
      </c>
      <c r="G70" t="s">
        <v>95</v>
      </c>
      <c r="H70" t="s">
        <v>312</v>
      </c>
      <c r="I70" t="s">
        <v>623</v>
      </c>
      <c r="J70" t="s">
        <v>624</v>
      </c>
      <c r="K70" t="s">
        <v>98</v>
      </c>
      <c r="L70" t="s">
        <v>625</v>
      </c>
      <c r="M70" s="22">
        <v>45954.333333333343</v>
      </c>
      <c r="N70" s="22">
        <v>45957.584722222222</v>
      </c>
      <c r="P70" t="s">
        <v>100</v>
      </c>
      <c r="Q70" t="s">
        <v>100</v>
      </c>
      <c r="R70" t="s">
        <v>102</v>
      </c>
      <c r="S70" t="s">
        <v>131</v>
      </c>
      <c r="T70" t="s">
        <v>104</v>
      </c>
      <c r="U70" t="s">
        <v>105</v>
      </c>
      <c r="V70" t="s">
        <v>626</v>
      </c>
      <c r="W70" t="s">
        <v>107</v>
      </c>
      <c r="X70" t="s">
        <v>627</v>
      </c>
      <c r="Y70" t="s">
        <v>135</v>
      </c>
      <c r="Z70" t="s">
        <v>109</v>
      </c>
      <c r="AA70" t="s">
        <v>387</v>
      </c>
      <c r="AB70" s="23">
        <v>1</v>
      </c>
      <c r="AC70" s="25">
        <v>134411</v>
      </c>
      <c r="AD70" s="25">
        <v>134411</v>
      </c>
    </row>
    <row r="71" spans="1:30">
      <c r="A71" t="s">
        <v>29</v>
      </c>
      <c r="B71" t="s">
        <v>147</v>
      </c>
      <c r="C71" t="s">
        <v>30</v>
      </c>
      <c r="D71" t="s">
        <v>628</v>
      </c>
      <c r="E71" t="s">
        <v>629</v>
      </c>
      <c r="F71" t="s">
        <v>630</v>
      </c>
      <c r="G71" t="s">
        <v>95</v>
      </c>
      <c r="H71" t="s">
        <v>147</v>
      </c>
      <c r="I71" t="s">
        <v>631</v>
      </c>
      <c r="J71" t="s">
        <v>632</v>
      </c>
      <c r="K71" t="s">
        <v>98</v>
      </c>
      <c r="L71" t="s">
        <v>633</v>
      </c>
      <c r="M71" s="22">
        <v>45954.333333333343</v>
      </c>
      <c r="N71" s="22">
        <v>45959.431250000001</v>
      </c>
      <c r="P71" t="s">
        <v>100</v>
      </c>
      <c r="Q71" t="s">
        <v>101</v>
      </c>
      <c r="R71" t="s">
        <v>102</v>
      </c>
      <c r="S71" t="s">
        <v>131</v>
      </c>
      <c r="T71" t="s">
        <v>171</v>
      </c>
      <c r="U71" t="s">
        <v>634</v>
      </c>
      <c r="V71" t="s">
        <v>635</v>
      </c>
      <c r="W71" t="s">
        <v>107</v>
      </c>
      <c r="X71" t="s">
        <v>636</v>
      </c>
      <c r="Y71" t="s">
        <v>108</v>
      </c>
      <c r="Z71" t="s">
        <v>109</v>
      </c>
      <c r="AA71" t="s">
        <v>400</v>
      </c>
      <c r="AB71" s="23">
        <v>1</v>
      </c>
      <c r="AC71" s="25">
        <v>44560</v>
      </c>
      <c r="AD71" s="25">
        <v>44560</v>
      </c>
    </row>
    <row r="72" spans="1:30">
      <c r="A72" t="s">
        <v>54</v>
      </c>
      <c r="B72" t="s">
        <v>123</v>
      </c>
      <c r="C72" t="s">
        <v>38</v>
      </c>
      <c r="D72" t="s">
        <v>637</v>
      </c>
      <c r="E72" t="s">
        <v>638</v>
      </c>
      <c r="F72" t="s">
        <v>639</v>
      </c>
      <c r="G72" t="s">
        <v>95</v>
      </c>
      <c r="H72" t="s">
        <v>344</v>
      </c>
      <c r="I72" t="s">
        <v>640</v>
      </c>
      <c r="J72" t="s">
        <v>641</v>
      </c>
      <c r="K72" t="s">
        <v>98</v>
      </c>
      <c r="L72" t="s">
        <v>642</v>
      </c>
      <c r="M72" s="22">
        <v>45954.333333333343</v>
      </c>
      <c r="N72" s="22">
        <v>45961.31527777778</v>
      </c>
      <c r="P72" t="s">
        <v>100</v>
      </c>
      <c r="Q72" t="s">
        <v>101</v>
      </c>
      <c r="R72" t="s">
        <v>102</v>
      </c>
      <c r="S72" t="s">
        <v>102</v>
      </c>
      <c r="U72" t="s">
        <v>132</v>
      </c>
      <c r="V72" t="s">
        <v>643</v>
      </c>
      <c r="W72" t="s">
        <v>296</v>
      </c>
      <c r="Y72" t="s">
        <v>239</v>
      </c>
      <c r="Z72" t="s">
        <v>109</v>
      </c>
      <c r="AA72" t="s">
        <v>644</v>
      </c>
      <c r="AB72" s="23">
        <v>0</v>
      </c>
      <c r="AC72" s="25">
        <v>37905</v>
      </c>
      <c r="AD72" s="25">
        <v>37905</v>
      </c>
    </row>
    <row r="73" spans="1:30">
      <c r="A73" t="s">
        <v>61</v>
      </c>
      <c r="B73" t="s">
        <v>91</v>
      </c>
      <c r="C73" t="s">
        <v>44</v>
      </c>
      <c r="D73" t="s">
        <v>645</v>
      </c>
      <c r="E73" t="s">
        <v>646</v>
      </c>
      <c r="F73" t="s">
        <v>647</v>
      </c>
      <c r="G73" t="s">
        <v>95</v>
      </c>
      <c r="H73" t="s">
        <v>96</v>
      </c>
      <c r="I73" t="s">
        <v>648</v>
      </c>
      <c r="J73" t="s">
        <v>649</v>
      </c>
      <c r="K73" t="s">
        <v>98</v>
      </c>
      <c r="L73" t="s">
        <v>650</v>
      </c>
      <c r="M73" s="22">
        <v>45958.333333333343</v>
      </c>
      <c r="N73" s="22">
        <v>45959.606249999997</v>
      </c>
      <c r="P73" t="s">
        <v>100</v>
      </c>
      <c r="Q73" t="s">
        <v>100</v>
      </c>
      <c r="R73" t="s">
        <v>102</v>
      </c>
      <c r="S73" t="s">
        <v>131</v>
      </c>
      <c r="T73" t="s">
        <v>104</v>
      </c>
      <c r="U73" t="s">
        <v>132</v>
      </c>
      <c r="V73" t="s">
        <v>651</v>
      </c>
      <c r="W73" t="s">
        <v>107</v>
      </c>
      <c r="X73" t="s">
        <v>399</v>
      </c>
      <c r="Y73" t="s">
        <v>135</v>
      </c>
      <c r="Z73" t="s">
        <v>109</v>
      </c>
      <c r="AA73" t="s">
        <v>652</v>
      </c>
      <c r="AB73" s="23">
        <v>1</v>
      </c>
      <c r="AC73" s="25">
        <v>134411</v>
      </c>
      <c r="AD73" s="25">
        <v>134411</v>
      </c>
    </row>
    <row r="74" spans="1:30">
      <c r="A74" t="s">
        <v>61</v>
      </c>
      <c r="B74" t="s">
        <v>91</v>
      </c>
      <c r="C74" t="s">
        <v>44</v>
      </c>
      <c r="D74" t="s">
        <v>92</v>
      </c>
      <c r="E74" t="s">
        <v>653</v>
      </c>
      <c r="F74" t="s">
        <v>654</v>
      </c>
      <c r="G74" t="s">
        <v>95</v>
      </c>
      <c r="H74" t="s">
        <v>96</v>
      </c>
      <c r="I74" t="s">
        <v>61</v>
      </c>
      <c r="J74" t="s">
        <v>655</v>
      </c>
      <c r="K74" t="s">
        <v>98</v>
      </c>
      <c r="L74" t="s">
        <v>656</v>
      </c>
      <c r="M74" s="22">
        <v>45958.333333333343</v>
      </c>
      <c r="N74" s="22">
        <v>45960.719444444447</v>
      </c>
      <c r="P74" t="s">
        <v>100</v>
      </c>
      <c r="Q74" t="s">
        <v>100</v>
      </c>
      <c r="R74" t="s">
        <v>102</v>
      </c>
      <c r="S74" t="s">
        <v>131</v>
      </c>
      <c r="T74" t="s">
        <v>104</v>
      </c>
      <c r="U74" t="s">
        <v>105</v>
      </c>
      <c r="V74" t="s">
        <v>657</v>
      </c>
      <c r="W74" t="s">
        <v>107</v>
      </c>
      <c r="Y74" t="s">
        <v>108</v>
      </c>
      <c r="Z74" t="s">
        <v>109</v>
      </c>
      <c r="AA74" t="s">
        <v>658</v>
      </c>
      <c r="AB74" s="23">
        <v>1</v>
      </c>
      <c r="AC74" s="25">
        <v>44560</v>
      </c>
      <c r="AD74" s="25">
        <v>44560</v>
      </c>
    </row>
    <row r="75" spans="1:30">
      <c r="A75" t="s">
        <v>51</v>
      </c>
      <c r="B75" t="s">
        <v>111</v>
      </c>
      <c r="C75" t="s">
        <v>22</v>
      </c>
      <c r="D75" t="s">
        <v>659</v>
      </c>
      <c r="E75" t="s">
        <v>660</v>
      </c>
      <c r="F75" t="s">
        <v>661</v>
      </c>
      <c r="G75" t="s">
        <v>95</v>
      </c>
      <c r="H75" t="s">
        <v>115</v>
      </c>
      <c r="I75" t="s">
        <v>662</v>
      </c>
      <c r="J75" t="s">
        <v>663</v>
      </c>
      <c r="K75" t="s">
        <v>98</v>
      </c>
      <c r="L75" t="s">
        <v>664</v>
      </c>
      <c r="M75" s="22">
        <v>45958.333333333343</v>
      </c>
      <c r="N75" s="22">
        <v>45961.599999999999</v>
      </c>
      <c r="P75" t="s">
        <v>100</v>
      </c>
      <c r="Q75" t="s">
        <v>100</v>
      </c>
      <c r="R75" t="s">
        <v>102</v>
      </c>
      <c r="S75" t="s">
        <v>102</v>
      </c>
      <c r="U75" t="s">
        <v>132</v>
      </c>
      <c r="V75" t="s">
        <v>665</v>
      </c>
      <c r="W75" t="s">
        <v>296</v>
      </c>
      <c r="Y75" t="s">
        <v>239</v>
      </c>
      <c r="Z75" t="s">
        <v>109</v>
      </c>
      <c r="AA75" t="s">
        <v>666</v>
      </c>
      <c r="AB75" s="23">
        <v>0</v>
      </c>
      <c r="AC75" s="25">
        <v>37905</v>
      </c>
      <c r="AD75" s="25">
        <v>37905</v>
      </c>
    </row>
    <row r="76" spans="1:30">
      <c r="A76" t="s">
        <v>33</v>
      </c>
      <c r="B76" t="s">
        <v>137</v>
      </c>
      <c r="C76" t="s">
        <v>34</v>
      </c>
      <c r="D76" t="s">
        <v>309</v>
      </c>
      <c r="E76" t="s">
        <v>667</v>
      </c>
      <c r="F76" t="s">
        <v>668</v>
      </c>
      <c r="G76" t="s">
        <v>95</v>
      </c>
      <c r="H76" t="s">
        <v>312</v>
      </c>
      <c r="I76" t="s">
        <v>33</v>
      </c>
      <c r="J76" t="s">
        <v>669</v>
      </c>
      <c r="K76" t="s">
        <v>98</v>
      </c>
      <c r="L76" t="s">
        <v>670</v>
      </c>
      <c r="M76" s="22">
        <v>45958.333333333343</v>
      </c>
      <c r="N76" s="22">
        <v>45958.645833333343</v>
      </c>
      <c r="P76" t="s">
        <v>100</v>
      </c>
      <c r="Q76" t="s">
        <v>100</v>
      </c>
      <c r="R76" t="s">
        <v>119</v>
      </c>
      <c r="S76" t="s">
        <v>120</v>
      </c>
      <c r="T76" t="s">
        <v>104</v>
      </c>
      <c r="U76" t="s">
        <v>105</v>
      </c>
      <c r="V76" t="s">
        <v>671</v>
      </c>
      <c r="W76" t="s">
        <v>107</v>
      </c>
      <c r="Y76" t="s">
        <v>108</v>
      </c>
      <c r="Z76" t="s">
        <v>109</v>
      </c>
      <c r="AA76" t="s">
        <v>672</v>
      </c>
      <c r="AB76" s="23">
        <v>1</v>
      </c>
      <c r="AC76" s="25">
        <v>44560</v>
      </c>
      <c r="AD76" s="25">
        <v>44560</v>
      </c>
    </row>
    <row r="77" spans="1:30">
      <c r="A77" t="s">
        <v>42</v>
      </c>
      <c r="B77" t="s">
        <v>137</v>
      </c>
      <c r="C77" t="s">
        <v>34</v>
      </c>
      <c r="D77" t="s">
        <v>673</v>
      </c>
      <c r="E77" t="s">
        <v>674</v>
      </c>
      <c r="F77" t="s">
        <v>675</v>
      </c>
      <c r="G77" t="s">
        <v>95</v>
      </c>
      <c r="H77" t="s">
        <v>258</v>
      </c>
      <c r="I77" t="s">
        <v>676</v>
      </c>
      <c r="J77" t="s">
        <v>677</v>
      </c>
      <c r="K77" t="s">
        <v>98</v>
      </c>
      <c r="L77" t="s">
        <v>678</v>
      </c>
      <c r="M77" s="22">
        <v>45958.333333333343</v>
      </c>
      <c r="N77" s="22">
        <v>45959.367361111108</v>
      </c>
      <c r="P77" t="s">
        <v>100</v>
      </c>
      <c r="Q77" t="s">
        <v>100</v>
      </c>
      <c r="R77" t="s">
        <v>119</v>
      </c>
      <c r="S77" t="s">
        <v>120</v>
      </c>
      <c r="T77" t="s">
        <v>104</v>
      </c>
      <c r="U77" t="s">
        <v>105</v>
      </c>
      <c r="V77" t="s">
        <v>679</v>
      </c>
      <c r="W77" t="s">
        <v>107</v>
      </c>
      <c r="Y77" t="s">
        <v>108</v>
      </c>
      <c r="Z77" t="s">
        <v>109</v>
      </c>
      <c r="AA77" t="s">
        <v>619</v>
      </c>
      <c r="AB77" s="23">
        <v>1</v>
      </c>
      <c r="AC77" s="25">
        <v>44560</v>
      </c>
      <c r="AD77" s="25">
        <v>44560</v>
      </c>
    </row>
    <row r="78" spans="1:30">
      <c r="A78" t="s">
        <v>29</v>
      </c>
      <c r="B78" t="s">
        <v>147</v>
      </c>
      <c r="C78" t="s">
        <v>30</v>
      </c>
      <c r="D78" t="s">
        <v>192</v>
      </c>
      <c r="E78" t="s">
        <v>680</v>
      </c>
      <c r="F78" t="s">
        <v>681</v>
      </c>
      <c r="G78" t="s">
        <v>95</v>
      </c>
      <c r="H78" t="s">
        <v>147</v>
      </c>
      <c r="I78" t="s">
        <v>29</v>
      </c>
      <c r="J78" t="s">
        <v>682</v>
      </c>
      <c r="K78" t="s">
        <v>98</v>
      </c>
      <c r="L78" t="s">
        <v>683</v>
      </c>
      <c r="M78" s="22">
        <v>45958.333333333343</v>
      </c>
      <c r="N78" s="22">
        <v>45961.587500000001</v>
      </c>
      <c r="P78" t="s">
        <v>100</v>
      </c>
      <c r="Q78" t="s">
        <v>100</v>
      </c>
      <c r="R78" t="s">
        <v>119</v>
      </c>
      <c r="S78" t="s">
        <v>120</v>
      </c>
      <c r="T78" t="s">
        <v>104</v>
      </c>
      <c r="U78" t="s">
        <v>105</v>
      </c>
      <c r="V78" t="s">
        <v>684</v>
      </c>
      <c r="W78" t="s">
        <v>107</v>
      </c>
      <c r="Y78" t="s">
        <v>108</v>
      </c>
      <c r="Z78" t="s">
        <v>109</v>
      </c>
      <c r="AA78" t="s">
        <v>414</v>
      </c>
      <c r="AB78" s="23">
        <v>1</v>
      </c>
      <c r="AC78" s="25">
        <v>44560</v>
      </c>
      <c r="AD78" s="25">
        <v>44560</v>
      </c>
    </row>
    <row r="79" spans="1:30">
      <c r="A79" t="s">
        <v>29</v>
      </c>
      <c r="B79" t="s">
        <v>147</v>
      </c>
      <c r="C79" t="s">
        <v>30</v>
      </c>
      <c r="D79" t="s">
        <v>685</v>
      </c>
      <c r="E79" t="s">
        <v>686</v>
      </c>
      <c r="F79" t="s">
        <v>687</v>
      </c>
      <c r="G79" t="s">
        <v>95</v>
      </c>
      <c r="H79" t="s">
        <v>147</v>
      </c>
      <c r="I79" t="s">
        <v>688</v>
      </c>
      <c r="J79" t="s">
        <v>689</v>
      </c>
      <c r="K79" t="s">
        <v>98</v>
      </c>
      <c r="L79" t="s">
        <v>690</v>
      </c>
      <c r="M79" s="22">
        <v>45958.692361111112</v>
      </c>
      <c r="N79" s="22">
        <v>45960.482638888891</v>
      </c>
      <c r="P79" t="s">
        <v>100</v>
      </c>
      <c r="Q79" t="s">
        <v>100</v>
      </c>
      <c r="R79" t="s">
        <v>131</v>
      </c>
      <c r="S79" t="s">
        <v>131</v>
      </c>
      <c r="T79" t="s">
        <v>144</v>
      </c>
      <c r="U79" t="s">
        <v>132</v>
      </c>
      <c r="V79" t="s">
        <v>691</v>
      </c>
      <c r="W79" t="s">
        <v>107</v>
      </c>
      <c r="X79" t="s">
        <v>190</v>
      </c>
      <c r="Y79" t="s">
        <v>239</v>
      </c>
      <c r="Z79" t="s">
        <v>109</v>
      </c>
      <c r="AA79" t="s">
        <v>414</v>
      </c>
      <c r="AB79" s="23">
        <v>1</v>
      </c>
      <c r="AC79" s="25">
        <v>222904</v>
      </c>
      <c r="AD79" s="25">
        <v>222904</v>
      </c>
    </row>
    <row r="80" spans="1:30">
      <c r="A80" t="s">
        <v>51</v>
      </c>
      <c r="B80" t="s">
        <v>111</v>
      </c>
      <c r="C80" t="s">
        <v>22</v>
      </c>
      <c r="D80" t="s">
        <v>176</v>
      </c>
      <c r="E80" t="s">
        <v>692</v>
      </c>
      <c r="F80" t="s">
        <v>693</v>
      </c>
      <c r="G80" t="s">
        <v>95</v>
      </c>
      <c r="H80" t="s">
        <v>115</v>
      </c>
      <c r="I80" t="s">
        <v>179</v>
      </c>
      <c r="J80" t="s">
        <v>694</v>
      </c>
      <c r="K80" t="s">
        <v>98</v>
      </c>
      <c r="L80" t="s">
        <v>695</v>
      </c>
      <c r="M80" s="22">
        <v>45959.697916666657</v>
      </c>
      <c r="N80" s="22">
        <v>45961.504861111112</v>
      </c>
      <c r="P80" t="s">
        <v>100</v>
      </c>
      <c r="Q80" t="s">
        <v>100</v>
      </c>
      <c r="R80" t="s">
        <v>119</v>
      </c>
      <c r="S80" t="s">
        <v>188</v>
      </c>
      <c r="T80" t="s">
        <v>104</v>
      </c>
      <c r="U80" t="s">
        <v>132</v>
      </c>
      <c r="V80" t="s">
        <v>696</v>
      </c>
      <c r="W80" t="s">
        <v>107</v>
      </c>
      <c r="X80" t="s">
        <v>155</v>
      </c>
      <c r="Y80" t="s">
        <v>135</v>
      </c>
      <c r="Z80" t="s">
        <v>109</v>
      </c>
      <c r="AA80" t="s">
        <v>590</v>
      </c>
      <c r="AB80" s="23">
        <v>1</v>
      </c>
      <c r="AC80" s="25">
        <v>134411</v>
      </c>
      <c r="AD80" s="25">
        <v>134411</v>
      </c>
    </row>
    <row r="81" spans="1:30">
      <c r="A81" t="s">
        <v>51</v>
      </c>
      <c r="B81" t="s">
        <v>111</v>
      </c>
      <c r="C81" t="s">
        <v>22</v>
      </c>
      <c r="D81" t="s">
        <v>213</v>
      </c>
      <c r="E81" t="s">
        <v>697</v>
      </c>
      <c r="F81" t="s">
        <v>698</v>
      </c>
      <c r="G81" t="s">
        <v>95</v>
      </c>
      <c r="H81" t="s">
        <v>115</v>
      </c>
      <c r="I81" t="s">
        <v>216</v>
      </c>
      <c r="J81" t="s">
        <v>699</v>
      </c>
      <c r="K81" t="s">
        <v>98</v>
      </c>
      <c r="L81" t="s">
        <v>700</v>
      </c>
      <c r="M81" s="22">
        <v>45959.697916666657</v>
      </c>
      <c r="N81" s="22">
        <v>45961.425000000003</v>
      </c>
      <c r="P81" t="s">
        <v>100</v>
      </c>
      <c r="Q81" t="s">
        <v>100</v>
      </c>
      <c r="R81" t="s">
        <v>119</v>
      </c>
      <c r="S81" t="s">
        <v>188</v>
      </c>
      <c r="T81" t="s">
        <v>104</v>
      </c>
      <c r="U81" t="s">
        <v>105</v>
      </c>
      <c r="V81" t="s">
        <v>701</v>
      </c>
      <c r="W81" t="s">
        <v>107</v>
      </c>
      <c r="X81" t="s">
        <v>155</v>
      </c>
      <c r="Y81" t="s">
        <v>135</v>
      </c>
      <c r="Z81" t="s">
        <v>109</v>
      </c>
      <c r="AA81" t="s">
        <v>590</v>
      </c>
      <c r="AB81" s="23">
        <v>1</v>
      </c>
      <c r="AC81" s="25">
        <v>134411</v>
      </c>
      <c r="AD81" s="25">
        <v>134411</v>
      </c>
    </row>
    <row r="82" spans="1:30">
      <c r="A82" t="s">
        <v>61</v>
      </c>
      <c r="B82" t="s">
        <v>91</v>
      </c>
      <c r="C82" t="s">
        <v>44</v>
      </c>
      <c r="D82" t="s">
        <v>92</v>
      </c>
      <c r="E82" t="s">
        <v>702</v>
      </c>
      <c r="F82" t="s">
        <v>703</v>
      </c>
      <c r="G82" t="s">
        <v>95</v>
      </c>
      <c r="H82" t="s">
        <v>96</v>
      </c>
      <c r="I82" t="s">
        <v>61</v>
      </c>
      <c r="J82" t="s">
        <v>704</v>
      </c>
      <c r="K82" t="s">
        <v>98</v>
      </c>
      <c r="L82" t="s">
        <v>705</v>
      </c>
      <c r="M82" s="22">
        <v>45938.685416666667</v>
      </c>
      <c r="N82" s="22">
        <v>45938.712500000001</v>
      </c>
      <c r="P82" t="s">
        <v>100</v>
      </c>
      <c r="Q82" t="s">
        <v>706</v>
      </c>
      <c r="R82" t="s">
        <v>131</v>
      </c>
      <c r="S82" t="s">
        <v>131</v>
      </c>
      <c r="T82" t="s">
        <v>144</v>
      </c>
      <c r="U82" t="s">
        <v>287</v>
      </c>
      <c r="V82" t="s">
        <v>707</v>
      </c>
      <c r="W82" t="s">
        <v>107</v>
      </c>
      <c r="X82" t="s">
        <v>307</v>
      </c>
      <c r="Y82" t="s">
        <v>108</v>
      </c>
      <c r="Z82" t="s">
        <v>109</v>
      </c>
      <c r="AA82" t="s">
        <v>652</v>
      </c>
      <c r="AB82" s="23">
        <v>1</v>
      </c>
      <c r="AC82" s="25">
        <v>44560</v>
      </c>
      <c r="AD82" s="25">
        <v>44560</v>
      </c>
    </row>
    <row r="83" spans="1:30">
      <c r="AD83" s="46">
        <f>SUM(AD2:AD82)</f>
        <v>6788297</v>
      </c>
    </row>
    <row r="84" spans="1:30">
      <c r="E84" s="47"/>
    </row>
    <row r="85" spans="1:30">
      <c r="E85" s="47"/>
    </row>
    <row r="86" spans="1:30">
      <c r="E86" s="47"/>
    </row>
    <row r="87" spans="1:30">
      <c r="E87" s="47"/>
    </row>
    <row r="88" spans="1:30">
      <c r="E88" s="47"/>
    </row>
    <row r="89" spans="1:30">
      <c r="E89" s="47"/>
    </row>
    <row r="90" spans="1:30">
      <c r="E90" s="47"/>
    </row>
    <row r="91" spans="1:30">
      <c r="E91" s="47"/>
    </row>
    <row r="92" spans="1:30">
      <c r="E92" s="47"/>
    </row>
    <row r="93" spans="1:30">
      <c r="E93" s="47"/>
    </row>
    <row r="94" spans="1:30">
      <c r="E94" s="47"/>
    </row>
    <row r="95" spans="1:30">
      <c r="E95" s="47"/>
    </row>
    <row r="96" spans="1:30">
      <c r="E96" s="47"/>
    </row>
    <row r="97" spans="5:5">
      <c r="E97" s="47"/>
    </row>
    <row r="98" spans="5:5">
      <c r="E98" s="47"/>
    </row>
    <row r="99" spans="5:5">
      <c r="E99" s="47"/>
    </row>
    <row r="100" spans="5:5">
      <c r="E100" s="47"/>
    </row>
    <row r="101" spans="5:5">
      <c r="E101" s="47"/>
    </row>
    <row r="102" spans="5:5">
      <c r="E102" s="47"/>
    </row>
    <row r="103" spans="5:5">
      <c r="E103" s="47"/>
    </row>
    <row r="104" spans="5:5">
      <c r="E104" s="47"/>
    </row>
    <row r="105" spans="5:5">
      <c r="E105" s="47"/>
    </row>
    <row r="106" spans="5:5">
      <c r="E106" s="47"/>
    </row>
    <row r="107" spans="5:5">
      <c r="E107" s="47"/>
    </row>
    <row r="108" spans="5:5">
      <c r="E108" s="47"/>
    </row>
    <row r="109" spans="5:5">
      <c r="E109" s="47"/>
    </row>
    <row r="110" spans="5:5">
      <c r="E110" s="47"/>
    </row>
    <row r="111" spans="5:5">
      <c r="E111" s="47"/>
    </row>
    <row r="112" spans="5:5">
      <c r="E112" s="47"/>
    </row>
    <row r="113" spans="5:5">
      <c r="E113" s="47"/>
    </row>
    <row r="114" spans="5:5">
      <c r="E114" s="47"/>
    </row>
    <row r="115" spans="5:5">
      <c r="E115" s="47"/>
    </row>
    <row r="116" spans="5:5">
      <c r="E116" s="47"/>
    </row>
    <row r="117" spans="5:5">
      <c r="E117" s="47"/>
    </row>
    <row r="118" spans="5:5">
      <c r="E118" s="47"/>
    </row>
    <row r="119" spans="5:5">
      <c r="E119" s="47"/>
    </row>
    <row r="120" spans="5:5">
      <c r="E120" s="48"/>
    </row>
    <row r="121" spans="5:5">
      <c r="E121" s="47"/>
    </row>
    <row r="122" spans="5:5">
      <c r="E122" s="47"/>
    </row>
    <row r="123" spans="5:5">
      <c r="E123" s="47"/>
    </row>
    <row r="124" spans="5:5">
      <c r="E124" s="47"/>
    </row>
    <row r="125" spans="5:5">
      <c r="E125" s="47"/>
    </row>
    <row r="126" spans="5:5">
      <c r="E126" s="47"/>
    </row>
    <row r="127" spans="5:5">
      <c r="E127" s="47"/>
    </row>
    <row r="128" spans="5:5">
      <c r="E128" s="47"/>
    </row>
    <row r="129" spans="5:5">
      <c r="E129" s="47"/>
    </row>
    <row r="130" spans="5:5">
      <c r="E130" s="47"/>
    </row>
    <row r="131" spans="5:5">
      <c r="E131" s="47"/>
    </row>
    <row r="132" spans="5:5">
      <c r="E132" s="47"/>
    </row>
    <row r="133" spans="5:5">
      <c r="E133" s="47"/>
    </row>
    <row r="134" spans="5:5">
      <c r="E134" s="47"/>
    </row>
    <row r="135" spans="5:5">
      <c r="E135" s="47"/>
    </row>
    <row r="136" spans="5:5">
      <c r="E136" s="47"/>
    </row>
    <row r="137" spans="5:5">
      <c r="E137" s="47"/>
    </row>
    <row r="138" spans="5:5">
      <c r="E138" s="47"/>
    </row>
    <row r="139" spans="5:5">
      <c r="E139" s="47"/>
    </row>
    <row r="140" spans="5:5">
      <c r="E140" s="47"/>
    </row>
    <row r="141" spans="5:5">
      <c r="E141" s="47"/>
    </row>
    <row r="142" spans="5:5">
      <c r="E142" s="47"/>
    </row>
    <row r="143" spans="5:5">
      <c r="E143" s="47"/>
    </row>
    <row r="144" spans="5:5">
      <c r="E144" s="47"/>
    </row>
    <row r="145" spans="5:5">
      <c r="E145" s="47"/>
    </row>
    <row r="146" spans="5:5">
      <c r="E146" s="47"/>
    </row>
    <row r="147" spans="5:5">
      <c r="E147" s="47"/>
    </row>
    <row r="148" spans="5:5">
      <c r="E148" s="47"/>
    </row>
    <row r="149" spans="5:5">
      <c r="E149" s="47"/>
    </row>
    <row r="150" spans="5:5">
      <c r="E150" s="47"/>
    </row>
    <row r="151" spans="5:5">
      <c r="E151" s="47"/>
    </row>
    <row r="152" spans="5:5">
      <c r="E152" s="47"/>
    </row>
    <row r="153" spans="5:5">
      <c r="E153" s="47"/>
    </row>
    <row r="154" spans="5:5">
      <c r="E154" s="47"/>
    </row>
    <row r="155" spans="5:5">
      <c r="E155" s="47"/>
    </row>
    <row r="156" spans="5:5">
      <c r="E156" s="47"/>
    </row>
    <row r="157" spans="5:5">
      <c r="E157" s="47"/>
    </row>
    <row r="158" spans="5:5">
      <c r="E158" s="47"/>
    </row>
    <row r="159" spans="5:5">
      <c r="E159" s="47"/>
    </row>
    <row r="160" spans="5:5">
      <c r="E160" s="47"/>
    </row>
    <row r="161" spans="5:5">
      <c r="E161" s="47"/>
    </row>
    <row r="162" spans="5:5">
      <c r="E162" s="47"/>
    </row>
    <row r="163" spans="5:5">
      <c r="E163" s="47"/>
    </row>
    <row r="164" spans="5:5">
      <c r="E164" s="47"/>
    </row>
    <row r="165" spans="5:5">
      <c r="E165" s="47"/>
    </row>
    <row r="166" spans="5:5">
      <c r="E166" s="47"/>
    </row>
    <row r="167" spans="5:5">
      <c r="E167" s="47"/>
    </row>
    <row r="168" spans="5:5">
      <c r="E168" s="47"/>
    </row>
    <row r="169" spans="5:5">
      <c r="E169" s="47"/>
    </row>
    <row r="170" spans="5:5">
      <c r="E170" s="47"/>
    </row>
    <row r="171" spans="5:5">
      <c r="E171" s="47"/>
    </row>
    <row r="172" spans="5:5">
      <c r="E172" s="47"/>
    </row>
    <row r="173" spans="5:5">
      <c r="E173" s="47"/>
    </row>
    <row r="174" spans="5:5">
      <c r="E174" s="47"/>
    </row>
    <row r="175" spans="5:5">
      <c r="E175" s="47"/>
    </row>
    <row r="176" spans="5:5">
      <c r="E176" s="47"/>
    </row>
    <row r="177" spans="5:5">
      <c r="E177" s="47"/>
    </row>
    <row r="178" spans="5:5">
      <c r="E178" s="47"/>
    </row>
    <row r="179" spans="5:5">
      <c r="E179" s="47"/>
    </row>
    <row r="180" spans="5:5">
      <c r="E180" s="47"/>
    </row>
    <row r="181" spans="5:5">
      <c r="E181" s="47"/>
    </row>
    <row r="182" spans="5:5">
      <c r="E182" s="47"/>
    </row>
  </sheetData>
  <autoFilter ref="A1:AD83" xr:uid="{00000000-0001-0000-0200-000000000000}"/>
  <conditionalFormatting sqref="E2:E82 E84:E1048576">
    <cfRule type="duplicateValues" dxfId="35" priority="1"/>
  </conditionalFormatting>
  <conditionalFormatting sqref="E2:E82 E161:E1048576">
    <cfRule type="duplicateValues" dxfId="34" priority="64"/>
  </conditionalFormatting>
  <conditionalFormatting sqref="E84:E160">
    <cfRule type="duplicateValues" dxfId="33" priority="2"/>
    <cfRule type="duplicateValues" dxfId="32" priority="3"/>
    <cfRule type="duplicateValues" dxfId="31" priority="4"/>
    <cfRule type="duplicateValues" dxfId="30" priority="5"/>
    <cfRule type="duplicateValues" dxfId="29" priority="6"/>
    <cfRule type="duplicateValues" dxfId="28" priority="7"/>
    <cfRule type="duplicateValues" dxfId="27" priority="8"/>
    <cfRule type="duplicateValues" dxfId="26" priority="9"/>
    <cfRule type="duplicateValues" dxfId="25" priority="10"/>
    <cfRule type="duplicateValues" dxfId="24" priority="11"/>
    <cfRule type="duplicateValues" dxfId="23" priority="12"/>
    <cfRule type="duplicateValues" dxfId="22" priority="13"/>
    <cfRule type="duplicateValues" dxfId="21" priority="14"/>
    <cfRule type="duplicateValues" dxfId="20" priority="15"/>
    <cfRule type="duplicateValues" dxfId="19" priority="16"/>
    <cfRule type="duplicateValues" dxfId="18" priority="17"/>
    <cfRule type="duplicateValues" dxfId="17" priority="18"/>
  </conditionalFormatting>
  <conditionalFormatting sqref="E161:E182">
    <cfRule type="duplicateValues" dxfId="16" priority="148"/>
    <cfRule type="duplicateValues" dxfId="15" priority="150"/>
    <cfRule type="duplicateValues" dxfId="14" priority="151"/>
    <cfRule type="duplicateValues" dxfId="13" priority="152"/>
    <cfRule type="duplicateValues" dxfId="12" priority="153"/>
    <cfRule type="duplicateValues" dxfId="11" priority="154"/>
    <cfRule type="duplicateValues" dxfId="10" priority="155"/>
    <cfRule type="duplicateValues" dxfId="9" priority="156"/>
    <cfRule type="duplicateValues" dxfId="8" priority="157"/>
    <cfRule type="duplicateValues" dxfId="7" priority="158"/>
    <cfRule type="duplicateValues" dxfId="6" priority="159"/>
    <cfRule type="duplicateValues" dxfId="5" priority="160"/>
    <cfRule type="duplicateValues" dxfId="4" priority="161"/>
    <cfRule type="duplicateValues" dxfId="3" priority="162"/>
    <cfRule type="duplicateValues" dxfId="2" priority="163"/>
    <cfRule type="duplicateValues" dxfId="1" priority="164"/>
    <cfRule type="duplicateValues" dxfId="0" priority="165"/>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0A8736163078B46BA45051ACB50C0B2" ma:contentTypeVersion="16" ma:contentTypeDescription="Crear nuevo documento." ma:contentTypeScope="" ma:versionID="3688f3dae372e14fc0065b8deaede2af">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6be92bc8077a6e15648bc8fb56071b5e"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b0c89e-4cf9-4131-8f93-e930e748987a" xsi:nil="true"/>
    <lcf76f155ced4ddcb4097134ff3c332f xmlns="45c089de-fbcb-4273-99e1-da05513ea3d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78CE16-6724-49DE-AF8C-ECEF5F5320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b0c89e-4cf9-4131-8f93-e930e748987a"/>
    <ds:schemaRef ds:uri="45c089de-fbcb-4273-99e1-da05513ea3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3D2039-7A8A-4B1E-BF4E-03063599B000}">
  <ds:schemaRefs>
    <ds:schemaRef ds:uri="http://schemas.microsoft.com/office/2006/metadata/properties"/>
    <ds:schemaRef ds:uri="http://schemas.microsoft.com/office/infopath/2007/PartnerControls"/>
    <ds:schemaRef ds:uri="d3b0c89e-4cf9-4131-8f93-e930e748987a"/>
    <ds:schemaRef ds:uri="45c089de-fbcb-4273-99e1-da05513ea3d0"/>
  </ds:schemaRefs>
</ds:datastoreItem>
</file>

<file path=customXml/itemProps3.xml><?xml version="1.0" encoding="utf-8"?>
<ds:datastoreItem xmlns:ds="http://schemas.openxmlformats.org/officeDocument/2006/customXml" ds:itemID="{64B34D88-029F-4564-B77F-7FD6496F34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 DE LIQUIDACION 2025</vt:lpstr>
      <vt:lpstr>CENTRO DE COSTOS</vt:lpstr>
      <vt:lpstr>RESUMEN LIQUIDACIÓN</vt:lpstr>
      <vt:lpstr>CIERRES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Luz Nedy Molina Torrado</cp:lastModifiedBy>
  <dcterms:created xsi:type="dcterms:W3CDTF">2015-11-09T13:46:27Z</dcterms:created>
  <dcterms:modified xsi:type="dcterms:W3CDTF">2025-12-01T20:40:07Z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